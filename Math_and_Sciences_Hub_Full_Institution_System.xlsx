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ADMIN_DASHBOARD" sheetId="1" state="visible" r:id="rId1"/>
    <sheet xmlns:r="http://schemas.openxmlformats.org/officeDocument/2006/relationships" name="EXPORTS" sheetId="2" state="visible" r:id="rId2"/>
    <sheet xmlns:r="http://schemas.openxmlformats.org/officeDocument/2006/relationships" name="MASTER_REGISTER" sheetId="3" state="visible" r:id="rId3"/>
    <sheet xmlns:r="http://schemas.openxmlformats.org/officeDocument/2006/relationships" name="AUTO_IMPORT" sheetId="4" state="visible" r:id="rId4"/>
    <sheet xmlns:r="http://schemas.openxmlformats.org/officeDocument/2006/relationships" name="ATTENDANCE_DAILY" sheetId="5" state="visible" r:id="rId5"/>
    <sheet xmlns:r="http://schemas.openxmlformats.org/officeDocument/2006/relationships" name="ATTENDANCE_SUMMARY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ASSESSMENTS" sheetId="8" state="visible" r:id="rId8"/>
    <sheet xmlns:r="http://schemas.openxmlformats.org/officeDocument/2006/relationships" name="PROGRESS_SUMMARY" sheetId="9" state="visible" r:id="rId9"/>
    <sheet xmlns:r="http://schemas.openxmlformats.org/officeDocument/2006/relationships" name="REPORT_TEMPLATE" sheetId="10" state="visible" r:id="rId10"/>
    <sheet xmlns:r="http://schemas.openxmlformats.org/officeDocument/2006/relationships" name="TUTOR_REGISTER" sheetId="11" state="visible" r:id="rId11"/>
    <sheet xmlns:r="http://schemas.openxmlformats.org/officeDocument/2006/relationships" name="LESSON_PLANS" sheetId="12" state="visible" r:id="rId12"/>
    <sheet xmlns:r="http://schemas.openxmlformats.org/officeDocument/2006/relationships" name="TIMETABL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%"/>
    <numFmt numFmtId="166" formatCode="&quot;R&quot; #,##0"/>
    <numFmt numFmtId="167" formatCode="yyyy-mm-dd"/>
  </numFmts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4"/>
    </font>
    <font>
      <b val="1"/>
    </font>
    <font>
      <b val="1"/>
      <color rgb="00FFFFFF"/>
      <sz val="16"/>
    </font>
    <font>
      <b val="1"/>
      <color rgb="000B2A52"/>
    </font>
    <font>
      <b val="1"/>
      <color rgb="000B2A52"/>
      <sz val="14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0B2A52"/>
      </patternFill>
    </fill>
    <fill>
      <patternFill patternType="solid">
        <fgColor rgb="00F5F7FB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3" fontId="7" fillId="4" borderId="1" applyAlignment="1" pivotButton="0" quotePrefix="0" xfId="0">
      <alignment horizontal="left" vertical="center"/>
    </xf>
    <xf numFmtId="166" fontId="0" fillId="0" borderId="0" pivotButton="0" quotePrefix="0" xfId="0"/>
    <xf numFmtId="3" fontId="4" fillId="4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  <xf numFmtId="165" fontId="0" fillId="0" borderId="0" pivotButton="0" quotePrefix="0" xfId="0"/>
    <xf numFmtId="166" fontId="4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4" fillId="0" borderId="0" pivotButton="0" quotePrefix="0" xfId="0"/>
  </cellXfs>
  <cellStyles count="1">
    <cellStyle name="Normal" xfId="0" builtinId="0"/>
  </cellStyles>
  <dxfs count="7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style="10" min="1" max="1"/>
    <col width="2" customWidth="1" style="10" min="2" max="2"/>
    <col width="2" customWidth="1" style="10" min="3" max="3"/>
    <col width="2" customWidth="1" style="10" min="4" max="4"/>
    <col width="22" customWidth="1" style="10" min="5" max="5"/>
    <col width="2" customWidth="1" style="10" min="6" max="6"/>
    <col width="2" customWidth="1" style="10" min="7" max="7"/>
    <col width="2" customWidth="1" style="10" min="8" max="8"/>
  </cols>
  <sheetData>
    <row r="1" ht="30" customHeight="1" s="10">
      <c r="A1" s="13" t="inlineStr">
        <is>
          <t>Math &amp; Sciences Hub – Admin Dashboard</t>
        </is>
      </c>
      <c r="B1" s="14" t="n"/>
      <c r="C1" s="14" t="n"/>
      <c r="D1" s="14" t="n"/>
      <c r="E1" s="14" t="n"/>
      <c r="F1" s="14" t="n"/>
      <c r="G1" s="14" t="n"/>
      <c r="H1" s="15" t="n"/>
    </row>
    <row r="2">
      <c r="A2" s="16" t="inlineStr">
        <is>
          <t>Overview</t>
        </is>
      </c>
    </row>
    <row r="4">
      <c r="A4" s="17" t="inlineStr">
        <is>
          <t>Total Registered Learners</t>
        </is>
      </c>
      <c r="B4" s="18" t="n"/>
      <c r="C4" s="18" t="n"/>
      <c r="E4" s="17" t="inlineStr">
        <is>
          <t>Active Learners</t>
        </is>
      </c>
      <c r="F4" s="18" t="n"/>
      <c r="G4" s="18" t="n"/>
    </row>
    <row r="5">
      <c r="A5" s="19">
        <f>COUNTIF(MASTER_REGISTER!E:E,"MSH*")</f>
        <v/>
      </c>
      <c r="B5" s="18" t="n"/>
      <c r="C5" s="18" t="n"/>
      <c r="E5" s="19">
        <f>COUNTIFS(MASTER_REGISTER!E:E,"MSH*",MASTER_REGISTER!K:K,"Active")</f>
        <v/>
      </c>
      <c r="F5" s="18" t="n"/>
      <c r="G5" s="18" t="n"/>
    </row>
    <row r="6">
      <c r="A6" s="20" t="n"/>
      <c r="E6" s="20" t="n"/>
    </row>
    <row r="7">
      <c r="A7" s="21" t="inlineStr">
        <is>
          <t>Total Fees Billed (R)</t>
        </is>
      </c>
      <c r="B7" s="18" t="n"/>
      <c r="C7" s="18" t="n"/>
      <c r="E7" s="21" t="inlineStr">
        <is>
          <t>Total Paid (R)</t>
        </is>
      </c>
      <c r="F7" s="18" t="n"/>
      <c r="G7" s="18" t="n"/>
    </row>
    <row r="8">
      <c r="A8" s="22">
        <f>SUM(MASTER_REGISTER!J:J)</f>
        <v/>
      </c>
      <c r="B8" s="18" t="n"/>
      <c r="C8" s="18" t="n"/>
      <c r="E8" s="22">
        <f>SUM(MASTER_REGISTER!L:L)</f>
        <v/>
      </c>
      <c r="F8" s="18" t="n"/>
      <c r="G8" s="18" t="n"/>
    </row>
    <row r="9">
      <c r="A9" s="23" t="n"/>
      <c r="E9" s="23" t="n"/>
    </row>
    <row r="10">
      <c r="A10" s="24" t="inlineStr">
        <is>
          <t>Total Outstanding (R)</t>
        </is>
      </c>
      <c r="B10" s="18" t="n"/>
      <c r="C10" s="18" t="n"/>
      <c r="E10" s="17" t="inlineStr">
        <is>
          <t>Collection Rate</t>
        </is>
      </c>
      <c r="F10" s="18" t="n"/>
      <c r="G10" s="18" t="n"/>
    </row>
    <row r="11">
      <c r="A11" s="25">
        <f>SUM(MASTER_REGISTER!M:M)</f>
        <v/>
      </c>
      <c r="B11" s="18" t="n"/>
      <c r="C11" s="18" t="n"/>
      <c r="E11" s="26">
        <f>IFERROR(D5/C5,0)</f>
        <v/>
      </c>
      <c r="F11" s="18" t="n"/>
      <c r="G11" s="18" t="n"/>
    </row>
    <row r="13">
      <c r="A13" s="17" t="inlineStr">
        <is>
          <t>Avg Attendance %</t>
        </is>
      </c>
      <c r="B13" s="18" t="n"/>
      <c r="C13" s="18" t="n"/>
      <c r="E13" s="17" t="inlineStr">
        <is>
          <t>Avg Assessment Score %</t>
        </is>
      </c>
      <c r="F13" s="18" t="n"/>
      <c r="G13" s="18" t="n"/>
    </row>
    <row r="14">
      <c r="A14" s="26">
        <f>IFERROR(AVERAGEIF(ATTENDANCE_SUMMARY!G:G,"&gt;0"),0)</f>
        <v/>
      </c>
      <c r="B14" s="18" t="n"/>
      <c r="C14" s="18" t="n"/>
      <c r="E14" s="26">
        <f>IFERROR(AVERAGEIF(PROGRESS_SUMMARY!E:E,"&gt;0"),0)</f>
        <v/>
      </c>
      <c r="F14" s="18" t="n"/>
      <c r="G14" s="18" t="n"/>
    </row>
    <row r="18">
      <c r="A18" s="27" t="inlineStr">
        <is>
          <t>Exports</t>
        </is>
      </c>
    </row>
    <row r="19">
      <c r="A19" s="28" t="inlineStr">
        <is>
          <t>Use the EXPORTS sheet to copy/paste or save as CSV/XLSX for reporting.</t>
        </is>
      </c>
    </row>
    <row r="20">
      <c r="A20" s="28" t="inlineStr">
        <is>
          <t>Tip: Filter the EXPORTS tables first, then Export/Save As.</t>
        </is>
      </c>
    </row>
  </sheetData>
  <mergeCells count="17">
    <mergeCell ref="A10:C10"/>
    <mergeCell ref="E10:G10"/>
    <mergeCell ref="A13:C13"/>
    <mergeCell ref="A11:C11"/>
    <mergeCell ref="E13:G13"/>
    <mergeCell ref="E11:G11"/>
    <mergeCell ref="A5:C5"/>
    <mergeCell ref="E14:G14"/>
    <mergeCell ref="E5:G5"/>
    <mergeCell ref="A8:C8"/>
    <mergeCell ref="A14:C14"/>
    <mergeCell ref="E8:G8"/>
    <mergeCell ref="E4:G4"/>
    <mergeCell ref="A7:C7"/>
    <mergeCell ref="A1:H1"/>
    <mergeCell ref="A4:C4"/>
    <mergeCell ref="E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7"/>
  <sheetViews>
    <sheetView workbookViewId="0">
      <selection activeCell="A1" sqref="A1"/>
    </sheetView>
  </sheetViews>
  <sheetFormatPr baseColWidth="8" defaultRowHeight="15"/>
  <cols>
    <col width="18" customWidth="1" style="10" min="1" max="1"/>
    <col width="14" customWidth="1" style="10" min="2" max="2"/>
    <col width="18" customWidth="1" style="10" min="3" max="3"/>
    <col width="22" customWidth="1" style="10" min="4" max="4"/>
    <col width="14" customWidth="1" style="10" min="5" max="5"/>
    <col width="12" customWidth="1" style="10" min="6" max="6"/>
    <col width="26" customWidth="1" style="10" min="7" max="7"/>
    <col width="14" customWidth="1" style="10" min="8" max="8"/>
    <col width="14" customWidth="1" style="10" min="9" max="9"/>
    <col width="16" customWidth="1" style="10" min="10" max="10"/>
  </cols>
  <sheetData>
    <row r="1">
      <c r="A1" s="29" t="inlineStr">
        <is>
          <t>Math &amp; Sciences Hub – Exports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</row>
    <row r="3">
      <c r="A3" s="27" t="inlineStr">
        <is>
          <t>EXPORT: Learners</t>
        </is>
      </c>
    </row>
    <row r="4">
      <c r="A4" s="30" t="inlineStr">
        <is>
          <t>Student Number</t>
        </is>
      </c>
      <c r="B4" s="30" t="inlineStr">
        <is>
          <t>Full Name</t>
        </is>
      </c>
      <c r="C4" s="30" t="inlineStr">
        <is>
          <t>Grade</t>
        </is>
      </c>
      <c r="D4" s="30" t="inlineStr">
        <is>
          <t>Phone</t>
        </is>
      </c>
      <c r="E4" s="30" t="inlineStr">
        <is>
          <t>Email</t>
        </is>
      </c>
      <c r="F4" s="30" t="inlineStr">
        <is>
          <t>Package</t>
        </is>
      </c>
      <c r="G4" s="30" t="inlineStr">
        <is>
          <t>Total Fee</t>
        </is>
      </c>
      <c r="H4" s="30" t="inlineStr">
        <is>
          <t>Amount Paid</t>
        </is>
      </c>
      <c r="I4" s="30" t="inlineStr">
        <is>
          <t>Balance</t>
        </is>
      </c>
      <c r="J4" s="30" t="inlineStr">
        <is>
          <t>Payment Status</t>
        </is>
      </c>
    </row>
    <row r="5">
      <c r="A5" s="31">
        <f>IF(MASTER_REGISTER!E2="","",MASTER_REGISTER!E2)</f>
        <v/>
      </c>
      <c r="B5" s="31">
        <f>IF($A5="","",MASTER_REGISTER!F2)</f>
        <v/>
      </c>
      <c r="C5" s="31">
        <f>IF($A5="","",MASTER_REGISTER!C2)</f>
        <v/>
      </c>
      <c r="D5" s="31">
        <f>IF($A5="","",MASTER_REGISTER!H2)</f>
        <v/>
      </c>
      <c r="E5" s="31">
        <f>IF($A5="","",MASTER_REGISTER!G2)</f>
        <v/>
      </c>
      <c r="F5" s="31">
        <f>IF($A5="","",MASTER_REGISTER!I2)</f>
        <v/>
      </c>
      <c r="G5" s="32">
        <f>IF($A5="","",MASTER_REGISTER!J2)</f>
        <v/>
      </c>
      <c r="H5" s="32">
        <f>IF($A5="","",MASTER_REGISTER!L2)</f>
        <v/>
      </c>
      <c r="I5" s="32">
        <f>IF($A5="","",MASTER_REGISTER!M2)</f>
        <v/>
      </c>
      <c r="J5" s="31">
        <f>IF($A5="","",MASTER_REGISTER!N2)</f>
        <v/>
      </c>
    </row>
    <row r="6">
      <c r="A6" s="31">
        <f>IF(MASTER_REGISTER!E3="","",MASTER_REGISTER!E3)</f>
        <v/>
      </c>
      <c r="B6" s="31">
        <f>IF($A6="","",MASTER_REGISTER!F3)</f>
        <v/>
      </c>
      <c r="C6" s="31">
        <f>IF($A6="","",MASTER_REGISTER!C3)</f>
        <v/>
      </c>
      <c r="D6" s="31">
        <f>IF($A6="","",MASTER_REGISTER!H3)</f>
        <v/>
      </c>
      <c r="E6" s="31">
        <f>IF($A6="","",MASTER_REGISTER!G3)</f>
        <v/>
      </c>
      <c r="F6" s="31">
        <f>IF($A6="","",MASTER_REGISTER!I3)</f>
        <v/>
      </c>
      <c r="G6" s="32">
        <f>IF($A6="","",MASTER_REGISTER!J3)</f>
        <v/>
      </c>
      <c r="H6" s="32">
        <f>IF($A6="","",MASTER_REGISTER!L3)</f>
        <v/>
      </c>
      <c r="I6" s="32">
        <f>IF($A6="","",MASTER_REGISTER!M3)</f>
        <v/>
      </c>
      <c r="J6" s="31">
        <f>IF($A6="","",MASTER_REGISTER!N3)</f>
        <v/>
      </c>
    </row>
    <row r="7">
      <c r="A7" s="31">
        <f>IF(MASTER_REGISTER!E4="","",MASTER_REGISTER!E4)</f>
        <v/>
      </c>
      <c r="B7" s="31">
        <f>IF($A7="","",MASTER_REGISTER!F4)</f>
        <v/>
      </c>
      <c r="C7" s="31">
        <f>IF($A7="","",MASTER_REGISTER!C4)</f>
        <v/>
      </c>
      <c r="D7" s="31">
        <f>IF($A7="","",MASTER_REGISTER!H4)</f>
        <v/>
      </c>
      <c r="E7" s="31">
        <f>IF($A7="","",MASTER_REGISTER!G4)</f>
        <v/>
      </c>
      <c r="F7" s="31">
        <f>IF($A7="","",MASTER_REGISTER!I4)</f>
        <v/>
      </c>
      <c r="G7" s="32">
        <f>IF($A7="","",MASTER_REGISTER!J4)</f>
        <v/>
      </c>
      <c r="H7" s="32">
        <f>IF($A7="","",MASTER_REGISTER!L4)</f>
        <v/>
      </c>
      <c r="I7" s="32">
        <f>IF($A7="","",MASTER_REGISTER!M4)</f>
        <v/>
      </c>
      <c r="J7" s="31">
        <f>IF($A7="","",MASTER_REGISTER!N4)</f>
        <v/>
      </c>
    </row>
    <row r="8">
      <c r="A8" s="31">
        <f>IF(MASTER_REGISTER!E5="","",MASTER_REGISTER!E5)</f>
        <v/>
      </c>
      <c r="B8" s="31">
        <f>IF($A8="","",MASTER_REGISTER!F5)</f>
        <v/>
      </c>
      <c r="C8" s="31">
        <f>IF($A8="","",MASTER_REGISTER!C5)</f>
        <v/>
      </c>
      <c r="D8" s="31">
        <f>IF($A8="","",MASTER_REGISTER!H5)</f>
        <v/>
      </c>
      <c r="E8" s="31">
        <f>IF($A8="","",MASTER_REGISTER!G5)</f>
        <v/>
      </c>
      <c r="F8" s="31">
        <f>IF($A8="","",MASTER_REGISTER!I5)</f>
        <v/>
      </c>
      <c r="G8" s="32">
        <f>IF($A8="","",MASTER_REGISTER!J5)</f>
        <v/>
      </c>
      <c r="H8" s="32">
        <f>IF($A8="","",MASTER_REGISTER!L5)</f>
        <v/>
      </c>
      <c r="I8" s="32">
        <f>IF($A8="","",MASTER_REGISTER!M5)</f>
        <v/>
      </c>
      <c r="J8" s="31">
        <f>IF($A8="","",MASTER_REGISTER!N5)</f>
        <v/>
      </c>
    </row>
    <row r="9">
      <c r="A9" s="31">
        <f>IF(MASTER_REGISTER!E6="","",MASTER_REGISTER!E6)</f>
        <v/>
      </c>
      <c r="B9" s="31">
        <f>IF($A9="","",MASTER_REGISTER!F6)</f>
        <v/>
      </c>
      <c r="C9" s="31">
        <f>IF($A9="","",MASTER_REGISTER!C6)</f>
        <v/>
      </c>
      <c r="D9" s="31">
        <f>IF($A9="","",MASTER_REGISTER!H6)</f>
        <v/>
      </c>
      <c r="E9" s="31">
        <f>IF($A9="","",MASTER_REGISTER!G6)</f>
        <v/>
      </c>
      <c r="F9" s="31">
        <f>IF($A9="","",MASTER_REGISTER!I6)</f>
        <v/>
      </c>
      <c r="G9" s="32">
        <f>IF($A9="","",MASTER_REGISTER!J6)</f>
        <v/>
      </c>
      <c r="H9" s="32">
        <f>IF($A9="","",MASTER_REGISTER!L6)</f>
        <v/>
      </c>
      <c r="I9" s="32">
        <f>IF($A9="","",MASTER_REGISTER!M6)</f>
        <v/>
      </c>
      <c r="J9" s="31">
        <f>IF($A9="","",MASTER_REGISTER!N6)</f>
        <v/>
      </c>
    </row>
    <row r="10">
      <c r="A10" s="31">
        <f>IF(MASTER_REGISTER!E7="","",MASTER_REGISTER!E7)</f>
        <v/>
      </c>
      <c r="B10" s="31">
        <f>IF($A10="","",MASTER_REGISTER!F7)</f>
        <v/>
      </c>
      <c r="C10" s="31">
        <f>IF($A10="","",MASTER_REGISTER!C7)</f>
        <v/>
      </c>
      <c r="D10" s="31">
        <f>IF($A10="","",MASTER_REGISTER!H7)</f>
        <v/>
      </c>
      <c r="E10" s="31">
        <f>IF($A10="","",MASTER_REGISTER!G7)</f>
        <v/>
      </c>
      <c r="F10" s="31">
        <f>IF($A10="","",MASTER_REGISTER!I7)</f>
        <v/>
      </c>
      <c r="G10" s="32">
        <f>IF($A10="","",MASTER_REGISTER!J7)</f>
        <v/>
      </c>
      <c r="H10" s="32">
        <f>IF($A10="","",MASTER_REGISTER!L7)</f>
        <v/>
      </c>
      <c r="I10" s="32">
        <f>IF($A10="","",MASTER_REGISTER!M7)</f>
        <v/>
      </c>
      <c r="J10" s="31">
        <f>IF($A10="","",MASTER_REGISTER!N7)</f>
        <v/>
      </c>
    </row>
    <row r="11">
      <c r="A11" s="31">
        <f>IF(MASTER_REGISTER!E8="","",MASTER_REGISTER!E8)</f>
        <v/>
      </c>
      <c r="B11" s="31">
        <f>IF($A11="","",MASTER_REGISTER!F8)</f>
        <v/>
      </c>
      <c r="C11" s="31">
        <f>IF($A11="","",MASTER_REGISTER!C8)</f>
        <v/>
      </c>
      <c r="D11" s="31">
        <f>IF($A11="","",MASTER_REGISTER!H8)</f>
        <v/>
      </c>
      <c r="E11" s="31">
        <f>IF($A11="","",MASTER_REGISTER!G8)</f>
        <v/>
      </c>
      <c r="F11" s="31">
        <f>IF($A11="","",MASTER_REGISTER!I8)</f>
        <v/>
      </c>
      <c r="G11" s="32">
        <f>IF($A11="","",MASTER_REGISTER!J8)</f>
        <v/>
      </c>
      <c r="H11" s="32">
        <f>IF($A11="","",MASTER_REGISTER!L8)</f>
        <v/>
      </c>
      <c r="I11" s="32">
        <f>IF($A11="","",MASTER_REGISTER!M8)</f>
        <v/>
      </c>
      <c r="J11" s="31">
        <f>IF($A11="","",MASTER_REGISTER!N8)</f>
        <v/>
      </c>
    </row>
    <row r="12">
      <c r="A12" s="31">
        <f>IF(MASTER_REGISTER!E9="","",MASTER_REGISTER!E9)</f>
        <v/>
      </c>
      <c r="B12" s="31">
        <f>IF($A12="","",MASTER_REGISTER!F9)</f>
        <v/>
      </c>
      <c r="C12" s="31">
        <f>IF($A12="","",MASTER_REGISTER!C9)</f>
        <v/>
      </c>
      <c r="D12" s="31">
        <f>IF($A12="","",MASTER_REGISTER!H9)</f>
        <v/>
      </c>
      <c r="E12" s="31">
        <f>IF($A12="","",MASTER_REGISTER!G9)</f>
        <v/>
      </c>
      <c r="F12" s="31">
        <f>IF($A12="","",MASTER_REGISTER!I9)</f>
        <v/>
      </c>
      <c r="G12" s="32">
        <f>IF($A12="","",MASTER_REGISTER!J9)</f>
        <v/>
      </c>
      <c r="H12" s="32">
        <f>IF($A12="","",MASTER_REGISTER!L9)</f>
        <v/>
      </c>
      <c r="I12" s="32">
        <f>IF($A12="","",MASTER_REGISTER!M9)</f>
        <v/>
      </c>
      <c r="J12" s="31">
        <f>IF($A12="","",MASTER_REGISTER!N9)</f>
        <v/>
      </c>
    </row>
    <row r="13">
      <c r="A13" s="31">
        <f>IF(MASTER_REGISTER!E10="","",MASTER_REGISTER!E10)</f>
        <v/>
      </c>
      <c r="B13" s="31">
        <f>IF($A13="","",MASTER_REGISTER!F10)</f>
        <v/>
      </c>
      <c r="C13" s="31">
        <f>IF($A13="","",MASTER_REGISTER!C10)</f>
        <v/>
      </c>
      <c r="D13" s="31">
        <f>IF($A13="","",MASTER_REGISTER!H10)</f>
        <v/>
      </c>
      <c r="E13" s="31">
        <f>IF($A13="","",MASTER_REGISTER!G10)</f>
        <v/>
      </c>
      <c r="F13" s="31">
        <f>IF($A13="","",MASTER_REGISTER!I10)</f>
        <v/>
      </c>
      <c r="G13" s="32">
        <f>IF($A13="","",MASTER_REGISTER!J10)</f>
        <v/>
      </c>
      <c r="H13" s="32">
        <f>IF($A13="","",MASTER_REGISTER!L10)</f>
        <v/>
      </c>
      <c r="I13" s="32">
        <f>IF($A13="","",MASTER_REGISTER!M10)</f>
        <v/>
      </c>
      <c r="J13" s="31">
        <f>IF($A13="","",MASTER_REGISTER!N10)</f>
        <v/>
      </c>
    </row>
    <row r="14">
      <c r="A14" s="31">
        <f>IF(MASTER_REGISTER!E11="","",MASTER_REGISTER!E11)</f>
        <v/>
      </c>
      <c r="B14" s="31">
        <f>IF($A14="","",MASTER_REGISTER!F11)</f>
        <v/>
      </c>
      <c r="C14" s="31">
        <f>IF($A14="","",MASTER_REGISTER!C11)</f>
        <v/>
      </c>
      <c r="D14" s="31">
        <f>IF($A14="","",MASTER_REGISTER!H11)</f>
        <v/>
      </c>
      <c r="E14" s="31">
        <f>IF($A14="","",MASTER_REGISTER!G11)</f>
        <v/>
      </c>
      <c r="F14" s="31">
        <f>IF($A14="","",MASTER_REGISTER!I11)</f>
        <v/>
      </c>
      <c r="G14" s="32">
        <f>IF($A14="","",MASTER_REGISTER!J11)</f>
        <v/>
      </c>
      <c r="H14" s="32">
        <f>IF($A14="","",MASTER_REGISTER!L11)</f>
        <v/>
      </c>
      <c r="I14" s="32">
        <f>IF($A14="","",MASTER_REGISTER!M11)</f>
        <v/>
      </c>
      <c r="J14" s="31">
        <f>IF($A14="","",MASTER_REGISTER!N11)</f>
        <v/>
      </c>
    </row>
    <row r="15">
      <c r="A15" s="31">
        <f>IF(MASTER_REGISTER!E12="","",MASTER_REGISTER!E12)</f>
        <v/>
      </c>
      <c r="B15" s="31">
        <f>IF($A15="","",MASTER_REGISTER!F12)</f>
        <v/>
      </c>
      <c r="C15" s="31">
        <f>IF($A15="","",MASTER_REGISTER!C12)</f>
        <v/>
      </c>
      <c r="D15" s="31">
        <f>IF($A15="","",MASTER_REGISTER!H12)</f>
        <v/>
      </c>
      <c r="E15" s="31">
        <f>IF($A15="","",MASTER_REGISTER!G12)</f>
        <v/>
      </c>
      <c r="F15" s="31">
        <f>IF($A15="","",MASTER_REGISTER!I12)</f>
        <v/>
      </c>
      <c r="G15" s="32">
        <f>IF($A15="","",MASTER_REGISTER!J12)</f>
        <v/>
      </c>
      <c r="H15" s="32">
        <f>IF($A15="","",MASTER_REGISTER!L12)</f>
        <v/>
      </c>
      <c r="I15" s="32">
        <f>IF($A15="","",MASTER_REGISTER!M12)</f>
        <v/>
      </c>
      <c r="J15" s="31">
        <f>IF($A15="","",MASTER_REGISTER!N12)</f>
        <v/>
      </c>
    </row>
    <row r="16">
      <c r="A16" s="31">
        <f>IF(MASTER_REGISTER!E13="","",MASTER_REGISTER!E13)</f>
        <v/>
      </c>
      <c r="B16" s="31">
        <f>IF($A16="","",MASTER_REGISTER!F13)</f>
        <v/>
      </c>
      <c r="C16" s="31">
        <f>IF($A16="","",MASTER_REGISTER!C13)</f>
        <v/>
      </c>
      <c r="D16" s="31">
        <f>IF($A16="","",MASTER_REGISTER!H13)</f>
        <v/>
      </c>
      <c r="E16" s="31">
        <f>IF($A16="","",MASTER_REGISTER!G13)</f>
        <v/>
      </c>
      <c r="F16" s="31">
        <f>IF($A16="","",MASTER_REGISTER!I13)</f>
        <v/>
      </c>
      <c r="G16" s="32">
        <f>IF($A16="","",MASTER_REGISTER!J13)</f>
        <v/>
      </c>
      <c r="H16" s="32">
        <f>IF($A16="","",MASTER_REGISTER!L13)</f>
        <v/>
      </c>
      <c r="I16" s="32">
        <f>IF($A16="","",MASTER_REGISTER!M13)</f>
        <v/>
      </c>
      <c r="J16" s="31">
        <f>IF($A16="","",MASTER_REGISTER!N13)</f>
        <v/>
      </c>
    </row>
    <row r="17">
      <c r="A17" s="31">
        <f>IF(MASTER_REGISTER!E14="","",MASTER_REGISTER!E14)</f>
        <v/>
      </c>
      <c r="B17" s="31">
        <f>IF($A17="","",MASTER_REGISTER!F14)</f>
        <v/>
      </c>
      <c r="C17" s="31">
        <f>IF($A17="","",MASTER_REGISTER!C14)</f>
        <v/>
      </c>
      <c r="D17" s="31">
        <f>IF($A17="","",MASTER_REGISTER!H14)</f>
        <v/>
      </c>
      <c r="E17" s="31">
        <f>IF($A17="","",MASTER_REGISTER!G14)</f>
        <v/>
      </c>
      <c r="F17" s="31">
        <f>IF($A17="","",MASTER_REGISTER!I14)</f>
        <v/>
      </c>
      <c r="G17" s="32">
        <f>IF($A17="","",MASTER_REGISTER!J14)</f>
        <v/>
      </c>
      <c r="H17" s="32">
        <f>IF($A17="","",MASTER_REGISTER!L14)</f>
        <v/>
      </c>
      <c r="I17" s="32">
        <f>IF($A17="","",MASTER_REGISTER!M14)</f>
        <v/>
      </c>
      <c r="J17" s="31">
        <f>IF($A17="","",MASTER_REGISTER!N14)</f>
        <v/>
      </c>
    </row>
    <row r="18">
      <c r="A18" s="31">
        <f>IF(MASTER_REGISTER!E15="","",MASTER_REGISTER!E15)</f>
        <v/>
      </c>
      <c r="B18" s="31">
        <f>IF($A18="","",MASTER_REGISTER!F15)</f>
        <v/>
      </c>
      <c r="C18" s="31">
        <f>IF($A18="","",MASTER_REGISTER!C15)</f>
        <v/>
      </c>
      <c r="D18" s="31">
        <f>IF($A18="","",MASTER_REGISTER!H15)</f>
        <v/>
      </c>
      <c r="E18" s="31">
        <f>IF($A18="","",MASTER_REGISTER!G15)</f>
        <v/>
      </c>
      <c r="F18" s="31">
        <f>IF($A18="","",MASTER_REGISTER!I15)</f>
        <v/>
      </c>
      <c r="G18" s="32">
        <f>IF($A18="","",MASTER_REGISTER!J15)</f>
        <v/>
      </c>
      <c r="H18" s="32">
        <f>IF($A18="","",MASTER_REGISTER!L15)</f>
        <v/>
      </c>
      <c r="I18" s="32">
        <f>IF($A18="","",MASTER_REGISTER!M15)</f>
        <v/>
      </c>
      <c r="J18" s="31">
        <f>IF($A18="","",MASTER_REGISTER!N15)</f>
        <v/>
      </c>
    </row>
    <row r="19">
      <c r="A19" s="31">
        <f>IF(MASTER_REGISTER!E16="","",MASTER_REGISTER!E16)</f>
        <v/>
      </c>
      <c r="B19" s="31">
        <f>IF($A19="","",MASTER_REGISTER!F16)</f>
        <v/>
      </c>
      <c r="C19" s="31">
        <f>IF($A19="","",MASTER_REGISTER!C16)</f>
        <v/>
      </c>
      <c r="D19" s="31">
        <f>IF($A19="","",MASTER_REGISTER!H16)</f>
        <v/>
      </c>
      <c r="E19" s="31">
        <f>IF($A19="","",MASTER_REGISTER!G16)</f>
        <v/>
      </c>
      <c r="F19" s="31">
        <f>IF($A19="","",MASTER_REGISTER!I16)</f>
        <v/>
      </c>
      <c r="G19" s="32">
        <f>IF($A19="","",MASTER_REGISTER!J16)</f>
        <v/>
      </c>
      <c r="H19" s="32">
        <f>IF($A19="","",MASTER_REGISTER!L16)</f>
        <v/>
      </c>
      <c r="I19" s="32">
        <f>IF($A19="","",MASTER_REGISTER!M16)</f>
        <v/>
      </c>
      <c r="J19" s="31">
        <f>IF($A19="","",MASTER_REGISTER!N16)</f>
        <v/>
      </c>
    </row>
    <row r="20">
      <c r="A20" s="31">
        <f>IF(MASTER_REGISTER!E17="","",MASTER_REGISTER!E17)</f>
        <v/>
      </c>
      <c r="B20" s="31">
        <f>IF($A20="","",MASTER_REGISTER!F17)</f>
        <v/>
      </c>
      <c r="C20" s="31">
        <f>IF($A20="","",MASTER_REGISTER!C17)</f>
        <v/>
      </c>
      <c r="D20" s="31">
        <f>IF($A20="","",MASTER_REGISTER!H17)</f>
        <v/>
      </c>
      <c r="E20" s="31">
        <f>IF($A20="","",MASTER_REGISTER!G17)</f>
        <v/>
      </c>
      <c r="F20" s="31">
        <f>IF($A20="","",MASTER_REGISTER!I17)</f>
        <v/>
      </c>
      <c r="G20" s="32">
        <f>IF($A20="","",MASTER_REGISTER!J17)</f>
        <v/>
      </c>
      <c r="H20" s="32">
        <f>IF($A20="","",MASTER_REGISTER!L17)</f>
        <v/>
      </c>
      <c r="I20" s="32">
        <f>IF($A20="","",MASTER_REGISTER!M17)</f>
        <v/>
      </c>
      <c r="J20" s="31">
        <f>IF($A20="","",MASTER_REGISTER!N17)</f>
        <v/>
      </c>
    </row>
    <row r="21">
      <c r="A21" s="31">
        <f>IF(MASTER_REGISTER!E18="","",MASTER_REGISTER!E18)</f>
        <v/>
      </c>
      <c r="B21" s="31">
        <f>IF($A21="","",MASTER_REGISTER!F18)</f>
        <v/>
      </c>
      <c r="C21" s="31">
        <f>IF($A21="","",MASTER_REGISTER!C18)</f>
        <v/>
      </c>
      <c r="D21" s="31">
        <f>IF($A21="","",MASTER_REGISTER!H18)</f>
        <v/>
      </c>
      <c r="E21" s="31">
        <f>IF($A21="","",MASTER_REGISTER!G18)</f>
        <v/>
      </c>
      <c r="F21" s="31">
        <f>IF($A21="","",MASTER_REGISTER!I18)</f>
        <v/>
      </c>
      <c r="G21" s="32">
        <f>IF($A21="","",MASTER_REGISTER!J18)</f>
        <v/>
      </c>
      <c r="H21" s="32">
        <f>IF($A21="","",MASTER_REGISTER!L18)</f>
        <v/>
      </c>
      <c r="I21" s="32">
        <f>IF($A21="","",MASTER_REGISTER!M18)</f>
        <v/>
      </c>
      <c r="J21" s="31">
        <f>IF($A21="","",MASTER_REGISTER!N18)</f>
        <v/>
      </c>
    </row>
    <row r="22">
      <c r="A22" s="31">
        <f>IF(MASTER_REGISTER!E19="","",MASTER_REGISTER!E19)</f>
        <v/>
      </c>
      <c r="B22" s="31">
        <f>IF($A22="","",MASTER_REGISTER!F19)</f>
        <v/>
      </c>
      <c r="C22" s="31">
        <f>IF($A22="","",MASTER_REGISTER!C19)</f>
        <v/>
      </c>
      <c r="D22" s="31">
        <f>IF($A22="","",MASTER_REGISTER!H19)</f>
        <v/>
      </c>
      <c r="E22" s="31">
        <f>IF($A22="","",MASTER_REGISTER!G19)</f>
        <v/>
      </c>
      <c r="F22" s="31">
        <f>IF($A22="","",MASTER_REGISTER!I19)</f>
        <v/>
      </c>
      <c r="G22" s="32">
        <f>IF($A22="","",MASTER_REGISTER!J19)</f>
        <v/>
      </c>
      <c r="H22" s="32">
        <f>IF($A22="","",MASTER_REGISTER!L19)</f>
        <v/>
      </c>
      <c r="I22" s="32">
        <f>IF($A22="","",MASTER_REGISTER!M19)</f>
        <v/>
      </c>
      <c r="J22" s="31">
        <f>IF($A22="","",MASTER_REGISTER!N19)</f>
        <v/>
      </c>
    </row>
    <row r="23">
      <c r="A23" s="31">
        <f>IF(MASTER_REGISTER!E20="","",MASTER_REGISTER!E20)</f>
        <v/>
      </c>
      <c r="B23" s="31">
        <f>IF($A23="","",MASTER_REGISTER!F20)</f>
        <v/>
      </c>
      <c r="C23" s="31">
        <f>IF($A23="","",MASTER_REGISTER!C20)</f>
        <v/>
      </c>
      <c r="D23" s="31">
        <f>IF($A23="","",MASTER_REGISTER!H20)</f>
        <v/>
      </c>
      <c r="E23" s="31">
        <f>IF($A23="","",MASTER_REGISTER!G20)</f>
        <v/>
      </c>
      <c r="F23" s="31">
        <f>IF($A23="","",MASTER_REGISTER!I20)</f>
        <v/>
      </c>
      <c r="G23" s="32">
        <f>IF($A23="","",MASTER_REGISTER!J20)</f>
        <v/>
      </c>
      <c r="H23" s="32">
        <f>IF($A23="","",MASTER_REGISTER!L20)</f>
        <v/>
      </c>
      <c r="I23" s="32">
        <f>IF($A23="","",MASTER_REGISTER!M20)</f>
        <v/>
      </c>
      <c r="J23" s="31">
        <f>IF($A23="","",MASTER_REGISTER!N20)</f>
        <v/>
      </c>
    </row>
    <row r="24">
      <c r="A24" s="31">
        <f>IF(MASTER_REGISTER!E21="","",MASTER_REGISTER!E21)</f>
        <v/>
      </c>
      <c r="B24" s="31">
        <f>IF($A24="","",MASTER_REGISTER!F21)</f>
        <v/>
      </c>
      <c r="C24" s="31">
        <f>IF($A24="","",MASTER_REGISTER!C21)</f>
        <v/>
      </c>
      <c r="D24" s="31">
        <f>IF($A24="","",MASTER_REGISTER!H21)</f>
        <v/>
      </c>
      <c r="E24" s="31">
        <f>IF($A24="","",MASTER_REGISTER!G21)</f>
        <v/>
      </c>
      <c r="F24" s="31">
        <f>IF($A24="","",MASTER_REGISTER!I21)</f>
        <v/>
      </c>
      <c r="G24" s="32">
        <f>IF($A24="","",MASTER_REGISTER!J21)</f>
        <v/>
      </c>
      <c r="H24" s="32">
        <f>IF($A24="","",MASTER_REGISTER!L21)</f>
        <v/>
      </c>
      <c r="I24" s="32">
        <f>IF($A24="","",MASTER_REGISTER!M21)</f>
        <v/>
      </c>
      <c r="J24" s="31">
        <f>IF($A24="","",MASTER_REGISTER!N21)</f>
        <v/>
      </c>
    </row>
    <row r="25">
      <c r="A25" s="31">
        <f>IF(MASTER_REGISTER!E22="","",MASTER_REGISTER!E22)</f>
        <v/>
      </c>
      <c r="B25" s="31">
        <f>IF($A25="","",MASTER_REGISTER!F22)</f>
        <v/>
      </c>
      <c r="C25" s="31">
        <f>IF($A25="","",MASTER_REGISTER!C22)</f>
        <v/>
      </c>
      <c r="D25" s="31">
        <f>IF($A25="","",MASTER_REGISTER!H22)</f>
        <v/>
      </c>
      <c r="E25" s="31">
        <f>IF($A25="","",MASTER_REGISTER!G22)</f>
        <v/>
      </c>
      <c r="F25" s="31">
        <f>IF($A25="","",MASTER_REGISTER!I22)</f>
        <v/>
      </c>
      <c r="G25" s="32">
        <f>IF($A25="","",MASTER_REGISTER!J22)</f>
        <v/>
      </c>
      <c r="H25" s="32">
        <f>IF($A25="","",MASTER_REGISTER!L22)</f>
        <v/>
      </c>
      <c r="I25" s="32">
        <f>IF($A25="","",MASTER_REGISTER!M22)</f>
        <v/>
      </c>
      <c r="J25" s="31">
        <f>IF($A25="","",MASTER_REGISTER!N22)</f>
        <v/>
      </c>
    </row>
    <row r="26">
      <c r="A26" s="31">
        <f>IF(MASTER_REGISTER!E23="","",MASTER_REGISTER!E23)</f>
        <v/>
      </c>
      <c r="B26" s="31">
        <f>IF($A26="","",MASTER_REGISTER!F23)</f>
        <v/>
      </c>
      <c r="C26" s="31">
        <f>IF($A26="","",MASTER_REGISTER!C23)</f>
        <v/>
      </c>
      <c r="D26" s="31">
        <f>IF($A26="","",MASTER_REGISTER!H23)</f>
        <v/>
      </c>
      <c r="E26" s="31">
        <f>IF($A26="","",MASTER_REGISTER!G23)</f>
        <v/>
      </c>
      <c r="F26" s="31">
        <f>IF($A26="","",MASTER_REGISTER!I23)</f>
        <v/>
      </c>
      <c r="G26" s="32">
        <f>IF($A26="","",MASTER_REGISTER!J23)</f>
        <v/>
      </c>
      <c r="H26" s="32">
        <f>IF($A26="","",MASTER_REGISTER!L23)</f>
        <v/>
      </c>
      <c r="I26" s="32">
        <f>IF($A26="","",MASTER_REGISTER!M23)</f>
        <v/>
      </c>
      <c r="J26" s="31">
        <f>IF($A26="","",MASTER_REGISTER!N23)</f>
        <v/>
      </c>
    </row>
    <row r="27">
      <c r="A27" s="31">
        <f>IF(MASTER_REGISTER!E24="","",MASTER_REGISTER!E24)</f>
        <v/>
      </c>
      <c r="B27" s="31">
        <f>IF($A27="","",MASTER_REGISTER!F24)</f>
        <v/>
      </c>
      <c r="C27" s="31">
        <f>IF($A27="","",MASTER_REGISTER!C24)</f>
        <v/>
      </c>
      <c r="D27" s="31">
        <f>IF($A27="","",MASTER_REGISTER!H24)</f>
        <v/>
      </c>
      <c r="E27" s="31">
        <f>IF($A27="","",MASTER_REGISTER!G24)</f>
        <v/>
      </c>
      <c r="F27" s="31">
        <f>IF($A27="","",MASTER_REGISTER!I24)</f>
        <v/>
      </c>
      <c r="G27" s="32">
        <f>IF($A27="","",MASTER_REGISTER!J24)</f>
        <v/>
      </c>
      <c r="H27" s="32">
        <f>IF($A27="","",MASTER_REGISTER!L24)</f>
        <v/>
      </c>
      <c r="I27" s="32">
        <f>IF($A27="","",MASTER_REGISTER!M24)</f>
        <v/>
      </c>
      <c r="J27" s="31">
        <f>IF($A27="","",MASTER_REGISTER!N24)</f>
        <v/>
      </c>
    </row>
    <row r="28">
      <c r="A28" s="31">
        <f>IF(MASTER_REGISTER!E25="","",MASTER_REGISTER!E25)</f>
        <v/>
      </c>
      <c r="B28" s="31">
        <f>IF($A28="","",MASTER_REGISTER!F25)</f>
        <v/>
      </c>
      <c r="C28" s="31">
        <f>IF($A28="","",MASTER_REGISTER!C25)</f>
        <v/>
      </c>
      <c r="D28" s="31">
        <f>IF($A28="","",MASTER_REGISTER!H25)</f>
        <v/>
      </c>
      <c r="E28" s="31">
        <f>IF($A28="","",MASTER_REGISTER!G25)</f>
        <v/>
      </c>
      <c r="F28" s="31">
        <f>IF($A28="","",MASTER_REGISTER!I25)</f>
        <v/>
      </c>
      <c r="G28" s="32">
        <f>IF($A28="","",MASTER_REGISTER!J25)</f>
        <v/>
      </c>
      <c r="H28" s="32">
        <f>IF($A28="","",MASTER_REGISTER!L25)</f>
        <v/>
      </c>
      <c r="I28" s="32">
        <f>IF($A28="","",MASTER_REGISTER!M25)</f>
        <v/>
      </c>
      <c r="J28" s="31">
        <f>IF($A28="","",MASTER_REGISTER!N25)</f>
        <v/>
      </c>
    </row>
    <row r="29">
      <c r="A29" s="31">
        <f>IF(MASTER_REGISTER!E26="","",MASTER_REGISTER!E26)</f>
        <v/>
      </c>
      <c r="B29" s="31">
        <f>IF($A29="","",MASTER_REGISTER!F26)</f>
        <v/>
      </c>
      <c r="C29" s="31">
        <f>IF($A29="","",MASTER_REGISTER!C26)</f>
        <v/>
      </c>
      <c r="D29" s="31">
        <f>IF($A29="","",MASTER_REGISTER!H26)</f>
        <v/>
      </c>
      <c r="E29" s="31">
        <f>IF($A29="","",MASTER_REGISTER!G26)</f>
        <v/>
      </c>
      <c r="F29" s="31">
        <f>IF($A29="","",MASTER_REGISTER!I26)</f>
        <v/>
      </c>
      <c r="G29" s="32">
        <f>IF($A29="","",MASTER_REGISTER!J26)</f>
        <v/>
      </c>
      <c r="H29" s="32">
        <f>IF($A29="","",MASTER_REGISTER!L26)</f>
        <v/>
      </c>
      <c r="I29" s="32">
        <f>IF($A29="","",MASTER_REGISTER!M26)</f>
        <v/>
      </c>
      <c r="J29" s="31">
        <f>IF($A29="","",MASTER_REGISTER!N26)</f>
        <v/>
      </c>
    </row>
    <row r="30">
      <c r="A30" s="31">
        <f>IF(MASTER_REGISTER!E27="","",MASTER_REGISTER!E27)</f>
        <v/>
      </c>
      <c r="B30" s="31">
        <f>IF($A30="","",MASTER_REGISTER!F27)</f>
        <v/>
      </c>
      <c r="C30" s="31">
        <f>IF($A30="","",MASTER_REGISTER!C27)</f>
        <v/>
      </c>
      <c r="D30" s="31">
        <f>IF($A30="","",MASTER_REGISTER!H27)</f>
        <v/>
      </c>
      <c r="E30" s="31">
        <f>IF($A30="","",MASTER_REGISTER!G27)</f>
        <v/>
      </c>
      <c r="F30" s="31">
        <f>IF($A30="","",MASTER_REGISTER!I27)</f>
        <v/>
      </c>
      <c r="G30" s="32">
        <f>IF($A30="","",MASTER_REGISTER!J27)</f>
        <v/>
      </c>
      <c r="H30" s="32">
        <f>IF($A30="","",MASTER_REGISTER!L27)</f>
        <v/>
      </c>
      <c r="I30" s="32">
        <f>IF($A30="","",MASTER_REGISTER!M27)</f>
        <v/>
      </c>
      <c r="J30" s="31">
        <f>IF($A30="","",MASTER_REGISTER!N27)</f>
        <v/>
      </c>
    </row>
    <row r="31">
      <c r="A31" s="31">
        <f>IF(MASTER_REGISTER!E28="","",MASTER_REGISTER!E28)</f>
        <v/>
      </c>
      <c r="B31" s="31">
        <f>IF($A31="","",MASTER_REGISTER!F28)</f>
        <v/>
      </c>
      <c r="C31" s="31">
        <f>IF($A31="","",MASTER_REGISTER!C28)</f>
        <v/>
      </c>
      <c r="D31" s="31">
        <f>IF($A31="","",MASTER_REGISTER!H28)</f>
        <v/>
      </c>
      <c r="E31" s="31">
        <f>IF($A31="","",MASTER_REGISTER!G28)</f>
        <v/>
      </c>
      <c r="F31" s="31">
        <f>IF($A31="","",MASTER_REGISTER!I28)</f>
        <v/>
      </c>
      <c r="G31" s="32">
        <f>IF($A31="","",MASTER_REGISTER!J28)</f>
        <v/>
      </c>
      <c r="H31" s="32">
        <f>IF($A31="","",MASTER_REGISTER!L28)</f>
        <v/>
      </c>
      <c r="I31" s="32">
        <f>IF($A31="","",MASTER_REGISTER!M28)</f>
        <v/>
      </c>
      <c r="J31" s="31">
        <f>IF($A31="","",MASTER_REGISTER!N28)</f>
        <v/>
      </c>
    </row>
    <row r="32">
      <c r="A32" s="31">
        <f>IF(MASTER_REGISTER!E29="","",MASTER_REGISTER!E29)</f>
        <v/>
      </c>
      <c r="B32" s="31">
        <f>IF($A32="","",MASTER_REGISTER!F29)</f>
        <v/>
      </c>
      <c r="C32" s="31">
        <f>IF($A32="","",MASTER_REGISTER!C29)</f>
        <v/>
      </c>
      <c r="D32" s="31">
        <f>IF($A32="","",MASTER_REGISTER!H29)</f>
        <v/>
      </c>
      <c r="E32" s="31">
        <f>IF($A32="","",MASTER_REGISTER!G29)</f>
        <v/>
      </c>
      <c r="F32" s="31">
        <f>IF($A32="","",MASTER_REGISTER!I29)</f>
        <v/>
      </c>
      <c r="G32" s="32">
        <f>IF($A32="","",MASTER_REGISTER!J29)</f>
        <v/>
      </c>
      <c r="H32" s="32">
        <f>IF($A32="","",MASTER_REGISTER!L29)</f>
        <v/>
      </c>
      <c r="I32" s="32">
        <f>IF($A32="","",MASTER_REGISTER!M29)</f>
        <v/>
      </c>
      <c r="J32" s="31">
        <f>IF($A32="","",MASTER_REGISTER!N29)</f>
        <v/>
      </c>
    </row>
    <row r="33">
      <c r="A33" s="31">
        <f>IF(MASTER_REGISTER!E30="","",MASTER_REGISTER!E30)</f>
        <v/>
      </c>
      <c r="B33" s="31">
        <f>IF($A33="","",MASTER_REGISTER!F30)</f>
        <v/>
      </c>
      <c r="C33" s="31">
        <f>IF($A33="","",MASTER_REGISTER!C30)</f>
        <v/>
      </c>
      <c r="D33" s="31">
        <f>IF($A33="","",MASTER_REGISTER!H30)</f>
        <v/>
      </c>
      <c r="E33" s="31">
        <f>IF($A33="","",MASTER_REGISTER!G30)</f>
        <v/>
      </c>
      <c r="F33" s="31">
        <f>IF($A33="","",MASTER_REGISTER!I30)</f>
        <v/>
      </c>
      <c r="G33" s="32">
        <f>IF($A33="","",MASTER_REGISTER!J30)</f>
        <v/>
      </c>
      <c r="H33" s="32">
        <f>IF($A33="","",MASTER_REGISTER!L30)</f>
        <v/>
      </c>
      <c r="I33" s="32">
        <f>IF($A33="","",MASTER_REGISTER!M30)</f>
        <v/>
      </c>
      <c r="J33" s="31">
        <f>IF($A33="","",MASTER_REGISTER!N30)</f>
        <v/>
      </c>
    </row>
    <row r="34">
      <c r="A34" s="31">
        <f>IF(MASTER_REGISTER!E31="","",MASTER_REGISTER!E31)</f>
        <v/>
      </c>
      <c r="B34" s="31">
        <f>IF($A34="","",MASTER_REGISTER!F31)</f>
        <v/>
      </c>
      <c r="C34" s="31">
        <f>IF($A34="","",MASTER_REGISTER!C31)</f>
        <v/>
      </c>
      <c r="D34" s="31">
        <f>IF($A34="","",MASTER_REGISTER!H31)</f>
        <v/>
      </c>
      <c r="E34" s="31">
        <f>IF($A34="","",MASTER_REGISTER!G31)</f>
        <v/>
      </c>
      <c r="F34" s="31">
        <f>IF($A34="","",MASTER_REGISTER!I31)</f>
        <v/>
      </c>
      <c r="G34" s="32">
        <f>IF($A34="","",MASTER_REGISTER!J31)</f>
        <v/>
      </c>
      <c r="H34" s="32">
        <f>IF($A34="","",MASTER_REGISTER!L31)</f>
        <v/>
      </c>
      <c r="I34" s="32">
        <f>IF($A34="","",MASTER_REGISTER!M31)</f>
        <v/>
      </c>
      <c r="J34" s="31">
        <f>IF($A34="","",MASTER_REGISTER!N31)</f>
        <v/>
      </c>
    </row>
    <row r="35">
      <c r="A35" s="31">
        <f>IF(MASTER_REGISTER!E32="","",MASTER_REGISTER!E32)</f>
        <v/>
      </c>
      <c r="B35" s="31">
        <f>IF($A35="","",MASTER_REGISTER!F32)</f>
        <v/>
      </c>
      <c r="C35" s="31">
        <f>IF($A35="","",MASTER_REGISTER!C32)</f>
        <v/>
      </c>
      <c r="D35" s="31">
        <f>IF($A35="","",MASTER_REGISTER!H32)</f>
        <v/>
      </c>
      <c r="E35" s="31">
        <f>IF($A35="","",MASTER_REGISTER!G32)</f>
        <v/>
      </c>
      <c r="F35" s="31">
        <f>IF($A35="","",MASTER_REGISTER!I32)</f>
        <v/>
      </c>
      <c r="G35" s="32">
        <f>IF($A35="","",MASTER_REGISTER!J32)</f>
        <v/>
      </c>
      <c r="H35" s="32">
        <f>IF($A35="","",MASTER_REGISTER!L32)</f>
        <v/>
      </c>
      <c r="I35" s="32">
        <f>IF($A35="","",MASTER_REGISTER!M32)</f>
        <v/>
      </c>
      <c r="J35" s="31">
        <f>IF($A35="","",MASTER_REGISTER!N32)</f>
        <v/>
      </c>
    </row>
    <row r="36">
      <c r="A36" s="31">
        <f>IF(MASTER_REGISTER!E33="","",MASTER_REGISTER!E33)</f>
        <v/>
      </c>
      <c r="B36" s="31">
        <f>IF($A36="","",MASTER_REGISTER!F33)</f>
        <v/>
      </c>
      <c r="C36" s="31">
        <f>IF($A36="","",MASTER_REGISTER!C33)</f>
        <v/>
      </c>
      <c r="D36" s="31">
        <f>IF($A36="","",MASTER_REGISTER!H33)</f>
        <v/>
      </c>
      <c r="E36" s="31">
        <f>IF($A36="","",MASTER_REGISTER!G33)</f>
        <v/>
      </c>
      <c r="F36" s="31">
        <f>IF($A36="","",MASTER_REGISTER!I33)</f>
        <v/>
      </c>
      <c r="G36" s="32">
        <f>IF($A36="","",MASTER_REGISTER!J33)</f>
        <v/>
      </c>
      <c r="H36" s="32">
        <f>IF($A36="","",MASTER_REGISTER!L33)</f>
        <v/>
      </c>
      <c r="I36" s="32">
        <f>IF($A36="","",MASTER_REGISTER!M33)</f>
        <v/>
      </c>
      <c r="J36" s="31">
        <f>IF($A36="","",MASTER_REGISTER!N33)</f>
        <v/>
      </c>
    </row>
    <row r="37">
      <c r="A37" s="31">
        <f>IF(MASTER_REGISTER!E34="","",MASTER_REGISTER!E34)</f>
        <v/>
      </c>
      <c r="B37" s="31">
        <f>IF($A37="","",MASTER_REGISTER!F34)</f>
        <v/>
      </c>
      <c r="C37" s="31">
        <f>IF($A37="","",MASTER_REGISTER!C34)</f>
        <v/>
      </c>
      <c r="D37" s="31">
        <f>IF($A37="","",MASTER_REGISTER!H34)</f>
        <v/>
      </c>
      <c r="E37" s="31">
        <f>IF($A37="","",MASTER_REGISTER!G34)</f>
        <v/>
      </c>
      <c r="F37" s="31">
        <f>IF($A37="","",MASTER_REGISTER!I34)</f>
        <v/>
      </c>
      <c r="G37" s="32">
        <f>IF($A37="","",MASTER_REGISTER!J34)</f>
        <v/>
      </c>
      <c r="H37" s="32">
        <f>IF($A37="","",MASTER_REGISTER!L34)</f>
        <v/>
      </c>
      <c r="I37" s="32">
        <f>IF($A37="","",MASTER_REGISTER!M34)</f>
        <v/>
      </c>
      <c r="J37" s="31">
        <f>IF($A37="","",MASTER_REGISTER!N34)</f>
        <v/>
      </c>
    </row>
    <row r="38">
      <c r="A38" s="31">
        <f>IF(MASTER_REGISTER!E35="","",MASTER_REGISTER!E35)</f>
        <v/>
      </c>
      <c r="B38" s="31">
        <f>IF($A38="","",MASTER_REGISTER!F35)</f>
        <v/>
      </c>
      <c r="C38" s="31">
        <f>IF($A38="","",MASTER_REGISTER!C35)</f>
        <v/>
      </c>
      <c r="D38" s="31">
        <f>IF($A38="","",MASTER_REGISTER!H35)</f>
        <v/>
      </c>
      <c r="E38" s="31">
        <f>IF($A38="","",MASTER_REGISTER!G35)</f>
        <v/>
      </c>
      <c r="F38" s="31">
        <f>IF($A38="","",MASTER_REGISTER!I35)</f>
        <v/>
      </c>
      <c r="G38" s="32">
        <f>IF($A38="","",MASTER_REGISTER!J35)</f>
        <v/>
      </c>
      <c r="H38" s="32">
        <f>IF($A38="","",MASTER_REGISTER!L35)</f>
        <v/>
      </c>
      <c r="I38" s="32">
        <f>IF($A38="","",MASTER_REGISTER!M35)</f>
        <v/>
      </c>
      <c r="J38" s="31">
        <f>IF($A38="","",MASTER_REGISTER!N35)</f>
        <v/>
      </c>
    </row>
    <row r="39">
      <c r="A39" s="31">
        <f>IF(MASTER_REGISTER!E36="","",MASTER_REGISTER!E36)</f>
        <v/>
      </c>
      <c r="B39" s="31">
        <f>IF($A39="","",MASTER_REGISTER!F36)</f>
        <v/>
      </c>
      <c r="C39" s="31">
        <f>IF($A39="","",MASTER_REGISTER!C36)</f>
        <v/>
      </c>
      <c r="D39" s="31">
        <f>IF($A39="","",MASTER_REGISTER!H36)</f>
        <v/>
      </c>
      <c r="E39" s="31">
        <f>IF($A39="","",MASTER_REGISTER!G36)</f>
        <v/>
      </c>
      <c r="F39" s="31">
        <f>IF($A39="","",MASTER_REGISTER!I36)</f>
        <v/>
      </c>
      <c r="G39" s="32">
        <f>IF($A39="","",MASTER_REGISTER!J36)</f>
        <v/>
      </c>
      <c r="H39" s="32">
        <f>IF($A39="","",MASTER_REGISTER!L36)</f>
        <v/>
      </c>
      <c r="I39" s="32">
        <f>IF($A39="","",MASTER_REGISTER!M36)</f>
        <v/>
      </c>
      <c r="J39" s="31">
        <f>IF($A39="","",MASTER_REGISTER!N36)</f>
        <v/>
      </c>
    </row>
    <row r="40">
      <c r="A40" s="31">
        <f>IF(MASTER_REGISTER!E37="","",MASTER_REGISTER!E37)</f>
        <v/>
      </c>
      <c r="B40" s="31">
        <f>IF($A40="","",MASTER_REGISTER!F37)</f>
        <v/>
      </c>
      <c r="C40" s="31">
        <f>IF($A40="","",MASTER_REGISTER!C37)</f>
        <v/>
      </c>
      <c r="D40" s="31">
        <f>IF($A40="","",MASTER_REGISTER!H37)</f>
        <v/>
      </c>
      <c r="E40" s="31">
        <f>IF($A40="","",MASTER_REGISTER!G37)</f>
        <v/>
      </c>
      <c r="F40" s="31">
        <f>IF($A40="","",MASTER_REGISTER!I37)</f>
        <v/>
      </c>
      <c r="G40" s="32">
        <f>IF($A40="","",MASTER_REGISTER!J37)</f>
        <v/>
      </c>
      <c r="H40" s="32">
        <f>IF($A40="","",MASTER_REGISTER!L37)</f>
        <v/>
      </c>
      <c r="I40" s="32">
        <f>IF($A40="","",MASTER_REGISTER!M37)</f>
        <v/>
      </c>
      <c r="J40" s="31">
        <f>IF($A40="","",MASTER_REGISTER!N37)</f>
        <v/>
      </c>
    </row>
    <row r="41">
      <c r="A41" s="31">
        <f>IF(MASTER_REGISTER!E38="","",MASTER_REGISTER!E38)</f>
        <v/>
      </c>
      <c r="B41" s="31">
        <f>IF($A41="","",MASTER_REGISTER!F38)</f>
        <v/>
      </c>
      <c r="C41" s="31">
        <f>IF($A41="","",MASTER_REGISTER!C38)</f>
        <v/>
      </c>
      <c r="D41" s="31">
        <f>IF($A41="","",MASTER_REGISTER!H38)</f>
        <v/>
      </c>
      <c r="E41" s="31">
        <f>IF($A41="","",MASTER_REGISTER!G38)</f>
        <v/>
      </c>
      <c r="F41" s="31">
        <f>IF($A41="","",MASTER_REGISTER!I38)</f>
        <v/>
      </c>
      <c r="G41" s="32">
        <f>IF($A41="","",MASTER_REGISTER!J38)</f>
        <v/>
      </c>
      <c r="H41" s="32">
        <f>IF($A41="","",MASTER_REGISTER!L38)</f>
        <v/>
      </c>
      <c r="I41" s="32">
        <f>IF($A41="","",MASTER_REGISTER!M38)</f>
        <v/>
      </c>
      <c r="J41" s="31">
        <f>IF($A41="","",MASTER_REGISTER!N38)</f>
        <v/>
      </c>
    </row>
    <row r="42">
      <c r="A42" s="31">
        <f>IF(MASTER_REGISTER!E39="","",MASTER_REGISTER!E39)</f>
        <v/>
      </c>
      <c r="B42" s="31">
        <f>IF($A42="","",MASTER_REGISTER!F39)</f>
        <v/>
      </c>
      <c r="C42" s="31">
        <f>IF($A42="","",MASTER_REGISTER!C39)</f>
        <v/>
      </c>
      <c r="D42" s="31">
        <f>IF($A42="","",MASTER_REGISTER!H39)</f>
        <v/>
      </c>
      <c r="E42" s="31">
        <f>IF($A42="","",MASTER_REGISTER!G39)</f>
        <v/>
      </c>
      <c r="F42" s="31">
        <f>IF($A42="","",MASTER_REGISTER!I39)</f>
        <v/>
      </c>
      <c r="G42" s="32">
        <f>IF($A42="","",MASTER_REGISTER!J39)</f>
        <v/>
      </c>
      <c r="H42" s="32">
        <f>IF($A42="","",MASTER_REGISTER!L39)</f>
        <v/>
      </c>
      <c r="I42" s="32">
        <f>IF($A42="","",MASTER_REGISTER!M39)</f>
        <v/>
      </c>
      <c r="J42" s="31">
        <f>IF($A42="","",MASTER_REGISTER!N39)</f>
        <v/>
      </c>
    </row>
    <row r="43">
      <c r="A43" s="31">
        <f>IF(MASTER_REGISTER!E40="","",MASTER_REGISTER!E40)</f>
        <v/>
      </c>
      <c r="B43" s="31">
        <f>IF($A43="","",MASTER_REGISTER!F40)</f>
        <v/>
      </c>
      <c r="C43" s="31">
        <f>IF($A43="","",MASTER_REGISTER!C40)</f>
        <v/>
      </c>
      <c r="D43" s="31">
        <f>IF($A43="","",MASTER_REGISTER!H40)</f>
        <v/>
      </c>
      <c r="E43" s="31">
        <f>IF($A43="","",MASTER_REGISTER!G40)</f>
        <v/>
      </c>
      <c r="F43" s="31">
        <f>IF($A43="","",MASTER_REGISTER!I40)</f>
        <v/>
      </c>
      <c r="G43" s="32">
        <f>IF($A43="","",MASTER_REGISTER!J40)</f>
        <v/>
      </c>
      <c r="H43" s="32">
        <f>IF($A43="","",MASTER_REGISTER!L40)</f>
        <v/>
      </c>
      <c r="I43" s="32">
        <f>IF($A43="","",MASTER_REGISTER!M40)</f>
        <v/>
      </c>
      <c r="J43" s="31">
        <f>IF($A43="","",MASTER_REGISTER!N40)</f>
        <v/>
      </c>
    </row>
    <row r="44">
      <c r="A44" s="31">
        <f>IF(MASTER_REGISTER!E41="","",MASTER_REGISTER!E41)</f>
        <v/>
      </c>
      <c r="B44" s="31">
        <f>IF($A44="","",MASTER_REGISTER!F41)</f>
        <v/>
      </c>
      <c r="C44" s="31">
        <f>IF($A44="","",MASTER_REGISTER!C41)</f>
        <v/>
      </c>
      <c r="D44" s="31">
        <f>IF($A44="","",MASTER_REGISTER!H41)</f>
        <v/>
      </c>
      <c r="E44" s="31">
        <f>IF($A44="","",MASTER_REGISTER!G41)</f>
        <v/>
      </c>
      <c r="F44" s="31">
        <f>IF($A44="","",MASTER_REGISTER!I41)</f>
        <v/>
      </c>
      <c r="G44" s="32">
        <f>IF($A44="","",MASTER_REGISTER!J41)</f>
        <v/>
      </c>
      <c r="H44" s="32">
        <f>IF($A44="","",MASTER_REGISTER!L41)</f>
        <v/>
      </c>
      <c r="I44" s="32">
        <f>IF($A44="","",MASTER_REGISTER!M41)</f>
        <v/>
      </c>
      <c r="J44" s="31">
        <f>IF($A44="","",MASTER_REGISTER!N41)</f>
        <v/>
      </c>
    </row>
    <row r="45">
      <c r="A45" s="31">
        <f>IF(MASTER_REGISTER!E42="","",MASTER_REGISTER!E42)</f>
        <v/>
      </c>
      <c r="B45" s="31">
        <f>IF($A45="","",MASTER_REGISTER!F42)</f>
        <v/>
      </c>
      <c r="C45" s="31">
        <f>IF($A45="","",MASTER_REGISTER!C42)</f>
        <v/>
      </c>
      <c r="D45" s="31">
        <f>IF($A45="","",MASTER_REGISTER!H42)</f>
        <v/>
      </c>
      <c r="E45" s="31">
        <f>IF($A45="","",MASTER_REGISTER!G42)</f>
        <v/>
      </c>
      <c r="F45" s="31">
        <f>IF($A45="","",MASTER_REGISTER!I42)</f>
        <v/>
      </c>
      <c r="G45" s="32">
        <f>IF($A45="","",MASTER_REGISTER!J42)</f>
        <v/>
      </c>
      <c r="H45" s="32">
        <f>IF($A45="","",MASTER_REGISTER!L42)</f>
        <v/>
      </c>
      <c r="I45" s="32">
        <f>IF($A45="","",MASTER_REGISTER!M42)</f>
        <v/>
      </c>
      <c r="J45" s="31">
        <f>IF($A45="","",MASTER_REGISTER!N42)</f>
        <v/>
      </c>
    </row>
    <row r="46">
      <c r="A46" s="31">
        <f>IF(MASTER_REGISTER!E43="","",MASTER_REGISTER!E43)</f>
        <v/>
      </c>
      <c r="B46" s="31">
        <f>IF($A46="","",MASTER_REGISTER!F43)</f>
        <v/>
      </c>
      <c r="C46" s="31">
        <f>IF($A46="","",MASTER_REGISTER!C43)</f>
        <v/>
      </c>
      <c r="D46" s="31">
        <f>IF($A46="","",MASTER_REGISTER!H43)</f>
        <v/>
      </c>
      <c r="E46" s="31">
        <f>IF($A46="","",MASTER_REGISTER!G43)</f>
        <v/>
      </c>
      <c r="F46" s="31">
        <f>IF($A46="","",MASTER_REGISTER!I43)</f>
        <v/>
      </c>
      <c r="G46" s="32">
        <f>IF($A46="","",MASTER_REGISTER!J43)</f>
        <v/>
      </c>
      <c r="H46" s="32">
        <f>IF($A46="","",MASTER_REGISTER!L43)</f>
        <v/>
      </c>
      <c r="I46" s="32">
        <f>IF($A46="","",MASTER_REGISTER!M43)</f>
        <v/>
      </c>
      <c r="J46" s="31">
        <f>IF($A46="","",MASTER_REGISTER!N43)</f>
        <v/>
      </c>
    </row>
    <row r="47">
      <c r="A47" s="31">
        <f>IF(MASTER_REGISTER!E44="","",MASTER_REGISTER!E44)</f>
        <v/>
      </c>
      <c r="B47" s="31">
        <f>IF($A47="","",MASTER_REGISTER!F44)</f>
        <v/>
      </c>
      <c r="C47" s="31">
        <f>IF($A47="","",MASTER_REGISTER!C44)</f>
        <v/>
      </c>
      <c r="D47" s="31">
        <f>IF($A47="","",MASTER_REGISTER!H44)</f>
        <v/>
      </c>
      <c r="E47" s="31">
        <f>IF($A47="","",MASTER_REGISTER!G44)</f>
        <v/>
      </c>
      <c r="F47" s="31">
        <f>IF($A47="","",MASTER_REGISTER!I44)</f>
        <v/>
      </c>
      <c r="G47" s="32">
        <f>IF($A47="","",MASTER_REGISTER!J44)</f>
        <v/>
      </c>
      <c r="H47" s="32">
        <f>IF($A47="","",MASTER_REGISTER!L44)</f>
        <v/>
      </c>
      <c r="I47" s="32">
        <f>IF($A47="","",MASTER_REGISTER!M44)</f>
        <v/>
      </c>
      <c r="J47" s="31">
        <f>IF($A47="","",MASTER_REGISTER!N44)</f>
        <v/>
      </c>
    </row>
    <row r="48">
      <c r="A48" s="31">
        <f>IF(MASTER_REGISTER!E45="","",MASTER_REGISTER!E45)</f>
        <v/>
      </c>
      <c r="B48" s="31">
        <f>IF($A48="","",MASTER_REGISTER!F45)</f>
        <v/>
      </c>
      <c r="C48" s="31">
        <f>IF($A48="","",MASTER_REGISTER!C45)</f>
        <v/>
      </c>
      <c r="D48" s="31">
        <f>IF($A48="","",MASTER_REGISTER!H45)</f>
        <v/>
      </c>
      <c r="E48" s="31">
        <f>IF($A48="","",MASTER_REGISTER!G45)</f>
        <v/>
      </c>
      <c r="F48" s="31">
        <f>IF($A48="","",MASTER_REGISTER!I45)</f>
        <v/>
      </c>
      <c r="G48" s="32">
        <f>IF($A48="","",MASTER_REGISTER!J45)</f>
        <v/>
      </c>
      <c r="H48" s="32">
        <f>IF($A48="","",MASTER_REGISTER!L45)</f>
        <v/>
      </c>
      <c r="I48" s="32">
        <f>IF($A48="","",MASTER_REGISTER!M45)</f>
        <v/>
      </c>
      <c r="J48" s="31">
        <f>IF($A48="","",MASTER_REGISTER!N45)</f>
        <v/>
      </c>
    </row>
    <row r="49">
      <c r="A49" s="31">
        <f>IF(MASTER_REGISTER!E46="","",MASTER_REGISTER!E46)</f>
        <v/>
      </c>
      <c r="B49" s="31">
        <f>IF($A49="","",MASTER_REGISTER!F46)</f>
        <v/>
      </c>
      <c r="C49" s="31">
        <f>IF($A49="","",MASTER_REGISTER!C46)</f>
        <v/>
      </c>
      <c r="D49" s="31">
        <f>IF($A49="","",MASTER_REGISTER!H46)</f>
        <v/>
      </c>
      <c r="E49" s="31">
        <f>IF($A49="","",MASTER_REGISTER!G46)</f>
        <v/>
      </c>
      <c r="F49" s="31">
        <f>IF($A49="","",MASTER_REGISTER!I46)</f>
        <v/>
      </c>
      <c r="G49" s="32">
        <f>IF($A49="","",MASTER_REGISTER!J46)</f>
        <v/>
      </c>
      <c r="H49" s="32">
        <f>IF($A49="","",MASTER_REGISTER!L46)</f>
        <v/>
      </c>
      <c r="I49" s="32">
        <f>IF($A49="","",MASTER_REGISTER!M46)</f>
        <v/>
      </c>
      <c r="J49" s="31">
        <f>IF($A49="","",MASTER_REGISTER!N46)</f>
        <v/>
      </c>
    </row>
    <row r="50">
      <c r="A50" s="31">
        <f>IF(MASTER_REGISTER!E47="","",MASTER_REGISTER!E47)</f>
        <v/>
      </c>
      <c r="B50" s="31">
        <f>IF($A50="","",MASTER_REGISTER!F47)</f>
        <v/>
      </c>
      <c r="C50" s="31">
        <f>IF($A50="","",MASTER_REGISTER!C47)</f>
        <v/>
      </c>
      <c r="D50" s="31">
        <f>IF($A50="","",MASTER_REGISTER!H47)</f>
        <v/>
      </c>
      <c r="E50" s="31">
        <f>IF($A50="","",MASTER_REGISTER!G47)</f>
        <v/>
      </c>
      <c r="F50" s="31">
        <f>IF($A50="","",MASTER_REGISTER!I47)</f>
        <v/>
      </c>
      <c r="G50" s="32">
        <f>IF($A50="","",MASTER_REGISTER!J47)</f>
        <v/>
      </c>
      <c r="H50" s="32">
        <f>IF($A50="","",MASTER_REGISTER!L47)</f>
        <v/>
      </c>
      <c r="I50" s="32">
        <f>IF($A50="","",MASTER_REGISTER!M47)</f>
        <v/>
      </c>
      <c r="J50" s="31">
        <f>IF($A50="","",MASTER_REGISTER!N47)</f>
        <v/>
      </c>
    </row>
    <row r="51">
      <c r="A51" s="31">
        <f>IF(MASTER_REGISTER!E48="","",MASTER_REGISTER!E48)</f>
        <v/>
      </c>
      <c r="B51" s="31">
        <f>IF($A51="","",MASTER_REGISTER!F48)</f>
        <v/>
      </c>
      <c r="C51" s="31">
        <f>IF($A51="","",MASTER_REGISTER!C48)</f>
        <v/>
      </c>
      <c r="D51" s="31">
        <f>IF($A51="","",MASTER_REGISTER!H48)</f>
        <v/>
      </c>
      <c r="E51" s="31">
        <f>IF($A51="","",MASTER_REGISTER!G48)</f>
        <v/>
      </c>
      <c r="F51" s="31">
        <f>IF($A51="","",MASTER_REGISTER!I48)</f>
        <v/>
      </c>
      <c r="G51" s="32">
        <f>IF($A51="","",MASTER_REGISTER!J48)</f>
        <v/>
      </c>
      <c r="H51" s="32">
        <f>IF($A51="","",MASTER_REGISTER!L48)</f>
        <v/>
      </c>
      <c r="I51" s="32">
        <f>IF($A51="","",MASTER_REGISTER!M48)</f>
        <v/>
      </c>
      <c r="J51" s="31">
        <f>IF($A51="","",MASTER_REGISTER!N48)</f>
        <v/>
      </c>
    </row>
    <row r="52">
      <c r="A52" s="31">
        <f>IF(MASTER_REGISTER!E49="","",MASTER_REGISTER!E49)</f>
        <v/>
      </c>
      <c r="B52" s="31">
        <f>IF($A52="","",MASTER_REGISTER!F49)</f>
        <v/>
      </c>
      <c r="C52" s="31">
        <f>IF($A52="","",MASTER_REGISTER!C49)</f>
        <v/>
      </c>
      <c r="D52" s="31">
        <f>IF($A52="","",MASTER_REGISTER!H49)</f>
        <v/>
      </c>
      <c r="E52" s="31">
        <f>IF($A52="","",MASTER_REGISTER!G49)</f>
        <v/>
      </c>
      <c r="F52" s="31">
        <f>IF($A52="","",MASTER_REGISTER!I49)</f>
        <v/>
      </c>
      <c r="G52" s="32">
        <f>IF($A52="","",MASTER_REGISTER!J49)</f>
        <v/>
      </c>
      <c r="H52" s="32">
        <f>IF($A52="","",MASTER_REGISTER!L49)</f>
        <v/>
      </c>
      <c r="I52" s="32">
        <f>IF($A52="","",MASTER_REGISTER!M49)</f>
        <v/>
      </c>
      <c r="J52" s="31">
        <f>IF($A52="","",MASTER_REGISTER!N49)</f>
        <v/>
      </c>
    </row>
    <row r="53">
      <c r="A53" s="31">
        <f>IF(MASTER_REGISTER!E50="","",MASTER_REGISTER!E50)</f>
        <v/>
      </c>
      <c r="B53" s="31">
        <f>IF($A53="","",MASTER_REGISTER!F50)</f>
        <v/>
      </c>
      <c r="C53" s="31">
        <f>IF($A53="","",MASTER_REGISTER!C50)</f>
        <v/>
      </c>
      <c r="D53" s="31">
        <f>IF($A53="","",MASTER_REGISTER!H50)</f>
        <v/>
      </c>
      <c r="E53" s="31">
        <f>IF($A53="","",MASTER_REGISTER!G50)</f>
        <v/>
      </c>
      <c r="F53" s="31">
        <f>IF($A53="","",MASTER_REGISTER!I50)</f>
        <v/>
      </c>
      <c r="G53" s="32">
        <f>IF($A53="","",MASTER_REGISTER!J50)</f>
        <v/>
      </c>
      <c r="H53" s="32">
        <f>IF($A53="","",MASTER_REGISTER!L50)</f>
        <v/>
      </c>
      <c r="I53" s="32">
        <f>IF($A53="","",MASTER_REGISTER!M50)</f>
        <v/>
      </c>
      <c r="J53" s="31">
        <f>IF($A53="","",MASTER_REGISTER!N50)</f>
        <v/>
      </c>
    </row>
    <row r="54">
      <c r="A54" s="31">
        <f>IF(MASTER_REGISTER!E51="","",MASTER_REGISTER!E51)</f>
        <v/>
      </c>
      <c r="B54" s="31">
        <f>IF($A54="","",MASTER_REGISTER!F51)</f>
        <v/>
      </c>
      <c r="C54" s="31">
        <f>IF($A54="","",MASTER_REGISTER!C51)</f>
        <v/>
      </c>
      <c r="D54" s="31">
        <f>IF($A54="","",MASTER_REGISTER!H51)</f>
        <v/>
      </c>
      <c r="E54" s="31">
        <f>IF($A54="","",MASTER_REGISTER!G51)</f>
        <v/>
      </c>
      <c r="F54" s="31">
        <f>IF($A54="","",MASTER_REGISTER!I51)</f>
        <v/>
      </c>
      <c r="G54" s="32">
        <f>IF($A54="","",MASTER_REGISTER!J51)</f>
        <v/>
      </c>
      <c r="H54" s="32">
        <f>IF($A54="","",MASTER_REGISTER!L51)</f>
        <v/>
      </c>
      <c r="I54" s="32">
        <f>IF($A54="","",MASTER_REGISTER!M51)</f>
        <v/>
      </c>
      <c r="J54" s="31">
        <f>IF($A54="","",MASTER_REGISTER!N51)</f>
        <v/>
      </c>
    </row>
    <row r="55">
      <c r="A55" s="31">
        <f>IF(MASTER_REGISTER!E52="","",MASTER_REGISTER!E52)</f>
        <v/>
      </c>
      <c r="B55" s="31">
        <f>IF($A55="","",MASTER_REGISTER!F52)</f>
        <v/>
      </c>
      <c r="C55" s="31">
        <f>IF($A55="","",MASTER_REGISTER!C52)</f>
        <v/>
      </c>
      <c r="D55" s="31">
        <f>IF($A55="","",MASTER_REGISTER!H52)</f>
        <v/>
      </c>
      <c r="E55" s="31">
        <f>IF($A55="","",MASTER_REGISTER!G52)</f>
        <v/>
      </c>
      <c r="F55" s="31">
        <f>IF($A55="","",MASTER_REGISTER!I52)</f>
        <v/>
      </c>
      <c r="G55" s="32">
        <f>IF($A55="","",MASTER_REGISTER!J52)</f>
        <v/>
      </c>
      <c r="H55" s="32">
        <f>IF($A55="","",MASTER_REGISTER!L52)</f>
        <v/>
      </c>
      <c r="I55" s="32">
        <f>IF($A55="","",MASTER_REGISTER!M52)</f>
        <v/>
      </c>
      <c r="J55" s="31">
        <f>IF($A55="","",MASTER_REGISTER!N52)</f>
        <v/>
      </c>
    </row>
    <row r="56">
      <c r="A56" s="31">
        <f>IF(MASTER_REGISTER!E53="","",MASTER_REGISTER!E53)</f>
        <v/>
      </c>
      <c r="B56" s="31">
        <f>IF($A56="","",MASTER_REGISTER!F53)</f>
        <v/>
      </c>
      <c r="C56" s="31">
        <f>IF($A56="","",MASTER_REGISTER!C53)</f>
        <v/>
      </c>
      <c r="D56" s="31">
        <f>IF($A56="","",MASTER_REGISTER!H53)</f>
        <v/>
      </c>
      <c r="E56" s="31">
        <f>IF($A56="","",MASTER_REGISTER!G53)</f>
        <v/>
      </c>
      <c r="F56" s="31">
        <f>IF($A56="","",MASTER_REGISTER!I53)</f>
        <v/>
      </c>
      <c r="G56" s="32">
        <f>IF($A56="","",MASTER_REGISTER!J53)</f>
        <v/>
      </c>
      <c r="H56" s="32">
        <f>IF($A56="","",MASTER_REGISTER!L53)</f>
        <v/>
      </c>
      <c r="I56" s="32">
        <f>IF($A56="","",MASTER_REGISTER!M53)</f>
        <v/>
      </c>
      <c r="J56" s="31">
        <f>IF($A56="","",MASTER_REGISTER!N53)</f>
        <v/>
      </c>
    </row>
    <row r="57">
      <c r="A57" s="31">
        <f>IF(MASTER_REGISTER!E54="","",MASTER_REGISTER!E54)</f>
        <v/>
      </c>
      <c r="B57" s="31">
        <f>IF($A57="","",MASTER_REGISTER!F54)</f>
        <v/>
      </c>
      <c r="C57" s="31">
        <f>IF($A57="","",MASTER_REGISTER!C54)</f>
        <v/>
      </c>
      <c r="D57" s="31">
        <f>IF($A57="","",MASTER_REGISTER!H54)</f>
        <v/>
      </c>
      <c r="E57" s="31">
        <f>IF($A57="","",MASTER_REGISTER!G54)</f>
        <v/>
      </c>
      <c r="F57" s="31">
        <f>IF($A57="","",MASTER_REGISTER!I54)</f>
        <v/>
      </c>
      <c r="G57" s="32">
        <f>IF($A57="","",MASTER_REGISTER!J54)</f>
        <v/>
      </c>
      <c r="H57" s="32">
        <f>IF($A57="","",MASTER_REGISTER!L54)</f>
        <v/>
      </c>
      <c r="I57" s="32">
        <f>IF($A57="","",MASTER_REGISTER!M54)</f>
        <v/>
      </c>
      <c r="J57" s="31">
        <f>IF($A57="","",MASTER_REGISTER!N54)</f>
        <v/>
      </c>
    </row>
    <row r="58">
      <c r="A58" s="31">
        <f>IF(MASTER_REGISTER!E55="","",MASTER_REGISTER!E55)</f>
        <v/>
      </c>
      <c r="B58" s="31">
        <f>IF($A58="","",MASTER_REGISTER!F55)</f>
        <v/>
      </c>
      <c r="C58" s="31">
        <f>IF($A58="","",MASTER_REGISTER!C55)</f>
        <v/>
      </c>
      <c r="D58" s="31">
        <f>IF($A58="","",MASTER_REGISTER!H55)</f>
        <v/>
      </c>
      <c r="E58" s="31">
        <f>IF($A58="","",MASTER_REGISTER!G55)</f>
        <v/>
      </c>
      <c r="F58" s="31">
        <f>IF($A58="","",MASTER_REGISTER!I55)</f>
        <v/>
      </c>
      <c r="G58" s="32">
        <f>IF($A58="","",MASTER_REGISTER!J55)</f>
        <v/>
      </c>
      <c r="H58" s="32">
        <f>IF($A58="","",MASTER_REGISTER!L55)</f>
        <v/>
      </c>
      <c r="I58" s="32">
        <f>IF($A58="","",MASTER_REGISTER!M55)</f>
        <v/>
      </c>
      <c r="J58" s="31">
        <f>IF($A58="","",MASTER_REGISTER!N55)</f>
        <v/>
      </c>
    </row>
    <row r="59">
      <c r="A59" s="31">
        <f>IF(MASTER_REGISTER!E56="","",MASTER_REGISTER!E56)</f>
        <v/>
      </c>
      <c r="B59" s="31">
        <f>IF($A59="","",MASTER_REGISTER!F56)</f>
        <v/>
      </c>
      <c r="C59" s="31">
        <f>IF($A59="","",MASTER_REGISTER!C56)</f>
        <v/>
      </c>
      <c r="D59" s="31">
        <f>IF($A59="","",MASTER_REGISTER!H56)</f>
        <v/>
      </c>
      <c r="E59" s="31">
        <f>IF($A59="","",MASTER_REGISTER!G56)</f>
        <v/>
      </c>
      <c r="F59" s="31">
        <f>IF($A59="","",MASTER_REGISTER!I56)</f>
        <v/>
      </c>
      <c r="G59" s="32">
        <f>IF($A59="","",MASTER_REGISTER!J56)</f>
        <v/>
      </c>
      <c r="H59" s="32">
        <f>IF($A59="","",MASTER_REGISTER!L56)</f>
        <v/>
      </c>
      <c r="I59" s="32">
        <f>IF($A59="","",MASTER_REGISTER!M56)</f>
        <v/>
      </c>
      <c r="J59" s="31">
        <f>IF($A59="","",MASTER_REGISTER!N56)</f>
        <v/>
      </c>
    </row>
    <row r="60">
      <c r="A60" s="31">
        <f>IF(MASTER_REGISTER!E57="","",MASTER_REGISTER!E57)</f>
        <v/>
      </c>
      <c r="B60" s="31">
        <f>IF($A60="","",MASTER_REGISTER!F57)</f>
        <v/>
      </c>
      <c r="C60" s="31">
        <f>IF($A60="","",MASTER_REGISTER!C57)</f>
        <v/>
      </c>
      <c r="D60" s="31">
        <f>IF($A60="","",MASTER_REGISTER!H57)</f>
        <v/>
      </c>
      <c r="E60" s="31">
        <f>IF($A60="","",MASTER_REGISTER!G57)</f>
        <v/>
      </c>
      <c r="F60" s="31">
        <f>IF($A60="","",MASTER_REGISTER!I57)</f>
        <v/>
      </c>
      <c r="G60" s="32">
        <f>IF($A60="","",MASTER_REGISTER!J57)</f>
        <v/>
      </c>
      <c r="H60" s="32">
        <f>IF($A60="","",MASTER_REGISTER!L57)</f>
        <v/>
      </c>
      <c r="I60" s="32">
        <f>IF($A60="","",MASTER_REGISTER!M57)</f>
        <v/>
      </c>
      <c r="J60" s="31">
        <f>IF($A60="","",MASTER_REGISTER!N57)</f>
        <v/>
      </c>
    </row>
    <row r="61">
      <c r="A61" s="31">
        <f>IF(MASTER_REGISTER!E58="","",MASTER_REGISTER!E58)</f>
        <v/>
      </c>
      <c r="B61" s="31">
        <f>IF($A61="","",MASTER_REGISTER!F58)</f>
        <v/>
      </c>
      <c r="C61" s="31">
        <f>IF($A61="","",MASTER_REGISTER!C58)</f>
        <v/>
      </c>
      <c r="D61" s="31">
        <f>IF($A61="","",MASTER_REGISTER!H58)</f>
        <v/>
      </c>
      <c r="E61" s="31">
        <f>IF($A61="","",MASTER_REGISTER!G58)</f>
        <v/>
      </c>
      <c r="F61" s="31">
        <f>IF($A61="","",MASTER_REGISTER!I58)</f>
        <v/>
      </c>
      <c r="G61" s="32">
        <f>IF($A61="","",MASTER_REGISTER!J58)</f>
        <v/>
      </c>
      <c r="H61" s="32">
        <f>IF($A61="","",MASTER_REGISTER!L58)</f>
        <v/>
      </c>
      <c r="I61" s="32">
        <f>IF($A61="","",MASTER_REGISTER!M58)</f>
        <v/>
      </c>
      <c r="J61" s="31">
        <f>IF($A61="","",MASTER_REGISTER!N58)</f>
        <v/>
      </c>
    </row>
    <row r="62">
      <c r="A62" s="31">
        <f>IF(MASTER_REGISTER!E59="","",MASTER_REGISTER!E59)</f>
        <v/>
      </c>
      <c r="B62" s="31">
        <f>IF($A62="","",MASTER_REGISTER!F59)</f>
        <v/>
      </c>
      <c r="C62" s="31">
        <f>IF($A62="","",MASTER_REGISTER!C59)</f>
        <v/>
      </c>
      <c r="D62" s="31">
        <f>IF($A62="","",MASTER_REGISTER!H59)</f>
        <v/>
      </c>
      <c r="E62" s="31">
        <f>IF($A62="","",MASTER_REGISTER!G59)</f>
        <v/>
      </c>
      <c r="F62" s="31">
        <f>IF($A62="","",MASTER_REGISTER!I59)</f>
        <v/>
      </c>
      <c r="G62" s="32">
        <f>IF($A62="","",MASTER_REGISTER!J59)</f>
        <v/>
      </c>
      <c r="H62" s="32">
        <f>IF($A62="","",MASTER_REGISTER!L59)</f>
        <v/>
      </c>
      <c r="I62" s="32">
        <f>IF($A62="","",MASTER_REGISTER!M59)</f>
        <v/>
      </c>
      <c r="J62" s="31">
        <f>IF($A62="","",MASTER_REGISTER!N59)</f>
        <v/>
      </c>
    </row>
    <row r="63">
      <c r="A63" s="31">
        <f>IF(MASTER_REGISTER!E60="","",MASTER_REGISTER!E60)</f>
        <v/>
      </c>
      <c r="B63" s="31">
        <f>IF($A63="","",MASTER_REGISTER!F60)</f>
        <v/>
      </c>
      <c r="C63" s="31">
        <f>IF($A63="","",MASTER_REGISTER!C60)</f>
        <v/>
      </c>
      <c r="D63" s="31">
        <f>IF($A63="","",MASTER_REGISTER!H60)</f>
        <v/>
      </c>
      <c r="E63" s="31">
        <f>IF($A63="","",MASTER_REGISTER!G60)</f>
        <v/>
      </c>
      <c r="F63" s="31">
        <f>IF($A63="","",MASTER_REGISTER!I60)</f>
        <v/>
      </c>
      <c r="G63" s="32">
        <f>IF($A63="","",MASTER_REGISTER!J60)</f>
        <v/>
      </c>
      <c r="H63" s="32">
        <f>IF($A63="","",MASTER_REGISTER!L60)</f>
        <v/>
      </c>
      <c r="I63" s="32">
        <f>IF($A63="","",MASTER_REGISTER!M60)</f>
        <v/>
      </c>
      <c r="J63" s="31">
        <f>IF($A63="","",MASTER_REGISTER!N60)</f>
        <v/>
      </c>
    </row>
    <row r="64">
      <c r="A64" s="31">
        <f>IF(MASTER_REGISTER!E61="","",MASTER_REGISTER!E61)</f>
        <v/>
      </c>
      <c r="B64" s="31">
        <f>IF($A64="","",MASTER_REGISTER!F61)</f>
        <v/>
      </c>
      <c r="C64" s="31">
        <f>IF($A64="","",MASTER_REGISTER!C61)</f>
        <v/>
      </c>
      <c r="D64" s="31">
        <f>IF($A64="","",MASTER_REGISTER!H61)</f>
        <v/>
      </c>
      <c r="E64" s="31">
        <f>IF($A64="","",MASTER_REGISTER!G61)</f>
        <v/>
      </c>
      <c r="F64" s="31">
        <f>IF($A64="","",MASTER_REGISTER!I61)</f>
        <v/>
      </c>
      <c r="G64" s="32">
        <f>IF($A64="","",MASTER_REGISTER!J61)</f>
        <v/>
      </c>
      <c r="H64" s="32">
        <f>IF($A64="","",MASTER_REGISTER!L61)</f>
        <v/>
      </c>
      <c r="I64" s="32">
        <f>IF($A64="","",MASTER_REGISTER!M61)</f>
        <v/>
      </c>
      <c r="J64" s="31">
        <f>IF($A64="","",MASTER_REGISTER!N61)</f>
        <v/>
      </c>
    </row>
    <row r="65">
      <c r="A65" s="31">
        <f>IF(MASTER_REGISTER!E62="","",MASTER_REGISTER!E62)</f>
        <v/>
      </c>
      <c r="B65" s="31">
        <f>IF($A65="","",MASTER_REGISTER!F62)</f>
        <v/>
      </c>
      <c r="C65" s="31">
        <f>IF($A65="","",MASTER_REGISTER!C62)</f>
        <v/>
      </c>
      <c r="D65" s="31">
        <f>IF($A65="","",MASTER_REGISTER!H62)</f>
        <v/>
      </c>
      <c r="E65" s="31">
        <f>IF($A65="","",MASTER_REGISTER!G62)</f>
        <v/>
      </c>
      <c r="F65" s="31">
        <f>IF($A65="","",MASTER_REGISTER!I62)</f>
        <v/>
      </c>
      <c r="G65" s="32">
        <f>IF($A65="","",MASTER_REGISTER!J62)</f>
        <v/>
      </c>
      <c r="H65" s="32">
        <f>IF($A65="","",MASTER_REGISTER!L62)</f>
        <v/>
      </c>
      <c r="I65" s="32">
        <f>IF($A65="","",MASTER_REGISTER!M62)</f>
        <v/>
      </c>
      <c r="J65" s="31">
        <f>IF($A65="","",MASTER_REGISTER!N62)</f>
        <v/>
      </c>
    </row>
    <row r="66">
      <c r="A66" s="31">
        <f>IF(MASTER_REGISTER!E63="","",MASTER_REGISTER!E63)</f>
        <v/>
      </c>
      <c r="B66" s="31">
        <f>IF($A66="","",MASTER_REGISTER!F63)</f>
        <v/>
      </c>
      <c r="C66" s="31">
        <f>IF($A66="","",MASTER_REGISTER!C63)</f>
        <v/>
      </c>
      <c r="D66" s="31">
        <f>IF($A66="","",MASTER_REGISTER!H63)</f>
        <v/>
      </c>
      <c r="E66" s="31">
        <f>IF($A66="","",MASTER_REGISTER!G63)</f>
        <v/>
      </c>
      <c r="F66" s="31">
        <f>IF($A66="","",MASTER_REGISTER!I63)</f>
        <v/>
      </c>
      <c r="G66" s="32">
        <f>IF($A66="","",MASTER_REGISTER!J63)</f>
        <v/>
      </c>
      <c r="H66" s="32">
        <f>IF($A66="","",MASTER_REGISTER!L63)</f>
        <v/>
      </c>
      <c r="I66" s="32">
        <f>IF($A66="","",MASTER_REGISTER!M63)</f>
        <v/>
      </c>
      <c r="J66" s="31">
        <f>IF($A66="","",MASTER_REGISTER!N63)</f>
        <v/>
      </c>
    </row>
    <row r="67">
      <c r="A67" s="31">
        <f>IF(MASTER_REGISTER!E64="","",MASTER_REGISTER!E64)</f>
        <v/>
      </c>
      <c r="B67" s="31">
        <f>IF($A67="","",MASTER_REGISTER!F64)</f>
        <v/>
      </c>
      <c r="C67" s="31">
        <f>IF($A67="","",MASTER_REGISTER!C64)</f>
        <v/>
      </c>
      <c r="D67" s="31">
        <f>IF($A67="","",MASTER_REGISTER!H64)</f>
        <v/>
      </c>
      <c r="E67" s="31">
        <f>IF($A67="","",MASTER_REGISTER!G64)</f>
        <v/>
      </c>
      <c r="F67" s="31">
        <f>IF($A67="","",MASTER_REGISTER!I64)</f>
        <v/>
      </c>
      <c r="G67" s="32">
        <f>IF($A67="","",MASTER_REGISTER!J64)</f>
        <v/>
      </c>
      <c r="H67" s="32">
        <f>IF($A67="","",MASTER_REGISTER!L64)</f>
        <v/>
      </c>
      <c r="I67" s="32">
        <f>IF($A67="","",MASTER_REGISTER!M64)</f>
        <v/>
      </c>
      <c r="J67" s="31">
        <f>IF($A67="","",MASTER_REGISTER!N64)</f>
        <v/>
      </c>
    </row>
    <row r="68">
      <c r="A68" s="31">
        <f>IF(MASTER_REGISTER!E65="","",MASTER_REGISTER!E65)</f>
        <v/>
      </c>
      <c r="B68" s="31">
        <f>IF($A68="","",MASTER_REGISTER!F65)</f>
        <v/>
      </c>
      <c r="C68" s="31">
        <f>IF($A68="","",MASTER_REGISTER!C65)</f>
        <v/>
      </c>
      <c r="D68" s="31">
        <f>IF($A68="","",MASTER_REGISTER!H65)</f>
        <v/>
      </c>
      <c r="E68" s="31">
        <f>IF($A68="","",MASTER_REGISTER!G65)</f>
        <v/>
      </c>
      <c r="F68" s="31">
        <f>IF($A68="","",MASTER_REGISTER!I65)</f>
        <v/>
      </c>
      <c r="G68" s="32">
        <f>IF($A68="","",MASTER_REGISTER!J65)</f>
        <v/>
      </c>
      <c r="H68" s="32">
        <f>IF($A68="","",MASTER_REGISTER!L65)</f>
        <v/>
      </c>
      <c r="I68" s="32">
        <f>IF($A68="","",MASTER_REGISTER!M65)</f>
        <v/>
      </c>
      <c r="J68" s="31">
        <f>IF($A68="","",MASTER_REGISTER!N65)</f>
        <v/>
      </c>
    </row>
    <row r="69">
      <c r="A69" s="31">
        <f>IF(MASTER_REGISTER!E66="","",MASTER_REGISTER!E66)</f>
        <v/>
      </c>
      <c r="B69" s="31">
        <f>IF($A69="","",MASTER_REGISTER!F66)</f>
        <v/>
      </c>
      <c r="C69" s="31">
        <f>IF($A69="","",MASTER_REGISTER!C66)</f>
        <v/>
      </c>
      <c r="D69" s="31">
        <f>IF($A69="","",MASTER_REGISTER!H66)</f>
        <v/>
      </c>
      <c r="E69" s="31">
        <f>IF($A69="","",MASTER_REGISTER!G66)</f>
        <v/>
      </c>
      <c r="F69" s="31">
        <f>IF($A69="","",MASTER_REGISTER!I66)</f>
        <v/>
      </c>
      <c r="G69" s="32">
        <f>IF($A69="","",MASTER_REGISTER!J66)</f>
        <v/>
      </c>
      <c r="H69" s="32">
        <f>IF($A69="","",MASTER_REGISTER!L66)</f>
        <v/>
      </c>
      <c r="I69" s="32">
        <f>IF($A69="","",MASTER_REGISTER!M66)</f>
        <v/>
      </c>
      <c r="J69" s="31">
        <f>IF($A69="","",MASTER_REGISTER!N66)</f>
        <v/>
      </c>
    </row>
    <row r="70">
      <c r="A70" s="31">
        <f>IF(MASTER_REGISTER!E67="","",MASTER_REGISTER!E67)</f>
        <v/>
      </c>
      <c r="B70" s="31">
        <f>IF($A70="","",MASTER_REGISTER!F67)</f>
        <v/>
      </c>
      <c r="C70" s="31">
        <f>IF($A70="","",MASTER_REGISTER!C67)</f>
        <v/>
      </c>
      <c r="D70" s="31">
        <f>IF($A70="","",MASTER_REGISTER!H67)</f>
        <v/>
      </c>
      <c r="E70" s="31">
        <f>IF($A70="","",MASTER_REGISTER!G67)</f>
        <v/>
      </c>
      <c r="F70" s="31">
        <f>IF($A70="","",MASTER_REGISTER!I67)</f>
        <v/>
      </c>
      <c r="G70" s="32">
        <f>IF($A70="","",MASTER_REGISTER!J67)</f>
        <v/>
      </c>
      <c r="H70" s="32">
        <f>IF($A70="","",MASTER_REGISTER!L67)</f>
        <v/>
      </c>
      <c r="I70" s="32">
        <f>IF($A70="","",MASTER_REGISTER!M67)</f>
        <v/>
      </c>
      <c r="J70" s="31">
        <f>IF($A70="","",MASTER_REGISTER!N67)</f>
        <v/>
      </c>
    </row>
    <row r="71">
      <c r="A71" s="31">
        <f>IF(MASTER_REGISTER!E68="","",MASTER_REGISTER!E68)</f>
        <v/>
      </c>
      <c r="B71" s="31">
        <f>IF($A71="","",MASTER_REGISTER!F68)</f>
        <v/>
      </c>
      <c r="C71" s="31">
        <f>IF($A71="","",MASTER_REGISTER!C68)</f>
        <v/>
      </c>
      <c r="D71" s="31">
        <f>IF($A71="","",MASTER_REGISTER!H68)</f>
        <v/>
      </c>
      <c r="E71" s="31">
        <f>IF($A71="","",MASTER_REGISTER!G68)</f>
        <v/>
      </c>
      <c r="F71" s="31">
        <f>IF($A71="","",MASTER_REGISTER!I68)</f>
        <v/>
      </c>
      <c r="G71" s="32">
        <f>IF($A71="","",MASTER_REGISTER!J68)</f>
        <v/>
      </c>
      <c r="H71" s="32">
        <f>IF($A71="","",MASTER_REGISTER!L68)</f>
        <v/>
      </c>
      <c r="I71" s="32">
        <f>IF($A71="","",MASTER_REGISTER!M68)</f>
        <v/>
      </c>
      <c r="J71" s="31">
        <f>IF($A71="","",MASTER_REGISTER!N68)</f>
        <v/>
      </c>
    </row>
    <row r="72">
      <c r="A72" s="31">
        <f>IF(MASTER_REGISTER!E69="","",MASTER_REGISTER!E69)</f>
        <v/>
      </c>
      <c r="B72" s="31">
        <f>IF($A72="","",MASTER_REGISTER!F69)</f>
        <v/>
      </c>
      <c r="C72" s="31">
        <f>IF($A72="","",MASTER_REGISTER!C69)</f>
        <v/>
      </c>
      <c r="D72" s="31">
        <f>IF($A72="","",MASTER_REGISTER!H69)</f>
        <v/>
      </c>
      <c r="E72" s="31">
        <f>IF($A72="","",MASTER_REGISTER!G69)</f>
        <v/>
      </c>
      <c r="F72" s="31">
        <f>IF($A72="","",MASTER_REGISTER!I69)</f>
        <v/>
      </c>
      <c r="G72" s="32">
        <f>IF($A72="","",MASTER_REGISTER!J69)</f>
        <v/>
      </c>
      <c r="H72" s="32">
        <f>IF($A72="","",MASTER_REGISTER!L69)</f>
        <v/>
      </c>
      <c r="I72" s="32">
        <f>IF($A72="","",MASTER_REGISTER!M69)</f>
        <v/>
      </c>
      <c r="J72" s="31">
        <f>IF($A72="","",MASTER_REGISTER!N69)</f>
        <v/>
      </c>
    </row>
    <row r="73">
      <c r="A73" s="31">
        <f>IF(MASTER_REGISTER!E70="","",MASTER_REGISTER!E70)</f>
        <v/>
      </c>
      <c r="B73" s="31">
        <f>IF($A73="","",MASTER_REGISTER!F70)</f>
        <v/>
      </c>
      <c r="C73" s="31">
        <f>IF($A73="","",MASTER_REGISTER!C70)</f>
        <v/>
      </c>
      <c r="D73" s="31">
        <f>IF($A73="","",MASTER_REGISTER!H70)</f>
        <v/>
      </c>
      <c r="E73" s="31">
        <f>IF($A73="","",MASTER_REGISTER!G70)</f>
        <v/>
      </c>
      <c r="F73" s="31">
        <f>IF($A73="","",MASTER_REGISTER!I70)</f>
        <v/>
      </c>
      <c r="G73" s="32">
        <f>IF($A73="","",MASTER_REGISTER!J70)</f>
        <v/>
      </c>
      <c r="H73" s="32">
        <f>IF($A73="","",MASTER_REGISTER!L70)</f>
        <v/>
      </c>
      <c r="I73" s="32">
        <f>IF($A73="","",MASTER_REGISTER!M70)</f>
        <v/>
      </c>
      <c r="J73" s="31">
        <f>IF($A73="","",MASTER_REGISTER!N70)</f>
        <v/>
      </c>
    </row>
    <row r="74">
      <c r="A74" s="31">
        <f>IF(MASTER_REGISTER!E71="","",MASTER_REGISTER!E71)</f>
        <v/>
      </c>
      <c r="B74" s="31">
        <f>IF($A74="","",MASTER_REGISTER!F71)</f>
        <v/>
      </c>
      <c r="C74" s="31">
        <f>IF($A74="","",MASTER_REGISTER!C71)</f>
        <v/>
      </c>
      <c r="D74" s="31">
        <f>IF($A74="","",MASTER_REGISTER!H71)</f>
        <v/>
      </c>
      <c r="E74" s="31">
        <f>IF($A74="","",MASTER_REGISTER!G71)</f>
        <v/>
      </c>
      <c r="F74" s="31">
        <f>IF($A74="","",MASTER_REGISTER!I71)</f>
        <v/>
      </c>
      <c r="G74" s="32">
        <f>IF($A74="","",MASTER_REGISTER!J71)</f>
        <v/>
      </c>
      <c r="H74" s="32">
        <f>IF($A74="","",MASTER_REGISTER!L71)</f>
        <v/>
      </c>
      <c r="I74" s="32">
        <f>IF($A74="","",MASTER_REGISTER!M71)</f>
        <v/>
      </c>
      <c r="J74" s="31">
        <f>IF($A74="","",MASTER_REGISTER!N71)</f>
        <v/>
      </c>
    </row>
    <row r="75">
      <c r="A75" s="31">
        <f>IF(MASTER_REGISTER!E72="","",MASTER_REGISTER!E72)</f>
        <v/>
      </c>
      <c r="B75" s="31">
        <f>IF($A75="","",MASTER_REGISTER!F72)</f>
        <v/>
      </c>
      <c r="C75" s="31">
        <f>IF($A75="","",MASTER_REGISTER!C72)</f>
        <v/>
      </c>
      <c r="D75" s="31">
        <f>IF($A75="","",MASTER_REGISTER!H72)</f>
        <v/>
      </c>
      <c r="E75" s="31">
        <f>IF($A75="","",MASTER_REGISTER!G72)</f>
        <v/>
      </c>
      <c r="F75" s="31">
        <f>IF($A75="","",MASTER_REGISTER!I72)</f>
        <v/>
      </c>
      <c r="G75" s="32">
        <f>IF($A75="","",MASTER_REGISTER!J72)</f>
        <v/>
      </c>
      <c r="H75" s="32">
        <f>IF($A75="","",MASTER_REGISTER!L72)</f>
        <v/>
      </c>
      <c r="I75" s="32">
        <f>IF($A75="","",MASTER_REGISTER!M72)</f>
        <v/>
      </c>
      <c r="J75" s="31">
        <f>IF($A75="","",MASTER_REGISTER!N72)</f>
        <v/>
      </c>
    </row>
    <row r="76">
      <c r="A76" s="31">
        <f>IF(MASTER_REGISTER!E73="","",MASTER_REGISTER!E73)</f>
        <v/>
      </c>
      <c r="B76" s="31">
        <f>IF($A76="","",MASTER_REGISTER!F73)</f>
        <v/>
      </c>
      <c r="C76" s="31">
        <f>IF($A76="","",MASTER_REGISTER!C73)</f>
        <v/>
      </c>
      <c r="D76" s="31">
        <f>IF($A76="","",MASTER_REGISTER!H73)</f>
        <v/>
      </c>
      <c r="E76" s="31">
        <f>IF($A76="","",MASTER_REGISTER!G73)</f>
        <v/>
      </c>
      <c r="F76" s="31">
        <f>IF($A76="","",MASTER_REGISTER!I73)</f>
        <v/>
      </c>
      <c r="G76" s="32">
        <f>IF($A76="","",MASTER_REGISTER!J73)</f>
        <v/>
      </c>
      <c r="H76" s="32">
        <f>IF($A76="","",MASTER_REGISTER!L73)</f>
        <v/>
      </c>
      <c r="I76" s="32">
        <f>IF($A76="","",MASTER_REGISTER!M73)</f>
        <v/>
      </c>
      <c r="J76" s="31">
        <f>IF($A76="","",MASTER_REGISTER!N73)</f>
        <v/>
      </c>
    </row>
    <row r="77">
      <c r="A77" s="31">
        <f>IF(MASTER_REGISTER!E74="","",MASTER_REGISTER!E74)</f>
        <v/>
      </c>
      <c r="B77" s="31">
        <f>IF($A77="","",MASTER_REGISTER!F74)</f>
        <v/>
      </c>
      <c r="C77" s="31">
        <f>IF($A77="","",MASTER_REGISTER!C74)</f>
        <v/>
      </c>
      <c r="D77" s="31">
        <f>IF($A77="","",MASTER_REGISTER!H74)</f>
        <v/>
      </c>
      <c r="E77" s="31">
        <f>IF($A77="","",MASTER_REGISTER!G74)</f>
        <v/>
      </c>
      <c r="F77" s="31">
        <f>IF($A77="","",MASTER_REGISTER!I74)</f>
        <v/>
      </c>
      <c r="G77" s="32">
        <f>IF($A77="","",MASTER_REGISTER!J74)</f>
        <v/>
      </c>
      <c r="H77" s="32">
        <f>IF($A77="","",MASTER_REGISTER!L74)</f>
        <v/>
      </c>
      <c r="I77" s="32">
        <f>IF($A77="","",MASTER_REGISTER!M74)</f>
        <v/>
      </c>
      <c r="J77" s="31">
        <f>IF($A77="","",MASTER_REGISTER!N74)</f>
        <v/>
      </c>
    </row>
    <row r="78">
      <c r="A78" s="31">
        <f>IF(MASTER_REGISTER!E75="","",MASTER_REGISTER!E75)</f>
        <v/>
      </c>
      <c r="B78" s="31">
        <f>IF($A78="","",MASTER_REGISTER!F75)</f>
        <v/>
      </c>
      <c r="C78" s="31">
        <f>IF($A78="","",MASTER_REGISTER!C75)</f>
        <v/>
      </c>
      <c r="D78" s="31">
        <f>IF($A78="","",MASTER_REGISTER!H75)</f>
        <v/>
      </c>
      <c r="E78" s="31">
        <f>IF($A78="","",MASTER_REGISTER!G75)</f>
        <v/>
      </c>
      <c r="F78" s="31">
        <f>IF($A78="","",MASTER_REGISTER!I75)</f>
        <v/>
      </c>
      <c r="G78" s="32">
        <f>IF($A78="","",MASTER_REGISTER!J75)</f>
        <v/>
      </c>
      <c r="H78" s="32">
        <f>IF($A78="","",MASTER_REGISTER!L75)</f>
        <v/>
      </c>
      <c r="I78" s="32">
        <f>IF($A78="","",MASTER_REGISTER!M75)</f>
        <v/>
      </c>
      <c r="J78" s="31">
        <f>IF($A78="","",MASTER_REGISTER!N75)</f>
        <v/>
      </c>
    </row>
    <row r="79">
      <c r="A79" s="31">
        <f>IF(MASTER_REGISTER!E76="","",MASTER_REGISTER!E76)</f>
        <v/>
      </c>
      <c r="B79" s="31">
        <f>IF($A79="","",MASTER_REGISTER!F76)</f>
        <v/>
      </c>
      <c r="C79" s="31">
        <f>IF($A79="","",MASTER_REGISTER!C76)</f>
        <v/>
      </c>
      <c r="D79" s="31">
        <f>IF($A79="","",MASTER_REGISTER!H76)</f>
        <v/>
      </c>
      <c r="E79" s="31">
        <f>IF($A79="","",MASTER_REGISTER!G76)</f>
        <v/>
      </c>
      <c r="F79" s="31">
        <f>IF($A79="","",MASTER_REGISTER!I76)</f>
        <v/>
      </c>
      <c r="G79" s="32">
        <f>IF($A79="","",MASTER_REGISTER!J76)</f>
        <v/>
      </c>
      <c r="H79" s="32">
        <f>IF($A79="","",MASTER_REGISTER!L76)</f>
        <v/>
      </c>
      <c r="I79" s="32">
        <f>IF($A79="","",MASTER_REGISTER!M76)</f>
        <v/>
      </c>
      <c r="J79" s="31">
        <f>IF($A79="","",MASTER_REGISTER!N76)</f>
        <v/>
      </c>
    </row>
    <row r="80">
      <c r="A80" s="31">
        <f>IF(MASTER_REGISTER!E77="","",MASTER_REGISTER!E77)</f>
        <v/>
      </c>
      <c r="B80" s="31">
        <f>IF($A80="","",MASTER_REGISTER!F77)</f>
        <v/>
      </c>
      <c r="C80" s="31">
        <f>IF($A80="","",MASTER_REGISTER!C77)</f>
        <v/>
      </c>
      <c r="D80" s="31">
        <f>IF($A80="","",MASTER_REGISTER!H77)</f>
        <v/>
      </c>
      <c r="E80" s="31">
        <f>IF($A80="","",MASTER_REGISTER!G77)</f>
        <v/>
      </c>
      <c r="F80" s="31">
        <f>IF($A80="","",MASTER_REGISTER!I77)</f>
        <v/>
      </c>
      <c r="G80" s="32">
        <f>IF($A80="","",MASTER_REGISTER!J77)</f>
        <v/>
      </c>
      <c r="H80" s="32">
        <f>IF($A80="","",MASTER_REGISTER!L77)</f>
        <v/>
      </c>
      <c r="I80" s="32">
        <f>IF($A80="","",MASTER_REGISTER!M77)</f>
        <v/>
      </c>
      <c r="J80" s="31">
        <f>IF($A80="","",MASTER_REGISTER!N77)</f>
        <v/>
      </c>
    </row>
    <row r="81">
      <c r="A81" s="31">
        <f>IF(MASTER_REGISTER!E78="","",MASTER_REGISTER!E78)</f>
        <v/>
      </c>
      <c r="B81" s="31">
        <f>IF($A81="","",MASTER_REGISTER!F78)</f>
        <v/>
      </c>
      <c r="C81" s="31">
        <f>IF($A81="","",MASTER_REGISTER!C78)</f>
        <v/>
      </c>
      <c r="D81" s="31">
        <f>IF($A81="","",MASTER_REGISTER!H78)</f>
        <v/>
      </c>
      <c r="E81" s="31">
        <f>IF($A81="","",MASTER_REGISTER!G78)</f>
        <v/>
      </c>
      <c r="F81" s="31">
        <f>IF($A81="","",MASTER_REGISTER!I78)</f>
        <v/>
      </c>
      <c r="G81" s="32">
        <f>IF($A81="","",MASTER_REGISTER!J78)</f>
        <v/>
      </c>
      <c r="H81" s="32">
        <f>IF($A81="","",MASTER_REGISTER!L78)</f>
        <v/>
      </c>
      <c r="I81" s="32">
        <f>IF($A81="","",MASTER_REGISTER!M78)</f>
        <v/>
      </c>
      <c r="J81" s="31">
        <f>IF($A81="","",MASTER_REGISTER!N78)</f>
        <v/>
      </c>
    </row>
    <row r="82">
      <c r="A82" s="31">
        <f>IF(MASTER_REGISTER!E79="","",MASTER_REGISTER!E79)</f>
        <v/>
      </c>
      <c r="B82" s="31">
        <f>IF($A82="","",MASTER_REGISTER!F79)</f>
        <v/>
      </c>
      <c r="C82" s="31">
        <f>IF($A82="","",MASTER_REGISTER!C79)</f>
        <v/>
      </c>
      <c r="D82" s="31">
        <f>IF($A82="","",MASTER_REGISTER!H79)</f>
        <v/>
      </c>
      <c r="E82" s="31">
        <f>IF($A82="","",MASTER_REGISTER!G79)</f>
        <v/>
      </c>
      <c r="F82" s="31">
        <f>IF($A82="","",MASTER_REGISTER!I79)</f>
        <v/>
      </c>
      <c r="G82" s="32">
        <f>IF($A82="","",MASTER_REGISTER!J79)</f>
        <v/>
      </c>
      <c r="H82" s="32">
        <f>IF($A82="","",MASTER_REGISTER!L79)</f>
        <v/>
      </c>
      <c r="I82" s="32">
        <f>IF($A82="","",MASTER_REGISTER!M79)</f>
        <v/>
      </c>
      <c r="J82" s="31">
        <f>IF($A82="","",MASTER_REGISTER!N79)</f>
        <v/>
      </c>
    </row>
    <row r="83">
      <c r="A83" s="31">
        <f>IF(MASTER_REGISTER!E80="","",MASTER_REGISTER!E80)</f>
        <v/>
      </c>
      <c r="B83" s="31">
        <f>IF($A83="","",MASTER_REGISTER!F80)</f>
        <v/>
      </c>
      <c r="C83" s="31">
        <f>IF($A83="","",MASTER_REGISTER!C80)</f>
        <v/>
      </c>
      <c r="D83" s="31">
        <f>IF($A83="","",MASTER_REGISTER!H80)</f>
        <v/>
      </c>
      <c r="E83" s="31">
        <f>IF($A83="","",MASTER_REGISTER!G80)</f>
        <v/>
      </c>
      <c r="F83" s="31">
        <f>IF($A83="","",MASTER_REGISTER!I80)</f>
        <v/>
      </c>
      <c r="G83" s="32">
        <f>IF($A83="","",MASTER_REGISTER!J80)</f>
        <v/>
      </c>
      <c r="H83" s="32">
        <f>IF($A83="","",MASTER_REGISTER!L80)</f>
        <v/>
      </c>
      <c r="I83" s="32">
        <f>IF($A83="","",MASTER_REGISTER!M80)</f>
        <v/>
      </c>
      <c r="J83" s="31">
        <f>IF($A83="","",MASTER_REGISTER!N80)</f>
        <v/>
      </c>
    </row>
    <row r="84">
      <c r="A84" s="31">
        <f>IF(MASTER_REGISTER!E81="","",MASTER_REGISTER!E81)</f>
        <v/>
      </c>
      <c r="B84" s="31">
        <f>IF($A84="","",MASTER_REGISTER!F81)</f>
        <v/>
      </c>
      <c r="C84" s="31">
        <f>IF($A84="","",MASTER_REGISTER!C81)</f>
        <v/>
      </c>
      <c r="D84" s="31">
        <f>IF($A84="","",MASTER_REGISTER!H81)</f>
        <v/>
      </c>
      <c r="E84" s="31">
        <f>IF($A84="","",MASTER_REGISTER!G81)</f>
        <v/>
      </c>
      <c r="F84" s="31">
        <f>IF($A84="","",MASTER_REGISTER!I81)</f>
        <v/>
      </c>
      <c r="G84" s="32">
        <f>IF($A84="","",MASTER_REGISTER!J81)</f>
        <v/>
      </c>
      <c r="H84" s="32">
        <f>IF($A84="","",MASTER_REGISTER!L81)</f>
        <v/>
      </c>
      <c r="I84" s="32">
        <f>IF($A84="","",MASTER_REGISTER!M81)</f>
        <v/>
      </c>
      <c r="J84" s="31">
        <f>IF($A84="","",MASTER_REGISTER!N81)</f>
        <v/>
      </c>
    </row>
    <row r="85">
      <c r="A85" s="31">
        <f>IF(MASTER_REGISTER!E82="","",MASTER_REGISTER!E82)</f>
        <v/>
      </c>
      <c r="B85" s="31">
        <f>IF($A85="","",MASTER_REGISTER!F82)</f>
        <v/>
      </c>
      <c r="C85" s="31">
        <f>IF($A85="","",MASTER_REGISTER!C82)</f>
        <v/>
      </c>
      <c r="D85" s="31">
        <f>IF($A85="","",MASTER_REGISTER!H82)</f>
        <v/>
      </c>
      <c r="E85" s="31">
        <f>IF($A85="","",MASTER_REGISTER!G82)</f>
        <v/>
      </c>
      <c r="F85" s="31">
        <f>IF($A85="","",MASTER_REGISTER!I82)</f>
        <v/>
      </c>
      <c r="G85" s="32">
        <f>IF($A85="","",MASTER_REGISTER!J82)</f>
        <v/>
      </c>
      <c r="H85" s="32">
        <f>IF($A85="","",MASTER_REGISTER!L82)</f>
        <v/>
      </c>
      <c r="I85" s="32">
        <f>IF($A85="","",MASTER_REGISTER!M82)</f>
        <v/>
      </c>
      <c r="J85" s="31">
        <f>IF($A85="","",MASTER_REGISTER!N82)</f>
        <v/>
      </c>
    </row>
    <row r="86">
      <c r="A86" s="31">
        <f>IF(MASTER_REGISTER!E83="","",MASTER_REGISTER!E83)</f>
        <v/>
      </c>
      <c r="B86" s="31">
        <f>IF($A86="","",MASTER_REGISTER!F83)</f>
        <v/>
      </c>
      <c r="C86" s="31">
        <f>IF($A86="","",MASTER_REGISTER!C83)</f>
        <v/>
      </c>
      <c r="D86" s="31">
        <f>IF($A86="","",MASTER_REGISTER!H83)</f>
        <v/>
      </c>
      <c r="E86" s="31">
        <f>IF($A86="","",MASTER_REGISTER!G83)</f>
        <v/>
      </c>
      <c r="F86" s="31">
        <f>IF($A86="","",MASTER_REGISTER!I83)</f>
        <v/>
      </c>
      <c r="G86" s="32">
        <f>IF($A86="","",MASTER_REGISTER!J83)</f>
        <v/>
      </c>
      <c r="H86" s="32">
        <f>IF($A86="","",MASTER_REGISTER!L83)</f>
        <v/>
      </c>
      <c r="I86" s="32">
        <f>IF($A86="","",MASTER_REGISTER!M83)</f>
        <v/>
      </c>
      <c r="J86" s="31">
        <f>IF($A86="","",MASTER_REGISTER!N83)</f>
        <v/>
      </c>
    </row>
    <row r="87">
      <c r="A87" s="31">
        <f>IF(MASTER_REGISTER!E84="","",MASTER_REGISTER!E84)</f>
        <v/>
      </c>
      <c r="B87" s="31">
        <f>IF($A87="","",MASTER_REGISTER!F84)</f>
        <v/>
      </c>
      <c r="C87" s="31">
        <f>IF($A87="","",MASTER_REGISTER!C84)</f>
        <v/>
      </c>
      <c r="D87" s="31">
        <f>IF($A87="","",MASTER_REGISTER!H84)</f>
        <v/>
      </c>
      <c r="E87" s="31">
        <f>IF($A87="","",MASTER_REGISTER!G84)</f>
        <v/>
      </c>
      <c r="F87" s="31">
        <f>IF($A87="","",MASTER_REGISTER!I84)</f>
        <v/>
      </c>
      <c r="G87" s="32">
        <f>IF($A87="","",MASTER_REGISTER!J84)</f>
        <v/>
      </c>
      <c r="H87" s="32">
        <f>IF($A87="","",MASTER_REGISTER!L84)</f>
        <v/>
      </c>
      <c r="I87" s="32">
        <f>IF($A87="","",MASTER_REGISTER!M84)</f>
        <v/>
      </c>
      <c r="J87" s="31">
        <f>IF($A87="","",MASTER_REGISTER!N84)</f>
        <v/>
      </c>
    </row>
    <row r="88">
      <c r="A88" s="31">
        <f>IF(MASTER_REGISTER!E85="","",MASTER_REGISTER!E85)</f>
        <v/>
      </c>
      <c r="B88" s="31">
        <f>IF($A88="","",MASTER_REGISTER!F85)</f>
        <v/>
      </c>
      <c r="C88" s="31">
        <f>IF($A88="","",MASTER_REGISTER!C85)</f>
        <v/>
      </c>
      <c r="D88" s="31">
        <f>IF($A88="","",MASTER_REGISTER!H85)</f>
        <v/>
      </c>
      <c r="E88" s="31">
        <f>IF($A88="","",MASTER_REGISTER!G85)</f>
        <v/>
      </c>
      <c r="F88" s="31">
        <f>IF($A88="","",MASTER_REGISTER!I85)</f>
        <v/>
      </c>
      <c r="G88" s="32">
        <f>IF($A88="","",MASTER_REGISTER!J85)</f>
        <v/>
      </c>
      <c r="H88" s="32">
        <f>IF($A88="","",MASTER_REGISTER!L85)</f>
        <v/>
      </c>
      <c r="I88" s="32">
        <f>IF($A88="","",MASTER_REGISTER!M85)</f>
        <v/>
      </c>
      <c r="J88" s="31">
        <f>IF($A88="","",MASTER_REGISTER!N85)</f>
        <v/>
      </c>
    </row>
    <row r="89">
      <c r="A89" s="31">
        <f>IF(MASTER_REGISTER!E86="","",MASTER_REGISTER!E86)</f>
        <v/>
      </c>
      <c r="B89" s="31">
        <f>IF($A89="","",MASTER_REGISTER!F86)</f>
        <v/>
      </c>
      <c r="C89" s="31">
        <f>IF($A89="","",MASTER_REGISTER!C86)</f>
        <v/>
      </c>
      <c r="D89" s="31">
        <f>IF($A89="","",MASTER_REGISTER!H86)</f>
        <v/>
      </c>
      <c r="E89" s="31">
        <f>IF($A89="","",MASTER_REGISTER!G86)</f>
        <v/>
      </c>
      <c r="F89" s="31">
        <f>IF($A89="","",MASTER_REGISTER!I86)</f>
        <v/>
      </c>
      <c r="G89" s="32">
        <f>IF($A89="","",MASTER_REGISTER!J86)</f>
        <v/>
      </c>
      <c r="H89" s="32">
        <f>IF($A89="","",MASTER_REGISTER!L86)</f>
        <v/>
      </c>
      <c r="I89" s="32">
        <f>IF($A89="","",MASTER_REGISTER!M86)</f>
        <v/>
      </c>
      <c r="J89" s="31">
        <f>IF($A89="","",MASTER_REGISTER!N86)</f>
        <v/>
      </c>
    </row>
    <row r="90">
      <c r="A90" s="31">
        <f>IF(MASTER_REGISTER!E87="","",MASTER_REGISTER!E87)</f>
        <v/>
      </c>
      <c r="B90" s="31">
        <f>IF($A90="","",MASTER_REGISTER!F87)</f>
        <v/>
      </c>
      <c r="C90" s="31">
        <f>IF($A90="","",MASTER_REGISTER!C87)</f>
        <v/>
      </c>
      <c r="D90" s="31">
        <f>IF($A90="","",MASTER_REGISTER!H87)</f>
        <v/>
      </c>
      <c r="E90" s="31">
        <f>IF($A90="","",MASTER_REGISTER!G87)</f>
        <v/>
      </c>
      <c r="F90" s="31">
        <f>IF($A90="","",MASTER_REGISTER!I87)</f>
        <v/>
      </c>
      <c r="G90" s="32">
        <f>IF($A90="","",MASTER_REGISTER!J87)</f>
        <v/>
      </c>
      <c r="H90" s="32">
        <f>IF($A90="","",MASTER_REGISTER!L87)</f>
        <v/>
      </c>
      <c r="I90" s="32">
        <f>IF($A90="","",MASTER_REGISTER!M87)</f>
        <v/>
      </c>
      <c r="J90" s="31">
        <f>IF($A90="","",MASTER_REGISTER!N87)</f>
        <v/>
      </c>
    </row>
    <row r="91">
      <c r="A91" s="31">
        <f>IF(MASTER_REGISTER!E88="","",MASTER_REGISTER!E88)</f>
        <v/>
      </c>
      <c r="B91" s="31">
        <f>IF($A91="","",MASTER_REGISTER!F88)</f>
        <v/>
      </c>
      <c r="C91" s="31">
        <f>IF($A91="","",MASTER_REGISTER!C88)</f>
        <v/>
      </c>
      <c r="D91" s="31">
        <f>IF($A91="","",MASTER_REGISTER!H88)</f>
        <v/>
      </c>
      <c r="E91" s="31">
        <f>IF($A91="","",MASTER_REGISTER!G88)</f>
        <v/>
      </c>
      <c r="F91" s="31">
        <f>IF($A91="","",MASTER_REGISTER!I88)</f>
        <v/>
      </c>
      <c r="G91" s="32">
        <f>IF($A91="","",MASTER_REGISTER!J88)</f>
        <v/>
      </c>
      <c r="H91" s="32">
        <f>IF($A91="","",MASTER_REGISTER!L88)</f>
        <v/>
      </c>
      <c r="I91" s="32">
        <f>IF($A91="","",MASTER_REGISTER!M88)</f>
        <v/>
      </c>
      <c r="J91" s="31">
        <f>IF($A91="","",MASTER_REGISTER!N88)</f>
        <v/>
      </c>
    </row>
    <row r="92">
      <c r="A92" s="31">
        <f>IF(MASTER_REGISTER!E89="","",MASTER_REGISTER!E89)</f>
        <v/>
      </c>
      <c r="B92" s="31">
        <f>IF($A92="","",MASTER_REGISTER!F89)</f>
        <v/>
      </c>
      <c r="C92" s="31">
        <f>IF($A92="","",MASTER_REGISTER!C89)</f>
        <v/>
      </c>
      <c r="D92" s="31">
        <f>IF($A92="","",MASTER_REGISTER!H89)</f>
        <v/>
      </c>
      <c r="E92" s="31">
        <f>IF($A92="","",MASTER_REGISTER!G89)</f>
        <v/>
      </c>
      <c r="F92" s="31">
        <f>IF($A92="","",MASTER_REGISTER!I89)</f>
        <v/>
      </c>
      <c r="G92" s="32">
        <f>IF($A92="","",MASTER_REGISTER!J89)</f>
        <v/>
      </c>
      <c r="H92" s="32">
        <f>IF($A92="","",MASTER_REGISTER!L89)</f>
        <v/>
      </c>
      <c r="I92" s="32">
        <f>IF($A92="","",MASTER_REGISTER!M89)</f>
        <v/>
      </c>
      <c r="J92" s="31">
        <f>IF($A92="","",MASTER_REGISTER!N89)</f>
        <v/>
      </c>
    </row>
    <row r="93">
      <c r="A93" s="31">
        <f>IF(MASTER_REGISTER!E90="","",MASTER_REGISTER!E90)</f>
        <v/>
      </c>
      <c r="B93" s="31">
        <f>IF($A93="","",MASTER_REGISTER!F90)</f>
        <v/>
      </c>
      <c r="C93" s="31">
        <f>IF($A93="","",MASTER_REGISTER!C90)</f>
        <v/>
      </c>
      <c r="D93" s="31">
        <f>IF($A93="","",MASTER_REGISTER!H90)</f>
        <v/>
      </c>
      <c r="E93" s="31">
        <f>IF($A93="","",MASTER_REGISTER!G90)</f>
        <v/>
      </c>
      <c r="F93" s="31">
        <f>IF($A93="","",MASTER_REGISTER!I90)</f>
        <v/>
      </c>
      <c r="G93" s="32">
        <f>IF($A93="","",MASTER_REGISTER!J90)</f>
        <v/>
      </c>
      <c r="H93" s="32">
        <f>IF($A93="","",MASTER_REGISTER!L90)</f>
        <v/>
      </c>
      <c r="I93" s="32">
        <f>IF($A93="","",MASTER_REGISTER!M90)</f>
        <v/>
      </c>
      <c r="J93" s="31">
        <f>IF($A93="","",MASTER_REGISTER!N90)</f>
        <v/>
      </c>
    </row>
    <row r="94">
      <c r="A94" s="31">
        <f>IF(MASTER_REGISTER!E91="","",MASTER_REGISTER!E91)</f>
        <v/>
      </c>
      <c r="B94" s="31">
        <f>IF($A94="","",MASTER_REGISTER!F91)</f>
        <v/>
      </c>
      <c r="C94" s="31">
        <f>IF($A94="","",MASTER_REGISTER!C91)</f>
        <v/>
      </c>
      <c r="D94" s="31">
        <f>IF($A94="","",MASTER_REGISTER!H91)</f>
        <v/>
      </c>
      <c r="E94" s="31">
        <f>IF($A94="","",MASTER_REGISTER!G91)</f>
        <v/>
      </c>
      <c r="F94" s="31">
        <f>IF($A94="","",MASTER_REGISTER!I91)</f>
        <v/>
      </c>
      <c r="G94" s="32">
        <f>IF($A94="","",MASTER_REGISTER!J91)</f>
        <v/>
      </c>
      <c r="H94" s="32">
        <f>IF($A94="","",MASTER_REGISTER!L91)</f>
        <v/>
      </c>
      <c r="I94" s="32">
        <f>IF($A94="","",MASTER_REGISTER!M91)</f>
        <v/>
      </c>
      <c r="J94" s="31">
        <f>IF($A94="","",MASTER_REGISTER!N91)</f>
        <v/>
      </c>
    </row>
    <row r="95">
      <c r="A95" s="31">
        <f>IF(MASTER_REGISTER!E92="","",MASTER_REGISTER!E92)</f>
        <v/>
      </c>
      <c r="B95" s="31">
        <f>IF($A95="","",MASTER_REGISTER!F92)</f>
        <v/>
      </c>
      <c r="C95" s="31">
        <f>IF($A95="","",MASTER_REGISTER!C92)</f>
        <v/>
      </c>
      <c r="D95" s="31">
        <f>IF($A95="","",MASTER_REGISTER!H92)</f>
        <v/>
      </c>
      <c r="E95" s="31">
        <f>IF($A95="","",MASTER_REGISTER!G92)</f>
        <v/>
      </c>
      <c r="F95" s="31">
        <f>IF($A95="","",MASTER_REGISTER!I92)</f>
        <v/>
      </c>
      <c r="G95" s="32">
        <f>IF($A95="","",MASTER_REGISTER!J92)</f>
        <v/>
      </c>
      <c r="H95" s="32">
        <f>IF($A95="","",MASTER_REGISTER!L92)</f>
        <v/>
      </c>
      <c r="I95" s="32">
        <f>IF($A95="","",MASTER_REGISTER!M92)</f>
        <v/>
      </c>
      <c r="J95" s="31">
        <f>IF($A95="","",MASTER_REGISTER!N92)</f>
        <v/>
      </c>
    </row>
    <row r="96">
      <c r="A96" s="31">
        <f>IF(MASTER_REGISTER!E93="","",MASTER_REGISTER!E93)</f>
        <v/>
      </c>
      <c r="B96" s="31">
        <f>IF($A96="","",MASTER_REGISTER!F93)</f>
        <v/>
      </c>
      <c r="C96" s="31">
        <f>IF($A96="","",MASTER_REGISTER!C93)</f>
        <v/>
      </c>
      <c r="D96" s="31">
        <f>IF($A96="","",MASTER_REGISTER!H93)</f>
        <v/>
      </c>
      <c r="E96" s="31">
        <f>IF($A96="","",MASTER_REGISTER!G93)</f>
        <v/>
      </c>
      <c r="F96" s="31">
        <f>IF($A96="","",MASTER_REGISTER!I93)</f>
        <v/>
      </c>
      <c r="G96" s="32">
        <f>IF($A96="","",MASTER_REGISTER!J93)</f>
        <v/>
      </c>
      <c r="H96" s="32">
        <f>IF($A96="","",MASTER_REGISTER!L93)</f>
        <v/>
      </c>
      <c r="I96" s="32">
        <f>IF($A96="","",MASTER_REGISTER!M93)</f>
        <v/>
      </c>
      <c r="J96" s="31">
        <f>IF($A96="","",MASTER_REGISTER!N93)</f>
        <v/>
      </c>
    </row>
    <row r="97">
      <c r="A97" s="31">
        <f>IF(MASTER_REGISTER!E94="","",MASTER_REGISTER!E94)</f>
        <v/>
      </c>
      <c r="B97" s="31">
        <f>IF($A97="","",MASTER_REGISTER!F94)</f>
        <v/>
      </c>
      <c r="C97" s="31">
        <f>IF($A97="","",MASTER_REGISTER!C94)</f>
        <v/>
      </c>
      <c r="D97" s="31">
        <f>IF($A97="","",MASTER_REGISTER!H94)</f>
        <v/>
      </c>
      <c r="E97" s="31">
        <f>IF($A97="","",MASTER_REGISTER!G94)</f>
        <v/>
      </c>
      <c r="F97" s="31">
        <f>IF($A97="","",MASTER_REGISTER!I94)</f>
        <v/>
      </c>
      <c r="G97" s="32">
        <f>IF($A97="","",MASTER_REGISTER!J94)</f>
        <v/>
      </c>
      <c r="H97" s="32">
        <f>IF($A97="","",MASTER_REGISTER!L94)</f>
        <v/>
      </c>
      <c r="I97" s="32">
        <f>IF($A97="","",MASTER_REGISTER!M94)</f>
        <v/>
      </c>
      <c r="J97" s="31">
        <f>IF($A97="","",MASTER_REGISTER!N94)</f>
        <v/>
      </c>
    </row>
    <row r="98">
      <c r="A98" s="31">
        <f>IF(MASTER_REGISTER!E95="","",MASTER_REGISTER!E95)</f>
        <v/>
      </c>
      <c r="B98" s="31">
        <f>IF($A98="","",MASTER_REGISTER!F95)</f>
        <v/>
      </c>
      <c r="C98" s="31">
        <f>IF($A98="","",MASTER_REGISTER!C95)</f>
        <v/>
      </c>
      <c r="D98" s="31">
        <f>IF($A98="","",MASTER_REGISTER!H95)</f>
        <v/>
      </c>
      <c r="E98" s="31">
        <f>IF($A98="","",MASTER_REGISTER!G95)</f>
        <v/>
      </c>
      <c r="F98" s="31">
        <f>IF($A98="","",MASTER_REGISTER!I95)</f>
        <v/>
      </c>
      <c r="G98" s="32">
        <f>IF($A98="","",MASTER_REGISTER!J95)</f>
        <v/>
      </c>
      <c r="H98" s="32">
        <f>IF($A98="","",MASTER_REGISTER!L95)</f>
        <v/>
      </c>
      <c r="I98" s="32">
        <f>IF($A98="","",MASTER_REGISTER!M95)</f>
        <v/>
      </c>
      <c r="J98" s="31">
        <f>IF($A98="","",MASTER_REGISTER!N95)</f>
        <v/>
      </c>
    </row>
    <row r="99">
      <c r="A99" s="31">
        <f>IF(MASTER_REGISTER!E96="","",MASTER_REGISTER!E96)</f>
        <v/>
      </c>
      <c r="B99" s="31">
        <f>IF($A99="","",MASTER_REGISTER!F96)</f>
        <v/>
      </c>
      <c r="C99" s="31">
        <f>IF($A99="","",MASTER_REGISTER!C96)</f>
        <v/>
      </c>
      <c r="D99" s="31">
        <f>IF($A99="","",MASTER_REGISTER!H96)</f>
        <v/>
      </c>
      <c r="E99" s="31">
        <f>IF($A99="","",MASTER_REGISTER!G96)</f>
        <v/>
      </c>
      <c r="F99" s="31">
        <f>IF($A99="","",MASTER_REGISTER!I96)</f>
        <v/>
      </c>
      <c r="G99" s="32">
        <f>IF($A99="","",MASTER_REGISTER!J96)</f>
        <v/>
      </c>
      <c r="H99" s="32">
        <f>IF($A99="","",MASTER_REGISTER!L96)</f>
        <v/>
      </c>
      <c r="I99" s="32">
        <f>IF($A99="","",MASTER_REGISTER!M96)</f>
        <v/>
      </c>
      <c r="J99" s="31">
        <f>IF($A99="","",MASTER_REGISTER!N96)</f>
        <v/>
      </c>
    </row>
    <row r="100">
      <c r="A100" s="31">
        <f>IF(MASTER_REGISTER!E97="","",MASTER_REGISTER!E97)</f>
        <v/>
      </c>
      <c r="B100" s="31">
        <f>IF($A100="","",MASTER_REGISTER!F97)</f>
        <v/>
      </c>
      <c r="C100" s="31">
        <f>IF($A100="","",MASTER_REGISTER!C97)</f>
        <v/>
      </c>
      <c r="D100" s="31">
        <f>IF($A100="","",MASTER_REGISTER!H97)</f>
        <v/>
      </c>
      <c r="E100" s="31">
        <f>IF($A100="","",MASTER_REGISTER!G97)</f>
        <v/>
      </c>
      <c r="F100" s="31">
        <f>IF($A100="","",MASTER_REGISTER!I97)</f>
        <v/>
      </c>
      <c r="G100" s="32">
        <f>IF($A100="","",MASTER_REGISTER!J97)</f>
        <v/>
      </c>
      <c r="H100" s="32">
        <f>IF($A100="","",MASTER_REGISTER!L97)</f>
        <v/>
      </c>
      <c r="I100" s="32">
        <f>IF($A100="","",MASTER_REGISTER!M97)</f>
        <v/>
      </c>
      <c r="J100" s="31">
        <f>IF($A100="","",MASTER_REGISTER!N97)</f>
        <v/>
      </c>
    </row>
    <row r="101">
      <c r="A101" s="31">
        <f>IF(MASTER_REGISTER!E98="","",MASTER_REGISTER!E98)</f>
        <v/>
      </c>
      <c r="B101" s="31">
        <f>IF($A101="","",MASTER_REGISTER!F98)</f>
        <v/>
      </c>
      <c r="C101" s="31">
        <f>IF($A101="","",MASTER_REGISTER!C98)</f>
        <v/>
      </c>
      <c r="D101" s="31">
        <f>IF($A101="","",MASTER_REGISTER!H98)</f>
        <v/>
      </c>
      <c r="E101" s="31">
        <f>IF($A101="","",MASTER_REGISTER!G98)</f>
        <v/>
      </c>
      <c r="F101" s="31">
        <f>IF($A101="","",MASTER_REGISTER!I98)</f>
        <v/>
      </c>
      <c r="G101" s="32">
        <f>IF($A101="","",MASTER_REGISTER!J98)</f>
        <v/>
      </c>
      <c r="H101" s="32">
        <f>IF($A101="","",MASTER_REGISTER!L98)</f>
        <v/>
      </c>
      <c r="I101" s="32">
        <f>IF($A101="","",MASTER_REGISTER!M98)</f>
        <v/>
      </c>
      <c r="J101" s="31">
        <f>IF($A101="","",MASTER_REGISTER!N98)</f>
        <v/>
      </c>
    </row>
    <row r="102">
      <c r="A102" s="31">
        <f>IF(MASTER_REGISTER!E99="","",MASTER_REGISTER!E99)</f>
        <v/>
      </c>
      <c r="B102" s="31">
        <f>IF($A102="","",MASTER_REGISTER!F99)</f>
        <v/>
      </c>
      <c r="C102" s="31">
        <f>IF($A102="","",MASTER_REGISTER!C99)</f>
        <v/>
      </c>
      <c r="D102" s="31">
        <f>IF($A102="","",MASTER_REGISTER!H99)</f>
        <v/>
      </c>
      <c r="E102" s="31">
        <f>IF($A102="","",MASTER_REGISTER!G99)</f>
        <v/>
      </c>
      <c r="F102" s="31">
        <f>IF($A102="","",MASTER_REGISTER!I99)</f>
        <v/>
      </c>
      <c r="G102" s="32">
        <f>IF($A102="","",MASTER_REGISTER!J99)</f>
        <v/>
      </c>
      <c r="H102" s="32">
        <f>IF($A102="","",MASTER_REGISTER!L99)</f>
        <v/>
      </c>
      <c r="I102" s="32">
        <f>IF($A102="","",MASTER_REGISTER!M99)</f>
        <v/>
      </c>
      <c r="J102" s="31">
        <f>IF($A102="","",MASTER_REGISTER!N99)</f>
        <v/>
      </c>
    </row>
    <row r="103">
      <c r="A103" s="31">
        <f>IF(MASTER_REGISTER!E100="","",MASTER_REGISTER!E100)</f>
        <v/>
      </c>
      <c r="B103" s="31">
        <f>IF($A103="","",MASTER_REGISTER!F100)</f>
        <v/>
      </c>
      <c r="C103" s="31">
        <f>IF($A103="","",MASTER_REGISTER!C100)</f>
        <v/>
      </c>
      <c r="D103" s="31">
        <f>IF($A103="","",MASTER_REGISTER!H100)</f>
        <v/>
      </c>
      <c r="E103" s="31">
        <f>IF($A103="","",MASTER_REGISTER!G100)</f>
        <v/>
      </c>
      <c r="F103" s="31">
        <f>IF($A103="","",MASTER_REGISTER!I100)</f>
        <v/>
      </c>
      <c r="G103" s="32">
        <f>IF($A103="","",MASTER_REGISTER!J100)</f>
        <v/>
      </c>
      <c r="H103" s="32">
        <f>IF($A103="","",MASTER_REGISTER!L100)</f>
        <v/>
      </c>
      <c r="I103" s="32">
        <f>IF($A103="","",MASTER_REGISTER!M100)</f>
        <v/>
      </c>
      <c r="J103" s="31">
        <f>IF($A103="","",MASTER_REGISTER!N100)</f>
        <v/>
      </c>
    </row>
    <row r="104">
      <c r="A104" s="31">
        <f>IF(MASTER_REGISTER!E101="","",MASTER_REGISTER!E101)</f>
        <v/>
      </c>
      <c r="B104" s="31">
        <f>IF($A104="","",MASTER_REGISTER!F101)</f>
        <v/>
      </c>
      <c r="C104" s="31">
        <f>IF($A104="","",MASTER_REGISTER!C101)</f>
        <v/>
      </c>
      <c r="D104" s="31">
        <f>IF($A104="","",MASTER_REGISTER!H101)</f>
        <v/>
      </c>
      <c r="E104" s="31">
        <f>IF($A104="","",MASTER_REGISTER!G101)</f>
        <v/>
      </c>
      <c r="F104" s="31">
        <f>IF($A104="","",MASTER_REGISTER!I101)</f>
        <v/>
      </c>
      <c r="G104" s="32">
        <f>IF($A104="","",MASTER_REGISTER!J101)</f>
        <v/>
      </c>
      <c r="H104" s="32">
        <f>IF($A104="","",MASTER_REGISTER!L101)</f>
        <v/>
      </c>
      <c r="I104" s="32">
        <f>IF($A104="","",MASTER_REGISTER!M101)</f>
        <v/>
      </c>
      <c r="J104" s="31">
        <f>IF($A104="","",MASTER_REGISTER!N101)</f>
        <v/>
      </c>
    </row>
    <row r="105">
      <c r="A105" s="31">
        <f>IF(MASTER_REGISTER!E102="","",MASTER_REGISTER!E102)</f>
        <v/>
      </c>
      <c r="B105" s="31">
        <f>IF($A105="","",MASTER_REGISTER!F102)</f>
        <v/>
      </c>
      <c r="C105" s="31">
        <f>IF($A105="","",MASTER_REGISTER!C102)</f>
        <v/>
      </c>
      <c r="D105" s="31">
        <f>IF($A105="","",MASTER_REGISTER!H102)</f>
        <v/>
      </c>
      <c r="E105" s="31">
        <f>IF($A105="","",MASTER_REGISTER!G102)</f>
        <v/>
      </c>
      <c r="F105" s="31">
        <f>IF($A105="","",MASTER_REGISTER!I102)</f>
        <v/>
      </c>
      <c r="G105" s="32">
        <f>IF($A105="","",MASTER_REGISTER!J102)</f>
        <v/>
      </c>
      <c r="H105" s="32">
        <f>IF($A105="","",MASTER_REGISTER!L102)</f>
        <v/>
      </c>
      <c r="I105" s="32">
        <f>IF($A105="","",MASTER_REGISTER!M102)</f>
        <v/>
      </c>
      <c r="J105" s="31">
        <f>IF($A105="","",MASTER_REGISTER!N102)</f>
        <v/>
      </c>
    </row>
    <row r="106">
      <c r="A106" s="31">
        <f>IF(MASTER_REGISTER!E103="","",MASTER_REGISTER!E103)</f>
        <v/>
      </c>
      <c r="B106" s="31">
        <f>IF($A106="","",MASTER_REGISTER!F103)</f>
        <v/>
      </c>
      <c r="C106" s="31">
        <f>IF($A106="","",MASTER_REGISTER!C103)</f>
        <v/>
      </c>
      <c r="D106" s="31">
        <f>IF($A106="","",MASTER_REGISTER!H103)</f>
        <v/>
      </c>
      <c r="E106" s="31">
        <f>IF($A106="","",MASTER_REGISTER!G103)</f>
        <v/>
      </c>
      <c r="F106" s="31">
        <f>IF($A106="","",MASTER_REGISTER!I103)</f>
        <v/>
      </c>
      <c r="G106" s="32">
        <f>IF($A106="","",MASTER_REGISTER!J103)</f>
        <v/>
      </c>
      <c r="H106" s="32">
        <f>IF($A106="","",MASTER_REGISTER!L103)</f>
        <v/>
      </c>
      <c r="I106" s="32">
        <f>IF($A106="","",MASTER_REGISTER!M103)</f>
        <v/>
      </c>
      <c r="J106" s="31">
        <f>IF($A106="","",MASTER_REGISTER!N103)</f>
        <v/>
      </c>
    </row>
    <row r="107">
      <c r="A107" s="31">
        <f>IF(MASTER_REGISTER!E104="","",MASTER_REGISTER!E104)</f>
        <v/>
      </c>
      <c r="B107" s="31">
        <f>IF($A107="","",MASTER_REGISTER!F104)</f>
        <v/>
      </c>
      <c r="C107" s="31">
        <f>IF($A107="","",MASTER_REGISTER!C104)</f>
        <v/>
      </c>
      <c r="D107" s="31">
        <f>IF($A107="","",MASTER_REGISTER!H104)</f>
        <v/>
      </c>
      <c r="E107" s="31">
        <f>IF($A107="","",MASTER_REGISTER!G104)</f>
        <v/>
      </c>
      <c r="F107" s="31">
        <f>IF($A107="","",MASTER_REGISTER!I104)</f>
        <v/>
      </c>
      <c r="G107" s="32">
        <f>IF($A107="","",MASTER_REGISTER!J104)</f>
        <v/>
      </c>
      <c r="H107" s="32">
        <f>IF($A107="","",MASTER_REGISTER!L104)</f>
        <v/>
      </c>
      <c r="I107" s="32">
        <f>IF($A107="","",MASTER_REGISTER!M104)</f>
        <v/>
      </c>
      <c r="J107" s="31">
        <f>IF($A107="","",MASTER_REGISTER!N104)</f>
        <v/>
      </c>
    </row>
    <row r="108">
      <c r="A108" s="31">
        <f>IF(MASTER_REGISTER!E105="","",MASTER_REGISTER!E105)</f>
        <v/>
      </c>
      <c r="B108" s="31">
        <f>IF($A108="","",MASTER_REGISTER!F105)</f>
        <v/>
      </c>
      <c r="C108" s="31">
        <f>IF($A108="","",MASTER_REGISTER!C105)</f>
        <v/>
      </c>
      <c r="D108" s="31">
        <f>IF($A108="","",MASTER_REGISTER!H105)</f>
        <v/>
      </c>
      <c r="E108" s="31">
        <f>IF($A108="","",MASTER_REGISTER!G105)</f>
        <v/>
      </c>
      <c r="F108" s="31">
        <f>IF($A108="","",MASTER_REGISTER!I105)</f>
        <v/>
      </c>
      <c r="G108" s="32">
        <f>IF($A108="","",MASTER_REGISTER!J105)</f>
        <v/>
      </c>
      <c r="H108" s="32">
        <f>IF($A108="","",MASTER_REGISTER!L105)</f>
        <v/>
      </c>
      <c r="I108" s="32">
        <f>IF($A108="","",MASTER_REGISTER!M105)</f>
        <v/>
      </c>
      <c r="J108" s="31">
        <f>IF($A108="","",MASTER_REGISTER!N105)</f>
        <v/>
      </c>
    </row>
    <row r="109">
      <c r="A109" s="31">
        <f>IF(MASTER_REGISTER!E106="","",MASTER_REGISTER!E106)</f>
        <v/>
      </c>
      <c r="B109" s="31">
        <f>IF($A109="","",MASTER_REGISTER!F106)</f>
        <v/>
      </c>
      <c r="C109" s="31">
        <f>IF($A109="","",MASTER_REGISTER!C106)</f>
        <v/>
      </c>
      <c r="D109" s="31">
        <f>IF($A109="","",MASTER_REGISTER!H106)</f>
        <v/>
      </c>
      <c r="E109" s="31">
        <f>IF($A109="","",MASTER_REGISTER!G106)</f>
        <v/>
      </c>
      <c r="F109" s="31">
        <f>IF($A109="","",MASTER_REGISTER!I106)</f>
        <v/>
      </c>
      <c r="G109" s="32">
        <f>IF($A109="","",MASTER_REGISTER!J106)</f>
        <v/>
      </c>
      <c r="H109" s="32">
        <f>IF($A109="","",MASTER_REGISTER!L106)</f>
        <v/>
      </c>
      <c r="I109" s="32">
        <f>IF($A109="","",MASTER_REGISTER!M106)</f>
        <v/>
      </c>
      <c r="J109" s="31">
        <f>IF($A109="","",MASTER_REGISTER!N106)</f>
        <v/>
      </c>
    </row>
    <row r="110">
      <c r="A110" s="31">
        <f>IF(MASTER_REGISTER!E107="","",MASTER_REGISTER!E107)</f>
        <v/>
      </c>
      <c r="B110" s="31">
        <f>IF($A110="","",MASTER_REGISTER!F107)</f>
        <v/>
      </c>
      <c r="C110" s="31">
        <f>IF($A110="","",MASTER_REGISTER!C107)</f>
        <v/>
      </c>
      <c r="D110" s="31">
        <f>IF($A110="","",MASTER_REGISTER!H107)</f>
        <v/>
      </c>
      <c r="E110" s="31">
        <f>IF($A110="","",MASTER_REGISTER!G107)</f>
        <v/>
      </c>
      <c r="F110" s="31">
        <f>IF($A110="","",MASTER_REGISTER!I107)</f>
        <v/>
      </c>
      <c r="G110" s="32">
        <f>IF($A110="","",MASTER_REGISTER!J107)</f>
        <v/>
      </c>
      <c r="H110" s="32">
        <f>IF($A110="","",MASTER_REGISTER!L107)</f>
        <v/>
      </c>
      <c r="I110" s="32">
        <f>IF($A110="","",MASTER_REGISTER!M107)</f>
        <v/>
      </c>
      <c r="J110" s="31">
        <f>IF($A110="","",MASTER_REGISTER!N107)</f>
        <v/>
      </c>
    </row>
    <row r="111">
      <c r="A111" s="31">
        <f>IF(MASTER_REGISTER!E108="","",MASTER_REGISTER!E108)</f>
        <v/>
      </c>
      <c r="B111" s="31">
        <f>IF($A111="","",MASTER_REGISTER!F108)</f>
        <v/>
      </c>
      <c r="C111" s="31">
        <f>IF($A111="","",MASTER_REGISTER!C108)</f>
        <v/>
      </c>
      <c r="D111" s="31">
        <f>IF($A111="","",MASTER_REGISTER!H108)</f>
        <v/>
      </c>
      <c r="E111" s="31">
        <f>IF($A111="","",MASTER_REGISTER!G108)</f>
        <v/>
      </c>
      <c r="F111" s="31">
        <f>IF($A111="","",MASTER_REGISTER!I108)</f>
        <v/>
      </c>
      <c r="G111" s="32">
        <f>IF($A111="","",MASTER_REGISTER!J108)</f>
        <v/>
      </c>
      <c r="H111" s="32">
        <f>IF($A111="","",MASTER_REGISTER!L108)</f>
        <v/>
      </c>
      <c r="I111" s="32">
        <f>IF($A111="","",MASTER_REGISTER!M108)</f>
        <v/>
      </c>
      <c r="J111" s="31">
        <f>IF($A111="","",MASTER_REGISTER!N108)</f>
        <v/>
      </c>
    </row>
    <row r="112">
      <c r="A112" s="31">
        <f>IF(MASTER_REGISTER!E109="","",MASTER_REGISTER!E109)</f>
        <v/>
      </c>
      <c r="B112" s="31">
        <f>IF($A112="","",MASTER_REGISTER!F109)</f>
        <v/>
      </c>
      <c r="C112" s="31">
        <f>IF($A112="","",MASTER_REGISTER!C109)</f>
        <v/>
      </c>
      <c r="D112" s="31">
        <f>IF($A112="","",MASTER_REGISTER!H109)</f>
        <v/>
      </c>
      <c r="E112" s="31">
        <f>IF($A112="","",MASTER_REGISTER!G109)</f>
        <v/>
      </c>
      <c r="F112" s="31">
        <f>IF($A112="","",MASTER_REGISTER!I109)</f>
        <v/>
      </c>
      <c r="G112" s="32">
        <f>IF($A112="","",MASTER_REGISTER!J109)</f>
        <v/>
      </c>
      <c r="H112" s="32">
        <f>IF($A112="","",MASTER_REGISTER!L109)</f>
        <v/>
      </c>
      <c r="I112" s="32">
        <f>IF($A112="","",MASTER_REGISTER!M109)</f>
        <v/>
      </c>
      <c r="J112" s="31">
        <f>IF($A112="","",MASTER_REGISTER!N109)</f>
        <v/>
      </c>
    </row>
    <row r="113">
      <c r="A113" s="31">
        <f>IF(MASTER_REGISTER!E110="","",MASTER_REGISTER!E110)</f>
        <v/>
      </c>
      <c r="B113" s="31">
        <f>IF($A113="","",MASTER_REGISTER!F110)</f>
        <v/>
      </c>
      <c r="C113" s="31">
        <f>IF($A113="","",MASTER_REGISTER!C110)</f>
        <v/>
      </c>
      <c r="D113" s="31">
        <f>IF($A113="","",MASTER_REGISTER!H110)</f>
        <v/>
      </c>
      <c r="E113" s="31">
        <f>IF($A113="","",MASTER_REGISTER!G110)</f>
        <v/>
      </c>
      <c r="F113" s="31">
        <f>IF($A113="","",MASTER_REGISTER!I110)</f>
        <v/>
      </c>
      <c r="G113" s="32">
        <f>IF($A113="","",MASTER_REGISTER!J110)</f>
        <v/>
      </c>
      <c r="H113" s="32">
        <f>IF($A113="","",MASTER_REGISTER!L110)</f>
        <v/>
      </c>
      <c r="I113" s="32">
        <f>IF($A113="","",MASTER_REGISTER!M110)</f>
        <v/>
      </c>
      <c r="J113" s="31">
        <f>IF($A113="","",MASTER_REGISTER!N110)</f>
        <v/>
      </c>
    </row>
    <row r="114">
      <c r="A114" s="31">
        <f>IF(MASTER_REGISTER!E111="","",MASTER_REGISTER!E111)</f>
        <v/>
      </c>
      <c r="B114" s="31">
        <f>IF($A114="","",MASTER_REGISTER!F111)</f>
        <v/>
      </c>
      <c r="C114" s="31">
        <f>IF($A114="","",MASTER_REGISTER!C111)</f>
        <v/>
      </c>
      <c r="D114" s="31">
        <f>IF($A114="","",MASTER_REGISTER!H111)</f>
        <v/>
      </c>
      <c r="E114" s="31">
        <f>IF($A114="","",MASTER_REGISTER!G111)</f>
        <v/>
      </c>
      <c r="F114" s="31">
        <f>IF($A114="","",MASTER_REGISTER!I111)</f>
        <v/>
      </c>
      <c r="G114" s="32">
        <f>IF($A114="","",MASTER_REGISTER!J111)</f>
        <v/>
      </c>
      <c r="H114" s="32">
        <f>IF($A114="","",MASTER_REGISTER!L111)</f>
        <v/>
      </c>
      <c r="I114" s="32">
        <f>IF($A114="","",MASTER_REGISTER!M111)</f>
        <v/>
      </c>
      <c r="J114" s="31">
        <f>IF($A114="","",MASTER_REGISTER!N111)</f>
        <v/>
      </c>
    </row>
    <row r="115">
      <c r="A115" s="31">
        <f>IF(MASTER_REGISTER!E112="","",MASTER_REGISTER!E112)</f>
        <v/>
      </c>
      <c r="B115" s="31">
        <f>IF($A115="","",MASTER_REGISTER!F112)</f>
        <v/>
      </c>
      <c r="C115" s="31">
        <f>IF($A115="","",MASTER_REGISTER!C112)</f>
        <v/>
      </c>
      <c r="D115" s="31">
        <f>IF($A115="","",MASTER_REGISTER!H112)</f>
        <v/>
      </c>
      <c r="E115" s="31">
        <f>IF($A115="","",MASTER_REGISTER!G112)</f>
        <v/>
      </c>
      <c r="F115" s="31">
        <f>IF($A115="","",MASTER_REGISTER!I112)</f>
        <v/>
      </c>
      <c r="G115" s="32">
        <f>IF($A115="","",MASTER_REGISTER!J112)</f>
        <v/>
      </c>
      <c r="H115" s="32">
        <f>IF($A115="","",MASTER_REGISTER!L112)</f>
        <v/>
      </c>
      <c r="I115" s="32">
        <f>IF($A115="","",MASTER_REGISTER!M112)</f>
        <v/>
      </c>
      <c r="J115" s="31">
        <f>IF($A115="","",MASTER_REGISTER!N112)</f>
        <v/>
      </c>
    </row>
    <row r="116">
      <c r="A116" s="31">
        <f>IF(MASTER_REGISTER!E113="","",MASTER_REGISTER!E113)</f>
        <v/>
      </c>
      <c r="B116" s="31">
        <f>IF($A116="","",MASTER_REGISTER!F113)</f>
        <v/>
      </c>
      <c r="C116" s="31">
        <f>IF($A116="","",MASTER_REGISTER!C113)</f>
        <v/>
      </c>
      <c r="D116" s="31">
        <f>IF($A116="","",MASTER_REGISTER!H113)</f>
        <v/>
      </c>
      <c r="E116" s="31">
        <f>IF($A116="","",MASTER_REGISTER!G113)</f>
        <v/>
      </c>
      <c r="F116" s="31">
        <f>IF($A116="","",MASTER_REGISTER!I113)</f>
        <v/>
      </c>
      <c r="G116" s="32">
        <f>IF($A116="","",MASTER_REGISTER!J113)</f>
        <v/>
      </c>
      <c r="H116" s="32">
        <f>IF($A116="","",MASTER_REGISTER!L113)</f>
        <v/>
      </c>
      <c r="I116" s="32">
        <f>IF($A116="","",MASTER_REGISTER!M113)</f>
        <v/>
      </c>
      <c r="J116" s="31">
        <f>IF($A116="","",MASTER_REGISTER!N113)</f>
        <v/>
      </c>
    </row>
    <row r="117">
      <c r="A117" s="31">
        <f>IF(MASTER_REGISTER!E114="","",MASTER_REGISTER!E114)</f>
        <v/>
      </c>
      <c r="B117" s="31">
        <f>IF($A117="","",MASTER_REGISTER!F114)</f>
        <v/>
      </c>
      <c r="C117" s="31">
        <f>IF($A117="","",MASTER_REGISTER!C114)</f>
        <v/>
      </c>
      <c r="D117" s="31">
        <f>IF($A117="","",MASTER_REGISTER!H114)</f>
        <v/>
      </c>
      <c r="E117" s="31">
        <f>IF($A117="","",MASTER_REGISTER!G114)</f>
        <v/>
      </c>
      <c r="F117" s="31">
        <f>IF($A117="","",MASTER_REGISTER!I114)</f>
        <v/>
      </c>
      <c r="G117" s="32">
        <f>IF($A117="","",MASTER_REGISTER!J114)</f>
        <v/>
      </c>
      <c r="H117" s="32">
        <f>IF($A117="","",MASTER_REGISTER!L114)</f>
        <v/>
      </c>
      <c r="I117" s="32">
        <f>IF($A117="","",MASTER_REGISTER!M114)</f>
        <v/>
      </c>
      <c r="J117" s="31">
        <f>IF($A117="","",MASTER_REGISTER!N114)</f>
        <v/>
      </c>
    </row>
    <row r="118">
      <c r="A118" s="31">
        <f>IF(MASTER_REGISTER!E115="","",MASTER_REGISTER!E115)</f>
        <v/>
      </c>
      <c r="B118" s="31">
        <f>IF($A118="","",MASTER_REGISTER!F115)</f>
        <v/>
      </c>
      <c r="C118" s="31">
        <f>IF($A118="","",MASTER_REGISTER!C115)</f>
        <v/>
      </c>
      <c r="D118" s="31">
        <f>IF($A118="","",MASTER_REGISTER!H115)</f>
        <v/>
      </c>
      <c r="E118" s="31">
        <f>IF($A118="","",MASTER_REGISTER!G115)</f>
        <v/>
      </c>
      <c r="F118" s="31">
        <f>IF($A118="","",MASTER_REGISTER!I115)</f>
        <v/>
      </c>
      <c r="G118" s="32">
        <f>IF($A118="","",MASTER_REGISTER!J115)</f>
        <v/>
      </c>
      <c r="H118" s="32">
        <f>IF($A118="","",MASTER_REGISTER!L115)</f>
        <v/>
      </c>
      <c r="I118" s="32">
        <f>IF($A118="","",MASTER_REGISTER!M115)</f>
        <v/>
      </c>
      <c r="J118" s="31">
        <f>IF($A118="","",MASTER_REGISTER!N115)</f>
        <v/>
      </c>
    </row>
    <row r="119">
      <c r="A119" s="31">
        <f>IF(MASTER_REGISTER!E116="","",MASTER_REGISTER!E116)</f>
        <v/>
      </c>
      <c r="B119" s="31">
        <f>IF($A119="","",MASTER_REGISTER!F116)</f>
        <v/>
      </c>
      <c r="C119" s="31">
        <f>IF($A119="","",MASTER_REGISTER!C116)</f>
        <v/>
      </c>
      <c r="D119" s="31">
        <f>IF($A119="","",MASTER_REGISTER!H116)</f>
        <v/>
      </c>
      <c r="E119" s="31">
        <f>IF($A119="","",MASTER_REGISTER!G116)</f>
        <v/>
      </c>
      <c r="F119" s="31">
        <f>IF($A119="","",MASTER_REGISTER!I116)</f>
        <v/>
      </c>
      <c r="G119" s="32">
        <f>IF($A119="","",MASTER_REGISTER!J116)</f>
        <v/>
      </c>
      <c r="H119" s="32">
        <f>IF($A119="","",MASTER_REGISTER!L116)</f>
        <v/>
      </c>
      <c r="I119" s="32">
        <f>IF($A119="","",MASTER_REGISTER!M116)</f>
        <v/>
      </c>
      <c r="J119" s="31">
        <f>IF($A119="","",MASTER_REGISTER!N116)</f>
        <v/>
      </c>
    </row>
    <row r="120">
      <c r="A120" s="31">
        <f>IF(MASTER_REGISTER!E117="","",MASTER_REGISTER!E117)</f>
        <v/>
      </c>
      <c r="B120" s="31">
        <f>IF($A120="","",MASTER_REGISTER!F117)</f>
        <v/>
      </c>
      <c r="C120" s="31">
        <f>IF($A120="","",MASTER_REGISTER!C117)</f>
        <v/>
      </c>
      <c r="D120" s="31">
        <f>IF($A120="","",MASTER_REGISTER!H117)</f>
        <v/>
      </c>
      <c r="E120" s="31">
        <f>IF($A120="","",MASTER_REGISTER!G117)</f>
        <v/>
      </c>
      <c r="F120" s="31">
        <f>IF($A120="","",MASTER_REGISTER!I117)</f>
        <v/>
      </c>
      <c r="G120" s="32">
        <f>IF($A120="","",MASTER_REGISTER!J117)</f>
        <v/>
      </c>
      <c r="H120" s="32">
        <f>IF($A120="","",MASTER_REGISTER!L117)</f>
        <v/>
      </c>
      <c r="I120" s="32">
        <f>IF($A120="","",MASTER_REGISTER!M117)</f>
        <v/>
      </c>
      <c r="J120" s="31">
        <f>IF($A120="","",MASTER_REGISTER!N117)</f>
        <v/>
      </c>
    </row>
    <row r="121">
      <c r="A121" s="31">
        <f>IF(MASTER_REGISTER!E118="","",MASTER_REGISTER!E118)</f>
        <v/>
      </c>
      <c r="B121" s="31">
        <f>IF($A121="","",MASTER_REGISTER!F118)</f>
        <v/>
      </c>
      <c r="C121" s="31">
        <f>IF($A121="","",MASTER_REGISTER!C118)</f>
        <v/>
      </c>
      <c r="D121" s="31">
        <f>IF($A121="","",MASTER_REGISTER!H118)</f>
        <v/>
      </c>
      <c r="E121" s="31">
        <f>IF($A121="","",MASTER_REGISTER!G118)</f>
        <v/>
      </c>
      <c r="F121" s="31">
        <f>IF($A121="","",MASTER_REGISTER!I118)</f>
        <v/>
      </c>
      <c r="G121" s="32">
        <f>IF($A121="","",MASTER_REGISTER!J118)</f>
        <v/>
      </c>
      <c r="H121" s="32">
        <f>IF($A121="","",MASTER_REGISTER!L118)</f>
        <v/>
      </c>
      <c r="I121" s="32">
        <f>IF($A121="","",MASTER_REGISTER!M118)</f>
        <v/>
      </c>
      <c r="J121" s="31">
        <f>IF($A121="","",MASTER_REGISTER!N118)</f>
        <v/>
      </c>
    </row>
    <row r="122">
      <c r="A122" s="31">
        <f>IF(MASTER_REGISTER!E119="","",MASTER_REGISTER!E119)</f>
        <v/>
      </c>
      <c r="B122" s="31">
        <f>IF($A122="","",MASTER_REGISTER!F119)</f>
        <v/>
      </c>
      <c r="C122" s="31">
        <f>IF($A122="","",MASTER_REGISTER!C119)</f>
        <v/>
      </c>
      <c r="D122" s="31">
        <f>IF($A122="","",MASTER_REGISTER!H119)</f>
        <v/>
      </c>
      <c r="E122" s="31">
        <f>IF($A122="","",MASTER_REGISTER!G119)</f>
        <v/>
      </c>
      <c r="F122" s="31">
        <f>IF($A122="","",MASTER_REGISTER!I119)</f>
        <v/>
      </c>
      <c r="G122" s="32">
        <f>IF($A122="","",MASTER_REGISTER!J119)</f>
        <v/>
      </c>
      <c r="H122" s="32">
        <f>IF($A122="","",MASTER_REGISTER!L119)</f>
        <v/>
      </c>
      <c r="I122" s="32">
        <f>IF($A122="","",MASTER_REGISTER!M119)</f>
        <v/>
      </c>
      <c r="J122" s="31">
        <f>IF($A122="","",MASTER_REGISTER!N119)</f>
        <v/>
      </c>
    </row>
    <row r="123">
      <c r="A123" s="31">
        <f>IF(MASTER_REGISTER!E120="","",MASTER_REGISTER!E120)</f>
        <v/>
      </c>
      <c r="B123" s="31">
        <f>IF($A123="","",MASTER_REGISTER!F120)</f>
        <v/>
      </c>
      <c r="C123" s="31">
        <f>IF($A123="","",MASTER_REGISTER!C120)</f>
        <v/>
      </c>
      <c r="D123" s="31">
        <f>IF($A123="","",MASTER_REGISTER!H120)</f>
        <v/>
      </c>
      <c r="E123" s="31">
        <f>IF($A123="","",MASTER_REGISTER!G120)</f>
        <v/>
      </c>
      <c r="F123" s="31">
        <f>IF($A123="","",MASTER_REGISTER!I120)</f>
        <v/>
      </c>
      <c r="G123" s="32">
        <f>IF($A123="","",MASTER_REGISTER!J120)</f>
        <v/>
      </c>
      <c r="H123" s="32">
        <f>IF($A123="","",MASTER_REGISTER!L120)</f>
        <v/>
      </c>
      <c r="I123" s="32">
        <f>IF($A123="","",MASTER_REGISTER!M120)</f>
        <v/>
      </c>
      <c r="J123" s="31">
        <f>IF($A123="","",MASTER_REGISTER!N120)</f>
        <v/>
      </c>
    </row>
    <row r="124">
      <c r="A124" s="31">
        <f>IF(MASTER_REGISTER!E121="","",MASTER_REGISTER!E121)</f>
        <v/>
      </c>
      <c r="B124" s="31">
        <f>IF($A124="","",MASTER_REGISTER!F121)</f>
        <v/>
      </c>
      <c r="C124" s="31">
        <f>IF($A124="","",MASTER_REGISTER!C121)</f>
        <v/>
      </c>
      <c r="D124" s="31">
        <f>IF($A124="","",MASTER_REGISTER!H121)</f>
        <v/>
      </c>
      <c r="E124" s="31">
        <f>IF($A124="","",MASTER_REGISTER!G121)</f>
        <v/>
      </c>
      <c r="F124" s="31">
        <f>IF($A124="","",MASTER_REGISTER!I121)</f>
        <v/>
      </c>
      <c r="G124" s="32">
        <f>IF($A124="","",MASTER_REGISTER!J121)</f>
        <v/>
      </c>
      <c r="H124" s="32">
        <f>IF($A124="","",MASTER_REGISTER!L121)</f>
        <v/>
      </c>
      <c r="I124" s="32">
        <f>IF($A124="","",MASTER_REGISTER!M121)</f>
        <v/>
      </c>
      <c r="J124" s="31">
        <f>IF($A124="","",MASTER_REGISTER!N121)</f>
        <v/>
      </c>
    </row>
    <row r="125">
      <c r="A125" s="31">
        <f>IF(MASTER_REGISTER!E122="","",MASTER_REGISTER!E122)</f>
        <v/>
      </c>
      <c r="B125" s="31">
        <f>IF($A125="","",MASTER_REGISTER!F122)</f>
        <v/>
      </c>
      <c r="C125" s="31">
        <f>IF($A125="","",MASTER_REGISTER!C122)</f>
        <v/>
      </c>
      <c r="D125" s="31">
        <f>IF($A125="","",MASTER_REGISTER!H122)</f>
        <v/>
      </c>
      <c r="E125" s="31">
        <f>IF($A125="","",MASTER_REGISTER!G122)</f>
        <v/>
      </c>
      <c r="F125" s="31">
        <f>IF($A125="","",MASTER_REGISTER!I122)</f>
        <v/>
      </c>
      <c r="G125" s="32">
        <f>IF($A125="","",MASTER_REGISTER!J122)</f>
        <v/>
      </c>
      <c r="H125" s="32">
        <f>IF($A125="","",MASTER_REGISTER!L122)</f>
        <v/>
      </c>
      <c r="I125" s="32">
        <f>IF($A125="","",MASTER_REGISTER!M122)</f>
        <v/>
      </c>
      <c r="J125" s="31">
        <f>IF($A125="","",MASTER_REGISTER!N122)</f>
        <v/>
      </c>
    </row>
    <row r="126">
      <c r="A126" s="31">
        <f>IF(MASTER_REGISTER!E123="","",MASTER_REGISTER!E123)</f>
        <v/>
      </c>
      <c r="B126" s="31">
        <f>IF($A126="","",MASTER_REGISTER!F123)</f>
        <v/>
      </c>
      <c r="C126" s="31">
        <f>IF($A126="","",MASTER_REGISTER!C123)</f>
        <v/>
      </c>
      <c r="D126" s="31">
        <f>IF($A126="","",MASTER_REGISTER!H123)</f>
        <v/>
      </c>
      <c r="E126" s="31">
        <f>IF($A126="","",MASTER_REGISTER!G123)</f>
        <v/>
      </c>
      <c r="F126" s="31">
        <f>IF($A126="","",MASTER_REGISTER!I123)</f>
        <v/>
      </c>
      <c r="G126" s="32">
        <f>IF($A126="","",MASTER_REGISTER!J123)</f>
        <v/>
      </c>
      <c r="H126" s="32">
        <f>IF($A126="","",MASTER_REGISTER!L123)</f>
        <v/>
      </c>
      <c r="I126" s="32">
        <f>IF($A126="","",MASTER_REGISTER!M123)</f>
        <v/>
      </c>
      <c r="J126" s="31">
        <f>IF($A126="","",MASTER_REGISTER!N123)</f>
        <v/>
      </c>
    </row>
    <row r="127">
      <c r="A127" s="31">
        <f>IF(MASTER_REGISTER!E124="","",MASTER_REGISTER!E124)</f>
        <v/>
      </c>
      <c r="B127" s="31">
        <f>IF($A127="","",MASTER_REGISTER!F124)</f>
        <v/>
      </c>
      <c r="C127" s="31">
        <f>IF($A127="","",MASTER_REGISTER!C124)</f>
        <v/>
      </c>
      <c r="D127" s="31">
        <f>IF($A127="","",MASTER_REGISTER!H124)</f>
        <v/>
      </c>
      <c r="E127" s="31">
        <f>IF($A127="","",MASTER_REGISTER!G124)</f>
        <v/>
      </c>
      <c r="F127" s="31">
        <f>IF($A127="","",MASTER_REGISTER!I124)</f>
        <v/>
      </c>
      <c r="G127" s="32">
        <f>IF($A127="","",MASTER_REGISTER!J124)</f>
        <v/>
      </c>
      <c r="H127" s="32">
        <f>IF($A127="","",MASTER_REGISTER!L124)</f>
        <v/>
      </c>
      <c r="I127" s="32">
        <f>IF($A127="","",MASTER_REGISTER!M124)</f>
        <v/>
      </c>
      <c r="J127" s="31">
        <f>IF($A127="","",MASTER_REGISTER!N124)</f>
        <v/>
      </c>
    </row>
    <row r="128">
      <c r="A128" s="31">
        <f>IF(MASTER_REGISTER!E125="","",MASTER_REGISTER!E125)</f>
        <v/>
      </c>
      <c r="B128" s="31">
        <f>IF($A128="","",MASTER_REGISTER!F125)</f>
        <v/>
      </c>
      <c r="C128" s="31">
        <f>IF($A128="","",MASTER_REGISTER!C125)</f>
        <v/>
      </c>
      <c r="D128" s="31">
        <f>IF($A128="","",MASTER_REGISTER!H125)</f>
        <v/>
      </c>
      <c r="E128" s="31">
        <f>IF($A128="","",MASTER_REGISTER!G125)</f>
        <v/>
      </c>
      <c r="F128" s="31">
        <f>IF($A128="","",MASTER_REGISTER!I125)</f>
        <v/>
      </c>
      <c r="G128" s="32">
        <f>IF($A128="","",MASTER_REGISTER!J125)</f>
        <v/>
      </c>
      <c r="H128" s="32">
        <f>IF($A128="","",MASTER_REGISTER!L125)</f>
        <v/>
      </c>
      <c r="I128" s="32">
        <f>IF($A128="","",MASTER_REGISTER!M125)</f>
        <v/>
      </c>
      <c r="J128" s="31">
        <f>IF($A128="","",MASTER_REGISTER!N125)</f>
        <v/>
      </c>
    </row>
    <row r="129">
      <c r="A129" s="31">
        <f>IF(MASTER_REGISTER!E126="","",MASTER_REGISTER!E126)</f>
        <v/>
      </c>
      <c r="B129" s="31">
        <f>IF($A129="","",MASTER_REGISTER!F126)</f>
        <v/>
      </c>
      <c r="C129" s="31">
        <f>IF($A129="","",MASTER_REGISTER!C126)</f>
        <v/>
      </c>
      <c r="D129" s="31">
        <f>IF($A129="","",MASTER_REGISTER!H126)</f>
        <v/>
      </c>
      <c r="E129" s="31">
        <f>IF($A129="","",MASTER_REGISTER!G126)</f>
        <v/>
      </c>
      <c r="F129" s="31">
        <f>IF($A129="","",MASTER_REGISTER!I126)</f>
        <v/>
      </c>
      <c r="G129" s="32">
        <f>IF($A129="","",MASTER_REGISTER!J126)</f>
        <v/>
      </c>
      <c r="H129" s="32">
        <f>IF($A129="","",MASTER_REGISTER!L126)</f>
        <v/>
      </c>
      <c r="I129" s="32">
        <f>IF($A129="","",MASTER_REGISTER!M126)</f>
        <v/>
      </c>
      <c r="J129" s="31">
        <f>IF($A129="","",MASTER_REGISTER!N126)</f>
        <v/>
      </c>
    </row>
    <row r="130">
      <c r="A130" s="31">
        <f>IF(MASTER_REGISTER!E127="","",MASTER_REGISTER!E127)</f>
        <v/>
      </c>
      <c r="B130" s="31">
        <f>IF($A130="","",MASTER_REGISTER!F127)</f>
        <v/>
      </c>
      <c r="C130" s="31">
        <f>IF($A130="","",MASTER_REGISTER!C127)</f>
        <v/>
      </c>
      <c r="D130" s="31">
        <f>IF($A130="","",MASTER_REGISTER!H127)</f>
        <v/>
      </c>
      <c r="E130" s="31">
        <f>IF($A130="","",MASTER_REGISTER!G127)</f>
        <v/>
      </c>
      <c r="F130" s="31">
        <f>IF($A130="","",MASTER_REGISTER!I127)</f>
        <v/>
      </c>
      <c r="G130" s="32">
        <f>IF($A130="","",MASTER_REGISTER!J127)</f>
        <v/>
      </c>
      <c r="H130" s="32">
        <f>IF($A130="","",MASTER_REGISTER!L127)</f>
        <v/>
      </c>
      <c r="I130" s="32">
        <f>IF($A130="","",MASTER_REGISTER!M127)</f>
        <v/>
      </c>
      <c r="J130" s="31">
        <f>IF($A130="","",MASTER_REGISTER!N127)</f>
        <v/>
      </c>
    </row>
    <row r="131">
      <c r="A131" s="31">
        <f>IF(MASTER_REGISTER!E128="","",MASTER_REGISTER!E128)</f>
        <v/>
      </c>
      <c r="B131" s="31">
        <f>IF($A131="","",MASTER_REGISTER!F128)</f>
        <v/>
      </c>
      <c r="C131" s="31">
        <f>IF($A131="","",MASTER_REGISTER!C128)</f>
        <v/>
      </c>
      <c r="D131" s="31">
        <f>IF($A131="","",MASTER_REGISTER!H128)</f>
        <v/>
      </c>
      <c r="E131" s="31">
        <f>IF($A131="","",MASTER_REGISTER!G128)</f>
        <v/>
      </c>
      <c r="F131" s="31">
        <f>IF($A131="","",MASTER_REGISTER!I128)</f>
        <v/>
      </c>
      <c r="G131" s="32">
        <f>IF($A131="","",MASTER_REGISTER!J128)</f>
        <v/>
      </c>
      <c r="H131" s="32">
        <f>IF($A131="","",MASTER_REGISTER!L128)</f>
        <v/>
      </c>
      <c r="I131" s="32">
        <f>IF($A131="","",MASTER_REGISTER!M128)</f>
        <v/>
      </c>
      <c r="J131" s="31">
        <f>IF($A131="","",MASTER_REGISTER!N128)</f>
        <v/>
      </c>
    </row>
    <row r="132">
      <c r="A132" s="31">
        <f>IF(MASTER_REGISTER!E129="","",MASTER_REGISTER!E129)</f>
        <v/>
      </c>
      <c r="B132" s="31">
        <f>IF($A132="","",MASTER_REGISTER!F129)</f>
        <v/>
      </c>
      <c r="C132" s="31">
        <f>IF($A132="","",MASTER_REGISTER!C129)</f>
        <v/>
      </c>
      <c r="D132" s="31">
        <f>IF($A132="","",MASTER_REGISTER!H129)</f>
        <v/>
      </c>
      <c r="E132" s="31">
        <f>IF($A132="","",MASTER_REGISTER!G129)</f>
        <v/>
      </c>
      <c r="F132" s="31">
        <f>IF($A132="","",MASTER_REGISTER!I129)</f>
        <v/>
      </c>
      <c r="G132" s="32">
        <f>IF($A132="","",MASTER_REGISTER!J129)</f>
        <v/>
      </c>
      <c r="H132" s="32">
        <f>IF($A132="","",MASTER_REGISTER!L129)</f>
        <v/>
      </c>
      <c r="I132" s="32">
        <f>IF($A132="","",MASTER_REGISTER!M129)</f>
        <v/>
      </c>
      <c r="J132" s="31">
        <f>IF($A132="","",MASTER_REGISTER!N129)</f>
        <v/>
      </c>
    </row>
    <row r="133">
      <c r="A133" s="31">
        <f>IF(MASTER_REGISTER!E130="","",MASTER_REGISTER!E130)</f>
        <v/>
      </c>
      <c r="B133" s="31">
        <f>IF($A133="","",MASTER_REGISTER!F130)</f>
        <v/>
      </c>
      <c r="C133" s="31">
        <f>IF($A133="","",MASTER_REGISTER!C130)</f>
        <v/>
      </c>
      <c r="D133" s="31">
        <f>IF($A133="","",MASTER_REGISTER!H130)</f>
        <v/>
      </c>
      <c r="E133" s="31">
        <f>IF($A133="","",MASTER_REGISTER!G130)</f>
        <v/>
      </c>
      <c r="F133" s="31">
        <f>IF($A133="","",MASTER_REGISTER!I130)</f>
        <v/>
      </c>
      <c r="G133" s="32">
        <f>IF($A133="","",MASTER_REGISTER!J130)</f>
        <v/>
      </c>
      <c r="H133" s="32">
        <f>IF($A133="","",MASTER_REGISTER!L130)</f>
        <v/>
      </c>
      <c r="I133" s="32">
        <f>IF($A133="","",MASTER_REGISTER!M130)</f>
        <v/>
      </c>
      <c r="J133" s="31">
        <f>IF($A133="","",MASTER_REGISTER!N130)</f>
        <v/>
      </c>
    </row>
    <row r="134">
      <c r="A134" s="31">
        <f>IF(MASTER_REGISTER!E131="","",MASTER_REGISTER!E131)</f>
        <v/>
      </c>
      <c r="B134" s="31">
        <f>IF($A134="","",MASTER_REGISTER!F131)</f>
        <v/>
      </c>
      <c r="C134" s="31">
        <f>IF($A134="","",MASTER_REGISTER!C131)</f>
        <v/>
      </c>
      <c r="D134" s="31">
        <f>IF($A134="","",MASTER_REGISTER!H131)</f>
        <v/>
      </c>
      <c r="E134" s="31">
        <f>IF($A134="","",MASTER_REGISTER!G131)</f>
        <v/>
      </c>
      <c r="F134" s="31">
        <f>IF($A134="","",MASTER_REGISTER!I131)</f>
        <v/>
      </c>
      <c r="G134" s="32">
        <f>IF($A134="","",MASTER_REGISTER!J131)</f>
        <v/>
      </c>
      <c r="H134" s="32">
        <f>IF($A134="","",MASTER_REGISTER!L131)</f>
        <v/>
      </c>
      <c r="I134" s="32">
        <f>IF($A134="","",MASTER_REGISTER!M131)</f>
        <v/>
      </c>
      <c r="J134" s="31">
        <f>IF($A134="","",MASTER_REGISTER!N131)</f>
        <v/>
      </c>
    </row>
    <row r="135">
      <c r="A135" s="31">
        <f>IF(MASTER_REGISTER!E132="","",MASTER_REGISTER!E132)</f>
        <v/>
      </c>
      <c r="B135" s="31">
        <f>IF($A135="","",MASTER_REGISTER!F132)</f>
        <v/>
      </c>
      <c r="C135" s="31">
        <f>IF($A135="","",MASTER_REGISTER!C132)</f>
        <v/>
      </c>
      <c r="D135" s="31">
        <f>IF($A135="","",MASTER_REGISTER!H132)</f>
        <v/>
      </c>
      <c r="E135" s="31">
        <f>IF($A135="","",MASTER_REGISTER!G132)</f>
        <v/>
      </c>
      <c r="F135" s="31">
        <f>IF($A135="","",MASTER_REGISTER!I132)</f>
        <v/>
      </c>
      <c r="G135" s="32">
        <f>IF($A135="","",MASTER_REGISTER!J132)</f>
        <v/>
      </c>
      <c r="H135" s="32">
        <f>IF($A135="","",MASTER_REGISTER!L132)</f>
        <v/>
      </c>
      <c r="I135" s="32">
        <f>IF($A135="","",MASTER_REGISTER!M132)</f>
        <v/>
      </c>
      <c r="J135" s="31">
        <f>IF($A135="","",MASTER_REGISTER!N132)</f>
        <v/>
      </c>
    </row>
    <row r="136">
      <c r="A136" s="31">
        <f>IF(MASTER_REGISTER!E133="","",MASTER_REGISTER!E133)</f>
        <v/>
      </c>
      <c r="B136" s="31">
        <f>IF($A136="","",MASTER_REGISTER!F133)</f>
        <v/>
      </c>
      <c r="C136" s="31">
        <f>IF($A136="","",MASTER_REGISTER!C133)</f>
        <v/>
      </c>
      <c r="D136" s="31">
        <f>IF($A136="","",MASTER_REGISTER!H133)</f>
        <v/>
      </c>
      <c r="E136" s="31">
        <f>IF($A136="","",MASTER_REGISTER!G133)</f>
        <v/>
      </c>
      <c r="F136" s="31">
        <f>IF($A136="","",MASTER_REGISTER!I133)</f>
        <v/>
      </c>
      <c r="G136" s="32">
        <f>IF($A136="","",MASTER_REGISTER!J133)</f>
        <v/>
      </c>
      <c r="H136" s="32">
        <f>IF($A136="","",MASTER_REGISTER!L133)</f>
        <v/>
      </c>
      <c r="I136" s="32">
        <f>IF($A136="","",MASTER_REGISTER!M133)</f>
        <v/>
      </c>
      <c r="J136" s="31">
        <f>IF($A136="","",MASTER_REGISTER!N133)</f>
        <v/>
      </c>
    </row>
    <row r="137">
      <c r="A137" s="31">
        <f>IF(MASTER_REGISTER!E134="","",MASTER_REGISTER!E134)</f>
        <v/>
      </c>
      <c r="B137" s="31">
        <f>IF($A137="","",MASTER_REGISTER!F134)</f>
        <v/>
      </c>
      <c r="C137" s="31">
        <f>IF($A137="","",MASTER_REGISTER!C134)</f>
        <v/>
      </c>
      <c r="D137" s="31">
        <f>IF($A137="","",MASTER_REGISTER!H134)</f>
        <v/>
      </c>
      <c r="E137" s="31">
        <f>IF($A137="","",MASTER_REGISTER!G134)</f>
        <v/>
      </c>
      <c r="F137" s="31">
        <f>IF($A137="","",MASTER_REGISTER!I134)</f>
        <v/>
      </c>
      <c r="G137" s="32">
        <f>IF($A137="","",MASTER_REGISTER!J134)</f>
        <v/>
      </c>
      <c r="H137" s="32">
        <f>IF($A137="","",MASTER_REGISTER!L134)</f>
        <v/>
      </c>
      <c r="I137" s="32">
        <f>IF($A137="","",MASTER_REGISTER!M134)</f>
        <v/>
      </c>
      <c r="J137" s="31">
        <f>IF($A137="","",MASTER_REGISTER!N134)</f>
        <v/>
      </c>
    </row>
    <row r="138">
      <c r="A138" s="31">
        <f>IF(MASTER_REGISTER!E135="","",MASTER_REGISTER!E135)</f>
        <v/>
      </c>
      <c r="B138" s="31">
        <f>IF($A138="","",MASTER_REGISTER!F135)</f>
        <v/>
      </c>
      <c r="C138" s="31">
        <f>IF($A138="","",MASTER_REGISTER!C135)</f>
        <v/>
      </c>
      <c r="D138" s="31">
        <f>IF($A138="","",MASTER_REGISTER!H135)</f>
        <v/>
      </c>
      <c r="E138" s="31">
        <f>IF($A138="","",MASTER_REGISTER!G135)</f>
        <v/>
      </c>
      <c r="F138" s="31">
        <f>IF($A138="","",MASTER_REGISTER!I135)</f>
        <v/>
      </c>
      <c r="G138" s="32">
        <f>IF($A138="","",MASTER_REGISTER!J135)</f>
        <v/>
      </c>
      <c r="H138" s="32">
        <f>IF($A138="","",MASTER_REGISTER!L135)</f>
        <v/>
      </c>
      <c r="I138" s="32">
        <f>IF($A138="","",MASTER_REGISTER!M135)</f>
        <v/>
      </c>
      <c r="J138" s="31">
        <f>IF($A138="","",MASTER_REGISTER!N135)</f>
        <v/>
      </c>
    </row>
    <row r="139">
      <c r="A139" s="31">
        <f>IF(MASTER_REGISTER!E136="","",MASTER_REGISTER!E136)</f>
        <v/>
      </c>
      <c r="B139" s="31">
        <f>IF($A139="","",MASTER_REGISTER!F136)</f>
        <v/>
      </c>
      <c r="C139" s="31">
        <f>IF($A139="","",MASTER_REGISTER!C136)</f>
        <v/>
      </c>
      <c r="D139" s="31">
        <f>IF($A139="","",MASTER_REGISTER!H136)</f>
        <v/>
      </c>
      <c r="E139" s="31">
        <f>IF($A139="","",MASTER_REGISTER!G136)</f>
        <v/>
      </c>
      <c r="F139" s="31">
        <f>IF($A139="","",MASTER_REGISTER!I136)</f>
        <v/>
      </c>
      <c r="G139" s="32">
        <f>IF($A139="","",MASTER_REGISTER!J136)</f>
        <v/>
      </c>
      <c r="H139" s="32">
        <f>IF($A139="","",MASTER_REGISTER!L136)</f>
        <v/>
      </c>
      <c r="I139" s="32">
        <f>IF($A139="","",MASTER_REGISTER!M136)</f>
        <v/>
      </c>
      <c r="J139" s="31">
        <f>IF($A139="","",MASTER_REGISTER!N136)</f>
        <v/>
      </c>
    </row>
    <row r="140">
      <c r="A140" s="31">
        <f>IF(MASTER_REGISTER!E137="","",MASTER_REGISTER!E137)</f>
        <v/>
      </c>
      <c r="B140" s="31">
        <f>IF($A140="","",MASTER_REGISTER!F137)</f>
        <v/>
      </c>
      <c r="C140" s="31">
        <f>IF($A140="","",MASTER_REGISTER!C137)</f>
        <v/>
      </c>
      <c r="D140" s="31">
        <f>IF($A140="","",MASTER_REGISTER!H137)</f>
        <v/>
      </c>
      <c r="E140" s="31">
        <f>IF($A140="","",MASTER_REGISTER!G137)</f>
        <v/>
      </c>
      <c r="F140" s="31">
        <f>IF($A140="","",MASTER_REGISTER!I137)</f>
        <v/>
      </c>
      <c r="G140" s="32">
        <f>IF($A140="","",MASTER_REGISTER!J137)</f>
        <v/>
      </c>
      <c r="H140" s="32">
        <f>IF($A140="","",MASTER_REGISTER!L137)</f>
        <v/>
      </c>
      <c r="I140" s="32">
        <f>IF($A140="","",MASTER_REGISTER!M137)</f>
        <v/>
      </c>
      <c r="J140" s="31">
        <f>IF($A140="","",MASTER_REGISTER!N137)</f>
        <v/>
      </c>
    </row>
    <row r="141">
      <c r="A141" s="31">
        <f>IF(MASTER_REGISTER!E138="","",MASTER_REGISTER!E138)</f>
        <v/>
      </c>
      <c r="B141" s="31">
        <f>IF($A141="","",MASTER_REGISTER!F138)</f>
        <v/>
      </c>
      <c r="C141" s="31">
        <f>IF($A141="","",MASTER_REGISTER!C138)</f>
        <v/>
      </c>
      <c r="D141" s="31">
        <f>IF($A141="","",MASTER_REGISTER!H138)</f>
        <v/>
      </c>
      <c r="E141" s="31">
        <f>IF($A141="","",MASTER_REGISTER!G138)</f>
        <v/>
      </c>
      <c r="F141" s="31">
        <f>IF($A141="","",MASTER_REGISTER!I138)</f>
        <v/>
      </c>
      <c r="G141" s="32">
        <f>IF($A141="","",MASTER_REGISTER!J138)</f>
        <v/>
      </c>
      <c r="H141" s="32">
        <f>IF($A141="","",MASTER_REGISTER!L138)</f>
        <v/>
      </c>
      <c r="I141" s="32">
        <f>IF($A141="","",MASTER_REGISTER!M138)</f>
        <v/>
      </c>
      <c r="J141" s="31">
        <f>IF($A141="","",MASTER_REGISTER!N138)</f>
        <v/>
      </c>
    </row>
    <row r="142">
      <c r="A142" s="31">
        <f>IF(MASTER_REGISTER!E139="","",MASTER_REGISTER!E139)</f>
        <v/>
      </c>
      <c r="B142" s="31">
        <f>IF($A142="","",MASTER_REGISTER!F139)</f>
        <v/>
      </c>
      <c r="C142" s="31">
        <f>IF($A142="","",MASTER_REGISTER!C139)</f>
        <v/>
      </c>
      <c r="D142" s="31">
        <f>IF($A142="","",MASTER_REGISTER!H139)</f>
        <v/>
      </c>
      <c r="E142" s="31">
        <f>IF($A142="","",MASTER_REGISTER!G139)</f>
        <v/>
      </c>
      <c r="F142" s="31">
        <f>IF($A142="","",MASTER_REGISTER!I139)</f>
        <v/>
      </c>
      <c r="G142" s="32">
        <f>IF($A142="","",MASTER_REGISTER!J139)</f>
        <v/>
      </c>
      <c r="H142" s="32">
        <f>IF($A142="","",MASTER_REGISTER!L139)</f>
        <v/>
      </c>
      <c r="I142" s="32">
        <f>IF($A142="","",MASTER_REGISTER!M139)</f>
        <v/>
      </c>
      <c r="J142" s="31">
        <f>IF($A142="","",MASTER_REGISTER!N139)</f>
        <v/>
      </c>
    </row>
    <row r="143">
      <c r="A143" s="31">
        <f>IF(MASTER_REGISTER!E140="","",MASTER_REGISTER!E140)</f>
        <v/>
      </c>
      <c r="B143" s="31">
        <f>IF($A143="","",MASTER_REGISTER!F140)</f>
        <v/>
      </c>
      <c r="C143" s="31">
        <f>IF($A143="","",MASTER_REGISTER!C140)</f>
        <v/>
      </c>
      <c r="D143" s="31">
        <f>IF($A143="","",MASTER_REGISTER!H140)</f>
        <v/>
      </c>
      <c r="E143" s="31">
        <f>IF($A143="","",MASTER_REGISTER!G140)</f>
        <v/>
      </c>
      <c r="F143" s="31">
        <f>IF($A143="","",MASTER_REGISTER!I140)</f>
        <v/>
      </c>
      <c r="G143" s="32">
        <f>IF($A143="","",MASTER_REGISTER!J140)</f>
        <v/>
      </c>
      <c r="H143" s="32">
        <f>IF($A143="","",MASTER_REGISTER!L140)</f>
        <v/>
      </c>
      <c r="I143" s="32">
        <f>IF($A143="","",MASTER_REGISTER!M140)</f>
        <v/>
      </c>
      <c r="J143" s="31">
        <f>IF($A143="","",MASTER_REGISTER!N140)</f>
        <v/>
      </c>
    </row>
    <row r="144">
      <c r="A144" s="31">
        <f>IF(MASTER_REGISTER!E141="","",MASTER_REGISTER!E141)</f>
        <v/>
      </c>
      <c r="B144" s="31">
        <f>IF($A144="","",MASTER_REGISTER!F141)</f>
        <v/>
      </c>
      <c r="C144" s="31">
        <f>IF($A144="","",MASTER_REGISTER!C141)</f>
        <v/>
      </c>
      <c r="D144" s="31">
        <f>IF($A144="","",MASTER_REGISTER!H141)</f>
        <v/>
      </c>
      <c r="E144" s="31">
        <f>IF($A144="","",MASTER_REGISTER!G141)</f>
        <v/>
      </c>
      <c r="F144" s="31">
        <f>IF($A144="","",MASTER_REGISTER!I141)</f>
        <v/>
      </c>
      <c r="G144" s="32">
        <f>IF($A144="","",MASTER_REGISTER!J141)</f>
        <v/>
      </c>
      <c r="H144" s="32">
        <f>IF($A144="","",MASTER_REGISTER!L141)</f>
        <v/>
      </c>
      <c r="I144" s="32">
        <f>IF($A144="","",MASTER_REGISTER!M141)</f>
        <v/>
      </c>
      <c r="J144" s="31">
        <f>IF($A144="","",MASTER_REGISTER!N141)</f>
        <v/>
      </c>
    </row>
    <row r="145">
      <c r="A145" s="31">
        <f>IF(MASTER_REGISTER!E142="","",MASTER_REGISTER!E142)</f>
        <v/>
      </c>
      <c r="B145" s="31">
        <f>IF($A145="","",MASTER_REGISTER!F142)</f>
        <v/>
      </c>
      <c r="C145" s="31">
        <f>IF($A145="","",MASTER_REGISTER!C142)</f>
        <v/>
      </c>
      <c r="D145" s="31">
        <f>IF($A145="","",MASTER_REGISTER!H142)</f>
        <v/>
      </c>
      <c r="E145" s="31">
        <f>IF($A145="","",MASTER_REGISTER!G142)</f>
        <v/>
      </c>
      <c r="F145" s="31">
        <f>IF($A145="","",MASTER_REGISTER!I142)</f>
        <v/>
      </c>
      <c r="G145" s="32">
        <f>IF($A145="","",MASTER_REGISTER!J142)</f>
        <v/>
      </c>
      <c r="H145" s="32">
        <f>IF($A145="","",MASTER_REGISTER!L142)</f>
        <v/>
      </c>
      <c r="I145" s="32">
        <f>IF($A145="","",MASTER_REGISTER!M142)</f>
        <v/>
      </c>
      <c r="J145" s="31">
        <f>IF($A145="","",MASTER_REGISTER!N142)</f>
        <v/>
      </c>
    </row>
    <row r="146">
      <c r="A146" s="31">
        <f>IF(MASTER_REGISTER!E143="","",MASTER_REGISTER!E143)</f>
        <v/>
      </c>
      <c r="B146" s="31">
        <f>IF($A146="","",MASTER_REGISTER!F143)</f>
        <v/>
      </c>
      <c r="C146" s="31">
        <f>IF($A146="","",MASTER_REGISTER!C143)</f>
        <v/>
      </c>
      <c r="D146" s="31">
        <f>IF($A146="","",MASTER_REGISTER!H143)</f>
        <v/>
      </c>
      <c r="E146" s="31">
        <f>IF($A146="","",MASTER_REGISTER!G143)</f>
        <v/>
      </c>
      <c r="F146" s="31">
        <f>IF($A146="","",MASTER_REGISTER!I143)</f>
        <v/>
      </c>
      <c r="G146" s="32">
        <f>IF($A146="","",MASTER_REGISTER!J143)</f>
        <v/>
      </c>
      <c r="H146" s="32">
        <f>IF($A146="","",MASTER_REGISTER!L143)</f>
        <v/>
      </c>
      <c r="I146" s="32">
        <f>IF($A146="","",MASTER_REGISTER!M143)</f>
        <v/>
      </c>
      <c r="J146" s="31">
        <f>IF($A146="","",MASTER_REGISTER!N143)</f>
        <v/>
      </c>
    </row>
    <row r="147">
      <c r="A147" s="31">
        <f>IF(MASTER_REGISTER!E144="","",MASTER_REGISTER!E144)</f>
        <v/>
      </c>
      <c r="B147" s="31">
        <f>IF($A147="","",MASTER_REGISTER!F144)</f>
        <v/>
      </c>
      <c r="C147" s="31">
        <f>IF($A147="","",MASTER_REGISTER!C144)</f>
        <v/>
      </c>
      <c r="D147" s="31">
        <f>IF($A147="","",MASTER_REGISTER!H144)</f>
        <v/>
      </c>
      <c r="E147" s="31">
        <f>IF($A147="","",MASTER_REGISTER!G144)</f>
        <v/>
      </c>
      <c r="F147" s="31">
        <f>IF($A147="","",MASTER_REGISTER!I144)</f>
        <v/>
      </c>
      <c r="G147" s="32">
        <f>IF($A147="","",MASTER_REGISTER!J144)</f>
        <v/>
      </c>
      <c r="H147" s="32">
        <f>IF($A147="","",MASTER_REGISTER!L144)</f>
        <v/>
      </c>
      <c r="I147" s="32">
        <f>IF($A147="","",MASTER_REGISTER!M144)</f>
        <v/>
      </c>
      <c r="J147" s="31">
        <f>IF($A147="","",MASTER_REGISTER!N144)</f>
        <v/>
      </c>
    </row>
    <row r="148">
      <c r="A148" s="31">
        <f>IF(MASTER_REGISTER!E145="","",MASTER_REGISTER!E145)</f>
        <v/>
      </c>
      <c r="B148" s="31">
        <f>IF($A148="","",MASTER_REGISTER!F145)</f>
        <v/>
      </c>
      <c r="C148" s="31">
        <f>IF($A148="","",MASTER_REGISTER!C145)</f>
        <v/>
      </c>
      <c r="D148" s="31">
        <f>IF($A148="","",MASTER_REGISTER!H145)</f>
        <v/>
      </c>
      <c r="E148" s="31">
        <f>IF($A148="","",MASTER_REGISTER!G145)</f>
        <v/>
      </c>
      <c r="F148" s="31">
        <f>IF($A148="","",MASTER_REGISTER!I145)</f>
        <v/>
      </c>
      <c r="G148" s="32">
        <f>IF($A148="","",MASTER_REGISTER!J145)</f>
        <v/>
      </c>
      <c r="H148" s="32">
        <f>IF($A148="","",MASTER_REGISTER!L145)</f>
        <v/>
      </c>
      <c r="I148" s="32">
        <f>IF($A148="","",MASTER_REGISTER!M145)</f>
        <v/>
      </c>
      <c r="J148" s="31">
        <f>IF($A148="","",MASTER_REGISTER!N145)</f>
        <v/>
      </c>
    </row>
    <row r="149">
      <c r="A149" s="31">
        <f>IF(MASTER_REGISTER!E146="","",MASTER_REGISTER!E146)</f>
        <v/>
      </c>
      <c r="B149" s="31">
        <f>IF($A149="","",MASTER_REGISTER!F146)</f>
        <v/>
      </c>
      <c r="C149" s="31">
        <f>IF($A149="","",MASTER_REGISTER!C146)</f>
        <v/>
      </c>
      <c r="D149" s="31">
        <f>IF($A149="","",MASTER_REGISTER!H146)</f>
        <v/>
      </c>
      <c r="E149" s="31">
        <f>IF($A149="","",MASTER_REGISTER!G146)</f>
        <v/>
      </c>
      <c r="F149" s="31">
        <f>IF($A149="","",MASTER_REGISTER!I146)</f>
        <v/>
      </c>
      <c r="G149" s="32">
        <f>IF($A149="","",MASTER_REGISTER!J146)</f>
        <v/>
      </c>
      <c r="H149" s="32">
        <f>IF($A149="","",MASTER_REGISTER!L146)</f>
        <v/>
      </c>
      <c r="I149" s="32">
        <f>IF($A149="","",MASTER_REGISTER!M146)</f>
        <v/>
      </c>
      <c r="J149" s="31">
        <f>IF($A149="","",MASTER_REGISTER!N146)</f>
        <v/>
      </c>
    </row>
    <row r="150">
      <c r="A150" s="31">
        <f>IF(MASTER_REGISTER!E147="","",MASTER_REGISTER!E147)</f>
        <v/>
      </c>
      <c r="B150" s="31">
        <f>IF($A150="","",MASTER_REGISTER!F147)</f>
        <v/>
      </c>
      <c r="C150" s="31">
        <f>IF($A150="","",MASTER_REGISTER!C147)</f>
        <v/>
      </c>
      <c r="D150" s="31">
        <f>IF($A150="","",MASTER_REGISTER!H147)</f>
        <v/>
      </c>
      <c r="E150" s="31">
        <f>IF($A150="","",MASTER_REGISTER!G147)</f>
        <v/>
      </c>
      <c r="F150" s="31">
        <f>IF($A150="","",MASTER_REGISTER!I147)</f>
        <v/>
      </c>
      <c r="G150" s="32">
        <f>IF($A150="","",MASTER_REGISTER!J147)</f>
        <v/>
      </c>
      <c r="H150" s="32">
        <f>IF($A150="","",MASTER_REGISTER!L147)</f>
        <v/>
      </c>
      <c r="I150" s="32">
        <f>IF($A150="","",MASTER_REGISTER!M147)</f>
        <v/>
      </c>
      <c r="J150" s="31">
        <f>IF($A150="","",MASTER_REGISTER!N147)</f>
        <v/>
      </c>
    </row>
    <row r="151">
      <c r="A151" s="31">
        <f>IF(MASTER_REGISTER!E148="","",MASTER_REGISTER!E148)</f>
        <v/>
      </c>
      <c r="B151" s="31">
        <f>IF($A151="","",MASTER_REGISTER!F148)</f>
        <v/>
      </c>
      <c r="C151" s="31">
        <f>IF($A151="","",MASTER_REGISTER!C148)</f>
        <v/>
      </c>
      <c r="D151" s="31">
        <f>IF($A151="","",MASTER_REGISTER!H148)</f>
        <v/>
      </c>
      <c r="E151" s="31">
        <f>IF($A151="","",MASTER_REGISTER!G148)</f>
        <v/>
      </c>
      <c r="F151" s="31">
        <f>IF($A151="","",MASTER_REGISTER!I148)</f>
        <v/>
      </c>
      <c r="G151" s="32">
        <f>IF($A151="","",MASTER_REGISTER!J148)</f>
        <v/>
      </c>
      <c r="H151" s="32">
        <f>IF($A151="","",MASTER_REGISTER!L148)</f>
        <v/>
      </c>
      <c r="I151" s="32">
        <f>IF($A151="","",MASTER_REGISTER!M148)</f>
        <v/>
      </c>
      <c r="J151" s="31">
        <f>IF($A151="","",MASTER_REGISTER!N148)</f>
        <v/>
      </c>
    </row>
    <row r="152">
      <c r="A152" s="31">
        <f>IF(MASTER_REGISTER!E149="","",MASTER_REGISTER!E149)</f>
        <v/>
      </c>
      <c r="B152" s="31">
        <f>IF($A152="","",MASTER_REGISTER!F149)</f>
        <v/>
      </c>
      <c r="C152" s="31">
        <f>IF($A152="","",MASTER_REGISTER!C149)</f>
        <v/>
      </c>
      <c r="D152" s="31">
        <f>IF($A152="","",MASTER_REGISTER!H149)</f>
        <v/>
      </c>
      <c r="E152" s="31">
        <f>IF($A152="","",MASTER_REGISTER!G149)</f>
        <v/>
      </c>
      <c r="F152" s="31">
        <f>IF($A152="","",MASTER_REGISTER!I149)</f>
        <v/>
      </c>
      <c r="G152" s="32">
        <f>IF($A152="","",MASTER_REGISTER!J149)</f>
        <v/>
      </c>
      <c r="H152" s="32">
        <f>IF($A152="","",MASTER_REGISTER!L149)</f>
        <v/>
      </c>
      <c r="I152" s="32">
        <f>IF($A152="","",MASTER_REGISTER!M149)</f>
        <v/>
      </c>
      <c r="J152" s="31">
        <f>IF($A152="","",MASTER_REGISTER!N149)</f>
        <v/>
      </c>
    </row>
    <row r="153">
      <c r="A153" s="31">
        <f>IF(MASTER_REGISTER!E150="","",MASTER_REGISTER!E150)</f>
        <v/>
      </c>
      <c r="B153" s="31">
        <f>IF($A153="","",MASTER_REGISTER!F150)</f>
        <v/>
      </c>
      <c r="C153" s="31">
        <f>IF($A153="","",MASTER_REGISTER!C150)</f>
        <v/>
      </c>
      <c r="D153" s="31">
        <f>IF($A153="","",MASTER_REGISTER!H150)</f>
        <v/>
      </c>
      <c r="E153" s="31">
        <f>IF($A153="","",MASTER_REGISTER!G150)</f>
        <v/>
      </c>
      <c r="F153" s="31">
        <f>IF($A153="","",MASTER_REGISTER!I150)</f>
        <v/>
      </c>
      <c r="G153" s="32">
        <f>IF($A153="","",MASTER_REGISTER!J150)</f>
        <v/>
      </c>
      <c r="H153" s="32">
        <f>IF($A153="","",MASTER_REGISTER!L150)</f>
        <v/>
      </c>
      <c r="I153" s="32">
        <f>IF($A153="","",MASTER_REGISTER!M150)</f>
        <v/>
      </c>
      <c r="J153" s="31">
        <f>IF($A153="","",MASTER_REGISTER!N150)</f>
        <v/>
      </c>
    </row>
    <row r="154">
      <c r="A154" s="31">
        <f>IF(MASTER_REGISTER!E151="","",MASTER_REGISTER!E151)</f>
        <v/>
      </c>
      <c r="B154" s="31">
        <f>IF($A154="","",MASTER_REGISTER!F151)</f>
        <v/>
      </c>
      <c r="C154" s="31">
        <f>IF($A154="","",MASTER_REGISTER!C151)</f>
        <v/>
      </c>
      <c r="D154" s="31">
        <f>IF($A154="","",MASTER_REGISTER!H151)</f>
        <v/>
      </c>
      <c r="E154" s="31">
        <f>IF($A154="","",MASTER_REGISTER!G151)</f>
        <v/>
      </c>
      <c r="F154" s="31">
        <f>IF($A154="","",MASTER_REGISTER!I151)</f>
        <v/>
      </c>
      <c r="G154" s="32">
        <f>IF($A154="","",MASTER_REGISTER!J151)</f>
        <v/>
      </c>
      <c r="H154" s="32">
        <f>IF($A154="","",MASTER_REGISTER!L151)</f>
        <v/>
      </c>
      <c r="I154" s="32">
        <f>IF($A154="","",MASTER_REGISTER!M151)</f>
        <v/>
      </c>
      <c r="J154" s="31">
        <f>IF($A154="","",MASTER_REGISTER!N151)</f>
        <v/>
      </c>
    </row>
    <row r="155">
      <c r="A155" s="31">
        <f>IF(MASTER_REGISTER!E152="","",MASTER_REGISTER!E152)</f>
        <v/>
      </c>
      <c r="B155" s="31">
        <f>IF($A155="","",MASTER_REGISTER!F152)</f>
        <v/>
      </c>
      <c r="C155" s="31">
        <f>IF($A155="","",MASTER_REGISTER!C152)</f>
        <v/>
      </c>
      <c r="D155" s="31">
        <f>IF($A155="","",MASTER_REGISTER!H152)</f>
        <v/>
      </c>
      <c r="E155" s="31">
        <f>IF($A155="","",MASTER_REGISTER!G152)</f>
        <v/>
      </c>
      <c r="F155" s="31">
        <f>IF($A155="","",MASTER_REGISTER!I152)</f>
        <v/>
      </c>
      <c r="G155" s="32">
        <f>IF($A155="","",MASTER_REGISTER!J152)</f>
        <v/>
      </c>
      <c r="H155" s="32">
        <f>IF($A155="","",MASTER_REGISTER!L152)</f>
        <v/>
      </c>
      <c r="I155" s="32">
        <f>IF($A155="","",MASTER_REGISTER!M152)</f>
        <v/>
      </c>
      <c r="J155" s="31">
        <f>IF($A155="","",MASTER_REGISTER!N152)</f>
        <v/>
      </c>
    </row>
    <row r="156">
      <c r="A156" s="31">
        <f>IF(MASTER_REGISTER!E153="","",MASTER_REGISTER!E153)</f>
        <v/>
      </c>
      <c r="B156" s="31">
        <f>IF($A156="","",MASTER_REGISTER!F153)</f>
        <v/>
      </c>
      <c r="C156" s="31">
        <f>IF($A156="","",MASTER_REGISTER!C153)</f>
        <v/>
      </c>
      <c r="D156" s="31">
        <f>IF($A156="","",MASTER_REGISTER!H153)</f>
        <v/>
      </c>
      <c r="E156" s="31">
        <f>IF($A156="","",MASTER_REGISTER!G153)</f>
        <v/>
      </c>
      <c r="F156" s="31">
        <f>IF($A156="","",MASTER_REGISTER!I153)</f>
        <v/>
      </c>
      <c r="G156" s="32">
        <f>IF($A156="","",MASTER_REGISTER!J153)</f>
        <v/>
      </c>
      <c r="H156" s="32">
        <f>IF($A156="","",MASTER_REGISTER!L153)</f>
        <v/>
      </c>
      <c r="I156" s="32">
        <f>IF($A156="","",MASTER_REGISTER!M153)</f>
        <v/>
      </c>
      <c r="J156" s="31">
        <f>IF($A156="","",MASTER_REGISTER!N153)</f>
        <v/>
      </c>
    </row>
    <row r="157">
      <c r="A157" s="31">
        <f>IF(MASTER_REGISTER!E154="","",MASTER_REGISTER!E154)</f>
        <v/>
      </c>
      <c r="B157" s="31">
        <f>IF($A157="","",MASTER_REGISTER!F154)</f>
        <v/>
      </c>
      <c r="C157" s="31">
        <f>IF($A157="","",MASTER_REGISTER!C154)</f>
        <v/>
      </c>
      <c r="D157" s="31">
        <f>IF($A157="","",MASTER_REGISTER!H154)</f>
        <v/>
      </c>
      <c r="E157" s="31">
        <f>IF($A157="","",MASTER_REGISTER!G154)</f>
        <v/>
      </c>
      <c r="F157" s="31">
        <f>IF($A157="","",MASTER_REGISTER!I154)</f>
        <v/>
      </c>
      <c r="G157" s="32">
        <f>IF($A157="","",MASTER_REGISTER!J154)</f>
        <v/>
      </c>
      <c r="H157" s="32">
        <f>IF($A157="","",MASTER_REGISTER!L154)</f>
        <v/>
      </c>
      <c r="I157" s="32">
        <f>IF($A157="","",MASTER_REGISTER!M154)</f>
        <v/>
      </c>
      <c r="J157" s="31">
        <f>IF($A157="","",MASTER_REGISTER!N154)</f>
        <v/>
      </c>
    </row>
    <row r="158">
      <c r="A158" s="31">
        <f>IF(MASTER_REGISTER!E155="","",MASTER_REGISTER!E155)</f>
        <v/>
      </c>
      <c r="B158" s="31">
        <f>IF($A158="","",MASTER_REGISTER!F155)</f>
        <v/>
      </c>
      <c r="C158" s="31">
        <f>IF($A158="","",MASTER_REGISTER!C155)</f>
        <v/>
      </c>
      <c r="D158" s="31">
        <f>IF($A158="","",MASTER_REGISTER!H155)</f>
        <v/>
      </c>
      <c r="E158" s="31">
        <f>IF($A158="","",MASTER_REGISTER!G155)</f>
        <v/>
      </c>
      <c r="F158" s="31">
        <f>IF($A158="","",MASTER_REGISTER!I155)</f>
        <v/>
      </c>
      <c r="G158" s="32">
        <f>IF($A158="","",MASTER_REGISTER!J155)</f>
        <v/>
      </c>
      <c r="H158" s="32">
        <f>IF($A158="","",MASTER_REGISTER!L155)</f>
        <v/>
      </c>
      <c r="I158" s="32">
        <f>IF($A158="","",MASTER_REGISTER!M155)</f>
        <v/>
      </c>
      <c r="J158" s="31">
        <f>IF($A158="","",MASTER_REGISTER!N155)</f>
        <v/>
      </c>
    </row>
    <row r="159">
      <c r="A159" s="31">
        <f>IF(MASTER_REGISTER!E156="","",MASTER_REGISTER!E156)</f>
        <v/>
      </c>
      <c r="B159" s="31">
        <f>IF($A159="","",MASTER_REGISTER!F156)</f>
        <v/>
      </c>
      <c r="C159" s="31">
        <f>IF($A159="","",MASTER_REGISTER!C156)</f>
        <v/>
      </c>
      <c r="D159" s="31">
        <f>IF($A159="","",MASTER_REGISTER!H156)</f>
        <v/>
      </c>
      <c r="E159" s="31">
        <f>IF($A159="","",MASTER_REGISTER!G156)</f>
        <v/>
      </c>
      <c r="F159" s="31">
        <f>IF($A159="","",MASTER_REGISTER!I156)</f>
        <v/>
      </c>
      <c r="G159" s="32">
        <f>IF($A159="","",MASTER_REGISTER!J156)</f>
        <v/>
      </c>
      <c r="H159" s="32">
        <f>IF($A159="","",MASTER_REGISTER!L156)</f>
        <v/>
      </c>
      <c r="I159" s="32">
        <f>IF($A159="","",MASTER_REGISTER!M156)</f>
        <v/>
      </c>
      <c r="J159" s="31">
        <f>IF($A159="","",MASTER_REGISTER!N156)</f>
        <v/>
      </c>
    </row>
    <row r="160">
      <c r="A160" s="31">
        <f>IF(MASTER_REGISTER!E157="","",MASTER_REGISTER!E157)</f>
        <v/>
      </c>
      <c r="B160" s="31">
        <f>IF($A160="","",MASTER_REGISTER!F157)</f>
        <v/>
      </c>
      <c r="C160" s="31">
        <f>IF($A160="","",MASTER_REGISTER!C157)</f>
        <v/>
      </c>
      <c r="D160" s="31">
        <f>IF($A160="","",MASTER_REGISTER!H157)</f>
        <v/>
      </c>
      <c r="E160" s="31">
        <f>IF($A160="","",MASTER_REGISTER!G157)</f>
        <v/>
      </c>
      <c r="F160" s="31">
        <f>IF($A160="","",MASTER_REGISTER!I157)</f>
        <v/>
      </c>
      <c r="G160" s="32">
        <f>IF($A160="","",MASTER_REGISTER!J157)</f>
        <v/>
      </c>
      <c r="H160" s="32">
        <f>IF($A160="","",MASTER_REGISTER!L157)</f>
        <v/>
      </c>
      <c r="I160" s="32">
        <f>IF($A160="","",MASTER_REGISTER!M157)</f>
        <v/>
      </c>
      <c r="J160" s="31">
        <f>IF($A160="","",MASTER_REGISTER!N157)</f>
        <v/>
      </c>
    </row>
    <row r="161">
      <c r="A161" s="31">
        <f>IF(MASTER_REGISTER!E158="","",MASTER_REGISTER!E158)</f>
        <v/>
      </c>
      <c r="B161" s="31">
        <f>IF($A161="","",MASTER_REGISTER!F158)</f>
        <v/>
      </c>
      <c r="C161" s="31">
        <f>IF($A161="","",MASTER_REGISTER!C158)</f>
        <v/>
      </c>
      <c r="D161" s="31">
        <f>IF($A161="","",MASTER_REGISTER!H158)</f>
        <v/>
      </c>
      <c r="E161" s="31">
        <f>IF($A161="","",MASTER_REGISTER!G158)</f>
        <v/>
      </c>
      <c r="F161" s="31">
        <f>IF($A161="","",MASTER_REGISTER!I158)</f>
        <v/>
      </c>
      <c r="G161" s="32">
        <f>IF($A161="","",MASTER_REGISTER!J158)</f>
        <v/>
      </c>
      <c r="H161" s="32">
        <f>IF($A161="","",MASTER_REGISTER!L158)</f>
        <v/>
      </c>
      <c r="I161" s="32">
        <f>IF($A161="","",MASTER_REGISTER!M158)</f>
        <v/>
      </c>
      <c r="J161" s="31">
        <f>IF($A161="","",MASTER_REGISTER!N158)</f>
        <v/>
      </c>
    </row>
    <row r="162">
      <c r="A162" s="31">
        <f>IF(MASTER_REGISTER!E159="","",MASTER_REGISTER!E159)</f>
        <v/>
      </c>
      <c r="B162" s="31">
        <f>IF($A162="","",MASTER_REGISTER!F159)</f>
        <v/>
      </c>
      <c r="C162" s="31">
        <f>IF($A162="","",MASTER_REGISTER!C159)</f>
        <v/>
      </c>
      <c r="D162" s="31">
        <f>IF($A162="","",MASTER_REGISTER!H159)</f>
        <v/>
      </c>
      <c r="E162" s="31">
        <f>IF($A162="","",MASTER_REGISTER!G159)</f>
        <v/>
      </c>
      <c r="F162" s="31">
        <f>IF($A162="","",MASTER_REGISTER!I159)</f>
        <v/>
      </c>
      <c r="G162" s="32">
        <f>IF($A162="","",MASTER_REGISTER!J159)</f>
        <v/>
      </c>
      <c r="H162" s="32">
        <f>IF($A162="","",MASTER_REGISTER!L159)</f>
        <v/>
      </c>
      <c r="I162" s="32">
        <f>IF($A162="","",MASTER_REGISTER!M159)</f>
        <v/>
      </c>
      <c r="J162" s="31">
        <f>IF($A162="","",MASTER_REGISTER!N159)</f>
        <v/>
      </c>
    </row>
    <row r="163">
      <c r="A163" s="31">
        <f>IF(MASTER_REGISTER!E160="","",MASTER_REGISTER!E160)</f>
        <v/>
      </c>
      <c r="B163" s="31">
        <f>IF($A163="","",MASTER_REGISTER!F160)</f>
        <v/>
      </c>
      <c r="C163" s="31">
        <f>IF($A163="","",MASTER_REGISTER!C160)</f>
        <v/>
      </c>
      <c r="D163" s="31">
        <f>IF($A163="","",MASTER_REGISTER!H160)</f>
        <v/>
      </c>
      <c r="E163" s="31">
        <f>IF($A163="","",MASTER_REGISTER!G160)</f>
        <v/>
      </c>
      <c r="F163" s="31">
        <f>IF($A163="","",MASTER_REGISTER!I160)</f>
        <v/>
      </c>
      <c r="G163" s="32">
        <f>IF($A163="","",MASTER_REGISTER!J160)</f>
        <v/>
      </c>
      <c r="H163" s="32">
        <f>IF($A163="","",MASTER_REGISTER!L160)</f>
        <v/>
      </c>
      <c r="I163" s="32">
        <f>IF($A163="","",MASTER_REGISTER!M160)</f>
        <v/>
      </c>
      <c r="J163" s="31">
        <f>IF($A163="","",MASTER_REGISTER!N160)</f>
        <v/>
      </c>
    </row>
    <row r="164">
      <c r="A164" s="31">
        <f>IF(MASTER_REGISTER!E161="","",MASTER_REGISTER!E161)</f>
        <v/>
      </c>
      <c r="B164" s="31">
        <f>IF($A164="","",MASTER_REGISTER!F161)</f>
        <v/>
      </c>
      <c r="C164" s="31">
        <f>IF($A164="","",MASTER_REGISTER!C161)</f>
        <v/>
      </c>
      <c r="D164" s="31">
        <f>IF($A164="","",MASTER_REGISTER!H161)</f>
        <v/>
      </c>
      <c r="E164" s="31">
        <f>IF($A164="","",MASTER_REGISTER!G161)</f>
        <v/>
      </c>
      <c r="F164" s="31">
        <f>IF($A164="","",MASTER_REGISTER!I161)</f>
        <v/>
      </c>
      <c r="G164" s="32">
        <f>IF($A164="","",MASTER_REGISTER!J161)</f>
        <v/>
      </c>
      <c r="H164" s="32">
        <f>IF($A164="","",MASTER_REGISTER!L161)</f>
        <v/>
      </c>
      <c r="I164" s="32">
        <f>IF($A164="","",MASTER_REGISTER!M161)</f>
        <v/>
      </c>
      <c r="J164" s="31">
        <f>IF($A164="","",MASTER_REGISTER!N161)</f>
        <v/>
      </c>
    </row>
    <row r="165">
      <c r="A165" s="31">
        <f>IF(MASTER_REGISTER!E162="","",MASTER_REGISTER!E162)</f>
        <v/>
      </c>
      <c r="B165" s="31">
        <f>IF($A165="","",MASTER_REGISTER!F162)</f>
        <v/>
      </c>
      <c r="C165" s="31">
        <f>IF($A165="","",MASTER_REGISTER!C162)</f>
        <v/>
      </c>
      <c r="D165" s="31">
        <f>IF($A165="","",MASTER_REGISTER!H162)</f>
        <v/>
      </c>
      <c r="E165" s="31">
        <f>IF($A165="","",MASTER_REGISTER!G162)</f>
        <v/>
      </c>
      <c r="F165" s="31">
        <f>IF($A165="","",MASTER_REGISTER!I162)</f>
        <v/>
      </c>
      <c r="G165" s="32">
        <f>IF($A165="","",MASTER_REGISTER!J162)</f>
        <v/>
      </c>
      <c r="H165" s="32">
        <f>IF($A165="","",MASTER_REGISTER!L162)</f>
        <v/>
      </c>
      <c r="I165" s="32">
        <f>IF($A165="","",MASTER_REGISTER!M162)</f>
        <v/>
      </c>
      <c r="J165" s="31">
        <f>IF($A165="","",MASTER_REGISTER!N162)</f>
        <v/>
      </c>
    </row>
    <row r="166">
      <c r="A166" s="31">
        <f>IF(MASTER_REGISTER!E163="","",MASTER_REGISTER!E163)</f>
        <v/>
      </c>
      <c r="B166" s="31">
        <f>IF($A166="","",MASTER_REGISTER!F163)</f>
        <v/>
      </c>
      <c r="C166" s="31">
        <f>IF($A166="","",MASTER_REGISTER!C163)</f>
        <v/>
      </c>
      <c r="D166" s="31">
        <f>IF($A166="","",MASTER_REGISTER!H163)</f>
        <v/>
      </c>
      <c r="E166" s="31">
        <f>IF($A166="","",MASTER_REGISTER!G163)</f>
        <v/>
      </c>
      <c r="F166" s="31">
        <f>IF($A166="","",MASTER_REGISTER!I163)</f>
        <v/>
      </c>
      <c r="G166" s="32">
        <f>IF($A166="","",MASTER_REGISTER!J163)</f>
        <v/>
      </c>
      <c r="H166" s="32">
        <f>IF($A166="","",MASTER_REGISTER!L163)</f>
        <v/>
      </c>
      <c r="I166" s="32">
        <f>IF($A166="","",MASTER_REGISTER!M163)</f>
        <v/>
      </c>
      <c r="J166" s="31">
        <f>IF($A166="","",MASTER_REGISTER!N163)</f>
        <v/>
      </c>
    </row>
    <row r="167">
      <c r="A167" s="31">
        <f>IF(MASTER_REGISTER!E164="","",MASTER_REGISTER!E164)</f>
        <v/>
      </c>
      <c r="B167" s="31">
        <f>IF($A167="","",MASTER_REGISTER!F164)</f>
        <v/>
      </c>
      <c r="C167" s="31">
        <f>IF($A167="","",MASTER_REGISTER!C164)</f>
        <v/>
      </c>
      <c r="D167" s="31">
        <f>IF($A167="","",MASTER_REGISTER!H164)</f>
        <v/>
      </c>
      <c r="E167" s="31">
        <f>IF($A167="","",MASTER_REGISTER!G164)</f>
        <v/>
      </c>
      <c r="F167" s="31">
        <f>IF($A167="","",MASTER_REGISTER!I164)</f>
        <v/>
      </c>
      <c r="G167" s="32">
        <f>IF($A167="","",MASTER_REGISTER!J164)</f>
        <v/>
      </c>
      <c r="H167" s="32">
        <f>IF($A167="","",MASTER_REGISTER!L164)</f>
        <v/>
      </c>
      <c r="I167" s="32">
        <f>IF($A167="","",MASTER_REGISTER!M164)</f>
        <v/>
      </c>
      <c r="J167" s="31">
        <f>IF($A167="","",MASTER_REGISTER!N164)</f>
        <v/>
      </c>
    </row>
    <row r="168">
      <c r="A168" s="31">
        <f>IF(MASTER_REGISTER!E165="","",MASTER_REGISTER!E165)</f>
        <v/>
      </c>
      <c r="B168" s="31">
        <f>IF($A168="","",MASTER_REGISTER!F165)</f>
        <v/>
      </c>
      <c r="C168" s="31">
        <f>IF($A168="","",MASTER_REGISTER!C165)</f>
        <v/>
      </c>
      <c r="D168" s="31">
        <f>IF($A168="","",MASTER_REGISTER!H165)</f>
        <v/>
      </c>
      <c r="E168" s="31">
        <f>IF($A168="","",MASTER_REGISTER!G165)</f>
        <v/>
      </c>
      <c r="F168" s="31">
        <f>IF($A168="","",MASTER_REGISTER!I165)</f>
        <v/>
      </c>
      <c r="G168" s="32">
        <f>IF($A168="","",MASTER_REGISTER!J165)</f>
        <v/>
      </c>
      <c r="H168" s="32">
        <f>IF($A168="","",MASTER_REGISTER!L165)</f>
        <v/>
      </c>
      <c r="I168" s="32">
        <f>IF($A168="","",MASTER_REGISTER!M165)</f>
        <v/>
      </c>
      <c r="J168" s="31">
        <f>IF($A168="","",MASTER_REGISTER!N165)</f>
        <v/>
      </c>
    </row>
    <row r="169">
      <c r="A169" s="31">
        <f>IF(MASTER_REGISTER!E166="","",MASTER_REGISTER!E166)</f>
        <v/>
      </c>
      <c r="B169" s="31">
        <f>IF($A169="","",MASTER_REGISTER!F166)</f>
        <v/>
      </c>
      <c r="C169" s="31">
        <f>IF($A169="","",MASTER_REGISTER!C166)</f>
        <v/>
      </c>
      <c r="D169" s="31">
        <f>IF($A169="","",MASTER_REGISTER!H166)</f>
        <v/>
      </c>
      <c r="E169" s="31">
        <f>IF($A169="","",MASTER_REGISTER!G166)</f>
        <v/>
      </c>
      <c r="F169" s="31">
        <f>IF($A169="","",MASTER_REGISTER!I166)</f>
        <v/>
      </c>
      <c r="G169" s="32">
        <f>IF($A169="","",MASTER_REGISTER!J166)</f>
        <v/>
      </c>
      <c r="H169" s="32">
        <f>IF($A169="","",MASTER_REGISTER!L166)</f>
        <v/>
      </c>
      <c r="I169" s="32">
        <f>IF($A169="","",MASTER_REGISTER!M166)</f>
        <v/>
      </c>
      <c r="J169" s="31">
        <f>IF($A169="","",MASTER_REGISTER!N166)</f>
        <v/>
      </c>
    </row>
    <row r="170">
      <c r="A170" s="31">
        <f>IF(MASTER_REGISTER!E167="","",MASTER_REGISTER!E167)</f>
        <v/>
      </c>
      <c r="B170" s="31">
        <f>IF($A170="","",MASTER_REGISTER!F167)</f>
        <v/>
      </c>
      <c r="C170" s="31">
        <f>IF($A170="","",MASTER_REGISTER!C167)</f>
        <v/>
      </c>
      <c r="D170" s="31">
        <f>IF($A170="","",MASTER_REGISTER!H167)</f>
        <v/>
      </c>
      <c r="E170" s="31">
        <f>IF($A170="","",MASTER_REGISTER!G167)</f>
        <v/>
      </c>
      <c r="F170" s="31">
        <f>IF($A170="","",MASTER_REGISTER!I167)</f>
        <v/>
      </c>
      <c r="G170" s="32">
        <f>IF($A170="","",MASTER_REGISTER!J167)</f>
        <v/>
      </c>
      <c r="H170" s="32">
        <f>IF($A170="","",MASTER_REGISTER!L167)</f>
        <v/>
      </c>
      <c r="I170" s="32">
        <f>IF($A170="","",MASTER_REGISTER!M167)</f>
        <v/>
      </c>
      <c r="J170" s="31">
        <f>IF($A170="","",MASTER_REGISTER!N167)</f>
        <v/>
      </c>
    </row>
    <row r="171">
      <c r="A171" s="31">
        <f>IF(MASTER_REGISTER!E168="","",MASTER_REGISTER!E168)</f>
        <v/>
      </c>
      <c r="B171" s="31">
        <f>IF($A171="","",MASTER_REGISTER!F168)</f>
        <v/>
      </c>
      <c r="C171" s="31">
        <f>IF($A171="","",MASTER_REGISTER!C168)</f>
        <v/>
      </c>
      <c r="D171" s="31">
        <f>IF($A171="","",MASTER_REGISTER!H168)</f>
        <v/>
      </c>
      <c r="E171" s="31">
        <f>IF($A171="","",MASTER_REGISTER!G168)</f>
        <v/>
      </c>
      <c r="F171" s="31">
        <f>IF($A171="","",MASTER_REGISTER!I168)</f>
        <v/>
      </c>
      <c r="G171" s="32">
        <f>IF($A171="","",MASTER_REGISTER!J168)</f>
        <v/>
      </c>
      <c r="H171" s="32">
        <f>IF($A171="","",MASTER_REGISTER!L168)</f>
        <v/>
      </c>
      <c r="I171" s="32">
        <f>IF($A171="","",MASTER_REGISTER!M168)</f>
        <v/>
      </c>
      <c r="J171" s="31">
        <f>IF($A171="","",MASTER_REGISTER!N168)</f>
        <v/>
      </c>
    </row>
    <row r="172">
      <c r="A172" s="31">
        <f>IF(MASTER_REGISTER!E169="","",MASTER_REGISTER!E169)</f>
        <v/>
      </c>
      <c r="B172" s="31">
        <f>IF($A172="","",MASTER_REGISTER!F169)</f>
        <v/>
      </c>
      <c r="C172" s="31">
        <f>IF($A172="","",MASTER_REGISTER!C169)</f>
        <v/>
      </c>
      <c r="D172" s="31">
        <f>IF($A172="","",MASTER_REGISTER!H169)</f>
        <v/>
      </c>
      <c r="E172" s="31">
        <f>IF($A172="","",MASTER_REGISTER!G169)</f>
        <v/>
      </c>
      <c r="F172" s="31">
        <f>IF($A172="","",MASTER_REGISTER!I169)</f>
        <v/>
      </c>
      <c r="G172" s="32">
        <f>IF($A172="","",MASTER_REGISTER!J169)</f>
        <v/>
      </c>
      <c r="H172" s="32">
        <f>IF($A172="","",MASTER_REGISTER!L169)</f>
        <v/>
      </c>
      <c r="I172" s="32">
        <f>IF($A172="","",MASTER_REGISTER!M169)</f>
        <v/>
      </c>
      <c r="J172" s="31">
        <f>IF($A172="","",MASTER_REGISTER!N169)</f>
        <v/>
      </c>
    </row>
    <row r="173">
      <c r="A173" s="31">
        <f>IF(MASTER_REGISTER!E170="","",MASTER_REGISTER!E170)</f>
        <v/>
      </c>
      <c r="B173" s="31">
        <f>IF($A173="","",MASTER_REGISTER!F170)</f>
        <v/>
      </c>
      <c r="C173" s="31">
        <f>IF($A173="","",MASTER_REGISTER!C170)</f>
        <v/>
      </c>
      <c r="D173" s="31">
        <f>IF($A173="","",MASTER_REGISTER!H170)</f>
        <v/>
      </c>
      <c r="E173" s="31">
        <f>IF($A173="","",MASTER_REGISTER!G170)</f>
        <v/>
      </c>
      <c r="F173" s="31">
        <f>IF($A173="","",MASTER_REGISTER!I170)</f>
        <v/>
      </c>
      <c r="G173" s="32">
        <f>IF($A173="","",MASTER_REGISTER!J170)</f>
        <v/>
      </c>
      <c r="H173" s="32">
        <f>IF($A173="","",MASTER_REGISTER!L170)</f>
        <v/>
      </c>
      <c r="I173" s="32">
        <f>IF($A173="","",MASTER_REGISTER!M170)</f>
        <v/>
      </c>
      <c r="J173" s="31">
        <f>IF($A173="","",MASTER_REGISTER!N170)</f>
        <v/>
      </c>
    </row>
    <row r="174">
      <c r="A174" s="31">
        <f>IF(MASTER_REGISTER!E171="","",MASTER_REGISTER!E171)</f>
        <v/>
      </c>
      <c r="B174" s="31">
        <f>IF($A174="","",MASTER_REGISTER!F171)</f>
        <v/>
      </c>
      <c r="C174" s="31">
        <f>IF($A174="","",MASTER_REGISTER!C171)</f>
        <v/>
      </c>
      <c r="D174" s="31">
        <f>IF($A174="","",MASTER_REGISTER!H171)</f>
        <v/>
      </c>
      <c r="E174" s="31">
        <f>IF($A174="","",MASTER_REGISTER!G171)</f>
        <v/>
      </c>
      <c r="F174" s="31">
        <f>IF($A174="","",MASTER_REGISTER!I171)</f>
        <v/>
      </c>
      <c r="G174" s="32">
        <f>IF($A174="","",MASTER_REGISTER!J171)</f>
        <v/>
      </c>
      <c r="H174" s="32">
        <f>IF($A174="","",MASTER_REGISTER!L171)</f>
        <v/>
      </c>
      <c r="I174" s="32">
        <f>IF($A174="","",MASTER_REGISTER!M171)</f>
        <v/>
      </c>
      <c r="J174" s="31">
        <f>IF($A174="","",MASTER_REGISTER!N171)</f>
        <v/>
      </c>
    </row>
    <row r="175">
      <c r="A175" s="31">
        <f>IF(MASTER_REGISTER!E172="","",MASTER_REGISTER!E172)</f>
        <v/>
      </c>
      <c r="B175" s="31">
        <f>IF($A175="","",MASTER_REGISTER!F172)</f>
        <v/>
      </c>
      <c r="C175" s="31">
        <f>IF($A175="","",MASTER_REGISTER!C172)</f>
        <v/>
      </c>
      <c r="D175" s="31">
        <f>IF($A175="","",MASTER_REGISTER!H172)</f>
        <v/>
      </c>
      <c r="E175" s="31">
        <f>IF($A175="","",MASTER_REGISTER!G172)</f>
        <v/>
      </c>
      <c r="F175" s="31">
        <f>IF($A175="","",MASTER_REGISTER!I172)</f>
        <v/>
      </c>
      <c r="G175" s="32">
        <f>IF($A175="","",MASTER_REGISTER!J172)</f>
        <v/>
      </c>
      <c r="H175" s="32">
        <f>IF($A175="","",MASTER_REGISTER!L172)</f>
        <v/>
      </c>
      <c r="I175" s="32">
        <f>IF($A175="","",MASTER_REGISTER!M172)</f>
        <v/>
      </c>
      <c r="J175" s="31">
        <f>IF($A175="","",MASTER_REGISTER!N172)</f>
        <v/>
      </c>
    </row>
    <row r="176">
      <c r="A176" s="31">
        <f>IF(MASTER_REGISTER!E173="","",MASTER_REGISTER!E173)</f>
        <v/>
      </c>
      <c r="B176" s="31">
        <f>IF($A176="","",MASTER_REGISTER!F173)</f>
        <v/>
      </c>
      <c r="C176" s="31">
        <f>IF($A176="","",MASTER_REGISTER!C173)</f>
        <v/>
      </c>
      <c r="D176" s="31">
        <f>IF($A176="","",MASTER_REGISTER!H173)</f>
        <v/>
      </c>
      <c r="E176" s="31">
        <f>IF($A176="","",MASTER_REGISTER!G173)</f>
        <v/>
      </c>
      <c r="F176" s="31">
        <f>IF($A176="","",MASTER_REGISTER!I173)</f>
        <v/>
      </c>
      <c r="G176" s="32">
        <f>IF($A176="","",MASTER_REGISTER!J173)</f>
        <v/>
      </c>
      <c r="H176" s="32">
        <f>IF($A176="","",MASTER_REGISTER!L173)</f>
        <v/>
      </c>
      <c r="I176" s="32">
        <f>IF($A176="","",MASTER_REGISTER!M173)</f>
        <v/>
      </c>
      <c r="J176" s="31">
        <f>IF($A176="","",MASTER_REGISTER!N173)</f>
        <v/>
      </c>
    </row>
    <row r="177">
      <c r="A177" s="31">
        <f>IF(MASTER_REGISTER!E174="","",MASTER_REGISTER!E174)</f>
        <v/>
      </c>
      <c r="B177" s="31">
        <f>IF($A177="","",MASTER_REGISTER!F174)</f>
        <v/>
      </c>
      <c r="C177" s="31">
        <f>IF($A177="","",MASTER_REGISTER!C174)</f>
        <v/>
      </c>
      <c r="D177" s="31">
        <f>IF($A177="","",MASTER_REGISTER!H174)</f>
        <v/>
      </c>
      <c r="E177" s="31">
        <f>IF($A177="","",MASTER_REGISTER!G174)</f>
        <v/>
      </c>
      <c r="F177" s="31">
        <f>IF($A177="","",MASTER_REGISTER!I174)</f>
        <v/>
      </c>
      <c r="G177" s="32">
        <f>IF($A177="","",MASTER_REGISTER!J174)</f>
        <v/>
      </c>
      <c r="H177" s="32">
        <f>IF($A177="","",MASTER_REGISTER!L174)</f>
        <v/>
      </c>
      <c r="I177" s="32">
        <f>IF($A177="","",MASTER_REGISTER!M174)</f>
        <v/>
      </c>
      <c r="J177" s="31">
        <f>IF($A177="","",MASTER_REGISTER!N174)</f>
        <v/>
      </c>
    </row>
    <row r="178">
      <c r="A178" s="31">
        <f>IF(MASTER_REGISTER!E175="","",MASTER_REGISTER!E175)</f>
        <v/>
      </c>
      <c r="B178" s="31">
        <f>IF($A178="","",MASTER_REGISTER!F175)</f>
        <v/>
      </c>
      <c r="C178" s="31">
        <f>IF($A178="","",MASTER_REGISTER!C175)</f>
        <v/>
      </c>
      <c r="D178" s="31">
        <f>IF($A178="","",MASTER_REGISTER!H175)</f>
        <v/>
      </c>
      <c r="E178" s="31">
        <f>IF($A178="","",MASTER_REGISTER!G175)</f>
        <v/>
      </c>
      <c r="F178" s="31">
        <f>IF($A178="","",MASTER_REGISTER!I175)</f>
        <v/>
      </c>
      <c r="G178" s="32">
        <f>IF($A178="","",MASTER_REGISTER!J175)</f>
        <v/>
      </c>
      <c r="H178" s="32">
        <f>IF($A178="","",MASTER_REGISTER!L175)</f>
        <v/>
      </c>
      <c r="I178" s="32">
        <f>IF($A178="","",MASTER_REGISTER!M175)</f>
        <v/>
      </c>
      <c r="J178" s="31">
        <f>IF($A178="","",MASTER_REGISTER!N175)</f>
        <v/>
      </c>
    </row>
    <row r="179">
      <c r="A179" s="31">
        <f>IF(MASTER_REGISTER!E176="","",MASTER_REGISTER!E176)</f>
        <v/>
      </c>
      <c r="B179" s="31">
        <f>IF($A179="","",MASTER_REGISTER!F176)</f>
        <v/>
      </c>
      <c r="C179" s="31">
        <f>IF($A179="","",MASTER_REGISTER!C176)</f>
        <v/>
      </c>
      <c r="D179" s="31">
        <f>IF($A179="","",MASTER_REGISTER!H176)</f>
        <v/>
      </c>
      <c r="E179" s="31">
        <f>IF($A179="","",MASTER_REGISTER!G176)</f>
        <v/>
      </c>
      <c r="F179" s="31">
        <f>IF($A179="","",MASTER_REGISTER!I176)</f>
        <v/>
      </c>
      <c r="G179" s="32">
        <f>IF($A179="","",MASTER_REGISTER!J176)</f>
        <v/>
      </c>
      <c r="H179" s="32">
        <f>IF($A179="","",MASTER_REGISTER!L176)</f>
        <v/>
      </c>
      <c r="I179" s="32">
        <f>IF($A179="","",MASTER_REGISTER!M176)</f>
        <v/>
      </c>
      <c r="J179" s="31">
        <f>IF($A179="","",MASTER_REGISTER!N176)</f>
        <v/>
      </c>
    </row>
    <row r="180">
      <c r="A180" s="31">
        <f>IF(MASTER_REGISTER!E177="","",MASTER_REGISTER!E177)</f>
        <v/>
      </c>
      <c r="B180" s="31">
        <f>IF($A180="","",MASTER_REGISTER!F177)</f>
        <v/>
      </c>
      <c r="C180" s="31">
        <f>IF($A180="","",MASTER_REGISTER!C177)</f>
        <v/>
      </c>
      <c r="D180" s="31">
        <f>IF($A180="","",MASTER_REGISTER!H177)</f>
        <v/>
      </c>
      <c r="E180" s="31">
        <f>IF($A180="","",MASTER_REGISTER!G177)</f>
        <v/>
      </c>
      <c r="F180" s="31">
        <f>IF($A180="","",MASTER_REGISTER!I177)</f>
        <v/>
      </c>
      <c r="G180" s="32">
        <f>IF($A180="","",MASTER_REGISTER!J177)</f>
        <v/>
      </c>
      <c r="H180" s="32">
        <f>IF($A180="","",MASTER_REGISTER!L177)</f>
        <v/>
      </c>
      <c r="I180" s="32">
        <f>IF($A180="","",MASTER_REGISTER!M177)</f>
        <v/>
      </c>
      <c r="J180" s="31">
        <f>IF($A180="","",MASTER_REGISTER!N177)</f>
        <v/>
      </c>
    </row>
    <row r="181">
      <c r="A181" s="31">
        <f>IF(MASTER_REGISTER!E178="","",MASTER_REGISTER!E178)</f>
        <v/>
      </c>
      <c r="B181" s="31">
        <f>IF($A181="","",MASTER_REGISTER!F178)</f>
        <v/>
      </c>
      <c r="C181" s="31">
        <f>IF($A181="","",MASTER_REGISTER!C178)</f>
        <v/>
      </c>
      <c r="D181" s="31">
        <f>IF($A181="","",MASTER_REGISTER!H178)</f>
        <v/>
      </c>
      <c r="E181" s="31">
        <f>IF($A181="","",MASTER_REGISTER!G178)</f>
        <v/>
      </c>
      <c r="F181" s="31">
        <f>IF($A181="","",MASTER_REGISTER!I178)</f>
        <v/>
      </c>
      <c r="G181" s="32">
        <f>IF($A181="","",MASTER_REGISTER!J178)</f>
        <v/>
      </c>
      <c r="H181" s="32">
        <f>IF($A181="","",MASTER_REGISTER!L178)</f>
        <v/>
      </c>
      <c r="I181" s="32">
        <f>IF($A181="","",MASTER_REGISTER!M178)</f>
        <v/>
      </c>
      <c r="J181" s="31">
        <f>IF($A181="","",MASTER_REGISTER!N178)</f>
        <v/>
      </c>
    </row>
    <row r="182">
      <c r="A182" s="31">
        <f>IF(MASTER_REGISTER!E179="","",MASTER_REGISTER!E179)</f>
        <v/>
      </c>
      <c r="B182" s="31">
        <f>IF($A182="","",MASTER_REGISTER!F179)</f>
        <v/>
      </c>
      <c r="C182" s="31">
        <f>IF($A182="","",MASTER_REGISTER!C179)</f>
        <v/>
      </c>
      <c r="D182" s="31">
        <f>IF($A182="","",MASTER_REGISTER!H179)</f>
        <v/>
      </c>
      <c r="E182" s="31">
        <f>IF($A182="","",MASTER_REGISTER!G179)</f>
        <v/>
      </c>
      <c r="F182" s="31">
        <f>IF($A182="","",MASTER_REGISTER!I179)</f>
        <v/>
      </c>
      <c r="G182" s="32">
        <f>IF($A182="","",MASTER_REGISTER!J179)</f>
        <v/>
      </c>
      <c r="H182" s="32">
        <f>IF($A182="","",MASTER_REGISTER!L179)</f>
        <v/>
      </c>
      <c r="I182" s="32">
        <f>IF($A182="","",MASTER_REGISTER!M179)</f>
        <v/>
      </c>
      <c r="J182" s="31">
        <f>IF($A182="","",MASTER_REGISTER!N179)</f>
        <v/>
      </c>
    </row>
    <row r="183">
      <c r="A183" s="31">
        <f>IF(MASTER_REGISTER!E180="","",MASTER_REGISTER!E180)</f>
        <v/>
      </c>
      <c r="B183" s="31">
        <f>IF($A183="","",MASTER_REGISTER!F180)</f>
        <v/>
      </c>
      <c r="C183" s="31">
        <f>IF($A183="","",MASTER_REGISTER!C180)</f>
        <v/>
      </c>
      <c r="D183" s="31">
        <f>IF($A183="","",MASTER_REGISTER!H180)</f>
        <v/>
      </c>
      <c r="E183" s="31">
        <f>IF($A183="","",MASTER_REGISTER!G180)</f>
        <v/>
      </c>
      <c r="F183" s="31">
        <f>IF($A183="","",MASTER_REGISTER!I180)</f>
        <v/>
      </c>
      <c r="G183" s="32">
        <f>IF($A183="","",MASTER_REGISTER!J180)</f>
        <v/>
      </c>
      <c r="H183" s="32">
        <f>IF($A183="","",MASTER_REGISTER!L180)</f>
        <v/>
      </c>
      <c r="I183" s="32">
        <f>IF($A183="","",MASTER_REGISTER!M180)</f>
        <v/>
      </c>
      <c r="J183" s="31">
        <f>IF($A183="","",MASTER_REGISTER!N180)</f>
        <v/>
      </c>
    </row>
    <row r="184">
      <c r="A184" s="31">
        <f>IF(MASTER_REGISTER!E181="","",MASTER_REGISTER!E181)</f>
        <v/>
      </c>
      <c r="B184" s="31">
        <f>IF($A184="","",MASTER_REGISTER!F181)</f>
        <v/>
      </c>
      <c r="C184" s="31">
        <f>IF($A184="","",MASTER_REGISTER!C181)</f>
        <v/>
      </c>
      <c r="D184" s="31">
        <f>IF($A184="","",MASTER_REGISTER!H181)</f>
        <v/>
      </c>
      <c r="E184" s="31">
        <f>IF($A184="","",MASTER_REGISTER!G181)</f>
        <v/>
      </c>
      <c r="F184" s="31">
        <f>IF($A184="","",MASTER_REGISTER!I181)</f>
        <v/>
      </c>
      <c r="G184" s="32">
        <f>IF($A184="","",MASTER_REGISTER!J181)</f>
        <v/>
      </c>
      <c r="H184" s="32">
        <f>IF($A184="","",MASTER_REGISTER!L181)</f>
        <v/>
      </c>
      <c r="I184" s="32">
        <f>IF($A184="","",MASTER_REGISTER!M181)</f>
        <v/>
      </c>
      <c r="J184" s="31">
        <f>IF($A184="","",MASTER_REGISTER!N181)</f>
        <v/>
      </c>
    </row>
    <row r="185">
      <c r="A185" s="31">
        <f>IF(MASTER_REGISTER!E182="","",MASTER_REGISTER!E182)</f>
        <v/>
      </c>
      <c r="B185" s="31">
        <f>IF($A185="","",MASTER_REGISTER!F182)</f>
        <v/>
      </c>
      <c r="C185" s="31">
        <f>IF($A185="","",MASTER_REGISTER!C182)</f>
        <v/>
      </c>
      <c r="D185" s="31">
        <f>IF($A185="","",MASTER_REGISTER!H182)</f>
        <v/>
      </c>
      <c r="E185" s="31">
        <f>IF($A185="","",MASTER_REGISTER!G182)</f>
        <v/>
      </c>
      <c r="F185" s="31">
        <f>IF($A185="","",MASTER_REGISTER!I182)</f>
        <v/>
      </c>
      <c r="G185" s="32">
        <f>IF($A185="","",MASTER_REGISTER!J182)</f>
        <v/>
      </c>
      <c r="H185" s="32">
        <f>IF($A185="","",MASTER_REGISTER!L182)</f>
        <v/>
      </c>
      <c r="I185" s="32">
        <f>IF($A185="","",MASTER_REGISTER!M182)</f>
        <v/>
      </c>
      <c r="J185" s="31">
        <f>IF($A185="","",MASTER_REGISTER!N182)</f>
        <v/>
      </c>
    </row>
    <row r="186">
      <c r="A186" s="31">
        <f>IF(MASTER_REGISTER!E183="","",MASTER_REGISTER!E183)</f>
        <v/>
      </c>
      <c r="B186" s="31">
        <f>IF($A186="","",MASTER_REGISTER!F183)</f>
        <v/>
      </c>
      <c r="C186" s="31">
        <f>IF($A186="","",MASTER_REGISTER!C183)</f>
        <v/>
      </c>
      <c r="D186" s="31">
        <f>IF($A186="","",MASTER_REGISTER!H183)</f>
        <v/>
      </c>
      <c r="E186" s="31">
        <f>IF($A186="","",MASTER_REGISTER!G183)</f>
        <v/>
      </c>
      <c r="F186" s="31">
        <f>IF($A186="","",MASTER_REGISTER!I183)</f>
        <v/>
      </c>
      <c r="G186" s="32">
        <f>IF($A186="","",MASTER_REGISTER!J183)</f>
        <v/>
      </c>
      <c r="H186" s="32">
        <f>IF($A186="","",MASTER_REGISTER!L183)</f>
        <v/>
      </c>
      <c r="I186" s="32">
        <f>IF($A186="","",MASTER_REGISTER!M183)</f>
        <v/>
      </c>
      <c r="J186" s="31">
        <f>IF($A186="","",MASTER_REGISTER!N183)</f>
        <v/>
      </c>
    </row>
    <row r="187">
      <c r="A187" s="31">
        <f>IF(MASTER_REGISTER!E184="","",MASTER_REGISTER!E184)</f>
        <v/>
      </c>
      <c r="B187" s="31">
        <f>IF($A187="","",MASTER_REGISTER!F184)</f>
        <v/>
      </c>
      <c r="C187" s="31">
        <f>IF($A187="","",MASTER_REGISTER!C184)</f>
        <v/>
      </c>
      <c r="D187" s="31">
        <f>IF($A187="","",MASTER_REGISTER!H184)</f>
        <v/>
      </c>
      <c r="E187" s="31">
        <f>IF($A187="","",MASTER_REGISTER!G184)</f>
        <v/>
      </c>
      <c r="F187" s="31">
        <f>IF($A187="","",MASTER_REGISTER!I184)</f>
        <v/>
      </c>
      <c r="G187" s="32">
        <f>IF($A187="","",MASTER_REGISTER!J184)</f>
        <v/>
      </c>
      <c r="H187" s="32">
        <f>IF($A187="","",MASTER_REGISTER!L184)</f>
        <v/>
      </c>
      <c r="I187" s="32">
        <f>IF($A187="","",MASTER_REGISTER!M184)</f>
        <v/>
      </c>
      <c r="J187" s="31">
        <f>IF($A187="","",MASTER_REGISTER!N184)</f>
        <v/>
      </c>
    </row>
    <row r="188">
      <c r="A188" s="31">
        <f>IF(MASTER_REGISTER!E185="","",MASTER_REGISTER!E185)</f>
        <v/>
      </c>
      <c r="B188" s="31">
        <f>IF($A188="","",MASTER_REGISTER!F185)</f>
        <v/>
      </c>
      <c r="C188" s="31">
        <f>IF($A188="","",MASTER_REGISTER!C185)</f>
        <v/>
      </c>
      <c r="D188" s="31">
        <f>IF($A188="","",MASTER_REGISTER!H185)</f>
        <v/>
      </c>
      <c r="E188" s="31">
        <f>IF($A188="","",MASTER_REGISTER!G185)</f>
        <v/>
      </c>
      <c r="F188" s="31">
        <f>IF($A188="","",MASTER_REGISTER!I185)</f>
        <v/>
      </c>
      <c r="G188" s="32">
        <f>IF($A188="","",MASTER_REGISTER!J185)</f>
        <v/>
      </c>
      <c r="H188" s="32">
        <f>IF($A188="","",MASTER_REGISTER!L185)</f>
        <v/>
      </c>
      <c r="I188" s="32">
        <f>IF($A188="","",MASTER_REGISTER!M185)</f>
        <v/>
      </c>
      <c r="J188" s="31">
        <f>IF($A188="","",MASTER_REGISTER!N185)</f>
        <v/>
      </c>
    </row>
    <row r="189">
      <c r="A189" s="31">
        <f>IF(MASTER_REGISTER!E186="","",MASTER_REGISTER!E186)</f>
        <v/>
      </c>
      <c r="B189" s="31">
        <f>IF($A189="","",MASTER_REGISTER!F186)</f>
        <v/>
      </c>
      <c r="C189" s="31">
        <f>IF($A189="","",MASTER_REGISTER!C186)</f>
        <v/>
      </c>
      <c r="D189" s="31">
        <f>IF($A189="","",MASTER_REGISTER!H186)</f>
        <v/>
      </c>
      <c r="E189" s="31">
        <f>IF($A189="","",MASTER_REGISTER!G186)</f>
        <v/>
      </c>
      <c r="F189" s="31">
        <f>IF($A189="","",MASTER_REGISTER!I186)</f>
        <v/>
      </c>
      <c r="G189" s="32">
        <f>IF($A189="","",MASTER_REGISTER!J186)</f>
        <v/>
      </c>
      <c r="H189" s="32">
        <f>IF($A189="","",MASTER_REGISTER!L186)</f>
        <v/>
      </c>
      <c r="I189" s="32">
        <f>IF($A189="","",MASTER_REGISTER!M186)</f>
        <v/>
      </c>
      <c r="J189" s="31">
        <f>IF($A189="","",MASTER_REGISTER!N186)</f>
        <v/>
      </c>
    </row>
    <row r="190">
      <c r="A190" s="31">
        <f>IF(MASTER_REGISTER!E187="","",MASTER_REGISTER!E187)</f>
        <v/>
      </c>
      <c r="B190" s="31">
        <f>IF($A190="","",MASTER_REGISTER!F187)</f>
        <v/>
      </c>
      <c r="C190" s="31">
        <f>IF($A190="","",MASTER_REGISTER!C187)</f>
        <v/>
      </c>
      <c r="D190" s="31">
        <f>IF($A190="","",MASTER_REGISTER!H187)</f>
        <v/>
      </c>
      <c r="E190" s="31">
        <f>IF($A190="","",MASTER_REGISTER!G187)</f>
        <v/>
      </c>
      <c r="F190" s="31">
        <f>IF($A190="","",MASTER_REGISTER!I187)</f>
        <v/>
      </c>
      <c r="G190" s="32">
        <f>IF($A190="","",MASTER_REGISTER!J187)</f>
        <v/>
      </c>
      <c r="H190" s="32">
        <f>IF($A190="","",MASTER_REGISTER!L187)</f>
        <v/>
      </c>
      <c r="I190" s="32">
        <f>IF($A190="","",MASTER_REGISTER!M187)</f>
        <v/>
      </c>
      <c r="J190" s="31">
        <f>IF($A190="","",MASTER_REGISTER!N187)</f>
        <v/>
      </c>
    </row>
    <row r="191">
      <c r="A191" s="31">
        <f>IF(MASTER_REGISTER!E188="","",MASTER_REGISTER!E188)</f>
        <v/>
      </c>
      <c r="B191" s="31">
        <f>IF($A191="","",MASTER_REGISTER!F188)</f>
        <v/>
      </c>
      <c r="C191" s="31">
        <f>IF($A191="","",MASTER_REGISTER!C188)</f>
        <v/>
      </c>
      <c r="D191" s="31">
        <f>IF($A191="","",MASTER_REGISTER!H188)</f>
        <v/>
      </c>
      <c r="E191" s="31">
        <f>IF($A191="","",MASTER_REGISTER!G188)</f>
        <v/>
      </c>
      <c r="F191" s="31">
        <f>IF($A191="","",MASTER_REGISTER!I188)</f>
        <v/>
      </c>
      <c r="G191" s="32">
        <f>IF($A191="","",MASTER_REGISTER!J188)</f>
        <v/>
      </c>
      <c r="H191" s="32">
        <f>IF($A191="","",MASTER_REGISTER!L188)</f>
        <v/>
      </c>
      <c r="I191" s="32">
        <f>IF($A191="","",MASTER_REGISTER!M188)</f>
        <v/>
      </c>
      <c r="J191" s="31">
        <f>IF($A191="","",MASTER_REGISTER!N188)</f>
        <v/>
      </c>
    </row>
    <row r="192">
      <c r="A192" s="31">
        <f>IF(MASTER_REGISTER!E189="","",MASTER_REGISTER!E189)</f>
        <v/>
      </c>
      <c r="B192" s="31">
        <f>IF($A192="","",MASTER_REGISTER!F189)</f>
        <v/>
      </c>
      <c r="C192" s="31">
        <f>IF($A192="","",MASTER_REGISTER!C189)</f>
        <v/>
      </c>
      <c r="D192" s="31">
        <f>IF($A192="","",MASTER_REGISTER!H189)</f>
        <v/>
      </c>
      <c r="E192" s="31">
        <f>IF($A192="","",MASTER_REGISTER!G189)</f>
        <v/>
      </c>
      <c r="F192" s="31">
        <f>IF($A192="","",MASTER_REGISTER!I189)</f>
        <v/>
      </c>
      <c r="G192" s="32">
        <f>IF($A192="","",MASTER_REGISTER!J189)</f>
        <v/>
      </c>
      <c r="H192" s="32">
        <f>IF($A192="","",MASTER_REGISTER!L189)</f>
        <v/>
      </c>
      <c r="I192" s="32">
        <f>IF($A192="","",MASTER_REGISTER!M189)</f>
        <v/>
      </c>
      <c r="J192" s="31">
        <f>IF($A192="","",MASTER_REGISTER!N189)</f>
        <v/>
      </c>
    </row>
    <row r="193">
      <c r="A193" s="31">
        <f>IF(MASTER_REGISTER!E190="","",MASTER_REGISTER!E190)</f>
        <v/>
      </c>
      <c r="B193" s="31">
        <f>IF($A193="","",MASTER_REGISTER!F190)</f>
        <v/>
      </c>
      <c r="C193" s="31">
        <f>IF($A193="","",MASTER_REGISTER!C190)</f>
        <v/>
      </c>
      <c r="D193" s="31">
        <f>IF($A193="","",MASTER_REGISTER!H190)</f>
        <v/>
      </c>
      <c r="E193" s="31">
        <f>IF($A193="","",MASTER_REGISTER!G190)</f>
        <v/>
      </c>
      <c r="F193" s="31">
        <f>IF($A193="","",MASTER_REGISTER!I190)</f>
        <v/>
      </c>
      <c r="G193" s="32">
        <f>IF($A193="","",MASTER_REGISTER!J190)</f>
        <v/>
      </c>
      <c r="H193" s="32">
        <f>IF($A193="","",MASTER_REGISTER!L190)</f>
        <v/>
      </c>
      <c r="I193" s="32">
        <f>IF($A193="","",MASTER_REGISTER!M190)</f>
        <v/>
      </c>
      <c r="J193" s="31">
        <f>IF($A193="","",MASTER_REGISTER!N190)</f>
        <v/>
      </c>
    </row>
    <row r="194">
      <c r="A194" s="31">
        <f>IF(MASTER_REGISTER!E191="","",MASTER_REGISTER!E191)</f>
        <v/>
      </c>
      <c r="B194" s="31">
        <f>IF($A194="","",MASTER_REGISTER!F191)</f>
        <v/>
      </c>
      <c r="C194" s="31">
        <f>IF($A194="","",MASTER_REGISTER!C191)</f>
        <v/>
      </c>
      <c r="D194" s="31">
        <f>IF($A194="","",MASTER_REGISTER!H191)</f>
        <v/>
      </c>
      <c r="E194" s="31">
        <f>IF($A194="","",MASTER_REGISTER!G191)</f>
        <v/>
      </c>
      <c r="F194" s="31">
        <f>IF($A194="","",MASTER_REGISTER!I191)</f>
        <v/>
      </c>
      <c r="G194" s="32">
        <f>IF($A194="","",MASTER_REGISTER!J191)</f>
        <v/>
      </c>
      <c r="H194" s="32">
        <f>IF($A194="","",MASTER_REGISTER!L191)</f>
        <v/>
      </c>
      <c r="I194" s="32">
        <f>IF($A194="","",MASTER_REGISTER!M191)</f>
        <v/>
      </c>
      <c r="J194" s="31">
        <f>IF($A194="","",MASTER_REGISTER!N191)</f>
        <v/>
      </c>
    </row>
    <row r="195">
      <c r="A195" s="31">
        <f>IF(MASTER_REGISTER!E192="","",MASTER_REGISTER!E192)</f>
        <v/>
      </c>
      <c r="B195" s="31">
        <f>IF($A195="","",MASTER_REGISTER!F192)</f>
        <v/>
      </c>
      <c r="C195" s="31">
        <f>IF($A195="","",MASTER_REGISTER!C192)</f>
        <v/>
      </c>
      <c r="D195" s="31">
        <f>IF($A195="","",MASTER_REGISTER!H192)</f>
        <v/>
      </c>
      <c r="E195" s="31">
        <f>IF($A195="","",MASTER_REGISTER!G192)</f>
        <v/>
      </c>
      <c r="F195" s="31">
        <f>IF($A195="","",MASTER_REGISTER!I192)</f>
        <v/>
      </c>
      <c r="G195" s="32">
        <f>IF($A195="","",MASTER_REGISTER!J192)</f>
        <v/>
      </c>
      <c r="H195" s="32">
        <f>IF($A195="","",MASTER_REGISTER!L192)</f>
        <v/>
      </c>
      <c r="I195" s="32">
        <f>IF($A195="","",MASTER_REGISTER!M192)</f>
        <v/>
      </c>
      <c r="J195" s="31">
        <f>IF($A195="","",MASTER_REGISTER!N192)</f>
        <v/>
      </c>
    </row>
    <row r="196">
      <c r="A196" s="31">
        <f>IF(MASTER_REGISTER!E193="","",MASTER_REGISTER!E193)</f>
        <v/>
      </c>
      <c r="B196" s="31">
        <f>IF($A196="","",MASTER_REGISTER!F193)</f>
        <v/>
      </c>
      <c r="C196" s="31">
        <f>IF($A196="","",MASTER_REGISTER!C193)</f>
        <v/>
      </c>
      <c r="D196" s="31">
        <f>IF($A196="","",MASTER_REGISTER!H193)</f>
        <v/>
      </c>
      <c r="E196" s="31">
        <f>IF($A196="","",MASTER_REGISTER!G193)</f>
        <v/>
      </c>
      <c r="F196" s="31">
        <f>IF($A196="","",MASTER_REGISTER!I193)</f>
        <v/>
      </c>
      <c r="G196" s="32">
        <f>IF($A196="","",MASTER_REGISTER!J193)</f>
        <v/>
      </c>
      <c r="H196" s="32">
        <f>IF($A196="","",MASTER_REGISTER!L193)</f>
        <v/>
      </c>
      <c r="I196" s="32">
        <f>IF($A196="","",MASTER_REGISTER!M193)</f>
        <v/>
      </c>
      <c r="J196" s="31">
        <f>IF($A196="","",MASTER_REGISTER!N193)</f>
        <v/>
      </c>
    </row>
    <row r="197">
      <c r="A197" s="31">
        <f>IF(MASTER_REGISTER!E194="","",MASTER_REGISTER!E194)</f>
        <v/>
      </c>
      <c r="B197" s="31">
        <f>IF($A197="","",MASTER_REGISTER!F194)</f>
        <v/>
      </c>
      <c r="C197" s="31">
        <f>IF($A197="","",MASTER_REGISTER!C194)</f>
        <v/>
      </c>
      <c r="D197" s="31">
        <f>IF($A197="","",MASTER_REGISTER!H194)</f>
        <v/>
      </c>
      <c r="E197" s="31">
        <f>IF($A197="","",MASTER_REGISTER!G194)</f>
        <v/>
      </c>
      <c r="F197" s="31">
        <f>IF($A197="","",MASTER_REGISTER!I194)</f>
        <v/>
      </c>
      <c r="G197" s="32">
        <f>IF($A197="","",MASTER_REGISTER!J194)</f>
        <v/>
      </c>
      <c r="H197" s="32">
        <f>IF($A197="","",MASTER_REGISTER!L194)</f>
        <v/>
      </c>
      <c r="I197" s="32">
        <f>IF($A197="","",MASTER_REGISTER!M194)</f>
        <v/>
      </c>
      <c r="J197" s="31">
        <f>IF($A197="","",MASTER_REGISTER!N194)</f>
        <v/>
      </c>
    </row>
    <row r="198">
      <c r="A198" s="31">
        <f>IF(MASTER_REGISTER!E195="","",MASTER_REGISTER!E195)</f>
        <v/>
      </c>
      <c r="B198" s="31">
        <f>IF($A198="","",MASTER_REGISTER!F195)</f>
        <v/>
      </c>
      <c r="C198" s="31">
        <f>IF($A198="","",MASTER_REGISTER!C195)</f>
        <v/>
      </c>
      <c r="D198" s="31">
        <f>IF($A198="","",MASTER_REGISTER!H195)</f>
        <v/>
      </c>
      <c r="E198" s="31">
        <f>IF($A198="","",MASTER_REGISTER!G195)</f>
        <v/>
      </c>
      <c r="F198" s="31">
        <f>IF($A198="","",MASTER_REGISTER!I195)</f>
        <v/>
      </c>
      <c r="G198" s="32">
        <f>IF($A198="","",MASTER_REGISTER!J195)</f>
        <v/>
      </c>
      <c r="H198" s="32">
        <f>IF($A198="","",MASTER_REGISTER!L195)</f>
        <v/>
      </c>
      <c r="I198" s="32">
        <f>IF($A198="","",MASTER_REGISTER!M195)</f>
        <v/>
      </c>
      <c r="J198" s="31">
        <f>IF($A198="","",MASTER_REGISTER!N195)</f>
        <v/>
      </c>
    </row>
    <row r="199">
      <c r="A199" s="31">
        <f>IF(MASTER_REGISTER!E196="","",MASTER_REGISTER!E196)</f>
        <v/>
      </c>
      <c r="B199" s="31">
        <f>IF($A199="","",MASTER_REGISTER!F196)</f>
        <v/>
      </c>
      <c r="C199" s="31">
        <f>IF($A199="","",MASTER_REGISTER!C196)</f>
        <v/>
      </c>
      <c r="D199" s="31">
        <f>IF($A199="","",MASTER_REGISTER!H196)</f>
        <v/>
      </c>
      <c r="E199" s="31">
        <f>IF($A199="","",MASTER_REGISTER!G196)</f>
        <v/>
      </c>
      <c r="F199" s="31">
        <f>IF($A199="","",MASTER_REGISTER!I196)</f>
        <v/>
      </c>
      <c r="G199" s="32">
        <f>IF($A199="","",MASTER_REGISTER!J196)</f>
        <v/>
      </c>
      <c r="H199" s="32">
        <f>IF($A199="","",MASTER_REGISTER!L196)</f>
        <v/>
      </c>
      <c r="I199" s="32">
        <f>IF($A199="","",MASTER_REGISTER!M196)</f>
        <v/>
      </c>
      <c r="J199" s="31">
        <f>IF($A199="","",MASTER_REGISTER!N196)</f>
        <v/>
      </c>
    </row>
    <row r="200">
      <c r="A200" s="31">
        <f>IF(MASTER_REGISTER!E197="","",MASTER_REGISTER!E197)</f>
        <v/>
      </c>
      <c r="B200" s="31">
        <f>IF($A200="","",MASTER_REGISTER!F197)</f>
        <v/>
      </c>
      <c r="C200" s="31">
        <f>IF($A200="","",MASTER_REGISTER!C197)</f>
        <v/>
      </c>
      <c r="D200" s="31">
        <f>IF($A200="","",MASTER_REGISTER!H197)</f>
        <v/>
      </c>
      <c r="E200" s="31">
        <f>IF($A200="","",MASTER_REGISTER!G197)</f>
        <v/>
      </c>
      <c r="F200" s="31">
        <f>IF($A200="","",MASTER_REGISTER!I197)</f>
        <v/>
      </c>
      <c r="G200" s="32">
        <f>IF($A200="","",MASTER_REGISTER!J197)</f>
        <v/>
      </c>
      <c r="H200" s="32">
        <f>IF($A200="","",MASTER_REGISTER!L197)</f>
        <v/>
      </c>
      <c r="I200" s="32">
        <f>IF($A200="","",MASTER_REGISTER!M197)</f>
        <v/>
      </c>
      <c r="J200" s="31">
        <f>IF($A200="","",MASTER_REGISTER!N197)</f>
        <v/>
      </c>
    </row>
    <row r="201">
      <c r="A201" s="31">
        <f>IF(MASTER_REGISTER!E198="","",MASTER_REGISTER!E198)</f>
        <v/>
      </c>
      <c r="B201" s="31">
        <f>IF($A201="","",MASTER_REGISTER!F198)</f>
        <v/>
      </c>
      <c r="C201" s="31">
        <f>IF($A201="","",MASTER_REGISTER!C198)</f>
        <v/>
      </c>
      <c r="D201" s="31">
        <f>IF($A201="","",MASTER_REGISTER!H198)</f>
        <v/>
      </c>
      <c r="E201" s="31">
        <f>IF($A201="","",MASTER_REGISTER!G198)</f>
        <v/>
      </c>
      <c r="F201" s="31">
        <f>IF($A201="","",MASTER_REGISTER!I198)</f>
        <v/>
      </c>
      <c r="G201" s="32">
        <f>IF($A201="","",MASTER_REGISTER!J198)</f>
        <v/>
      </c>
      <c r="H201" s="32">
        <f>IF($A201="","",MASTER_REGISTER!L198)</f>
        <v/>
      </c>
      <c r="I201" s="32">
        <f>IF($A201="","",MASTER_REGISTER!M198)</f>
        <v/>
      </c>
      <c r="J201" s="31">
        <f>IF($A201="","",MASTER_REGISTER!N198)</f>
        <v/>
      </c>
    </row>
    <row r="202">
      <c r="A202" s="31">
        <f>IF(MASTER_REGISTER!E199="","",MASTER_REGISTER!E199)</f>
        <v/>
      </c>
      <c r="B202" s="31">
        <f>IF($A202="","",MASTER_REGISTER!F199)</f>
        <v/>
      </c>
      <c r="C202" s="31">
        <f>IF($A202="","",MASTER_REGISTER!C199)</f>
        <v/>
      </c>
      <c r="D202" s="31">
        <f>IF($A202="","",MASTER_REGISTER!H199)</f>
        <v/>
      </c>
      <c r="E202" s="31">
        <f>IF($A202="","",MASTER_REGISTER!G199)</f>
        <v/>
      </c>
      <c r="F202" s="31">
        <f>IF($A202="","",MASTER_REGISTER!I199)</f>
        <v/>
      </c>
      <c r="G202" s="32">
        <f>IF($A202="","",MASTER_REGISTER!J199)</f>
        <v/>
      </c>
      <c r="H202" s="32">
        <f>IF($A202="","",MASTER_REGISTER!L199)</f>
        <v/>
      </c>
      <c r="I202" s="32">
        <f>IF($A202="","",MASTER_REGISTER!M199)</f>
        <v/>
      </c>
      <c r="J202" s="31">
        <f>IF($A202="","",MASTER_REGISTER!N199)</f>
        <v/>
      </c>
    </row>
    <row r="203">
      <c r="A203" s="31">
        <f>IF(MASTER_REGISTER!E200="","",MASTER_REGISTER!E200)</f>
        <v/>
      </c>
      <c r="B203" s="31">
        <f>IF($A203="","",MASTER_REGISTER!F200)</f>
        <v/>
      </c>
      <c r="C203" s="31">
        <f>IF($A203="","",MASTER_REGISTER!C200)</f>
        <v/>
      </c>
      <c r="D203" s="31">
        <f>IF($A203="","",MASTER_REGISTER!H200)</f>
        <v/>
      </c>
      <c r="E203" s="31">
        <f>IF($A203="","",MASTER_REGISTER!G200)</f>
        <v/>
      </c>
      <c r="F203" s="31">
        <f>IF($A203="","",MASTER_REGISTER!I200)</f>
        <v/>
      </c>
      <c r="G203" s="32">
        <f>IF($A203="","",MASTER_REGISTER!J200)</f>
        <v/>
      </c>
      <c r="H203" s="32">
        <f>IF($A203="","",MASTER_REGISTER!L200)</f>
        <v/>
      </c>
      <c r="I203" s="32">
        <f>IF($A203="","",MASTER_REGISTER!M200)</f>
        <v/>
      </c>
      <c r="J203" s="31">
        <f>IF($A203="","",MASTER_REGISTER!N200)</f>
        <v/>
      </c>
    </row>
    <row r="204">
      <c r="A204" s="31">
        <f>IF(MASTER_REGISTER!E201="","",MASTER_REGISTER!E201)</f>
        <v/>
      </c>
      <c r="B204" s="31">
        <f>IF($A204="","",MASTER_REGISTER!F201)</f>
        <v/>
      </c>
      <c r="C204" s="31">
        <f>IF($A204="","",MASTER_REGISTER!C201)</f>
        <v/>
      </c>
      <c r="D204" s="31">
        <f>IF($A204="","",MASTER_REGISTER!H201)</f>
        <v/>
      </c>
      <c r="E204" s="31">
        <f>IF($A204="","",MASTER_REGISTER!G201)</f>
        <v/>
      </c>
      <c r="F204" s="31">
        <f>IF($A204="","",MASTER_REGISTER!I201)</f>
        <v/>
      </c>
      <c r="G204" s="32">
        <f>IF($A204="","",MASTER_REGISTER!J201)</f>
        <v/>
      </c>
      <c r="H204" s="32">
        <f>IF($A204="","",MASTER_REGISTER!L201)</f>
        <v/>
      </c>
      <c r="I204" s="32">
        <f>IF($A204="","",MASTER_REGISTER!M201)</f>
        <v/>
      </c>
      <c r="J204" s="31">
        <f>IF($A204="","",MASTER_REGISTER!N201)</f>
        <v/>
      </c>
    </row>
    <row r="205">
      <c r="A205" s="31">
        <f>IF(MASTER_REGISTER!E202="","",MASTER_REGISTER!E202)</f>
        <v/>
      </c>
      <c r="B205" s="31">
        <f>IF($A205="","",MASTER_REGISTER!F202)</f>
        <v/>
      </c>
      <c r="C205" s="31">
        <f>IF($A205="","",MASTER_REGISTER!C202)</f>
        <v/>
      </c>
      <c r="D205" s="31">
        <f>IF($A205="","",MASTER_REGISTER!H202)</f>
        <v/>
      </c>
      <c r="E205" s="31">
        <f>IF($A205="","",MASTER_REGISTER!G202)</f>
        <v/>
      </c>
      <c r="F205" s="31">
        <f>IF($A205="","",MASTER_REGISTER!I202)</f>
        <v/>
      </c>
      <c r="G205" s="32">
        <f>IF($A205="","",MASTER_REGISTER!J202)</f>
        <v/>
      </c>
      <c r="H205" s="32">
        <f>IF($A205="","",MASTER_REGISTER!L202)</f>
        <v/>
      </c>
      <c r="I205" s="32">
        <f>IF($A205="","",MASTER_REGISTER!M202)</f>
        <v/>
      </c>
      <c r="J205" s="31">
        <f>IF($A205="","",MASTER_REGISTER!N202)</f>
        <v/>
      </c>
    </row>
    <row r="206">
      <c r="A206" s="31">
        <f>IF(MASTER_REGISTER!E203="","",MASTER_REGISTER!E203)</f>
        <v/>
      </c>
      <c r="B206" s="31">
        <f>IF($A206="","",MASTER_REGISTER!F203)</f>
        <v/>
      </c>
      <c r="C206" s="31">
        <f>IF($A206="","",MASTER_REGISTER!C203)</f>
        <v/>
      </c>
      <c r="D206" s="31">
        <f>IF($A206="","",MASTER_REGISTER!H203)</f>
        <v/>
      </c>
      <c r="E206" s="31">
        <f>IF($A206="","",MASTER_REGISTER!G203)</f>
        <v/>
      </c>
      <c r="F206" s="31">
        <f>IF($A206="","",MASTER_REGISTER!I203)</f>
        <v/>
      </c>
      <c r="G206" s="32">
        <f>IF($A206="","",MASTER_REGISTER!J203)</f>
        <v/>
      </c>
      <c r="H206" s="32">
        <f>IF($A206="","",MASTER_REGISTER!L203)</f>
        <v/>
      </c>
      <c r="I206" s="32">
        <f>IF($A206="","",MASTER_REGISTER!M203)</f>
        <v/>
      </c>
      <c r="J206" s="31">
        <f>IF($A206="","",MASTER_REGISTER!N203)</f>
        <v/>
      </c>
    </row>
    <row r="207">
      <c r="A207" s="31">
        <f>IF(MASTER_REGISTER!E204="","",MASTER_REGISTER!E204)</f>
        <v/>
      </c>
      <c r="B207" s="31">
        <f>IF($A207="","",MASTER_REGISTER!F204)</f>
        <v/>
      </c>
      <c r="C207" s="31">
        <f>IF($A207="","",MASTER_REGISTER!C204)</f>
        <v/>
      </c>
      <c r="D207" s="31">
        <f>IF($A207="","",MASTER_REGISTER!H204)</f>
        <v/>
      </c>
      <c r="E207" s="31">
        <f>IF($A207="","",MASTER_REGISTER!G204)</f>
        <v/>
      </c>
      <c r="F207" s="31">
        <f>IF($A207="","",MASTER_REGISTER!I204)</f>
        <v/>
      </c>
      <c r="G207" s="32">
        <f>IF($A207="","",MASTER_REGISTER!J204)</f>
        <v/>
      </c>
      <c r="H207" s="32">
        <f>IF($A207="","",MASTER_REGISTER!L204)</f>
        <v/>
      </c>
      <c r="I207" s="32">
        <f>IF($A207="","",MASTER_REGISTER!M204)</f>
        <v/>
      </c>
      <c r="J207" s="31">
        <f>IF($A207="","",MASTER_REGISTER!N204)</f>
        <v/>
      </c>
    </row>
    <row r="208">
      <c r="A208" s="31">
        <f>IF(MASTER_REGISTER!E205="","",MASTER_REGISTER!E205)</f>
        <v/>
      </c>
      <c r="B208" s="31">
        <f>IF($A208="","",MASTER_REGISTER!F205)</f>
        <v/>
      </c>
      <c r="C208" s="31">
        <f>IF($A208="","",MASTER_REGISTER!C205)</f>
        <v/>
      </c>
      <c r="D208" s="31">
        <f>IF($A208="","",MASTER_REGISTER!H205)</f>
        <v/>
      </c>
      <c r="E208" s="31">
        <f>IF($A208="","",MASTER_REGISTER!G205)</f>
        <v/>
      </c>
      <c r="F208" s="31">
        <f>IF($A208="","",MASTER_REGISTER!I205)</f>
        <v/>
      </c>
      <c r="G208" s="32">
        <f>IF($A208="","",MASTER_REGISTER!J205)</f>
        <v/>
      </c>
      <c r="H208" s="32">
        <f>IF($A208="","",MASTER_REGISTER!L205)</f>
        <v/>
      </c>
      <c r="I208" s="32">
        <f>IF($A208="","",MASTER_REGISTER!M205)</f>
        <v/>
      </c>
      <c r="J208" s="31">
        <f>IF($A208="","",MASTER_REGISTER!N205)</f>
        <v/>
      </c>
    </row>
    <row r="209">
      <c r="A209" s="31">
        <f>IF(MASTER_REGISTER!E206="","",MASTER_REGISTER!E206)</f>
        <v/>
      </c>
      <c r="B209" s="31">
        <f>IF($A209="","",MASTER_REGISTER!F206)</f>
        <v/>
      </c>
      <c r="C209" s="31">
        <f>IF($A209="","",MASTER_REGISTER!C206)</f>
        <v/>
      </c>
      <c r="D209" s="31">
        <f>IF($A209="","",MASTER_REGISTER!H206)</f>
        <v/>
      </c>
      <c r="E209" s="31">
        <f>IF($A209="","",MASTER_REGISTER!G206)</f>
        <v/>
      </c>
      <c r="F209" s="31">
        <f>IF($A209="","",MASTER_REGISTER!I206)</f>
        <v/>
      </c>
      <c r="G209" s="32">
        <f>IF($A209="","",MASTER_REGISTER!J206)</f>
        <v/>
      </c>
      <c r="H209" s="32">
        <f>IF($A209="","",MASTER_REGISTER!L206)</f>
        <v/>
      </c>
      <c r="I209" s="32">
        <f>IF($A209="","",MASTER_REGISTER!M206)</f>
        <v/>
      </c>
      <c r="J209" s="31">
        <f>IF($A209="","",MASTER_REGISTER!N206)</f>
        <v/>
      </c>
    </row>
    <row r="210">
      <c r="A210" s="31">
        <f>IF(MASTER_REGISTER!E207="","",MASTER_REGISTER!E207)</f>
        <v/>
      </c>
      <c r="B210" s="31">
        <f>IF($A210="","",MASTER_REGISTER!F207)</f>
        <v/>
      </c>
      <c r="C210" s="31">
        <f>IF($A210="","",MASTER_REGISTER!C207)</f>
        <v/>
      </c>
      <c r="D210" s="31">
        <f>IF($A210="","",MASTER_REGISTER!H207)</f>
        <v/>
      </c>
      <c r="E210" s="31">
        <f>IF($A210="","",MASTER_REGISTER!G207)</f>
        <v/>
      </c>
      <c r="F210" s="31">
        <f>IF($A210="","",MASTER_REGISTER!I207)</f>
        <v/>
      </c>
      <c r="G210" s="32">
        <f>IF($A210="","",MASTER_REGISTER!J207)</f>
        <v/>
      </c>
      <c r="H210" s="32">
        <f>IF($A210="","",MASTER_REGISTER!L207)</f>
        <v/>
      </c>
      <c r="I210" s="32">
        <f>IF($A210="","",MASTER_REGISTER!M207)</f>
        <v/>
      </c>
      <c r="J210" s="31">
        <f>IF($A210="","",MASTER_REGISTER!N207)</f>
        <v/>
      </c>
    </row>
    <row r="211">
      <c r="A211" s="31">
        <f>IF(MASTER_REGISTER!E208="","",MASTER_REGISTER!E208)</f>
        <v/>
      </c>
      <c r="B211" s="31">
        <f>IF($A211="","",MASTER_REGISTER!F208)</f>
        <v/>
      </c>
      <c r="C211" s="31">
        <f>IF($A211="","",MASTER_REGISTER!C208)</f>
        <v/>
      </c>
      <c r="D211" s="31">
        <f>IF($A211="","",MASTER_REGISTER!H208)</f>
        <v/>
      </c>
      <c r="E211" s="31">
        <f>IF($A211="","",MASTER_REGISTER!G208)</f>
        <v/>
      </c>
      <c r="F211" s="31">
        <f>IF($A211="","",MASTER_REGISTER!I208)</f>
        <v/>
      </c>
      <c r="G211" s="32">
        <f>IF($A211="","",MASTER_REGISTER!J208)</f>
        <v/>
      </c>
      <c r="H211" s="32">
        <f>IF($A211="","",MASTER_REGISTER!L208)</f>
        <v/>
      </c>
      <c r="I211" s="32">
        <f>IF($A211="","",MASTER_REGISTER!M208)</f>
        <v/>
      </c>
      <c r="J211" s="31">
        <f>IF($A211="","",MASTER_REGISTER!N208)</f>
        <v/>
      </c>
    </row>
    <row r="212">
      <c r="A212" s="31">
        <f>IF(MASTER_REGISTER!E209="","",MASTER_REGISTER!E209)</f>
        <v/>
      </c>
      <c r="B212" s="31">
        <f>IF($A212="","",MASTER_REGISTER!F209)</f>
        <v/>
      </c>
      <c r="C212" s="31">
        <f>IF($A212="","",MASTER_REGISTER!C209)</f>
        <v/>
      </c>
      <c r="D212" s="31">
        <f>IF($A212="","",MASTER_REGISTER!H209)</f>
        <v/>
      </c>
      <c r="E212" s="31">
        <f>IF($A212="","",MASTER_REGISTER!G209)</f>
        <v/>
      </c>
      <c r="F212" s="31">
        <f>IF($A212="","",MASTER_REGISTER!I209)</f>
        <v/>
      </c>
      <c r="G212" s="32">
        <f>IF($A212="","",MASTER_REGISTER!J209)</f>
        <v/>
      </c>
      <c r="H212" s="32">
        <f>IF($A212="","",MASTER_REGISTER!L209)</f>
        <v/>
      </c>
      <c r="I212" s="32">
        <f>IF($A212="","",MASTER_REGISTER!M209)</f>
        <v/>
      </c>
      <c r="J212" s="31">
        <f>IF($A212="","",MASTER_REGISTER!N209)</f>
        <v/>
      </c>
    </row>
    <row r="213">
      <c r="A213" s="31">
        <f>IF(MASTER_REGISTER!E210="","",MASTER_REGISTER!E210)</f>
        <v/>
      </c>
      <c r="B213" s="31">
        <f>IF($A213="","",MASTER_REGISTER!F210)</f>
        <v/>
      </c>
      <c r="C213" s="31">
        <f>IF($A213="","",MASTER_REGISTER!C210)</f>
        <v/>
      </c>
      <c r="D213" s="31">
        <f>IF($A213="","",MASTER_REGISTER!H210)</f>
        <v/>
      </c>
      <c r="E213" s="31">
        <f>IF($A213="","",MASTER_REGISTER!G210)</f>
        <v/>
      </c>
      <c r="F213" s="31">
        <f>IF($A213="","",MASTER_REGISTER!I210)</f>
        <v/>
      </c>
      <c r="G213" s="32">
        <f>IF($A213="","",MASTER_REGISTER!J210)</f>
        <v/>
      </c>
      <c r="H213" s="32">
        <f>IF($A213="","",MASTER_REGISTER!L210)</f>
        <v/>
      </c>
      <c r="I213" s="32">
        <f>IF($A213="","",MASTER_REGISTER!M210)</f>
        <v/>
      </c>
      <c r="J213" s="31">
        <f>IF($A213="","",MASTER_REGISTER!N210)</f>
        <v/>
      </c>
    </row>
    <row r="214">
      <c r="A214" s="31">
        <f>IF(MASTER_REGISTER!E211="","",MASTER_REGISTER!E211)</f>
        <v/>
      </c>
      <c r="B214" s="31">
        <f>IF($A214="","",MASTER_REGISTER!F211)</f>
        <v/>
      </c>
      <c r="C214" s="31">
        <f>IF($A214="","",MASTER_REGISTER!C211)</f>
        <v/>
      </c>
      <c r="D214" s="31">
        <f>IF($A214="","",MASTER_REGISTER!H211)</f>
        <v/>
      </c>
      <c r="E214" s="31">
        <f>IF($A214="","",MASTER_REGISTER!G211)</f>
        <v/>
      </c>
      <c r="F214" s="31">
        <f>IF($A214="","",MASTER_REGISTER!I211)</f>
        <v/>
      </c>
      <c r="G214" s="32">
        <f>IF($A214="","",MASTER_REGISTER!J211)</f>
        <v/>
      </c>
      <c r="H214" s="32">
        <f>IF($A214="","",MASTER_REGISTER!L211)</f>
        <v/>
      </c>
      <c r="I214" s="32">
        <f>IF($A214="","",MASTER_REGISTER!M211)</f>
        <v/>
      </c>
      <c r="J214" s="31">
        <f>IF($A214="","",MASTER_REGISTER!N211)</f>
        <v/>
      </c>
    </row>
    <row r="215">
      <c r="A215" s="31">
        <f>IF(MASTER_REGISTER!E212="","",MASTER_REGISTER!E212)</f>
        <v/>
      </c>
      <c r="B215" s="31">
        <f>IF($A215="","",MASTER_REGISTER!F212)</f>
        <v/>
      </c>
      <c r="C215" s="31">
        <f>IF($A215="","",MASTER_REGISTER!C212)</f>
        <v/>
      </c>
      <c r="D215" s="31">
        <f>IF($A215="","",MASTER_REGISTER!H212)</f>
        <v/>
      </c>
      <c r="E215" s="31">
        <f>IF($A215="","",MASTER_REGISTER!G212)</f>
        <v/>
      </c>
      <c r="F215" s="31">
        <f>IF($A215="","",MASTER_REGISTER!I212)</f>
        <v/>
      </c>
      <c r="G215" s="32">
        <f>IF($A215="","",MASTER_REGISTER!J212)</f>
        <v/>
      </c>
      <c r="H215" s="32">
        <f>IF($A215="","",MASTER_REGISTER!L212)</f>
        <v/>
      </c>
      <c r="I215" s="32">
        <f>IF($A215="","",MASTER_REGISTER!M212)</f>
        <v/>
      </c>
      <c r="J215" s="31">
        <f>IF($A215="","",MASTER_REGISTER!N212)</f>
        <v/>
      </c>
    </row>
    <row r="216">
      <c r="A216" s="31">
        <f>IF(MASTER_REGISTER!E213="","",MASTER_REGISTER!E213)</f>
        <v/>
      </c>
      <c r="B216" s="31">
        <f>IF($A216="","",MASTER_REGISTER!F213)</f>
        <v/>
      </c>
      <c r="C216" s="31">
        <f>IF($A216="","",MASTER_REGISTER!C213)</f>
        <v/>
      </c>
      <c r="D216" s="31">
        <f>IF($A216="","",MASTER_REGISTER!H213)</f>
        <v/>
      </c>
      <c r="E216" s="31">
        <f>IF($A216="","",MASTER_REGISTER!G213)</f>
        <v/>
      </c>
      <c r="F216" s="31">
        <f>IF($A216="","",MASTER_REGISTER!I213)</f>
        <v/>
      </c>
      <c r="G216" s="32">
        <f>IF($A216="","",MASTER_REGISTER!J213)</f>
        <v/>
      </c>
      <c r="H216" s="32">
        <f>IF($A216="","",MASTER_REGISTER!L213)</f>
        <v/>
      </c>
      <c r="I216" s="32">
        <f>IF($A216="","",MASTER_REGISTER!M213)</f>
        <v/>
      </c>
      <c r="J216" s="31">
        <f>IF($A216="","",MASTER_REGISTER!N213)</f>
        <v/>
      </c>
    </row>
    <row r="217">
      <c r="A217" s="31">
        <f>IF(MASTER_REGISTER!E214="","",MASTER_REGISTER!E214)</f>
        <v/>
      </c>
      <c r="B217" s="31">
        <f>IF($A217="","",MASTER_REGISTER!F214)</f>
        <v/>
      </c>
      <c r="C217" s="31">
        <f>IF($A217="","",MASTER_REGISTER!C214)</f>
        <v/>
      </c>
      <c r="D217" s="31">
        <f>IF($A217="","",MASTER_REGISTER!H214)</f>
        <v/>
      </c>
      <c r="E217" s="31">
        <f>IF($A217="","",MASTER_REGISTER!G214)</f>
        <v/>
      </c>
      <c r="F217" s="31">
        <f>IF($A217="","",MASTER_REGISTER!I214)</f>
        <v/>
      </c>
      <c r="G217" s="32">
        <f>IF($A217="","",MASTER_REGISTER!J214)</f>
        <v/>
      </c>
      <c r="H217" s="32">
        <f>IF($A217="","",MASTER_REGISTER!L214)</f>
        <v/>
      </c>
      <c r="I217" s="32">
        <f>IF($A217="","",MASTER_REGISTER!M214)</f>
        <v/>
      </c>
      <c r="J217" s="31">
        <f>IF($A217="","",MASTER_REGISTER!N214)</f>
        <v/>
      </c>
    </row>
    <row r="218">
      <c r="A218" s="31">
        <f>IF(MASTER_REGISTER!E215="","",MASTER_REGISTER!E215)</f>
        <v/>
      </c>
      <c r="B218" s="31">
        <f>IF($A218="","",MASTER_REGISTER!F215)</f>
        <v/>
      </c>
      <c r="C218" s="31">
        <f>IF($A218="","",MASTER_REGISTER!C215)</f>
        <v/>
      </c>
      <c r="D218" s="31">
        <f>IF($A218="","",MASTER_REGISTER!H215)</f>
        <v/>
      </c>
      <c r="E218" s="31">
        <f>IF($A218="","",MASTER_REGISTER!G215)</f>
        <v/>
      </c>
      <c r="F218" s="31">
        <f>IF($A218="","",MASTER_REGISTER!I215)</f>
        <v/>
      </c>
      <c r="G218" s="32">
        <f>IF($A218="","",MASTER_REGISTER!J215)</f>
        <v/>
      </c>
      <c r="H218" s="32">
        <f>IF($A218="","",MASTER_REGISTER!L215)</f>
        <v/>
      </c>
      <c r="I218" s="32">
        <f>IF($A218="","",MASTER_REGISTER!M215)</f>
        <v/>
      </c>
      <c r="J218" s="31">
        <f>IF($A218="","",MASTER_REGISTER!N215)</f>
        <v/>
      </c>
    </row>
    <row r="219">
      <c r="A219" s="31">
        <f>IF(MASTER_REGISTER!E216="","",MASTER_REGISTER!E216)</f>
        <v/>
      </c>
      <c r="B219" s="31">
        <f>IF($A219="","",MASTER_REGISTER!F216)</f>
        <v/>
      </c>
      <c r="C219" s="31">
        <f>IF($A219="","",MASTER_REGISTER!C216)</f>
        <v/>
      </c>
      <c r="D219" s="31">
        <f>IF($A219="","",MASTER_REGISTER!H216)</f>
        <v/>
      </c>
      <c r="E219" s="31">
        <f>IF($A219="","",MASTER_REGISTER!G216)</f>
        <v/>
      </c>
      <c r="F219" s="31">
        <f>IF($A219="","",MASTER_REGISTER!I216)</f>
        <v/>
      </c>
      <c r="G219" s="32">
        <f>IF($A219="","",MASTER_REGISTER!J216)</f>
        <v/>
      </c>
      <c r="H219" s="32">
        <f>IF($A219="","",MASTER_REGISTER!L216)</f>
        <v/>
      </c>
      <c r="I219" s="32">
        <f>IF($A219="","",MASTER_REGISTER!M216)</f>
        <v/>
      </c>
      <c r="J219" s="31">
        <f>IF($A219="","",MASTER_REGISTER!N216)</f>
        <v/>
      </c>
    </row>
    <row r="220">
      <c r="A220" s="31">
        <f>IF(MASTER_REGISTER!E217="","",MASTER_REGISTER!E217)</f>
        <v/>
      </c>
      <c r="B220" s="31">
        <f>IF($A220="","",MASTER_REGISTER!F217)</f>
        <v/>
      </c>
      <c r="C220" s="31">
        <f>IF($A220="","",MASTER_REGISTER!C217)</f>
        <v/>
      </c>
      <c r="D220" s="31">
        <f>IF($A220="","",MASTER_REGISTER!H217)</f>
        <v/>
      </c>
      <c r="E220" s="31">
        <f>IF($A220="","",MASTER_REGISTER!G217)</f>
        <v/>
      </c>
      <c r="F220" s="31">
        <f>IF($A220="","",MASTER_REGISTER!I217)</f>
        <v/>
      </c>
      <c r="G220" s="32">
        <f>IF($A220="","",MASTER_REGISTER!J217)</f>
        <v/>
      </c>
      <c r="H220" s="32">
        <f>IF($A220="","",MASTER_REGISTER!L217)</f>
        <v/>
      </c>
      <c r="I220" s="32">
        <f>IF($A220="","",MASTER_REGISTER!M217)</f>
        <v/>
      </c>
      <c r="J220" s="31">
        <f>IF($A220="","",MASTER_REGISTER!N217)</f>
        <v/>
      </c>
    </row>
    <row r="221">
      <c r="A221" s="31">
        <f>IF(MASTER_REGISTER!E218="","",MASTER_REGISTER!E218)</f>
        <v/>
      </c>
      <c r="B221" s="31">
        <f>IF($A221="","",MASTER_REGISTER!F218)</f>
        <v/>
      </c>
      <c r="C221" s="31">
        <f>IF($A221="","",MASTER_REGISTER!C218)</f>
        <v/>
      </c>
      <c r="D221" s="31">
        <f>IF($A221="","",MASTER_REGISTER!H218)</f>
        <v/>
      </c>
      <c r="E221" s="31">
        <f>IF($A221="","",MASTER_REGISTER!G218)</f>
        <v/>
      </c>
      <c r="F221" s="31">
        <f>IF($A221="","",MASTER_REGISTER!I218)</f>
        <v/>
      </c>
      <c r="G221" s="32">
        <f>IF($A221="","",MASTER_REGISTER!J218)</f>
        <v/>
      </c>
      <c r="H221" s="32">
        <f>IF($A221="","",MASTER_REGISTER!L218)</f>
        <v/>
      </c>
      <c r="I221" s="32">
        <f>IF($A221="","",MASTER_REGISTER!M218)</f>
        <v/>
      </c>
      <c r="J221" s="31">
        <f>IF($A221="","",MASTER_REGISTER!N218)</f>
        <v/>
      </c>
    </row>
    <row r="222">
      <c r="A222" s="31">
        <f>IF(MASTER_REGISTER!E219="","",MASTER_REGISTER!E219)</f>
        <v/>
      </c>
      <c r="B222" s="31">
        <f>IF($A222="","",MASTER_REGISTER!F219)</f>
        <v/>
      </c>
      <c r="C222" s="31">
        <f>IF($A222="","",MASTER_REGISTER!C219)</f>
        <v/>
      </c>
      <c r="D222" s="31">
        <f>IF($A222="","",MASTER_REGISTER!H219)</f>
        <v/>
      </c>
      <c r="E222" s="31">
        <f>IF($A222="","",MASTER_REGISTER!G219)</f>
        <v/>
      </c>
      <c r="F222" s="31">
        <f>IF($A222="","",MASTER_REGISTER!I219)</f>
        <v/>
      </c>
      <c r="G222" s="32">
        <f>IF($A222="","",MASTER_REGISTER!J219)</f>
        <v/>
      </c>
      <c r="H222" s="32">
        <f>IF($A222="","",MASTER_REGISTER!L219)</f>
        <v/>
      </c>
      <c r="I222" s="32">
        <f>IF($A222="","",MASTER_REGISTER!M219)</f>
        <v/>
      </c>
      <c r="J222" s="31">
        <f>IF($A222="","",MASTER_REGISTER!N219)</f>
        <v/>
      </c>
    </row>
    <row r="223">
      <c r="A223" s="31">
        <f>IF(MASTER_REGISTER!E220="","",MASTER_REGISTER!E220)</f>
        <v/>
      </c>
      <c r="B223" s="31">
        <f>IF($A223="","",MASTER_REGISTER!F220)</f>
        <v/>
      </c>
      <c r="C223" s="31">
        <f>IF($A223="","",MASTER_REGISTER!C220)</f>
        <v/>
      </c>
      <c r="D223" s="31">
        <f>IF($A223="","",MASTER_REGISTER!H220)</f>
        <v/>
      </c>
      <c r="E223" s="31">
        <f>IF($A223="","",MASTER_REGISTER!G220)</f>
        <v/>
      </c>
      <c r="F223" s="31">
        <f>IF($A223="","",MASTER_REGISTER!I220)</f>
        <v/>
      </c>
      <c r="G223" s="32">
        <f>IF($A223="","",MASTER_REGISTER!J220)</f>
        <v/>
      </c>
      <c r="H223" s="32">
        <f>IF($A223="","",MASTER_REGISTER!L220)</f>
        <v/>
      </c>
      <c r="I223" s="32">
        <f>IF($A223="","",MASTER_REGISTER!M220)</f>
        <v/>
      </c>
      <c r="J223" s="31">
        <f>IF($A223="","",MASTER_REGISTER!N220)</f>
        <v/>
      </c>
    </row>
    <row r="224">
      <c r="A224" s="31">
        <f>IF(MASTER_REGISTER!E221="","",MASTER_REGISTER!E221)</f>
        <v/>
      </c>
      <c r="B224" s="31">
        <f>IF($A224="","",MASTER_REGISTER!F221)</f>
        <v/>
      </c>
      <c r="C224" s="31">
        <f>IF($A224="","",MASTER_REGISTER!C221)</f>
        <v/>
      </c>
      <c r="D224" s="31">
        <f>IF($A224="","",MASTER_REGISTER!H221)</f>
        <v/>
      </c>
      <c r="E224" s="31">
        <f>IF($A224="","",MASTER_REGISTER!G221)</f>
        <v/>
      </c>
      <c r="F224" s="31">
        <f>IF($A224="","",MASTER_REGISTER!I221)</f>
        <v/>
      </c>
      <c r="G224" s="32">
        <f>IF($A224="","",MASTER_REGISTER!J221)</f>
        <v/>
      </c>
      <c r="H224" s="32">
        <f>IF($A224="","",MASTER_REGISTER!L221)</f>
        <v/>
      </c>
      <c r="I224" s="32">
        <f>IF($A224="","",MASTER_REGISTER!M221)</f>
        <v/>
      </c>
      <c r="J224" s="31">
        <f>IF($A224="","",MASTER_REGISTER!N221)</f>
        <v/>
      </c>
    </row>
    <row r="225">
      <c r="A225" s="31">
        <f>IF(MASTER_REGISTER!E222="","",MASTER_REGISTER!E222)</f>
        <v/>
      </c>
      <c r="B225" s="31">
        <f>IF($A225="","",MASTER_REGISTER!F222)</f>
        <v/>
      </c>
      <c r="C225" s="31">
        <f>IF($A225="","",MASTER_REGISTER!C222)</f>
        <v/>
      </c>
      <c r="D225" s="31">
        <f>IF($A225="","",MASTER_REGISTER!H222)</f>
        <v/>
      </c>
      <c r="E225" s="31">
        <f>IF($A225="","",MASTER_REGISTER!G222)</f>
        <v/>
      </c>
      <c r="F225" s="31">
        <f>IF($A225="","",MASTER_REGISTER!I222)</f>
        <v/>
      </c>
      <c r="G225" s="32">
        <f>IF($A225="","",MASTER_REGISTER!J222)</f>
        <v/>
      </c>
      <c r="H225" s="32">
        <f>IF($A225="","",MASTER_REGISTER!L222)</f>
        <v/>
      </c>
      <c r="I225" s="32">
        <f>IF($A225="","",MASTER_REGISTER!M222)</f>
        <v/>
      </c>
      <c r="J225" s="31">
        <f>IF($A225="","",MASTER_REGISTER!N222)</f>
        <v/>
      </c>
    </row>
    <row r="226">
      <c r="A226" s="31">
        <f>IF(MASTER_REGISTER!E223="","",MASTER_REGISTER!E223)</f>
        <v/>
      </c>
      <c r="B226" s="31">
        <f>IF($A226="","",MASTER_REGISTER!F223)</f>
        <v/>
      </c>
      <c r="C226" s="31">
        <f>IF($A226="","",MASTER_REGISTER!C223)</f>
        <v/>
      </c>
      <c r="D226" s="31">
        <f>IF($A226="","",MASTER_REGISTER!H223)</f>
        <v/>
      </c>
      <c r="E226" s="31">
        <f>IF($A226="","",MASTER_REGISTER!G223)</f>
        <v/>
      </c>
      <c r="F226" s="31">
        <f>IF($A226="","",MASTER_REGISTER!I223)</f>
        <v/>
      </c>
      <c r="G226" s="32">
        <f>IF($A226="","",MASTER_REGISTER!J223)</f>
        <v/>
      </c>
      <c r="H226" s="32">
        <f>IF($A226="","",MASTER_REGISTER!L223)</f>
        <v/>
      </c>
      <c r="I226" s="32">
        <f>IF($A226="","",MASTER_REGISTER!M223)</f>
        <v/>
      </c>
      <c r="J226" s="31">
        <f>IF($A226="","",MASTER_REGISTER!N223)</f>
        <v/>
      </c>
    </row>
    <row r="227">
      <c r="A227" s="31">
        <f>IF(MASTER_REGISTER!E224="","",MASTER_REGISTER!E224)</f>
        <v/>
      </c>
      <c r="B227" s="31">
        <f>IF($A227="","",MASTER_REGISTER!F224)</f>
        <v/>
      </c>
      <c r="C227" s="31">
        <f>IF($A227="","",MASTER_REGISTER!C224)</f>
        <v/>
      </c>
      <c r="D227" s="31">
        <f>IF($A227="","",MASTER_REGISTER!H224)</f>
        <v/>
      </c>
      <c r="E227" s="31">
        <f>IF($A227="","",MASTER_REGISTER!G224)</f>
        <v/>
      </c>
      <c r="F227" s="31">
        <f>IF($A227="","",MASTER_REGISTER!I224)</f>
        <v/>
      </c>
      <c r="G227" s="32">
        <f>IF($A227="","",MASTER_REGISTER!J224)</f>
        <v/>
      </c>
      <c r="H227" s="32">
        <f>IF($A227="","",MASTER_REGISTER!L224)</f>
        <v/>
      </c>
      <c r="I227" s="32">
        <f>IF($A227="","",MASTER_REGISTER!M224)</f>
        <v/>
      </c>
      <c r="J227" s="31">
        <f>IF($A227="","",MASTER_REGISTER!N224)</f>
        <v/>
      </c>
    </row>
    <row r="228">
      <c r="A228" s="31">
        <f>IF(MASTER_REGISTER!E225="","",MASTER_REGISTER!E225)</f>
        <v/>
      </c>
      <c r="B228" s="31">
        <f>IF($A228="","",MASTER_REGISTER!F225)</f>
        <v/>
      </c>
      <c r="C228" s="31">
        <f>IF($A228="","",MASTER_REGISTER!C225)</f>
        <v/>
      </c>
      <c r="D228" s="31">
        <f>IF($A228="","",MASTER_REGISTER!H225)</f>
        <v/>
      </c>
      <c r="E228" s="31">
        <f>IF($A228="","",MASTER_REGISTER!G225)</f>
        <v/>
      </c>
      <c r="F228" s="31">
        <f>IF($A228="","",MASTER_REGISTER!I225)</f>
        <v/>
      </c>
      <c r="G228" s="32">
        <f>IF($A228="","",MASTER_REGISTER!J225)</f>
        <v/>
      </c>
      <c r="H228" s="32">
        <f>IF($A228="","",MASTER_REGISTER!L225)</f>
        <v/>
      </c>
      <c r="I228" s="32">
        <f>IF($A228="","",MASTER_REGISTER!M225)</f>
        <v/>
      </c>
      <c r="J228" s="31">
        <f>IF($A228="","",MASTER_REGISTER!N225)</f>
        <v/>
      </c>
    </row>
    <row r="229">
      <c r="A229" s="31">
        <f>IF(MASTER_REGISTER!E226="","",MASTER_REGISTER!E226)</f>
        <v/>
      </c>
      <c r="B229" s="31">
        <f>IF($A229="","",MASTER_REGISTER!F226)</f>
        <v/>
      </c>
      <c r="C229" s="31">
        <f>IF($A229="","",MASTER_REGISTER!C226)</f>
        <v/>
      </c>
      <c r="D229" s="31">
        <f>IF($A229="","",MASTER_REGISTER!H226)</f>
        <v/>
      </c>
      <c r="E229" s="31">
        <f>IF($A229="","",MASTER_REGISTER!G226)</f>
        <v/>
      </c>
      <c r="F229" s="31">
        <f>IF($A229="","",MASTER_REGISTER!I226)</f>
        <v/>
      </c>
      <c r="G229" s="32">
        <f>IF($A229="","",MASTER_REGISTER!J226)</f>
        <v/>
      </c>
      <c r="H229" s="32">
        <f>IF($A229="","",MASTER_REGISTER!L226)</f>
        <v/>
      </c>
      <c r="I229" s="32">
        <f>IF($A229="","",MASTER_REGISTER!M226)</f>
        <v/>
      </c>
      <c r="J229" s="31">
        <f>IF($A229="","",MASTER_REGISTER!N226)</f>
        <v/>
      </c>
    </row>
    <row r="230">
      <c r="A230" s="31">
        <f>IF(MASTER_REGISTER!E227="","",MASTER_REGISTER!E227)</f>
        <v/>
      </c>
      <c r="B230" s="31">
        <f>IF($A230="","",MASTER_REGISTER!F227)</f>
        <v/>
      </c>
      <c r="C230" s="31">
        <f>IF($A230="","",MASTER_REGISTER!C227)</f>
        <v/>
      </c>
      <c r="D230" s="31">
        <f>IF($A230="","",MASTER_REGISTER!H227)</f>
        <v/>
      </c>
      <c r="E230" s="31">
        <f>IF($A230="","",MASTER_REGISTER!G227)</f>
        <v/>
      </c>
      <c r="F230" s="31">
        <f>IF($A230="","",MASTER_REGISTER!I227)</f>
        <v/>
      </c>
      <c r="G230" s="32">
        <f>IF($A230="","",MASTER_REGISTER!J227)</f>
        <v/>
      </c>
      <c r="H230" s="32">
        <f>IF($A230="","",MASTER_REGISTER!L227)</f>
        <v/>
      </c>
      <c r="I230" s="32">
        <f>IF($A230="","",MASTER_REGISTER!M227)</f>
        <v/>
      </c>
      <c r="J230" s="31">
        <f>IF($A230="","",MASTER_REGISTER!N227)</f>
        <v/>
      </c>
    </row>
    <row r="231">
      <c r="A231" s="31">
        <f>IF(MASTER_REGISTER!E228="","",MASTER_REGISTER!E228)</f>
        <v/>
      </c>
      <c r="B231" s="31">
        <f>IF($A231="","",MASTER_REGISTER!F228)</f>
        <v/>
      </c>
      <c r="C231" s="31">
        <f>IF($A231="","",MASTER_REGISTER!C228)</f>
        <v/>
      </c>
      <c r="D231" s="31">
        <f>IF($A231="","",MASTER_REGISTER!H228)</f>
        <v/>
      </c>
      <c r="E231" s="31">
        <f>IF($A231="","",MASTER_REGISTER!G228)</f>
        <v/>
      </c>
      <c r="F231" s="31">
        <f>IF($A231="","",MASTER_REGISTER!I228)</f>
        <v/>
      </c>
      <c r="G231" s="32">
        <f>IF($A231="","",MASTER_REGISTER!J228)</f>
        <v/>
      </c>
      <c r="H231" s="32">
        <f>IF($A231="","",MASTER_REGISTER!L228)</f>
        <v/>
      </c>
      <c r="I231" s="32">
        <f>IF($A231="","",MASTER_REGISTER!M228)</f>
        <v/>
      </c>
      <c r="J231" s="31">
        <f>IF($A231="","",MASTER_REGISTER!N228)</f>
        <v/>
      </c>
    </row>
    <row r="232">
      <c r="A232" s="31">
        <f>IF(MASTER_REGISTER!E229="","",MASTER_REGISTER!E229)</f>
        <v/>
      </c>
      <c r="B232" s="31">
        <f>IF($A232="","",MASTER_REGISTER!F229)</f>
        <v/>
      </c>
      <c r="C232" s="31">
        <f>IF($A232="","",MASTER_REGISTER!C229)</f>
        <v/>
      </c>
      <c r="D232" s="31">
        <f>IF($A232="","",MASTER_REGISTER!H229)</f>
        <v/>
      </c>
      <c r="E232" s="31">
        <f>IF($A232="","",MASTER_REGISTER!G229)</f>
        <v/>
      </c>
      <c r="F232" s="31">
        <f>IF($A232="","",MASTER_REGISTER!I229)</f>
        <v/>
      </c>
      <c r="G232" s="32">
        <f>IF($A232="","",MASTER_REGISTER!J229)</f>
        <v/>
      </c>
      <c r="H232" s="32">
        <f>IF($A232="","",MASTER_REGISTER!L229)</f>
        <v/>
      </c>
      <c r="I232" s="32">
        <f>IF($A232="","",MASTER_REGISTER!M229)</f>
        <v/>
      </c>
      <c r="J232" s="31">
        <f>IF($A232="","",MASTER_REGISTER!N229)</f>
        <v/>
      </c>
    </row>
    <row r="233">
      <c r="A233" s="31">
        <f>IF(MASTER_REGISTER!E230="","",MASTER_REGISTER!E230)</f>
        <v/>
      </c>
      <c r="B233" s="31">
        <f>IF($A233="","",MASTER_REGISTER!F230)</f>
        <v/>
      </c>
      <c r="C233" s="31">
        <f>IF($A233="","",MASTER_REGISTER!C230)</f>
        <v/>
      </c>
      <c r="D233" s="31">
        <f>IF($A233="","",MASTER_REGISTER!H230)</f>
        <v/>
      </c>
      <c r="E233" s="31">
        <f>IF($A233="","",MASTER_REGISTER!G230)</f>
        <v/>
      </c>
      <c r="F233" s="31">
        <f>IF($A233="","",MASTER_REGISTER!I230)</f>
        <v/>
      </c>
      <c r="G233" s="32">
        <f>IF($A233="","",MASTER_REGISTER!J230)</f>
        <v/>
      </c>
      <c r="H233" s="32">
        <f>IF($A233="","",MASTER_REGISTER!L230)</f>
        <v/>
      </c>
      <c r="I233" s="32">
        <f>IF($A233="","",MASTER_REGISTER!M230)</f>
        <v/>
      </c>
      <c r="J233" s="31">
        <f>IF($A233="","",MASTER_REGISTER!N230)</f>
        <v/>
      </c>
    </row>
    <row r="234">
      <c r="A234" s="31">
        <f>IF(MASTER_REGISTER!E231="","",MASTER_REGISTER!E231)</f>
        <v/>
      </c>
      <c r="B234" s="31">
        <f>IF($A234="","",MASTER_REGISTER!F231)</f>
        <v/>
      </c>
      <c r="C234" s="31">
        <f>IF($A234="","",MASTER_REGISTER!C231)</f>
        <v/>
      </c>
      <c r="D234" s="31">
        <f>IF($A234="","",MASTER_REGISTER!H231)</f>
        <v/>
      </c>
      <c r="E234" s="31">
        <f>IF($A234="","",MASTER_REGISTER!G231)</f>
        <v/>
      </c>
      <c r="F234" s="31">
        <f>IF($A234="","",MASTER_REGISTER!I231)</f>
        <v/>
      </c>
      <c r="G234" s="32">
        <f>IF($A234="","",MASTER_REGISTER!J231)</f>
        <v/>
      </c>
      <c r="H234" s="32">
        <f>IF($A234="","",MASTER_REGISTER!L231)</f>
        <v/>
      </c>
      <c r="I234" s="32">
        <f>IF($A234="","",MASTER_REGISTER!M231)</f>
        <v/>
      </c>
      <c r="J234" s="31">
        <f>IF($A234="","",MASTER_REGISTER!N231)</f>
        <v/>
      </c>
    </row>
    <row r="235">
      <c r="A235" s="31">
        <f>IF(MASTER_REGISTER!E232="","",MASTER_REGISTER!E232)</f>
        <v/>
      </c>
      <c r="B235" s="31">
        <f>IF($A235="","",MASTER_REGISTER!F232)</f>
        <v/>
      </c>
      <c r="C235" s="31">
        <f>IF($A235="","",MASTER_REGISTER!C232)</f>
        <v/>
      </c>
      <c r="D235" s="31">
        <f>IF($A235="","",MASTER_REGISTER!H232)</f>
        <v/>
      </c>
      <c r="E235" s="31">
        <f>IF($A235="","",MASTER_REGISTER!G232)</f>
        <v/>
      </c>
      <c r="F235" s="31">
        <f>IF($A235="","",MASTER_REGISTER!I232)</f>
        <v/>
      </c>
      <c r="G235" s="32">
        <f>IF($A235="","",MASTER_REGISTER!J232)</f>
        <v/>
      </c>
      <c r="H235" s="32">
        <f>IF($A235="","",MASTER_REGISTER!L232)</f>
        <v/>
      </c>
      <c r="I235" s="32">
        <f>IF($A235="","",MASTER_REGISTER!M232)</f>
        <v/>
      </c>
      <c r="J235" s="31">
        <f>IF($A235="","",MASTER_REGISTER!N232)</f>
        <v/>
      </c>
    </row>
    <row r="236">
      <c r="A236" s="31">
        <f>IF(MASTER_REGISTER!E233="","",MASTER_REGISTER!E233)</f>
        <v/>
      </c>
      <c r="B236" s="31">
        <f>IF($A236="","",MASTER_REGISTER!F233)</f>
        <v/>
      </c>
      <c r="C236" s="31">
        <f>IF($A236="","",MASTER_REGISTER!C233)</f>
        <v/>
      </c>
      <c r="D236" s="31">
        <f>IF($A236="","",MASTER_REGISTER!H233)</f>
        <v/>
      </c>
      <c r="E236" s="31">
        <f>IF($A236="","",MASTER_REGISTER!G233)</f>
        <v/>
      </c>
      <c r="F236" s="31">
        <f>IF($A236="","",MASTER_REGISTER!I233)</f>
        <v/>
      </c>
      <c r="G236" s="32">
        <f>IF($A236="","",MASTER_REGISTER!J233)</f>
        <v/>
      </c>
      <c r="H236" s="32">
        <f>IF($A236="","",MASTER_REGISTER!L233)</f>
        <v/>
      </c>
      <c r="I236" s="32">
        <f>IF($A236="","",MASTER_REGISTER!M233)</f>
        <v/>
      </c>
      <c r="J236" s="31">
        <f>IF($A236="","",MASTER_REGISTER!N233)</f>
        <v/>
      </c>
    </row>
    <row r="237">
      <c r="A237" s="31">
        <f>IF(MASTER_REGISTER!E234="","",MASTER_REGISTER!E234)</f>
        <v/>
      </c>
      <c r="B237" s="31">
        <f>IF($A237="","",MASTER_REGISTER!F234)</f>
        <v/>
      </c>
      <c r="C237" s="31">
        <f>IF($A237="","",MASTER_REGISTER!C234)</f>
        <v/>
      </c>
      <c r="D237" s="31">
        <f>IF($A237="","",MASTER_REGISTER!H234)</f>
        <v/>
      </c>
      <c r="E237" s="31">
        <f>IF($A237="","",MASTER_REGISTER!G234)</f>
        <v/>
      </c>
      <c r="F237" s="31">
        <f>IF($A237="","",MASTER_REGISTER!I234)</f>
        <v/>
      </c>
      <c r="G237" s="32">
        <f>IF($A237="","",MASTER_REGISTER!J234)</f>
        <v/>
      </c>
      <c r="H237" s="32">
        <f>IF($A237="","",MASTER_REGISTER!L234)</f>
        <v/>
      </c>
      <c r="I237" s="32">
        <f>IF($A237="","",MASTER_REGISTER!M234)</f>
        <v/>
      </c>
      <c r="J237" s="31">
        <f>IF($A237="","",MASTER_REGISTER!N234)</f>
        <v/>
      </c>
    </row>
    <row r="238">
      <c r="A238" s="31">
        <f>IF(MASTER_REGISTER!E235="","",MASTER_REGISTER!E235)</f>
        <v/>
      </c>
      <c r="B238" s="31">
        <f>IF($A238="","",MASTER_REGISTER!F235)</f>
        <v/>
      </c>
      <c r="C238" s="31">
        <f>IF($A238="","",MASTER_REGISTER!C235)</f>
        <v/>
      </c>
      <c r="D238" s="31">
        <f>IF($A238="","",MASTER_REGISTER!H235)</f>
        <v/>
      </c>
      <c r="E238" s="31">
        <f>IF($A238="","",MASTER_REGISTER!G235)</f>
        <v/>
      </c>
      <c r="F238" s="31">
        <f>IF($A238="","",MASTER_REGISTER!I235)</f>
        <v/>
      </c>
      <c r="G238" s="32">
        <f>IF($A238="","",MASTER_REGISTER!J235)</f>
        <v/>
      </c>
      <c r="H238" s="32">
        <f>IF($A238="","",MASTER_REGISTER!L235)</f>
        <v/>
      </c>
      <c r="I238" s="32">
        <f>IF($A238="","",MASTER_REGISTER!M235)</f>
        <v/>
      </c>
      <c r="J238" s="31">
        <f>IF($A238="","",MASTER_REGISTER!N235)</f>
        <v/>
      </c>
    </row>
    <row r="239">
      <c r="A239" s="31">
        <f>IF(MASTER_REGISTER!E236="","",MASTER_REGISTER!E236)</f>
        <v/>
      </c>
      <c r="B239" s="31">
        <f>IF($A239="","",MASTER_REGISTER!F236)</f>
        <v/>
      </c>
      <c r="C239" s="31">
        <f>IF($A239="","",MASTER_REGISTER!C236)</f>
        <v/>
      </c>
      <c r="D239" s="31">
        <f>IF($A239="","",MASTER_REGISTER!H236)</f>
        <v/>
      </c>
      <c r="E239" s="31">
        <f>IF($A239="","",MASTER_REGISTER!G236)</f>
        <v/>
      </c>
      <c r="F239" s="31">
        <f>IF($A239="","",MASTER_REGISTER!I236)</f>
        <v/>
      </c>
      <c r="G239" s="32">
        <f>IF($A239="","",MASTER_REGISTER!J236)</f>
        <v/>
      </c>
      <c r="H239" s="32">
        <f>IF($A239="","",MASTER_REGISTER!L236)</f>
        <v/>
      </c>
      <c r="I239" s="32">
        <f>IF($A239="","",MASTER_REGISTER!M236)</f>
        <v/>
      </c>
      <c r="J239" s="31">
        <f>IF($A239="","",MASTER_REGISTER!N236)</f>
        <v/>
      </c>
    </row>
    <row r="240">
      <c r="A240" s="31">
        <f>IF(MASTER_REGISTER!E237="","",MASTER_REGISTER!E237)</f>
        <v/>
      </c>
      <c r="B240" s="31">
        <f>IF($A240="","",MASTER_REGISTER!F237)</f>
        <v/>
      </c>
      <c r="C240" s="31">
        <f>IF($A240="","",MASTER_REGISTER!C237)</f>
        <v/>
      </c>
      <c r="D240" s="31">
        <f>IF($A240="","",MASTER_REGISTER!H237)</f>
        <v/>
      </c>
      <c r="E240" s="31">
        <f>IF($A240="","",MASTER_REGISTER!G237)</f>
        <v/>
      </c>
      <c r="F240" s="31">
        <f>IF($A240="","",MASTER_REGISTER!I237)</f>
        <v/>
      </c>
      <c r="G240" s="32">
        <f>IF($A240="","",MASTER_REGISTER!J237)</f>
        <v/>
      </c>
      <c r="H240" s="32">
        <f>IF($A240="","",MASTER_REGISTER!L237)</f>
        <v/>
      </c>
      <c r="I240" s="32">
        <f>IF($A240="","",MASTER_REGISTER!M237)</f>
        <v/>
      </c>
      <c r="J240" s="31">
        <f>IF($A240="","",MASTER_REGISTER!N237)</f>
        <v/>
      </c>
    </row>
    <row r="241">
      <c r="A241" s="31">
        <f>IF(MASTER_REGISTER!E238="","",MASTER_REGISTER!E238)</f>
        <v/>
      </c>
      <c r="B241" s="31">
        <f>IF($A241="","",MASTER_REGISTER!F238)</f>
        <v/>
      </c>
      <c r="C241" s="31">
        <f>IF($A241="","",MASTER_REGISTER!C238)</f>
        <v/>
      </c>
      <c r="D241" s="31">
        <f>IF($A241="","",MASTER_REGISTER!H238)</f>
        <v/>
      </c>
      <c r="E241" s="31">
        <f>IF($A241="","",MASTER_REGISTER!G238)</f>
        <v/>
      </c>
      <c r="F241" s="31">
        <f>IF($A241="","",MASTER_REGISTER!I238)</f>
        <v/>
      </c>
      <c r="G241" s="32">
        <f>IF($A241="","",MASTER_REGISTER!J238)</f>
        <v/>
      </c>
      <c r="H241" s="32">
        <f>IF($A241="","",MASTER_REGISTER!L238)</f>
        <v/>
      </c>
      <c r="I241" s="32">
        <f>IF($A241="","",MASTER_REGISTER!M238)</f>
        <v/>
      </c>
      <c r="J241" s="31">
        <f>IF($A241="","",MASTER_REGISTER!N238)</f>
        <v/>
      </c>
    </row>
    <row r="242">
      <c r="A242" s="31">
        <f>IF(MASTER_REGISTER!E239="","",MASTER_REGISTER!E239)</f>
        <v/>
      </c>
      <c r="B242" s="31">
        <f>IF($A242="","",MASTER_REGISTER!F239)</f>
        <v/>
      </c>
      <c r="C242" s="31">
        <f>IF($A242="","",MASTER_REGISTER!C239)</f>
        <v/>
      </c>
      <c r="D242" s="31">
        <f>IF($A242="","",MASTER_REGISTER!H239)</f>
        <v/>
      </c>
      <c r="E242" s="31">
        <f>IF($A242="","",MASTER_REGISTER!G239)</f>
        <v/>
      </c>
      <c r="F242" s="31">
        <f>IF($A242="","",MASTER_REGISTER!I239)</f>
        <v/>
      </c>
      <c r="G242" s="32">
        <f>IF($A242="","",MASTER_REGISTER!J239)</f>
        <v/>
      </c>
      <c r="H242" s="32">
        <f>IF($A242="","",MASTER_REGISTER!L239)</f>
        <v/>
      </c>
      <c r="I242" s="32">
        <f>IF($A242="","",MASTER_REGISTER!M239)</f>
        <v/>
      </c>
      <c r="J242" s="31">
        <f>IF($A242="","",MASTER_REGISTER!N239)</f>
        <v/>
      </c>
    </row>
    <row r="243">
      <c r="A243" s="31">
        <f>IF(MASTER_REGISTER!E240="","",MASTER_REGISTER!E240)</f>
        <v/>
      </c>
      <c r="B243" s="31">
        <f>IF($A243="","",MASTER_REGISTER!F240)</f>
        <v/>
      </c>
      <c r="C243" s="31">
        <f>IF($A243="","",MASTER_REGISTER!C240)</f>
        <v/>
      </c>
      <c r="D243" s="31">
        <f>IF($A243="","",MASTER_REGISTER!H240)</f>
        <v/>
      </c>
      <c r="E243" s="31">
        <f>IF($A243="","",MASTER_REGISTER!G240)</f>
        <v/>
      </c>
      <c r="F243" s="31">
        <f>IF($A243="","",MASTER_REGISTER!I240)</f>
        <v/>
      </c>
      <c r="G243" s="32">
        <f>IF($A243="","",MASTER_REGISTER!J240)</f>
        <v/>
      </c>
      <c r="H243" s="32">
        <f>IF($A243="","",MASTER_REGISTER!L240)</f>
        <v/>
      </c>
      <c r="I243" s="32">
        <f>IF($A243="","",MASTER_REGISTER!M240)</f>
        <v/>
      </c>
      <c r="J243" s="31">
        <f>IF($A243="","",MASTER_REGISTER!N240)</f>
        <v/>
      </c>
    </row>
    <row r="244">
      <c r="A244" s="31">
        <f>IF(MASTER_REGISTER!E241="","",MASTER_REGISTER!E241)</f>
        <v/>
      </c>
      <c r="B244" s="31">
        <f>IF($A244="","",MASTER_REGISTER!F241)</f>
        <v/>
      </c>
      <c r="C244" s="31">
        <f>IF($A244="","",MASTER_REGISTER!C241)</f>
        <v/>
      </c>
      <c r="D244" s="31">
        <f>IF($A244="","",MASTER_REGISTER!H241)</f>
        <v/>
      </c>
      <c r="E244" s="31">
        <f>IF($A244="","",MASTER_REGISTER!G241)</f>
        <v/>
      </c>
      <c r="F244" s="31">
        <f>IF($A244="","",MASTER_REGISTER!I241)</f>
        <v/>
      </c>
      <c r="G244" s="32">
        <f>IF($A244="","",MASTER_REGISTER!J241)</f>
        <v/>
      </c>
      <c r="H244" s="32">
        <f>IF($A244="","",MASTER_REGISTER!L241)</f>
        <v/>
      </c>
      <c r="I244" s="32">
        <f>IF($A244="","",MASTER_REGISTER!M241)</f>
        <v/>
      </c>
      <c r="J244" s="31">
        <f>IF($A244="","",MASTER_REGISTER!N241)</f>
        <v/>
      </c>
    </row>
    <row r="245">
      <c r="A245" s="31">
        <f>IF(MASTER_REGISTER!E242="","",MASTER_REGISTER!E242)</f>
        <v/>
      </c>
      <c r="B245" s="31">
        <f>IF($A245="","",MASTER_REGISTER!F242)</f>
        <v/>
      </c>
      <c r="C245" s="31">
        <f>IF($A245="","",MASTER_REGISTER!C242)</f>
        <v/>
      </c>
      <c r="D245" s="31">
        <f>IF($A245="","",MASTER_REGISTER!H242)</f>
        <v/>
      </c>
      <c r="E245" s="31">
        <f>IF($A245="","",MASTER_REGISTER!G242)</f>
        <v/>
      </c>
      <c r="F245" s="31">
        <f>IF($A245="","",MASTER_REGISTER!I242)</f>
        <v/>
      </c>
      <c r="G245" s="32">
        <f>IF($A245="","",MASTER_REGISTER!J242)</f>
        <v/>
      </c>
      <c r="H245" s="32">
        <f>IF($A245="","",MASTER_REGISTER!L242)</f>
        <v/>
      </c>
      <c r="I245" s="32">
        <f>IF($A245="","",MASTER_REGISTER!M242)</f>
        <v/>
      </c>
      <c r="J245" s="31">
        <f>IF($A245="","",MASTER_REGISTER!N242)</f>
        <v/>
      </c>
    </row>
    <row r="246">
      <c r="A246" s="31">
        <f>IF(MASTER_REGISTER!E243="","",MASTER_REGISTER!E243)</f>
        <v/>
      </c>
      <c r="B246" s="31">
        <f>IF($A246="","",MASTER_REGISTER!F243)</f>
        <v/>
      </c>
      <c r="C246" s="31">
        <f>IF($A246="","",MASTER_REGISTER!C243)</f>
        <v/>
      </c>
      <c r="D246" s="31">
        <f>IF($A246="","",MASTER_REGISTER!H243)</f>
        <v/>
      </c>
      <c r="E246" s="31">
        <f>IF($A246="","",MASTER_REGISTER!G243)</f>
        <v/>
      </c>
      <c r="F246" s="31">
        <f>IF($A246="","",MASTER_REGISTER!I243)</f>
        <v/>
      </c>
      <c r="G246" s="32">
        <f>IF($A246="","",MASTER_REGISTER!J243)</f>
        <v/>
      </c>
      <c r="H246" s="32">
        <f>IF($A246="","",MASTER_REGISTER!L243)</f>
        <v/>
      </c>
      <c r="I246" s="32">
        <f>IF($A246="","",MASTER_REGISTER!M243)</f>
        <v/>
      </c>
      <c r="J246" s="31">
        <f>IF($A246="","",MASTER_REGISTER!N243)</f>
        <v/>
      </c>
    </row>
    <row r="247">
      <c r="A247" s="31">
        <f>IF(MASTER_REGISTER!E244="","",MASTER_REGISTER!E244)</f>
        <v/>
      </c>
      <c r="B247" s="31">
        <f>IF($A247="","",MASTER_REGISTER!F244)</f>
        <v/>
      </c>
      <c r="C247" s="31">
        <f>IF($A247="","",MASTER_REGISTER!C244)</f>
        <v/>
      </c>
      <c r="D247" s="31">
        <f>IF($A247="","",MASTER_REGISTER!H244)</f>
        <v/>
      </c>
      <c r="E247" s="31">
        <f>IF($A247="","",MASTER_REGISTER!G244)</f>
        <v/>
      </c>
      <c r="F247" s="31">
        <f>IF($A247="","",MASTER_REGISTER!I244)</f>
        <v/>
      </c>
      <c r="G247" s="32">
        <f>IF($A247="","",MASTER_REGISTER!J244)</f>
        <v/>
      </c>
      <c r="H247" s="32">
        <f>IF($A247="","",MASTER_REGISTER!L244)</f>
        <v/>
      </c>
      <c r="I247" s="32">
        <f>IF($A247="","",MASTER_REGISTER!M244)</f>
        <v/>
      </c>
      <c r="J247" s="31">
        <f>IF($A247="","",MASTER_REGISTER!N244)</f>
        <v/>
      </c>
    </row>
    <row r="248">
      <c r="A248" s="31">
        <f>IF(MASTER_REGISTER!E245="","",MASTER_REGISTER!E245)</f>
        <v/>
      </c>
      <c r="B248" s="31">
        <f>IF($A248="","",MASTER_REGISTER!F245)</f>
        <v/>
      </c>
      <c r="C248" s="31">
        <f>IF($A248="","",MASTER_REGISTER!C245)</f>
        <v/>
      </c>
      <c r="D248" s="31">
        <f>IF($A248="","",MASTER_REGISTER!H245)</f>
        <v/>
      </c>
      <c r="E248" s="31">
        <f>IF($A248="","",MASTER_REGISTER!G245)</f>
        <v/>
      </c>
      <c r="F248" s="31">
        <f>IF($A248="","",MASTER_REGISTER!I245)</f>
        <v/>
      </c>
      <c r="G248" s="32">
        <f>IF($A248="","",MASTER_REGISTER!J245)</f>
        <v/>
      </c>
      <c r="H248" s="32">
        <f>IF($A248="","",MASTER_REGISTER!L245)</f>
        <v/>
      </c>
      <c r="I248" s="32">
        <f>IF($A248="","",MASTER_REGISTER!M245)</f>
        <v/>
      </c>
      <c r="J248" s="31">
        <f>IF($A248="","",MASTER_REGISTER!N245)</f>
        <v/>
      </c>
    </row>
    <row r="249">
      <c r="A249" s="31">
        <f>IF(MASTER_REGISTER!E246="","",MASTER_REGISTER!E246)</f>
        <v/>
      </c>
      <c r="B249" s="31">
        <f>IF($A249="","",MASTER_REGISTER!F246)</f>
        <v/>
      </c>
      <c r="C249" s="31">
        <f>IF($A249="","",MASTER_REGISTER!C246)</f>
        <v/>
      </c>
      <c r="D249" s="31">
        <f>IF($A249="","",MASTER_REGISTER!H246)</f>
        <v/>
      </c>
      <c r="E249" s="31">
        <f>IF($A249="","",MASTER_REGISTER!G246)</f>
        <v/>
      </c>
      <c r="F249" s="31">
        <f>IF($A249="","",MASTER_REGISTER!I246)</f>
        <v/>
      </c>
      <c r="G249" s="32">
        <f>IF($A249="","",MASTER_REGISTER!J246)</f>
        <v/>
      </c>
      <c r="H249" s="32">
        <f>IF($A249="","",MASTER_REGISTER!L246)</f>
        <v/>
      </c>
      <c r="I249" s="32">
        <f>IF($A249="","",MASTER_REGISTER!M246)</f>
        <v/>
      </c>
      <c r="J249" s="31">
        <f>IF($A249="","",MASTER_REGISTER!N246)</f>
        <v/>
      </c>
    </row>
    <row r="250">
      <c r="A250" s="31">
        <f>IF(MASTER_REGISTER!E247="","",MASTER_REGISTER!E247)</f>
        <v/>
      </c>
      <c r="B250" s="31">
        <f>IF($A250="","",MASTER_REGISTER!F247)</f>
        <v/>
      </c>
      <c r="C250" s="31">
        <f>IF($A250="","",MASTER_REGISTER!C247)</f>
        <v/>
      </c>
      <c r="D250" s="31">
        <f>IF($A250="","",MASTER_REGISTER!H247)</f>
        <v/>
      </c>
      <c r="E250" s="31">
        <f>IF($A250="","",MASTER_REGISTER!G247)</f>
        <v/>
      </c>
      <c r="F250" s="31">
        <f>IF($A250="","",MASTER_REGISTER!I247)</f>
        <v/>
      </c>
      <c r="G250" s="32">
        <f>IF($A250="","",MASTER_REGISTER!J247)</f>
        <v/>
      </c>
      <c r="H250" s="32">
        <f>IF($A250="","",MASTER_REGISTER!L247)</f>
        <v/>
      </c>
      <c r="I250" s="32">
        <f>IF($A250="","",MASTER_REGISTER!M247)</f>
        <v/>
      </c>
      <c r="J250" s="31">
        <f>IF($A250="","",MASTER_REGISTER!N247)</f>
        <v/>
      </c>
    </row>
    <row r="251">
      <c r="A251" s="31">
        <f>IF(MASTER_REGISTER!E248="","",MASTER_REGISTER!E248)</f>
        <v/>
      </c>
      <c r="B251" s="31">
        <f>IF($A251="","",MASTER_REGISTER!F248)</f>
        <v/>
      </c>
      <c r="C251" s="31">
        <f>IF($A251="","",MASTER_REGISTER!C248)</f>
        <v/>
      </c>
      <c r="D251" s="31">
        <f>IF($A251="","",MASTER_REGISTER!H248)</f>
        <v/>
      </c>
      <c r="E251" s="31">
        <f>IF($A251="","",MASTER_REGISTER!G248)</f>
        <v/>
      </c>
      <c r="F251" s="31">
        <f>IF($A251="","",MASTER_REGISTER!I248)</f>
        <v/>
      </c>
      <c r="G251" s="32">
        <f>IF($A251="","",MASTER_REGISTER!J248)</f>
        <v/>
      </c>
      <c r="H251" s="32">
        <f>IF($A251="","",MASTER_REGISTER!L248)</f>
        <v/>
      </c>
      <c r="I251" s="32">
        <f>IF($A251="","",MASTER_REGISTER!M248)</f>
        <v/>
      </c>
      <c r="J251" s="31">
        <f>IF($A251="","",MASTER_REGISTER!N248)</f>
        <v/>
      </c>
    </row>
    <row r="252">
      <c r="A252" s="31">
        <f>IF(MASTER_REGISTER!E249="","",MASTER_REGISTER!E249)</f>
        <v/>
      </c>
      <c r="B252" s="31">
        <f>IF($A252="","",MASTER_REGISTER!F249)</f>
        <v/>
      </c>
      <c r="C252" s="31">
        <f>IF($A252="","",MASTER_REGISTER!C249)</f>
        <v/>
      </c>
      <c r="D252" s="31">
        <f>IF($A252="","",MASTER_REGISTER!H249)</f>
        <v/>
      </c>
      <c r="E252" s="31">
        <f>IF($A252="","",MASTER_REGISTER!G249)</f>
        <v/>
      </c>
      <c r="F252" s="31">
        <f>IF($A252="","",MASTER_REGISTER!I249)</f>
        <v/>
      </c>
      <c r="G252" s="32">
        <f>IF($A252="","",MASTER_REGISTER!J249)</f>
        <v/>
      </c>
      <c r="H252" s="32">
        <f>IF($A252="","",MASTER_REGISTER!L249)</f>
        <v/>
      </c>
      <c r="I252" s="32">
        <f>IF($A252="","",MASTER_REGISTER!M249)</f>
        <v/>
      </c>
      <c r="J252" s="31">
        <f>IF($A252="","",MASTER_REGISTER!N249)</f>
        <v/>
      </c>
    </row>
    <row r="253">
      <c r="A253" s="31">
        <f>IF(MASTER_REGISTER!E250="","",MASTER_REGISTER!E250)</f>
        <v/>
      </c>
      <c r="B253" s="31">
        <f>IF($A253="","",MASTER_REGISTER!F250)</f>
        <v/>
      </c>
      <c r="C253" s="31">
        <f>IF($A253="","",MASTER_REGISTER!C250)</f>
        <v/>
      </c>
      <c r="D253" s="31">
        <f>IF($A253="","",MASTER_REGISTER!H250)</f>
        <v/>
      </c>
      <c r="E253" s="31">
        <f>IF($A253="","",MASTER_REGISTER!G250)</f>
        <v/>
      </c>
      <c r="F253" s="31">
        <f>IF($A253="","",MASTER_REGISTER!I250)</f>
        <v/>
      </c>
      <c r="G253" s="32">
        <f>IF($A253="","",MASTER_REGISTER!J250)</f>
        <v/>
      </c>
      <c r="H253" s="32">
        <f>IF($A253="","",MASTER_REGISTER!L250)</f>
        <v/>
      </c>
      <c r="I253" s="32">
        <f>IF($A253="","",MASTER_REGISTER!M250)</f>
        <v/>
      </c>
      <c r="J253" s="31">
        <f>IF($A253="","",MASTER_REGISTER!N250)</f>
        <v/>
      </c>
    </row>
    <row r="254">
      <c r="A254" s="31">
        <f>IF(MASTER_REGISTER!E251="","",MASTER_REGISTER!E251)</f>
        <v/>
      </c>
      <c r="B254" s="31">
        <f>IF($A254="","",MASTER_REGISTER!F251)</f>
        <v/>
      </c>
      <c r="C254" s="31">
        <f>IF($A254="","",MASTER_REGISTER!C251)</f>
        <v/>
      </c>
      <c r="D254" s="31">
        <f>IF($A254="","",MASTER_REGISTER!H251)</f>
        <v/>
      </c>
      <c r="E254" s="31">
        <f>IF($A254="","",MASTER_REGISTER!G251)</f>
        <v/>
      </c>
      <c r="F254" s="31">
        <f>IF($A254="","",MASTER_REGISTER!I251)</f>
        <v/>
      </c>
      <c r="G254" s="32">
        <f>IF($A254="","",MASTER_REGISTER!J251)</f>
        <v/>
      </c>
      <c r="H254" s="32">
        <f>IF($A254="","",MASTER_REGISTER!L251)</f>
        <v/>
      </c>
      <c r="I254" s="32">
        <f>IF($A254="","",MASTER_REGISTER!M251)</f>
        <v/>
      </c>
      <c r="J254" s="31">
        <f>IF($A254="","",MASTER_REGISTER!N251)</f>
        <v/>
      </c>
    </row>
    <row r="255">
      <c r="A255" s="31">
        <f>IF(MASTER_REGISTER!E252="","",MASTER_REGISTER!E252)</f>
        <v/>
      </c>
      <c r="B255" s="31">
        <f>IF($A255="","",MASTER_REGISTER!F252)</f>
        <v/>
      </c>
      <c r="C255" s="31">
        <f>IF($A255="","",MASTER_REGISTER!C252)</f>
        <v/>
      </c>
      <c r="D255" s="31">
        <f>IF($A255="","",MASTER_REGISTER!H252)</f>
        <v/>
      </c>
      <c r="E255" s="31">
        <f>IF($A255="","",MASTER_REGISTER!G252)</f>
        <v/>
      </c>
      <c r="F255" s="31">
        <f>IF($A255="","",MASTER_REGISTER!I252)</f>
        <v/>
      </c>
      <c r="G255" s="32">
        <f>IF($A255="","",MASTER_REGISTER!J252)</f>
        <v/>
      </c>
      <c r="H255" s="32">
        <f>IF($A255="","",MASTER_REGISTER!L252)</f>
        <v/>
      </c>
      <c r="I255" s="32">
        <f>IF($A255="","",MASTER_REGISTER!M252)</f>
        <v/>
      </c>
      <c r="J255" s="31">
        <f>IF($A255="","",MASTER_REGISTER!N252)</f>
        <v/>
      </c>
    </row>
    <row r="256">
      <c r="A256" s="31">
        <f>IF(MASTER_REGISTER!E253="","",MASTER_REGISTER!E253)</f>
        <v/>
      </c>
      <c r="B256" s="31">
        <f>IF($A256="","",MASTER_REGISTER!F253)</f>
        <v/>
      </c>
      <c r="C256" s="31">
        <f>IF($A256="","",MASTER_REGISTER!C253)</f>
        <v/>
      </c>
      <c r="D256" s="31">
        <f>IF($A256="","",MASTER_REGISTER!H253)</f>
        <v/>
      </c>
      <c r="E256" s="31">
        <f>IF($A256="","",MASTER_REGISTER!G253)</f>
        <v/>
      </c>
      <c r="F256" s="31">
        <f>IF($A256="","",MASTER_REGISTER!I253)</f>
        <v/>
      </c>
      <c r="G256" s="32">
        <f>IF($A256="","",MASTER_REGISTER!J253)</f>
        <v/>
      </c>
      <c r="H256" s="32">
        <f>IF($A256="","",MASTER_REGISTER!L253)</f>
        <v/>
      </c>
      <c r="I256" s="32">
        <f>IF($A256="","",MASTER_REGISTER!M253)</f>
        <v/>
      </c>
      <c r="J256" s="31">
        <f>IF($A256="","",MASTER_REGISTER!N253)</f>
        <v/>
      </c>
    </row>
    <row r="257">
      <c r="A257" s="31">
        <f>IF(MASTER_REGISTER!E254="","",MASTER_REGISTER!E254)</f>
        <v/>
      </c>
      <c r="B257" s="31">
        <f>IF($A257="","",MASTER_REGISTER!F254)</f>
        <v/>
      </c>
      <c r="C257" s="31">
        <f>IF($A257="","",MASTER_REGISTER!C254)</f>
        <v/>
      </c>
      <c r="D257" s="31">
        <f>IF($A257="","",MASTER_REGISTER!H254)</f>
        <v/>
      </c>
      <c r="E257" s="31">
        <f>IF($A257="","",MASTER_REGISTER!G254)</f>
        <v/>
      </c>
      <c r="F257" s="31">
        <f>IF($A257="","",MASTER_REGISTER!I254)</f>
        <v/>
      </c>
      <c r="G257" s="32">
        <f>IF($A257="","",MASTER_REGISTER!J254)</f>
        <v/>
      </c>
      <c r="H257" s="32">
        <f>IF($A257="","",MASTER_REGISTER!L254)</f>
        <v/>
      </c>
      <c r="I257" s="32">
        <f>IF($A257="","",MASTER_REGISTER!M254)</f>
        <v/>
      </c>
      <c r="J257" s="31">
        <f>IF($A257="","",MASTER_REGISTER!N254)</f>
        <v/>
      </c>
    </row>
    <row r="258">
      <c r="A258" s="31">
        <f>IF(MASTER_REGISTER!E255="","",MASTER_REGISTER!E255)</f>
        <v/>
      </c>
      <c r="B258" s="31">
        <f>IF($A258="","",MASTER_REGISTER!F255)</f>
        <v/>
      </c>
      <c r="C258" s="31">
        <f>IF($A258="","",MASTER_REGISTER!C255)</f>
        <v/>
      </c>
      <c r="D258" s="31">
        <f>IF($A258="","",MASTER_REGISTER!H255)</f>
        <v/>
      </c>
      <c r="E258" s="31">
        <f>IF($A258="","",MASTER_REGISTER!G255)</f>
        <v/>
      </c>
      <c r="F258" s="31">
        <f>IF($A258="","",MASTER_REGISTER!I255)</f>
        <v/>
      </c>
      <c r="G258" s="32">
        <f>IF($A258="","",MASTER_REGISTER!J255)</f>
        <v/>
      </c>
      <c r="H258" s="32">
        <f>IF($A258="","",MASTER_REGISTER!L255)</f>
        <v/>
      </c>
      <c r="I258" s="32">
        <f>IF($A258="","",MASTER_REGISTER!M255)</f>
        <v/>
      </c>
      <c r="J258" s="31">
        <f>IF($A258="","",MASTER_REGISTER!N255)</f>
        <v/>
      </c>
    </row>
    <row r="259">
      <c r="A259" s="31">
        <f>IF(MASTER_REGISTER!E256="","",MASTER_REGISTER!E256)</f>
        <v/>
      </c>
      <c r="B259" s="31">
        <f>IF($A259="","",MASTER_REGISTER!F256)</f>
        <v/>
      </c>
      <c r="C259" s="31">
        <f>IF($A259="","",MASTER_REGISTER!C256)</f>
        <v/>
      </c>
      <c r="D259" s="31">
        <f>IF($A259="","",MASTER_REGISTER!H256)</f>
        <v/>
      </c>
      <c r="E259" s="31">
        <f>IF($A259="","",MASTER_REGISTER!G256)</f>
        <v/>
      </c>
      <c r="F259" s="31">
        <f>IF($A259="","",MASTER_REGISTER!I256)</f>
        <v/>
      </c>
      <c r="G259" s="32">
        <f>IF($A259="","",MASTER_REGISTER!J256)</f>
        <v/>
      </c>
      <c r="H259" s="32">
        <f>IF($A259="","",MASTER_REGISTER!L256)</f>
        <v/>
      </c>
      <c r="I259" s="32">
        <f>IF($A259="","",MASTER_REGISTER!M256)</f>
        <v/>
      </c>
      <c r="J259" s="31">
        <f>IF($A259="","",MASTER_REGISTER!N256)</f>
        <v/>
      </c>
    </row>
    <row r="260">
      <c r="A260" s="31">
        <f>IF(MASTER_REGISTER!E257="","",MASTER_REGISTER!E257)</f>
        <v/>
      </c>
      <c r="B260" s="31">
        <f>IF($A260="","",MASTER_REGISTER!F257)</f>
        <v/>
      </c>
      <c r="C260" s="31">
        <f>IF($A260="","",MASTER_REGISTER!C257)</f>
        <v/>
      </c>
      <c r="D260" s="31">
        <f>IF($A260="","",MASTER_REGISTER!H257)</f>
        <v/>
      </c>
      <c r="E260" s="31">
        <f>IF($A260="","",MASTER_REGISTER!G257)</f>
        <v/>
      </c>
      <c r="F260" s="31">
        <f>IF($A260="","",MASTER_REGISTER!I257)</f>
        <v/>
      </c>
      <c r="G260" s="32">
        <f>IF($A260="","",MASTER_REGISTER!J257)</f>
        <v/>
      </c>
      <c r="H260" s="32">
        <f>IF($A260="","",MASTER_REGISTER!L257)</f>
        <v/>
      </c>
      <c r="I260" s="32">
        <f>IF($A260="","",MASTER_REGISTER!M257)</f>
        <v/>
      </c>
      <c r="J260" s="31">
        <f>IF($A260="","",MASTER_REGISTER!N257)</f>
        <v/>
      </c>
    </row>
    <row r="261">
      <c r="A261" s="31">
        <f>IF(MASTER_REGISTER!E258="","",MASTER_REGISTER!E258)</f>
        <v/>
      </c>
      <c r="B261" s="31">
        <f>IF($A261="","",MASTER_REGISTER!F258)</f>
        <v/>
      </c>
      <c r="C261" s="31">
        <f>IF($A261="","",MASTER_REGISTER!C258)</f>
        <v/>
      </c>
      <c r="D261" s="31">
        <f>IF($A261="","",MASTER_REGISTER!H258)</f>
        <v/>
      </c>
      <c r="E261" s="31">
        <f>IF($A261="","",MASTER_REGISTER!G258)</f>
        <v/>
      </c>
      <c r="F261" s="31">
        <f>IF($A261="","",MASTER_REGISTER!I258)</f>
        <v/>
      </c>
      <c r="G261" s="32">
        <f>IF($A261="","",MASTER_REGISTER!J258)</f>
        <v/>
      </c>
      <c r="H261" s="32">
        <f>IF($A261="","",MASTER_REGISTER!L258)</f>
        <v/>
      </c>
      <c r="I261" s="32">
        <f>IF($A261="","",MASTER_REGISTER!M258)</f>
        <v/>
      </c>
      <c r="J261" s="31">
        <f>IF($A261="","",MASTER_REGISTER!N258)</f>
        <v/>
      </c>
    </row>
    <row r="262">
      <c r="A262" s="31">
        <f>IF(MASTER_REGISTER!E259="","",MASTER_REGISTER!E259)</f>
        <v/>
      </c>
      <c r="B262" s="31">
        <f>IF($A262="","",MASTER_REGISTER!F259)</f>
        <v/>
      </c>
      <c r="C262" s="31">
        <f>IF($A262="","",MASTER_REGISTER!C259)</f>
        <v/>
      </c>
      <c r="D262" s="31">
        <f>IF($A262="","",MASTER_REGISTER!H259)</f>
        <v/>
      </c>
      <c r="E262" s="31">
        <f>IF($A262="","",MASTER_REGISTER!G259)</f>
        <v/>
      </c>
      <c r="F262" s="31">
        <f>IF($A262="","",MASTER_REGISTER!I259)</f>
        <v/>
      </c>
      <c r="G262" s="32">
        <f>IF($A262="","",MASTER_REGISTER!J259)</f>
        <v/>
      </c>
      <c r="H262" s="32">
        <f>IF($A262="","",MASTER_REGISTER!L259)</f>
        <v/>
      </c>
      <c r="I262" s="32">
        <f>IF($A262="","",MASTER_REGISTER!M259)</f>
        <v/>
      </c>
      <c r="J262" s="31">
        <f>IF($A262="","",MASTER_REGISTER!N259)</f>
        <v/>
      </c>
    </row>
    <row r="263">
      <c r="A263" s="31">
        <f>IF(MASTER_REGISTER!E260="","",MASTER_REGISTER!E260)</f>
        <v/>
      </c>
      <c r="B263" s="31">
        <f>IF($A263="","",MASTER_REGISTER!F260)</f>
        <v/>
      </c>
      <c r="C263" s="31">
        <f>IF($A263="","",MASTER_REGISTER!C260)</f>
        <v/>
      </c>
      <c r="D263" s="31">
        <f>IF($A263="","",MASTER_REGISTER!H260)</f>
        <v/>
      </c>
      <c r="E263" s="31">
        <f>IF($A263="","",MASTER_REGISTER!G260)</f>
        <v/>
      </c>
      <c r="F263" s="31">
        <f>IF($A263="","",MASTER_REGISTER!I260)</f>
        <v/>
      </c>
      <c r="G263" s="32">
        <f>IF($A263="","",MASTER_REGISTER!J260)</f>
        <v/>
      </c>
      <c r="H263" s="32">
        <f>IF($A263="","",MASTER_REGISTER!L260)</f>
        <v/>
      </c>
      <c r="I263" s="32">
        <f>IF($A263="","",MASTER_REGISTER!M260)</f>
        <v/>
      </c>
      <c r="J263" s="31">
        <f>IF($A263="","",MASTER_REGISTER!N260)</f>
        <v/>
      </c>
    </row>
    <row r="264">
      <c r="A264" s="31">
        <f>IF(MASTER_REGISTER!E261="","",MASTER_REGISTER!E261)</f>
        <v/>
      </c>
      <c r="B264" s="31">
        <f>IF($A264="","",MASTER_REGISTER!F261)</f>
        <v/>
      </c>
      <c r="C264" s="31">
        <f>IF($A264="","",MASTER_REGISTER!C261)</f>
        <v/>
      </c>
      <c r="D264" s="31">
        <f>IF($A264="","",MASTER_REGISTER!H261)</f>
        <v/>
      </c>
      <c r="E264" s="31">
        <f>IF($A264="","",MASTER_REGISTER!G261)</f>
        <v/>
      </c>
      <c r="F264" s="31">
        <f>IF($A264="","",MASTER_REGISTER!I261)</f>
        <v/>
      </c>
      <c r="G264" s="32">
        <f>IF($A264="","",MASTER_REGISTER!J261)</f>
        <v/>
      </c>
      <c r="H264" s="32">
        <f>IF($A264="","",MASTER_REGISTER!L261)</f>
        <v/>
      </c>
      <c r="I264" s="32">
        <f>IF($A264="","",MASTER_REGISTER!M261)</f>
        <v/>
      </c>
      <c r="J264" s="31">
        <f>IF($A264="","",MASTER_REGISTER!N261)</f>
        <v/>
      </c>
    </row>
    <row r="265">
      <c r="A265" s="31">
        <f>IF(MASTER_REGISTER!E262="","",MASTER_REGISTER!E262)</f>
        <v/>
      </c>
      <c r="B265" s="31">
        <f>IF($A265="","",MASTER_REGISTER!F262)</f>
        <v/>
      </c>
      <c r="C265" s="31">
        <f>IF($A265="","",MASTER_REGISTER!C262)</f>
        <v/>
      </c>
      <c r="D265" s="31">
        <f>IF($A265="","",MASTER_REGISTER!H262)</f>
        <v/>
      </c>
      <c r="E265" s="31">
        <f>IF($A265="","",MASTER_REGISTER!G262)</f>
        <v/>
      </c>
      <c r="F265" s="31">
        <f>IF($A265="","",MASTER_REGISTER!I262)</f>
        <v/>
      </c>
      <c r="G265" s="32">
        <f>IF($A265="","",MASTER_REGISTER!J262)</f>
        <v/>
      </c>
      <c r="H265" s="32">
        <f>IF($A265="","",MASTER_REGISTER!L262)</f>
        <v/>
      </c>
      <c r="I265" s="32">
        <f>IF($A265="","",MASTER_REGISTER!M262)</f>
        <v/>
      </c>
      <c r="J265" s="31">
        <f>IF($A265="","",MASTER_REGISTER!N262)</f>
        <v/>
      </c>
    </row>
    <row r="266">
      <c r="A266" s="31">
        <f>IF(MASTER_REGISTER!E263="","",MASTER_REGISTER!E263)</f>
        <v/>
      </c>
      <c r="B266" s="31">
        <f>IF($A266="","",MASTER_REGISTER!F263)</f>
        <v/>
      </c>
      <c r="C266" s="31">
        <f>IF($A266="","",MASTER_REGISTER!C263)</f>
        <v/>
      </c>
      <c r="D266" s="31">
        <f>IF($A266="","",MASTER_REGISTER!H263)</f>
        <v/>
      </c>
      <c r="E266" s="31">
        <f>IF($A266="","",MASTER_REGISTER!G263)</f>
        <v/>
      </c>
      <c r="F266" s="31">
        <f>IF($A266="","",MASTER_REGISTER!I263)</f>
        <v/>
      </c>
      <c r="G266" s="32">
        <f>IF($A266="","",MASTER_REGISTER!J263)</f>
        <v/>
      </c>
      <c r="H266" s="32">
        <f>IF($A266="","",MASTER_REGISTER!L263)</f>
        <v/>
      </c>
      <c r="I266" s="32">
        <f>IF($A266="","",MASTER_REGISTER!M263)</f>
        <v/>
      </c>
      <c r="J266" s="31">
        <f>IF($A266="","",MASTER_REGISTER!N263)</f>
        <v/>
      </c>
    </row>
    <row r="267">
      <c r="A267" s="31">
        <f>IF(MASTER_REGISTER!E264="","",MASTER_REGISTER!E264)</f>
        <v/>
      </c>
      <c r="B267" s="31">
        <f>IF($A267="","",MASTER_REGISTER!F264)</f>
        <v/>
      </c>
      <c r="C267" s="31">
        <f>IF($A267="","",MASTER_REGISTER!C264)</f>
        <v/>
      </c>
      <c r="D267" s="31">
        <f>IF($A267="","",MASTER_REGISTER!H264)</f>
        <v/>
      </c>
      <c r="E267" s="31">
        <f>IF($A267="","",MASTER_REGISTER!G264)</f>
        <v/>
      </c>
      <c r="F267" s="31">
        <f>IF($A267="","",MASTER_REGISTER!I264)</f>
        <v/>
      </c>
      <c r="G267" s="32">
        <f>IF($A267="","",MASTER_REGISTER!J264)</f>
        <v/>
      </c>
      <c r="H267" s="32">
        <f>IF($A267="","",MASTER_REGISTER!L264)</f>
        <v/>
      </c>
      <c r="I267" s="32">
        <f>IF($A267="","",MASTER_REGISTER!M264)</f>
        <v/>
      </c>
      <c r="J267" s="31">
        <f>IF($A267="","",MASTER_REGISTER!N264)</f>
        <v/>
      </c>
    </row>
    <row r="268">
      <c r="A268" s="31">
        <f>IF(MASTER_REGISTER!E265="","",MASTER_REGISTER!E265)</f>
        <v/>
      </c>
      <c r="B268" s="31">
        <f>IF($A268="","",MASTER_REGISTER!F265)</f>
        <v/>
      </c>
      <c r="C268" s="31">
        <f>IF($A268="","",MASTER_REGISTER!C265)</f>
        <v/>
      </c>
      <c r="D268" s="31">
        <f>IF($A268="","",MASTER_REGISTER!H265)</f>
        <v/>
      </c>
      <c r="E268" s="31">
        <f>IF($A268="","",MASTER_REGISTER!G265)</f>
        <v/>
      </c>
      <c r="F268" s="31">
        <f>IF($A268="","",MASTER_REGISTER!I265)</f>
        <v/>
      </c>
      <c r="G268" s="32">
        <f>IF($A268="","",MASTER_REGISTER!J265)</f>
        <v/>
      </c>
      <c r="H268" s="32">
        <f>IF($A268="","",MASTER_REGISTER!L265)</f>
        <v/>
      </c>
      <c r="I268" s="32">
        <f>IF($A268="","",MASTER_REGISTER!M265)</f>
        <v/>
      </c>
      <c r="J268" s="31">
        <f>IF($A268="","",MASTER_REGISTER!N265)</f>
        <v/>
      </c>
    </row>
    <row r="269">
      <c r="A269" s="31">
        <f>IF(MASTER_REGISTER!E266="","",MASTER_REGISTER!E266)</f>
        <v/>
      </c>
      <c r="B269" s="31">
        <f>IF($A269="","",MASTER_REGISTER!F266)</f>
        <v/>
      </c>
      <c r="C269" s="31">
        <f>IF($A269="","",MASTER_REGISTER!C266)</f>
        <v/>
      </c>
      <c r="D269" s="31">
        <f>IF($A269="","",MASTER_REGISTER!H266)</f>
        <v/>
      </c>
      <c r="E269" s="31">
        <f>IF($A269="","",MASTER_REGISTER!G266)</f>
        <v/>
      </c>
      <c r="F269" s="31">
        <f>IF($A269="","",MASTER_REGISTER!I266)</f>
        <v/>
      </c>
      <c r="G269" s="32">
        <f>IF($A269="","",MASTER_REGISTER!J266)</f>
        <v/>
      </c>
      <c r="H269" s="32">
        <f>IF($A269="","",MASTER_REGISTER!L266)</f>
        <v/>
      </c>
      <c r="I269" s="32">
        <f>IF($A269="","",MASTER_REGISTER!M266)</f>
        <v/>
      </c>
      <c r="J269" s="31">
        <f>IF($A269="","",MASTER_REGISTER!N266)</f>
        <v/>
      </c>
    </row>
    <row r="270">
      <c r="A270" s="31">
        <f>IF(MASTER_REGISTER!E267="","",MASTER_REGISTER!E267)</f>
        <v/>
      </c>
      <c r="B270" s="31">
        <f>IF($A270="","",MASTER_REGISTER!F267)</f>
        <v/>
      </c>
      <c r="C270" s="31">
        <f>IF($A270="","",MASTER_REGISTER!C267)</f>
        <v/>
      </c>
      <c r="D270" s="31">
        <f>IF($A270="","",MASTER_REGISTER!H267)</f>
        <v/>
      </c>
      <c r="E270" s="31">
        <f>IF($A270="","",MASTER_REGISTER!G267)</f>
        <v/>
      </c>
      <c r="F270" s="31">
        <f>IF($A270="","",MASTER_REGISTER!I267)</f>
        <v/>
      </c>
      <c r="G270" s="32">
        <f>IF($A270="","",MASTER_REGISTER!J267)</f>
        <v/>
      </c>
      <c r="H270" s="32">
        <f>IF($A270="","",MASTER_REGISTER!L267)</f>
        <v/>
      </c>
      <c r="I270" s="32">
        <f>IF($A270="","",MASTER_REGISTER!M267)</f>
        <v/>
      </c>
      <c r="J270" s="31">
        <f>IF($A270="","",MASTER_REGISTER!N267)</f>
        <v/>
      </c>
    </row>
    <row r="271">
      <c r="A271" s="31">
        <f>IF(MASTER_REGISTER!E268="","",MASTER_REGISTER!E268)</f>
        <v/>
      </c>
      <c r="B271" s="31">
        <f>IF($A271="","",MASTER_REGISTER!F268)</f>
        <v/>
      </c>
      <c r="C271" s="31">
        <f>IF($A271="","",MASTER_REGISTER!C268)</f>
        <v/>
      </c>
      <c r="D271" s="31">
        <f>IF($A271="","",MASTER_REGISTER!H268)</f>
        <v/>
      </c>
      <c r="E271" s="31">
        <f>IF($A271="","",MASTER_REGISTER!G268)</f>
        <v/>
      </c>
      <c r="F271" s="31">
        <f>IF($A271="","",MASTER_REGISTER!I268)</f>
        <v/>
      </c>
      <c r="G271" s="32">
        <f>IF($A271="","",MASTER_REGISTER!J268)</f>
        <v/>
      </c>
      <c r="H271" s="32">
        <f>IF($A271="","",MASTER_REGISTER!L268)</f>
        <v/>
      </c>
      <c r="I271" s="32">
        <f>IF($A271="","",MASTER_REGISTER!M268)</f>
        <v/>
      </c>
      <c r="J271" s="31">
        <f>IF($A271="","",MASTER_REGISTER!N268)</f>
        <v/>
      </c>
    </row>
    <row r="272">
      <c r="A272" s="31">
        <f>IF(MASTER_REGISTER!E269="","",MASTER_REGISTER!E269)</f>
        <v/>
      </c>
      <c r="B272" s="31">
        <f>IF($A272="","",MASTER_REGISTER!F269)</f>
        <v/>
      </c>
      <c r="C272" s="31">
        <f>IF($A272="","",MASTER_REGISTER!C269)</f>
        <v/>
      </c>
      <c r="D272" s="31">
        <f>IF($A272="","",MASTER_REGISTER!H269)</f>
        <v/>
      </c>
      <c r="E272" s="31">
        <f>IF($A272="","",MASTER_REGISTER!G269)</f>
        <v/>
      </c>
      <c r="F272" s="31">
        <f>IF($A272="","",MASTER_REGISTER!I269)</f>
        <v/>
      </c>
      <c r="G272" s="32">
        <f>IF($A272="","",MASTER_REGISTER!J269)</f>
        <v/>
      </c>
      <c r="H272" s="32">
        <f>IF($A272="","",MASTER_REGISTER!L269)</f>
        <v/>
      </c>
      <c r="I272" s="32">
        <f>IF($A272="","",MASTER_REGISTER!M269)</f>
        <v/>
      </c>
      <c r="J272" s="31">
        <f>IF($A272="","",MASTER_REGISTER!N269)</f>
        <v/>
      </c>
    </row>
    <row r="273">
      <c r="A273" s="31">
        <f>IF(MASTER_REGISTER!E270="","",MASTER_REGISTER!E270)</f>
        <v/>
      </c>
      <c r="B273" s="31">
        <f>IF($A273="","",MASTER_REGISTER!F270)</f>
        <v/>
      </c>
      <c r="C273" s="31">
        <f>IF($A273="","",MASTER_REGISTER!C270)</f>
        <v/>
      </c>
      <c r="D273" s="31">
        <f>IF($A273="","",MASTER_REGISTER!H270)</f>
        <v/>
      </c>
      <c r="E273" s="31">
        <f>IF($A273="","",MASTER_REGISTER!G270)</f>
        <v/>
      </c>
      <c r="F273" s="31">
        <f>IF($A273="","",MASTER_REGISTER!I270)</f>
        <v/>
      </c>
      <c r="G273" s="32">
        <f>IF($A273="","",MASTER_REGISTER!J270)</f>
        <v/>
      </c>
      <c r="H273" s="32">
        <f>IF($A273="","",MASTER_REGISTER!L270)</f>
        <v/>
      </c>
      <c r="I273" s="32">
        <f>IF($A273="","",MASTER_REGISTER!M270)</f>
        <v/>
      </c>
      <c r="J273" s="31">
        <f>IF($A273="","",MASTER_REGISTER!N270)</f>
        <v/>
      </c>
    </row>
    <row r="274">
      <c r="A274" s="31">
        <f>IF(MASTER_REGISTER!E271="","",MASTER_REGISTER!E271)</f>
        <v/>
      </c>
      <c r="B274" s="31">
        <f>IF($A274="","",MASTER_REGISTER!F271)</f>
        <v/>
      </c>
      <c r="C274" s="31">
        <f>IF($A274="","",MASTER_REGISTER!C271)</f>
        <v/>
      </c>
      <c r="D274" s="31">
        <f>IF($A274="","",MASTER_REGISTER!H271)</f>
        <v/>
      </c>
      <c r="E274" s="31">
        <f>IF($A274="","",MASTER_REGISTER!G271)</f>
        <v/>
      </c>
      <c r="F274" s="31">
        <f>IF($A274="","",MASTER_REGISTER!I271)</f>
        <v/>
      </c>
      <c r="G274" s="32">
        <f>IF($A274="","",MASTER_REGISTER!J271)</f>
        <v/>
      </c>
      <c r="H274" s="32">
        <f>IF($A274="","",MASTER_REGISTER!L271)</f>
        <v/>
      </c>
      <c r="I274" s="32">
        <f>IF($A274="","",MASTER_REGISTER!M271)</f>
        <v/>
      </c>
      <c r="J274" s="31">
        <f>IF($A274="","",MASTER_REGISTER!N271)</f>
        <v/>
      </c>
    </row>
    <row r="275">
      <c r="A275" s="31">
        <f>IF(MASTER_REGISTER!E272="","",MASTER_REGISTER!E272)</f>
        <v/>
      </c>
      <c r="B275" s="31">
        <f>IF($A275="","",MASTER_REGISTER!F272)</f>
        <v/>
      </c>
      <c r="C275" s="31">
        <f>IF($A275="","",MASTER_REGISTER!C272)</f>
        <v/>
      </c>
      <c r="D275" s="31">
        <f>IF($A275="","",MASTER_REGISTER!H272)</f>
        <v/>
      </c>
      <c r="E275" s="31">
        <f>IF($A275="","",MASTER_REGISTER!G272)</f>
        <v/>
      </c>
      <c r="F275" s="31">
        <f>IF($A275="","",MASTER_REGISTER!I272)</f>
        <v/>
      </c>
      <c r="G275" s="32">
        <f>IF($A275="","",MASTER_REGISTER!J272)</f>
        <v/>
      </c>
      <c r="H275" s="32">
        <f>IF($A275="","",MASTER_REGISTER!L272)</f>
        <v/>
      </c>
      <c r="I275" s="32">
        <f>IF($A275="","",MASTER_REGISTER!M272)</f>
        <v/>
      </c>
      <c r="J275" s="31">
        <f>IF($A275="","",MASTER_REGISTER!N272)</f>
        <v/>
      </c>
    </row>
    <row r="276">
      <c r="A276" s="31">
        <f>IF(MASTER_REGISTER!E273="","",MASTER_REGISTER!E273)</f>
        <v/>
      </c>
      <c r="B276" s="31">
        <f>IF($A276="","",MASTER_REGISTER!F273)</f>
        <v/>
      </c>
      <c r="C276" s="31">
        <f>IF($A276="","",MASTER_REGISTER!C273)</f>
        <v/>
      </c>
      <c r="D276" s="31">
        <f>IF($A276="","",MASTER_REGISTER!H273)</f>
        <v/>
      </c>
      <c r="E276" s="31">
        <f>IF($A276="","",MASTER_REGISTER!G273)</f>
        <v/>
      </c>
      <c r="F276" s="31">
        <f>IF($A276="","",MASTER_REGISTER!I273)</f>
        <v/>
      </c>
      <c r="G276" s="32">
        <f>IF($A276="","",MASTER_REGISTER!J273)</f>
        <v/>
      </c>
      <c r="H276" s="32">
        <f>IF($A276="","",MASTER_REGISTER!L273)</f>
        <v/>
      </c>
      <c r="I276" s="32">
        <f>IF($A276="","",MASTER_REGISTER!M273)</f>
        <v/>
      </c>
      <c r="J276" s="31">
        <f>IF($A276="","",MASTER_REGISTER!N273)</f>
        <v/>
      </c>
    </row>
    <row r="277">
      <c r="A277" s="31">
        <f>IF(MASTER_REGISTER!E274="","",MASTER_REGISTER!E274)</f>
        <v/>
      </c>
      <c r="B277" s="31">
        <f>IF($A277="","",MASTER_REGISTER!F274)</f>
        <v/>
      </c>
      <c r="C277" s="31">
        <f>IF($A277="","",MASTER_REGISTER!C274)</f>
        <v/>
      </c>
      <c r="D277" s="31">
        <f>IF($A277="","",MASTER_REGISTER!H274)</f>
        <v/>
      </c>
      <c r="E277" s="31">
        <f>IF($A277="","",MASTER_REGISTER!G274)</f>
        <v/>
      </c>
      <c r="F277" s="31">
        <f>IF($A277="","",MASTER_REGISTER!I274)</f>
        <v/>
      </c>
      <c r="G277" s="32">
        <f>IF($A277="","",MASTER_REGISTER!J274)</f>
        <v/>
      </c>
      <c r="H277" s="32">
        <f>IF($A277="","",MASTER_REGISTER!L274)</f>
        <v/>
      </c>
      <c r="I277" s="32">
        <f>IF($A277="","",MASTER_REGISTER!M274)</f>
        <v/>
      </c>
      <c r="J277" s="31">
        <f>IF($A277="","",MASTER_REGISTER!N274)</f>
        <v/>
      </c>
    </row>
    <row r="278">
      <c r="A278" s="31">
        <f>IF(MASTER_REGISTER!E275="","",MASTER_REGISTER!E275)</f>
        <v/>
      </c>
      <c r="B278" s="31">
        <f>IF($A278="","",MASTER_REGISTER!F275)</f>
        <v/>
      </c>
      <c r="C278" s="31">
        <f>IF($A278="","",MASTER_REGISTER!C275)</f>
        <v/>
      </c>
      <c r="D278" s="31">
        <f>IF($A278="","",MASTER_REGISTER!H275)</f>
        <v/>
      </c>
      <c r="E278" s="31">
        <f>IF($A278="","",MASTER_REGISTER!G275)</f>
        <v/>
      </c>
      <c r="F278" s="31">
        <f>IF($A278="","",MASTER_REGISTER!I275)</f>
        <v/>
      </c>
      <c r="G278" s="32">
        <f>IF($A278="","",MASTER_REGISTER!J275)</f>
        <v/>
      </c>
      <c r="H278" s="32">
        <f>IF($A278="","",MASTER_REGISTER!L275)</f>
        <v/>
      </c>
      <c r="I278" s="32">
        <f>IF($A278="","",MASTER_REGISTER!M275)</f>
        <v/>
      </c>
      <c r="J278" s="31">
        <f>IF($A278="","",MASTER_REGISTER!N275)</f>
        <v/>
      </c>
    </row>
    <row r="279">
      <c r="A279" s="31">
        <f>IF(MASTER_REGISTER!E276="","",MASTER_REGISTER!E276)</f>
        <v/>
      </c>
      <c r="B279" s="31">
        <f>IF($A279="","",MASTER_REGISTER!F276)</f>
        <v/>
      </c>
      <c r="C279" s="31">
        <f>IF($A279="","",MASTER_REGISTER!C276)</f>
        <v/>
      </c>
      <c r="D279" s="31">
        <f>IF($A279="","",MASTER_REGISTER!H276)</f>
        <v/>
      </c>
      <c r="E279" s="31">
        <f>IF($A279="","",MASTER_REGISTER!G276)</f>
        <v/>
      </c>
      <c r="F279" s="31">
        <f>IF($A279="","",MASTER_REGISTER!I276)</f>
        <v/>
      </c>
      <c r="G279" s="32">
        <f>IF($A279="","",MASTER_REGISTER!J276)</f>
        <v/>
      </c>
      <c r="H279" s="32">
        <f>IF($A279="","",MASTER_REGISTER!L276)</f>
        <v/>
      </c>
      <c r="I279" s="32">
        <f>IF($A279="","",MASTER_REGISTER!M276)</f>
        <v/>
      </c>
      <c r="J279" s="31">
        <f>IF($A279="","",MASTER_REGISTER!N276)</f>
        <v/>
      </c>
    </row>
    <row r="280">
      <c r="A280" s="31">
        <f>IF(MASTER_REGISTER!E277="","",MASTER_REGISTER!E277)</f>
        <v/>
      </c>
      <c r="B280" s="31">
        <f>IF($A280="","",MASTER_REGISTER!F277)</f>
        <v/>
      </c>
      <c r="C280" s="31">
        <f>IF($A280="","",MASTER_REGISTER!C277)</f>
        <v/>
      </c>
      <c r="D280" s="31">
        <f>IF($A280="","",MASTER_REGISTER!H277)</f>
        <v/>
      </c>
      <c r="E280" s="31">
        <f>IF($A280="","",MASTER_REGISTER!G277)</f>
        <v/>
      </c>
      <c r="F280" s="31">
        <f>IF($A280="","",MASTER_REGISTER!I277)</f>
        <v/>
      </c>
      <c r="G280" s="32">
        <f>IF($A280="","",MASTER_REGISTER!J277)</f>
        <v/>
      </c>
      <c r="H280" s="32">
        <f>IF($A280="","",MASTER_REGISTER!L277)</f>
        <v/>
      </c>
      <c r="I280" s="32">
        <f>IF($A280="","",MASTER_REGISTER!M277)</f>
        <v/>
      </c>
      <c r="J280" s="31">
        <f>IF($A280="","",MASTER_REGISTER!N277)</f>
        <v/>
      </c>
    </row>
    <row r="281">
      <c r="A281" s="31">
        <f>IF(MASTER_REGISTER!E278="","",MASTER_REGISTER!E278)</f>
        <v/>
      </c>
      <c r="B281" s="31">
        <f>IF($A281="","",MASTER_REGISTER!F278)</f>
        <v/>
      </c>
      <c r="C281" s="31">
        <f>IF($A281="","",MASTER_REGISTER!C278)</f>
        <v/>
      </c>
      <c r="D281" s="31">
        <f>IF($A281="","",MASTER_REGISTER!H278)</f>
        <v/>
      </c>
      <c r="E281" s="31">
        <f>IF($A281="","",MASTER_REGISTER!G278)</f>
        <v/>
      </c>
      <c r="F281" s="31">
        <f>IF($A281="","",MASTER_REGISTER!I278)</f>
        <v/>
      </c>
      <c r="G281" s="32">
        <f>IF($A281="","",MASTER_REGISTER!J278)</f>
        <v/>
      </c>
      <c r="H281" s="32">
        <f>IF($A281="","",MASTER_REGISTER!L278)</f>
        <v/>
      </c>
      <c r="I281" s="32">
        <f>IF($A281="","",MASTER_REGISTER!M278)</f>
        <v/>
      </c>
      <c r="J281" s="31">
        <f>IF($A281="","",MASTER_REGISTER!N278)</f>
        <v/>
      </c>
    </row>
    <row r="282">
      <c r="A282" s="31">
        <f>IF(MASTER_REGISTER!E279="","",MASTER_REGISTER!E279)</f>
        <v/>
      </c>
      <c r="B282" s="31">
        <f>IF($A282="","",MASTER_REGISTER!F279)</f>
        <v/>
      </c>
      <c r="C282" s="31">
        <f>IF($A282="","",MASTER_REGISTER!C279)</f>
        <v/>
      </c>
      <c r="D282" s="31">
        <f>IF($A282="","",MASTER_REGISTER!H279)</f>
        <v/>
      </c>
      <c r="E282" s="31">
        <f>IF($A282="","",MASTER_REGISTER!G279)</f>
        <v/>
      </c>
      <c r="F282" s="31">
        <f>IF($A282="","",MASTER_REGISTER!I279)</f>
        <v/>
      </c>
      <c r="G282" s="32">
        <f>IF($A282="","",MASTER_REGISTER!J279)</f>
        <v/>
      </c>
      <c r="H282" s="32">
        <f>IF($A282="","",MASTER_REGISTER!L279)</f>
        <v/>
      </c>
      <c r="I282" s="32">
        <f>IF($A282="","",MASTER_REGISTER!M279)</f>
        <v/>
      </c>
      <c r="J282" s="31">
        <f>IF($A282="","",MASTER_REGISTER!N279)</f>
        <v/>
      </c>
    </row>
    <row r="283">
      <c r="A283" s="31">
        <f>IF(MASTER_REGISTER!E280="","",MASTER_REGISTER!E280)</f>
        <v/>
      </c>
      <c r="B283" s="31">
        <f>IF($A283="","",MASTER_REGISTER!F280)</f>
        <v/>
      </c>
      <c r="C283" s="31">
        <f>IF($A283="","",MASTER_REGISTER!C280)</f>
        <v/>
      </c>
      <c r="D283" s="31">
        <f>IF($A283="","",MASTER_REGISTER!H280)</f>
        <v/>
      </c>
      <c r="E283" s="31">
        <f>IF($A283="","",MASTER_REGISTER!G280)</f>
        <v/>
      </c>
      <c r="F283" s="31">
        <f>IF($A283="","",MASTER_REGISTER!I280)</f>
        <v/>
      </c>
      <c r="G283" s="32">
        <f>IF($A283="","",MASTER_REGISTER!J280)</f>
        <v/>
      </c>
      <c r="H283" s="32">
        <f>IF($A283="","",MASTER_REGISTER!L280)</f>
        <v/>
      </c>
      <c r="I283" s="32">
        <f>IF($A283="","",MASTER_REGISTER!M280)</f>
        <v/>
      </c>
      <c r="J283" s="31">
        <f>IF($A283="","",MASTER_REGISTER!N280)</f>
        <v/>
      </c>
    </row>
    <row r="284">
      <c r="A284" s="31">
        <f>IF(MASTER_REGISTER!E281="","",MASTER_REGISTER!E281)</f>
        <v/>
      </c>
      <c r="B284" s="31">
        <f>IF($A284="","",MASTER_REGISTER!F281)</f>
        <v/>
      </c>
      <c r="C284" s="31">
        <f>IF($A284="","",MASTER_REGISTER!C281)</f>
        <v/>
      </c>
      <c r="D284" s="31">
        <f>IF($A284="","",MASTER_REGISTER!H281)</f>
        <v/>
      </c>
      <c r="E284" s="31">
        <f>IF($A284="","",MASTER_REGISTER!G281)</f>
        <v/>
      </c>
      <c r="F284" s="31">
        <f>IF($A284="","",MASTER_REGISTER!I281)</f>
        <v/>
      </c>
      <c r="G284" s="32">
        <f>IF($A284="","",MASTER_REGISTER!J281)</f>
        <v/>
      </c>
      <c r="H284" s="32">
        <f>IF($A284="","",MASTER_REGISTER!L281)</f>
        <v/>
      </c>
      <c r="I284" s="32">
        <f>IF($A284="","",MASTER_REGISTER!M281)</f>
        <v/>
      </c>
      <c r="J284" s="31">
        <f>IF($A284="","",MASTER_REGISTER!N281)</f>
        <v/>
      </c>
    </row>
    <row r="285">
      <c r="A285" s="31">
        <f>IF(MASTER_REGISTER!E282="","",MASTER_REGISTER!E282)</f>
        <v/>
      </c>
      <c r="B285" s="31">
        <f>IF($A285="","",MASTER_REGISTER!F282)</f>
        <v/>
      </c>
      <c r="C285" s="31">
        <f>IF($A285="","",MASTER_REGISTER!C282)</f>
        <v/>
      </c>
      <c r="D285" s="31">
        <f>IF($A285="","",MASTER_REGISTER!H282)</f>
        <v/>
      </c>
      <c r="E285" s="31">
        <f>IF($A285="","",MASTER_REGISTER!G282)</f>
        <v/>
      </c>
      <c r="F285" s="31">
        <f>IF($A285="","",MASTER_REGISTER!I282)</f>
        <v/>
      </c>
      <c r="G285" s="32">
        <f>IF($A285="","",MASTER_REGISTER!J282)</f>
        <v/>
      </c>
      <c r="H285" s="32">
        <f>IF($A285="","",MASTER_REGISTER!L282)</f>
        <v/>
      </c>
      <c r="I285" s="32">
        <f>IF($A285="","",MASTER_REGISTER!M282)</f>
        <v/>
      </c>
      <c r="J285" s="31">
        <f>IF($A285="","",MASTER_REGISTER!N282)</f>
        <v/>
      </c>
    </row>
    <row r="286">
      <c r="A286" s="31">
        <f>IF(MASTER_REGISTER!E283="","",MASTER_REGISTER!E283)</f>
        <v/>
      </c>
      <c r="B286" s="31">
        <f>IF($A286="","",MASTER_REGISTER!F283)</f>
        <v/>
      </c>
      <c r="C286" s="31">
        <f>IF($A286="","",MASTER_REGISTER!C283)</f>
        <v/>
      </c>
      <c r="D286" s="31">
        <f>IF($A286="","",MASTER_REGISTER!H283)</f>
        <v/>
      </c>
      <c r="E286" s="31">
        <f>IF($A286="","",MASTER_REGISTER!G283)</f>
        <v/>
      </c>
      <c r="F286" s="31">
        <f>IF($A286="","",MASTER_REGISTER!I283)</f>
        <v/>
      </c>
      <c r="G286" s="32">
        <f>IF($A286="","",MASTER_REGISTER!J283)</f>
        <v/>
      </c>
      <c r="H286" s="32">
        <f>IF($A286="","",MASTER_REGISTER!L283)</f>
        <v/>
      </c>
      <c r="I286" s="32">
        <f>IF($A286="","",MASTER_REGISTER!M283)</f>
        <v/>
      </c>
      <c r="J286" s="31">
        <f>IF($A286="","",MASTER_REGISTER!N283)</f>
        <v/>
      </c>
    </row>
    <row r="287">
      <c r="A287" s="31">
        <f>IF(MASTER_REGISTER!E284="","",MASTER_REGISTER!E284)</f>
        <v/>
      </c>
      <c r="B287" s="31">
        <f>IF($A287="","",MASTER_REGISTER!F284)</f>
        <v/>
      </c>
      <c r="C287" s="31">
        <f>IF($A287="","",MASTER_REGISTER!C284)</f>
        <v/>
      </c>
      <c r="D287" s="31">
        <f>IF($A287="","",MASTER_REGISTER!H284)</f>
        <v/>
      </c>
      <c r="E287" s="31">
        <f>IF($A287="","",MASTER_REGISTER!G284)</f>
        <v/>
      </c>
      <c r="F287" s="31">
        <f>IF($A287="","",MASTER_REGISTER!I284)</f>
        <v/>
      </c>
      <c r="G287" s="32">
        <f>IF($A287="","",MASTER_REGISTER!J284)</f>
        <v/>
      </c>
      <c r="H287" s="32">
        <f>IF($A287="","",MASTER_REGISTER!L284)</f>
        <v/>
      </c>
      <c r="I287" s="32">
        <f>IF($A287="","",MASTER_REGISTER!M284)</f>
        <v/>
      </c>
      <c r="J287" s="31">
        <f>IF($A287="","",MASTER_REGISTER!N284)</f>
        <v/>
      </c>
    </row>
    <row r="288">
      <c r="A288" s="31">
        <f>IF(MASTER_REGISTER!E285="","",MASTER_REGISTER!E285)</f>
        <v/>
      </c>
      <c r="B288" s="31">
        <f>IF($A288="","",MASTER_REGISTER!F285)</f>
        <v/>
      </c>
      <c r="C288" s="31">
        <f>IF($A288="","",MASTER_REGISTER!C285)</f>
        <v/>
      </c>
      <c r="D288" s="31">
        <f>IF($A288="","",MASTER_REGISTER!H285)</f>
        <v/>
      </c>
      <c r="E288" s="31">
        <f>IF($A288="","",MASTER_REGISTER!G285)</f>
        <v/>
      </c>
      <c r="F288" s="31">
        <f>IF($A288="","",MASTER_REGISTER!I285)</f>
        <v/>
      </c>
      <c r="G288" s="32">
        <f>IF($A288="","",MASTER_REGISTER!J285)</f>
        <v/>
      </c>
      <c r="H288" s="32">
        <f>IF($A288="","",MASTER_REGISTER!L285)</f>
        <v/>
      </c>
      <c r="I288" s="32">
        <f>IF($A288="","",MASTER_REGISTER!M285)</f>
        <v/>
      </c>
      <c r="J288" s="31">
        <f>IF($A288="","",MASTER_REGISTER!N285)</f>
        <v/>
      </c>
    </row>
    <row r="289">
      <c r="A289" s="31">
        <f>IF(MASTER_REGISTER!E286="","",MASTER_REGISTER!E286)</f>
        <v/>
      </c>
      <c r="B289" s="31">
        <f>IF($A289="","",MASTER_REGISTER!F286)</f>
        <v/>
      </c>
      <c r="C289" s="31">
        <f>IF($A289="","",MASTER_REGISTER!C286)</f>
        <v/>
      </c>
      <c r="D289" s="31">
        <f>IF($A289="","",MASTER_REGISTER!H286)</f>
        <v/>
      </c>
      <c r="E289" s="31">
        <f>IF($A289="","",MASTER_REGISTER!G286)</f>
        <v/>
      </c>
      <c r="F289" s="31">
        <f>IF($A289="","",MASTER_REGISTER!I286)</f>
        <v/>
      </c>
      <c r="G289" s="32">
        <f>IF($A289="","",MASTER_REGISTER!J286)</f>
        <v/>
      </c>
      <c r="H289" s="32">
        <f>IF($A289="","",MASTER_REGISTER!L286)</f>
        <v/>
      </c>
      <c r="I289" s="32">
        <f>IF($A289="","",MASTER_REGISTER!M286)</f>
        <v/>
      </c>
      <c r="J289" s="31">
        <f>IF($A289="","",MASTER_REGISTER!N286)</f>
        <v/>
      </c>
    </row>
    <row r="290">
      <c r="A290" s="31">
        <f>IF(MASTER_REGISTER!E287="","",MASTER_REGISTER!E287)</f>
        <v/>
      </c>
      <c r="B290" s="31">
        <f>IF($A290="","",MASTER_REGISTER!F287)</f>
        <v/>
      </c>
      <c r="C290" s="31">
        <f>IF($A290="","",MASTER_REGISTER!C287)</f>
        <v/>
      </c>
      <c r="D290" s="31">
        <f>IF($A290="","",MASTER_REGISTER!H287)</f>
        <v/>
      </c>
      <c r="E290" s="31">
        <f>IF($A290="","",MASTER_REGISTER!G287)</f>
        <v/>
      </c>
      <c r="F290" s="31">
        <f>IF($A290="","",MASTER_REGISTER!I287)</f>
        <v/>
      </c>
      <c r="G290" s="32">
        <f>IF($A290="","",MASTER_REGISTER!J287)</f>
        <v/>
      </c>
      <c r="H290" s="32">
        <f>IF($A290="","",MASTER_REGISTER!L287)</f>
        <v/>
      </c>
      <c r="I290" s="32">
        <f>IF($A290="","",MASTER_REGISTER!M287)</f>
        <v/>
      </c>
      <c r="J290" s="31">
        <f>IF($A290="","",MASTER_REGISTER!N287)</f>
        <v/>
      </c>
    </row>
    <row r="291">
      <c r="A291" s="31">
        <f>IF(MASTER_REGISTER!E288="","",MASTER_REGISTER!E288)</f>
        <v/>
      </c>
      <c r="B291" s="31">
        <f>IF($A291="","",MASTER_REGISTER!F288)</f>
        <v/>
      </c>
      <c r="C291" s="31">
        <f>IF($A291="","",MASTER_REGISTER!C288)</f>
        <v/>
      </c>
      <c r="D291" s="31">
        <f>IF($A291="","",MASTER_REGISTER!H288)</f>
        <v/>
      </c>
      <c r="E291" s="31">
        <f>IF($A291="","",MASTER_REGISTER!G288)</f>
        <v/>
      </c>
      <c r="F291" s="31">
        <f>IF($A291="","",MASTER_REGISTER!I288)</f>
        <v/>
      </c>
      <c r="G291" s="32">
        <f>IF($A291="","",MASTER_REGISTER!J288)</f>
        <v/>
      </c>
      <c r="H291" s="32">
        <f>IF($A291="","",MASTER_REGISTER!L288)</f>
        <v/>
      </c>
      <c r="I291" s="32">
        <f>IF($A291="","",MASTER_REGISTER!M288)</f>
        <v/>
      </c>
      <c r="J291" s="31">
        <f>IF($A291="","",MASTER_REGISTER!N288)</f>
        <v/>
      </c>
    </row>
    <row r="292">
      <c r="A292" s="31">
        <f>IF(MASTER_REGISTER!E289="","",MASTER_REGISTER!E289)</f>
        <v/>
      </c>
      <c r="B292" s="31">
        <f>IF($A292="","",MASTER_REGISTER!F289)</f>
        <v/>
      </c>
      <c r="C292" s="31">
        <f>IF($A292="","",MASTER_REGISTER!C289)</f>
        <v/>
      </c>
      <c r="D292" s="31">
        <f>IF($A292="","",MASTER_REGISTER!H289)</f>
        <v/>
      </c>
      <c r="E292" s="31">
        <f>IF($A292="","",MASTER_REGISTER!G289)</f>
        <v/>
      </c>
      <c r="F292" s="31">
        <f>IF($A292="","",MASTER_REGISTER!I289)</f>
        <v/>
      </c>
      <c r="G292" s="32">
        <f>IF($A292="","",MASTER_REGISTER!J289)</f>
        <v/>
      </c>
      <c r="H292" s="32">
        <f>IF($A292="","",MASTER_REGISTER!L289)</f>
        <v/>
      </c>
      <c r="I292" s="32">
        <f>IF($A292="","",MASTER_REGISTER!M289)</f>
        <v/>
      </c>
      <c r="J292" s="31">
        <f>IF($A292="","",MASTER_REGISTER!N289)</f>
        <v/>
      </c>
    </row>
    <row r="293">
      <c r="A293" s="31">
        <f>IF(MASTER_REGISTER!E290="","",MASTER_REGISTER!E290)</f>
        <v/>
      </c>
      <c r="B293" s="31">
        <f>IF($A293="","",MASTER_REGISTER!F290)</f>
        <v/>
      </c>
      <c r="C293" s="31">
        <f>IF($A293="","",MASTER_REGISTER!C290)</f>
        <v/>
      </c>
      <c r="D293" s="31">
        <f>IF($A293="","",MASTER_REGISTER!H290)</f>
        <v/>
      </c>
      <c r="E293" s="31">
        <f>IF($A293="","",MASTER_REGISTER!G290)</f>
        <v/>
      </c>
      <c r="F293" s="31">
        <f>IF($A293="","",MASTER_REGISTER!I290)</f>
        <v/>
      </c>
      <c r="G293" s="32">
        <f>IF($A293="","",MASTER_REGISTER!J290)</f>
        <v/>
      </c>
      <c r="H293" s="32">
        <f>IF($A293="","",MASTER_REGISTER!L290)</f>
        <v/>
      </c>
      <c r="I293" s="32">
        <f>IF($A293="","",MASTER_REGISTER!M290)</f>
        <v/>
      </c>
      <c r="J293" s="31">
        <f>IF($A293="","",MASTER_REGISTER!N290)</f>
        <v/>
      </c>
    </row>
    <row r="294">
      <c r="A294" s="31">
        <f>IF(MASTER_REGISTER!E291="","",MASTER_REGISTER!E291)</f>
        <v/>
      </c>
      <c r="B294" s="31">
        <f>IF($A294="","",MASTER_REGISTER!F291)</f>
        <v/>
      </c>
      <c r="C294" s="31">
        <f>IF($A294="","",MASTER_REGISTER!C291)</f>
        <v/>
      </c>
      <c r="D294" s="31">
        <f>IF($A294="","",MASTER_REGISTER!H291)</f>
        <v/>
      </c>
      <c r="E294" s="31">
        <f>IF($A294="","",MASTER_REGISTER!G291)</f>
        <v/>
      </c>
      <c r="F294" s="31">
        <f>IF($A294="","",MASTER_REGISTER!I291)</f>
        <v/>
      </c>
      <c r="G294" s="32">
        <f>IF($A294="","",MASTER_REGISTER!J291)</f>
        <v/>
      </c>
      <c r="H294" s="32">
        <f>IF($A294="","",MASTER_REGISTER!L291)</f>
        <v/>
      </c>
      <c r="I294" s="32">
        <f>IF($A294="","",MASTER_REGISTER!M291)</f>
        <v/>
      </c>
      <c r="J294" s="31">
        <f>IF($A294="","",MASTER_REGISTER!N291)</f>
        <v/>
      </c>
    </row>
    <row r="295">
      <c r="A295" s="31">
        <f>IF(MASTER_REGISTER!E292="","",MASTER_REGISTER!E292)</f>
        <v/>
      </c>
      <c r="B295" s="31">
        <f>IF($A295="","",MASTER_REGISTER!F292)</f>
        <v/>
      </c>
      <c r="C295" s="31">
        <f>IF($A295="","",MASTER_REGISTER!C292)</f>
        <v/>
      </c>
      <c r="D295" s="31">
        <f>IF($A295="","",MASTER_REGISTER!H292)</f>
        <v/>
      </c>
      <c r="E295" s="31">
        <f>IF($A295="","",MASTER_REGISTER!G292)</f>
        <v/>
      </c>
      <c r="F295" s="31">
        <f>IF($A295="","",MASTER_REGISTER!I292)</f>
        <v/>
      </c>
      <c r="G295" s="32">
        <f>IF($A295="","",MASTER_REGISTER!J292)</f>
        <v/>
      </c>
      <c r="H295" s="32">
        <f>IF($A295="","",MASTER_REGISTER!L292)</f>
        <v/>
      </c>
      <c r="I295" s="32">
        <f>IF($A295="","",MASTER_REGISTER!M292)</f>
        <v/>
      </c>
      <c r="J295" s="31">
        <f>IF($A295="","",MASTER_REGISTER!N292)</f>
        <v/>
      </c>
    </row>
    <row r="296">
      <c r="A296" s="31">
        <f>IF(MASTER_REGISTER!E293="","",MASTER_REGISTER!E293)</f>
        <v/>
      </c>
      <c r="B296" s="31">
        <f>IF($A296="","",MASTER_REGISTER!F293)</f>
        <v/>
      </c>
      <c r="C296" s="31">
        <f>IF($A296="","",MASTER_REGISTER!C293)</f>
        <v/>
      </c>
      <c r="D296" s="31">
        <f>IF($A296="","",MASTER_REGISTER!H293)</f>
        <v/>
      </c>
      <c r="E296" s="31">
        <f>IF($A296="","",MASTER_REGISTER!G293)</f>
        <v/>
      </c>
      <c r="F296" s="31">
        <f>IF($A296="","",MASTER_REGISTER!I293)</f>
        <v/>
      </c>
      <c r="G296" s="32">
        <f>IF($A296="","",MASTER_REGISTER!J293)</f>
        <v/>
      </c>
      <c r="H296" s="32">
        <f>IF($A296="","",MASTER_REGISTER!L293)</f>
        <v/>
      </c>
      <c r="I296" s="32">
        <f>IF($A296="","",MASTER_REGISTER!M293)</f>
        <v/>
      </c>
      <c r="J296" s="31">
        <f>IF($A296="","",MASTER_REGISTER!N293)</f>
        <v/>
      </c>
    </row>
    <row r="297">
      <c r="A297" s="31">
        <f>IF(MASTER_REGISTER!E294="","",MASTER_REGISTER!E294)</f>
        <v/>
      </c>
      <c r="B297" s="31">
        <f>IF($A297="","",MASTER_REGISTER!F294)</f>
        <v/>
      </c>
      <c r="C297" s="31">
        <f>IF($A297="","",MASTER_REGISTER!C294)</f>
        <v/>
      </c>
      <c r="D297" s="31">
        <f>IF($A297="","",MASTER_REGISTER!H294)</f>
        <v/>
      </c>
      <c r="E297" s="31">
        <f>IF($A297="","",MASTER_REGISTER!G294)</f>
        <v/>
      </c>
      <c r="F297" s="31">
        <f>IF($A297="","",MASTER_REGISTER!I294)</f>
        <v/>
      </c>
      <c r="G297" s="32">
        <f>IF($A297="","",MASTER_REGISTER!J294)</f>
        <v/>
      </c>
      <c r="H297" s="32">
        <f>IF($A297="","",MASTER_REGISTER!L294)</f>
        <v/>
      </c>
      <c r="I297" s="32">
        <f>IF($A297="","",MASTER_REGISTER!M294)</f>
        <v/>
      </c>
      <c r="J297" s="31">
        <f>IF($A297="","",MASTER_REGISTER!N294)</f>
        <v/>
      </c>
    </row>
    <row r="298">
      <c r="A298" s="31">
        <f>IF(MASTER_REGISTER!E295="","",MASTER_REGISTER!E295)</f>
        <v/>
      </c>
      <c r="B298" s="31">
        <f>IF($A298="","",MASTER_REGISTER!F295)</f>
        <v/>
      </c>
      <c r="C298" s="31">
        <f>IF($A298="","",MASTER_REGISTER!C295)</f>
        <v/>
      </c>
      <c r="D298" s="31">
        <f>IF($A298="","",MASTER_REGISTER!H295)</f>
        <v/>
      </c>
      <c r="E298" s="31">
        <f>IF($A298="","",MASTER_REGISTER!G295)</f>
        <v/>
      </c>
      <c r="F298" s="31">
        <f>IF($A298="","",MASTER_REGISTER!I295)</f>
        <v/>
      </c>
      <c r="G298" s="32">
        <f>IF($A298="","",MASTER_REGISTER!J295)</f>
        <v/>
      </c>
      <c r="H298" s="32">
        <f>IF($A298="","",MASTER_REGISTER!L295)</f>
        <v/>
      </c>
      <c r="I298" s="32">
        <f>IF($A298="","",MASTER_REGISTER!M295)</f>
        <v/>
      </c>
      <c r="J298" s="31">
        <f>IF($A298="","",MASTER_REGISTER!N295)</f>
        <v/>
      </c>
    </row>
    <row r="299">
      <c r="A299" s="31">
        <f>IF(MASTER_REGISTER!E296="","",MASTER_REGISTER!E296)</f>
        <v/>
      </c>
      <c r="B299" s="31">
        <f>IF($A299="","",MASTER_REGISTER!F296)</f>
        <v/>
      </c>
      <c r="C299" s="31">
        <f>IF($A299="","",MASTER_REGISTER!C296)</f>
        <v/>
      </c>
      <c r="D299" s="31">
        <f>IF($A299="","",MASTER_REGISTER!H296)</f>
        <v/>
      </c>
      <c r="E299" s="31">
        <f>IF($A299="","",MASTER_REGISTER!G296)</f>
        <v/>
      </c>
      <c r="F299" s="31">
        <f>IF($A299="","",MASTER_REGISTER!I296)</f>
        <v/>
      </c>
      <c r="G299" s="32">
        <f>IF($A299="","",MASTER_REGISTER!J296)</f>
        <v/>
      </c>
      <c r="H299" s="32">
        <f>IF($A299="","",MASTER_REGISTER!L296)</f>
        <v/>
      </c>
      <c r="I299" s="32">
        <f>IF($A299="","",MASTER_REGISTER!M296)</f>
        <v/>
      </c>
      <c r="J299" s="31">
        <f>IF($A299="","",MASTER_REGISTER!N296)</f>
        <v/>
      </c>
    </row>
    <row r="300">
      <c r="A300" s="31">
        <f>IF(MASTER_REGISTER!E297="","",MASTER_REGISTER!E297)</f>
        <v/>
      </c>
      <c r="B300" s="31">
        <f>IF($A300="","",MASTER_REGISTER!F297)</f>
        <v/>
      </c>
      <c r="C300" s="31">
        <f>IF($A300="","",MASTER_REGISTER!C297)</f>
        <v/>
      </c>
      <c r="D300" s="31">
        <f>IF($A300="","",MASTER_REGISTER!H297)</f>
        <v/>
      </c>
      <c r="E300" s="31">
        <f>IF($A300="","",MASTER_REGISTER!G297)</f>
        <v/>
      </c>
      <c r="F300" s="31">
        <f>IF($A300="","",MASTER_REGISTER!I297)</f>
        <v/>
      </c>
      <c r="G300" s="32">
        <f>IF($A300="","",MASTER_REGISTER!J297)</f>
        <v/>
      </c>
      <c r="H300" s="32">
        <f>IF($A300="","",MASTER_REGISTER!L297)</f>
        <v/>
      </c>
      <c r="I300" s="32">
        <f>IF($A300="","",MASTER_REGISTER!M297)</f>
        <v/>
      </c>
      <c r="J300" s="31">
        <f>IF($A300="","",MASTER_REGISTER!N297)</f>
        <v/>
      </c>
    </row>
    <row r="301">
      <c r="A301" s="31">
        <f>IF(MASTER_REGISTER!E298="","",MASTER_REGISTER!E298)</f>
        <v/>
      </c>
      <c r="B301" s="31">
        <f>IF($A301="","",MASTER_REGISTER!F298)</f>
        <v/>
      </c>
      <c r="C301" s="31">
        <f>IF($A301="","",MASTER_REGISTER!C298)</f>
        <v/>
      </c>
      <c r="D301" s="31">
        <f>IF($A301="","",MASTER_REGISTER!H298)</f>
        <v/>
      </c>
      <c r="E301" s="31">
        <f>IF($A301="","",MASTER_REGISTER!G298)</f>
        <v/>
      </c>
      <c r="F301" s="31">
        <f>IF($A301="","",MASTER_REGISTER!I298)</f>
        <v/>
      </c>
      <c r="G301" s="32">
        <f>IF($A301="","",MASTER_REGISTER!J298)</f>
        <v/>
      </c>
      <c r="H301" s="32">
        <f>IF($A301="","",MASTER_REGISTER!L298)</f>
        <v/>
      </c>
      <c r="I301" s="32">
        <f>IF($A301="","",MASTER_REGISTER!M298)</f>
        <v/>
      </c>
      <c r="J301" s="31">
        <f>IF($A301="","",MASTER_REGISTER!N298)</f>
        <v/>
      </c>
    </row>
    <row r="302">
      <c r="A302" s="31">
        <f>IF(MASTER_REGISTER!E299="","",MASTER_REGISTER!E299)</f>
        <v/>
      </c>
      <c r="B302" s="31">
        <f>IF($A302="","",MASTER_REGISTER!F299)</f>
        <v/>
      </c>
      <c r="C302" s="31">
        <f>IF($A302="","",MASTER_REGISTER!C299)</f>
        <v/>
      </c>
      <c r="D302" s="31">
        <f>IF($A302="","",MASTER_REGISTER!H299)</f>
        <v/>
      </c>
      <c r="E302" s="31">
        <f>IF($A302="","",MASTER_REGISTER!G299)</f>
        <v/>
      </c>
      <c r="F302" s="31">
        <f>IF($A302="","",MASTER_REGISTER!I299)</f>
        <v/>
      </c>
      <c r="G302" s="32">
        <f>IF($A302="","",MASTER_REGISTER!J299)</f>
        <v/>
      </c>
      <c r="H302" s="32">
        <f>IF($A302="","",MASTER_REGISTER!L299)</f>
        <v/>
      </c>
      <c r="I302" s="32">
        <f>IF($A302="","",MASTER_REGISTER!M299)</f>
        <v/>
      </c>
      <c r="J302" s="31">
        <f>IF($A302="","",MASTER_REGISTER!N299)</f>
        <v/>
      </c>
    </row>
    <row r="303">
      <c r="A303" s="31">
        <f>IF(MASTER_REGISTER!E300="","",MASTER_REGISTER!E300)</f>
        <v/>
      </c>
      <c r="B303" s="31">
        <f>IF($A303="","",MASTER_REGISTER!F300)</f>
        <v/>
      </c>
      <c r="C303" s="31">
        <f>IF($A303="","",MASTER_REGISTER!C300)</f>
        <v/>
      </c>
      <c r="D303" s="31">
        <f>IF($A303="","",MASTER_REGISTER!H300)</f>
        <v/>
      </c>
      <c r="E303" s="31">
        <f>IF($A303="","",MASTER_REGISTER!G300)</f>
        <v/>
      </c>
      <c r="F303" s="31">
        <f>IF($A303="","",MASTER_REGISTER!I300)</f>
        <v/>
      </c>
      <c r="G303" s="32">
        <f>IF($A303="","",MASTER_REGISTER!J300)</f>
        <v/>
      </c>
      <c r="H303" s="32">
        <f>IF($A303="","",MASTER_REGISTER!L300)</f>
        <v/>
      </c>
      <c r="I303" s="32">
        <f>IF($A303="","",MASTER_REGISTER!M300)</f>
        <v/>
      </c>
      <c r="J303" s="31">
        <f>IF($A303="","",MASTER_REGISTER!N300)</f>
        <v/>
      </c>
    </row>
    <row r="304">
      <c r="A304" s="31">
        <f>IF(MASTER_REGISTER!E301="","",MASTER_REGISTER!E301)</f>
        <v/>
      </c>
      <c r="B304" s="31">
        <f>IF($A304="","",MASTER_REGISTER!F301)</f>
        <v/>
      </c>
      <c r="C304" s="31">
        <f>IF($A304="","",MASTER_REGISTER!C301)</f>
        <v/>
      </c>
      <c r="D304" s="31">
        <f>IF($A304="","",MASTER_REGISTER!H301)</f>
        <v/>
      </c>
      <c r="E304" s="31">
        <f>IF($A304="","",MASTER_REGISTER!G301)</f>
        <v/>
      </c>
      <c r="F304" s="31">
        <f>IF($A304="","",MASTER_REGISTER!I301)</f>
        <v/>
      </c>
      <c r="G304" s="32">
        <f>IF($A304="","",MASTER_REGISTER!J301)</f>
        <v/>
      </c>
      <c r="H304" s="32">
        <f>IF($A304="","",MASTER_REGISTER!L301)</f>
        <v/>
      </c>
      <c r="I304" s="32">
        <f>IF($A304="","",MASTER_REGISTER!M301)</f>
        <v/>
      </c>
      <c r="J304" s="31">
        <f>IF($A304="","",MASTER_REGISTER!N301)</f>
        <v/>
      </c>
    </row>
    <row r="305">
      <c r="A305" s="31">
        <f>IF(MASTER_REGISTER!E302="","",MASTER_REGISTER!E302)</f>
        <v/>
      </c>
      <c r="B305" s="31">
        <f>IF($A305="","",MASTER_REGISTER!F302)</f>
        <v/>
      </c>
      <c r="C305" s="31">
        <f>IF($A305="","",MASTER_REGISTER!C302)</f>
        <v/>
      </c>
      <c r="D305" s="31">
        <f>IF($A305="","",MASTER_REGISTER!H302)</f>
        <v/>
      </c>
      <c r="E305" s="31">
        <f>IF($A305="","",MASTER_REGISTER!G302)</f>
        <v/>
      </c>
      <c r="F305" s="31">
        <f>IF($A305="","",MASTER_REGISTER!I302)</f>
        <v/>
      </c>
      <c r="G305" s="32">
        <f>IF($A305="","",MASTER_REGISTER!J302)</f>
        <v/>
      </c>
      <c r="H305" s="32">
        <f>IF($A305="","",MASTER_REGISTER!L302)</f>
        <v/>
      </c>
      <c r="I305" s="32">
        <f>IF($A305="","",MASTER_REGISTER!M302)</f>
        <v/>
      </c>
      <c r="J305" s="31">
        <f>IF($A305="","",MASTER_REGISTER!N302)</f>
        <v/>
      </c>
    </row>
    <row r="306">
      <c r="A306" s="31">
        <f>IF(MASTER_REGISTER!E303="","",MASTER_REGISTER!E303)</f>
        <v/>
      </c>
      <c r="B306" s="31">
        <f>IF($A306="","",MASTER_REGISTER!F303)</f>
        <v/>
      </c>
      <c r="C306" s="31">
        <f>IF($A306="","",MASTER_REGISTER!C303)</f>
        <v/>
      </c>
      <c r="D306" s="31">
        <f>IF($A306="","",MASTER_REGISTER!H303)</f>
        <v/>
      </c>
      <c r="E306" s="31">
        <f>IF($A306="","",MASTER_REGISTER!G303)</f>
        <v/>
      </c>
      <c r="F306" s="31">
        <f>IF($A306="","",MASTER_REGISTER!I303)</f>
        <v/>
      </c>
      <c r="G306" s="32">
        <f>IF($A306="","",MASTER_REGISTER!J303)</f>
        <v/>
      </c>
      <c r="H306" s="32">
        <f>IF($A306="","",MASTER_REGISTER!L303)</f>
        <v/>
      </c>
      <c r="I306" s="32">
        <f>IF($A306="","",MASTER_REGISTER!M303)</f>
        <v/>
      </c>
      <c r="J306" s="31">
        <f>IF($A306="","",MASTER_REGISTER!N303)</f>
        <v/>
      </c>
    </row>
    <row r="307">
      <c r="A307" s="31">
        <f>IF(MASTER_REGISTER!E304="","",MASTER_REGISTER!E304)</f>
        <v/>
      </c>
      <c r="B307" s="31">
        <f>IF($A307="","",MASTER_REGISTER!F304)</f>
        <v/>
      </c>
      <c r="C307" s="31">
        <f>IF($A307="","",MASTER_REGISTER!C304)</f>
        <v/>
      </c>
      <c r="D307" s="31">
        <f>IF($A307="","",MASTER_REGISTER!H304)</f>
        <v/>
      </c>
      <c r="E307" s="31">
        <f>IF($A307="","",MASTER_REGISTER!G304)</f>
        <v/>
      </c>
      <c r="F307" s="31">
        <f>IF($A307="","",MASTER_REGISTER!I304)</f>
        <v/>
      </c>
      <c r="G307" s="32">
        <f>IF($A307="","",MASTER_REGISTER!J304)</f>
        <v/>
      </c>
      <c r="H307" s="32">
        <f>IF($A307="","",MASTER_REGISTER!L304)</f>
        <v/>
      </c>
      <c r="I307" s="32">
        <f>IF($A307="","",MASTER_REGISTER!M304)</f>
        <v/>
      </c>
      <c r="J307" s="31">
        <f>IF($A307="","",MASTER_REGISTER!N304)</f>
        <v/>
      </c>
    </row>
    <row r="308">
      <c r="A308" s="31">
        <f>IF(MASTER_REGISTER!E305="","",MASTER_REGISTER!E305)</f>
        <v/>
      </c>
      <c r="B308" s="31">
        <f>IF($A308="","",MASTER_REGISTER!F305)</f>
        <v/>
      </c>
      <c r="C308" s="31">
        <f>IF($A308="","",MASTER_REGISTER!C305)</f>
        <v/>
      </c>
      <c r="D308" s="31">
        <f>IF($A308="","",MASTER_REGISTER!H305)</f>
        <v/>
      </c>
      <c r="E308" s="31">
        <f>IF($A308="","",MASTER_REGISTER!G305)</f>
        <v/>
      </c>
      <c r="F308" s="31">
        <f>IF($A308="","",MASTER_REGISTER!I305)</f>
        <v/>
      </c>
      <c r="G308" s="32">
        <f>IF($A308="","",MASTER_REGISTER!J305)</f>
        <v/>
      </c>
      <c r="H308" s="32">
        <f>IF($A308="","",MASTER_REGISTER!L305)</f>
        <v/>
      </c>
      <c r="I308" s="32">
        <f>IF($A308="","",MASTER_REGISTER!M305)</f>
        <v/>
      </c>
      <c r="J308" s="31">
        <f>IF($A308="","",MASTER_REGISTER!N305)</f>
        <v/>
      </c>
    </row>
    <row r="309">
      <c r="A309" s="31">
        <f>IF(MASTER_REGISTER!E306="","",MASTER_REGISTER!E306)</f>
        <v/>
      </c>
      <c r="B309" s="31">
        <f>IF($A309="","",MASTER_REGISTER!F306)</f>
        <v/>
      </c>
      <c r="C309" s="31">
        <f>IF($A309="","",MASTER_REGISTER!C306)</f>
        <v/>
      </c>
      <c r="D309" s="31">
        <f>IF($A309="","",MASTER_REGISTER!H306)</f>
        <v/>
      </c>
      <c r="E309" s="31">
        <f>IF($A309="","",MASTER_REGISTER!G306)</f>
        <v/>
      </c>
      <c r="F309" s="31">
        <f>IF($A309="","",MASTER_REGISTER!I306)</f>
        <v/>
      </c>
      <c r="G309" s="32">
        <f>IF($A309="","",MASTER_REGISTER!J306)</f>
        <v/>
      </c>
      <c r="H309" s="32">
        <f>IF($A309="","",MASTER_REGISTER!L306)</f>
        <v/>
      </c>
      <c r="I309" s="32">
        <f>IF($A309="","",MASTER_REGISTER!M306)</f>
        <v/>
      </c>
      <c r="J309" s="31">
        <f>IF($A309="","",MASTER_REGISTER!N306)</f>
        <v/>
      </c>
    </row>
    <row r="310">
      <c r="A310" s="31">
        <f>IF(MASTER_REGISTER!E307="","",MASTER_REGISTER!E307)</f>
        <v/>
      </c>
      <c r="B310" s="31">
        <f>IF($A310="","",MASTER_REGISTER!F307)</f>
        <v/>
      </c>
      <c r="C310" s="31">
        <f>IF($A310="","",MASTER_REGISTER!C307)</f>
        <v/>
      </c>
      <c r="D310" s="31">
        <f>IF($A310="","",MASTER_REGISTER!H307)</f>
        <v/>
      </c>
      <c r="E310" s="31">
        <f>IF($A310="","",MASTER_REGISTER!G307)</f>
        <v/>
      </c>
      <c r="F310" s="31">
        <f>IF($A310="","",MASTER_REGISTER!I307)</f>
        <v/>
      </c>
      <c r="G310" s="32">
        <f>IF($A310="","",MASTER_REGISTER!J307)</f>
        <v/>
      </c>
      <c r="H310" s="32">
        <f>IF($A310="","",MASTER_REGISTER!L307)</f>
        <v/>
      </c>
      <c r="I310" s="32">
        <f>IF($A310="","",MASTER_REGISTER!M307)</f>
        <v/>
      </c>
      <c r="J310" s="31">
        <f>IF($A310="","",MASTER_REGISTER!N307)</f>
        <v/>
      </c>
    </row>
    <row r="311">
      <c r="A311" s="31">
        <f>IF(MASTER_REGISTER!E308="","",MASTER_REGISTER!E308)</f>
        <v/>
      </c>
      <c r="B311" s="31">
        <f>IF($A311="","",MASTER_REGISTER!F308)</f>
        <v/>
      </c>
      <c r="C311" s="31">
        <f>IF($A311="","",MASTER_REGISTER!C308)</f>
        <v/>
      </c>
      <c r="D311" s="31">
        <f>IF($A311="","",MASTER_REGISTER!H308)</f>
        <v/>
      </c>
      <c r="E311" s="31">
        <f>IF($A311="","",MASTER_REGISTER!G308)</f>
        <v/>
      </c>
      <c r="F311" s="31">
        <f>IF($A311="","",MASTER_REGISTER!I308)</f>
        <v/>
      </c>
      <c r="G311" s="32">
        <f>IF($A311="","",MASTER_REGISTER!J308)</f>
        <v/>
      </c>
      <c r="H311" s="32">
        <f>IF($A311="","",MASTER_REGISTER!L308)</f>
        <v/>
      </c>
      <c r="I311" s="32">
        <f>IF($A311="","",MASTER_REGISTER!M308)</f>
        <v/>
      </c>
      <c r="J311" s="31">
        <f>IF($A311="","",MASTER_REGISTER!N308)</f>
        <v/>
      </c>
    </row>
    <row r="312">
      <c r="A312" s="31">
        <f>IF(MASTER_REGISTER!E309="","",MASTER_REGISTER!E309)</f>
        <v/>
      </c>
      <c r="B312" s="31">
        <f>IF($A312="","",MASTER_REGISTER!F309)</f>
        <v/>
      </c>
      <c r="C312" s="31">
        <f>IF($A312="","",MASTER_REGISTER!C309)</f>
        <v/>
      </c>
      <c r="D312" s="31">
        <f>IF($A312="","",MASTER_REGISTER!H309)</f>
        <v/>
      </c>
      <c r="E312" s="31">
        <f>IF($A312="","",MASTER_REGISTER!G309)</f>
        <v/>
      </c>
      <c r="F312" s="31">
        <f>IF($A312="","",MASTER_REGISTER!I309)</f>
        <v/>
      </c>
      <c r="G312" s="32">
        <f>IF($A312="","",MASTER_REGISTER!J309)</f>
        <v/>
      </c>
      <c r="H312" s="32">
        <f>IF($A312="","",MASTER_REGISTER!L309)</f>
        <v/>
      </c>
      <c r="I312" s="32">
        <f>IF($A312="","",MASTER_REGISTER!M309)</f>
        <v/>
      </c>
      <c r="J312" s="31">
        <f>IF($A312="","",MASTER_REGISTER!N309)</f>
        <v/>
      </c>
    </row>
    <row r="313">
      <c r="A313" s="31">
        <f>IF(MASTER_REGISTER!E310="","",MASTER_REGISTER!E310)</f>
        <v/>
      </c>
      <c r="B313" s="31">
        <f>IF($A313="","",MASTER_REGISTER!F310)</f>
        <v/>
      </c>
      <c r="C313" s="31">
        <f>IF($A313="","",MASTER_REGISTER!C310)</f>
        <v/>
      </c>
      <c r="D313" s="31">
        <f>IF($A313="","",MASTER_REGISTER!H310)</f>
        <v/>
      </c>
      <c r="E313" s="31">
        <f>IF($A313="","",MASTER_REGISTER!G310)</f>
        <v/>
      </c>
      <c r="F313" s="31">
        <f>IF($A313="","",MASTER_REGISTER!I310)</f>
        <v/>
      </c>
      <c r="G313" s="32">
        <f>IF($A313="","",MASTER_REGISTER!J310)</f>
        <v/>
      </c>
      <c r="H313" s="32">
        <f>IF($A313="","",MASTER_REGISTER!L310)</f>
        <v/>
      </c>
      <c r="I313" s="32">
        <f>IF($A313="","",MASTER_REGISTER!M310)</f>
        <v/>
      </c>
      <c r="J313" s="31">
        <f>IF($A313="","",MASTER_REGISTER!N310)</f>
        <v/>
      </c>
    </row>
    <row r="314">
      <c r="A314" s="31">
        <f>IF(MASTER_REGISTER!E311="","",MASTER_REGISTER!E311)</f>
        <v/>
      </c>
      <c r="B314" s="31">
        <f>IF($A314="","",MASTER_REGISTER!F311)</f>
        <v/>
      </c>
      <c r="C314" s="31">
        <f>IF($A314="","",MASTER_REGISTER!C311)</f>
        <v/>
      </c>
      <c r="D314" s="31">
        <f>IF($A314="","",MASTER_REGISTER!H311)</f>
        <v/>
      </c>
      <c r="E314" s="31">
        <f>IF($A314="","",MASTER_REGISTER!G311)</f>
        <v/>
      </c>
      <c r="F314" s="31">
        <f>IF($A314="","",MASTER_REGISTER!I311)</f>
        <v/>
      </c>
      <c r="G314" s="32">
        <f>IF($A314="","",MASTER_REGISTER!J311)</f>
        <v/>
      </c>
      <c r="H314" s="32">
        <f>IF($A314="","",MASTER_REGISTER!L311)</f>
        <v/>
      </c>
      <c r="I314" s="32">
        <f>IF($A314="","",MASTER_REGISTER!M311)</f>
        <v/>
      </c>
      <c r="J314" s="31">
        <f>IF($A314="","",MASTER_REGISTER!N311)</f>
        <v/>
      </c>
    </row>
    <row r="315">
      <c r="A315" s="31">
        <f>IF(MASTER_REGISTER!E312="","",MASTER_REGISTER!E312)</f>
        <v/>
      </c>
      <c r="B315" s="31">
        <f>IF($A315="","",MASTER_REGISTER!F312)</f>
        <v/>
      </c>
      <c r="C315" s="31">
        <f>IF($A315="","",MASTER_REGISTER!C312)</f>
        <v/>
      </c>
      <c r="D315" s="31">
        <f>IF($A315="","",MASTER_REGISTER!H312)</f>
        <v/>
      </c>
      <c r="E315" s="31">
        <f>IF($A315="","",MASTER_REGISTER!G312)</f>
        <v/>
      </c>
      <c r="F315" s="31">
        <f>IF($A315="","",MASTER_REGISTER!I312)</f>
        <v/>
      </c>
      <c r="G315" s="32">
        <f>IF($A315="","",MASTER_REGISTER!J312)</f>
        <v/>
      </c>
      <c r="H315" s="32">
        <f>IF($A315="","",MASTER_REGISTER!L312)</f>
        <v/>
      </c>
      <c r="I315" s="32">
        <f>IF($A315="","",MASTER_REGISTER!M312)</f>
        <v/>
      </c>
      <c r="J315" s="31">
        <f>IF($A315="","",MASTER_REGISTER!N312)</f>
        <v/>
      </c>
    </row>
    <row r="316">
      <c r="A316" s="31">
        <f>IF(MASTER_REGISTER!E313="","",MASTER_REGISTER!E313)</f>
        <v/>
      </c>
      <c r="B316" s="31">
        <f>IF($A316="","",MASTER_REGISTER!F313)</f>
        <v/>
      </c>
      <c r="C316" s="31">
        <f>IF($A316="","",MASTER_REGISTER!C313)</f>
        <v/>
      </c>
      <c r="D316" s="31">
        <f>IF($A316="","",MASTER_REGISTER!H313)</f>
        <v/>
      </c>
      <c r="E316" s="31">
        <f>IF($A316="","",MASTER_REGISTER!G313)</f>
        <v/>
      </c>
      <c r="F316" s="31">
        <f>IF($A316="","",MASTER_REGISTER!I313)</f>
        <v/>
      </c>
      <c r="G316" s="32">
        <f>IF($A316="","",MASTER_REGISTER!J313)</f>
        <v/>
      </c>
      <c r="H316" s="32">
        <f>IF($A316="","",MASTER_REGISTER!L313)</f>
        <v/>
      </c>
      <c r="I316" s="32">
        <f>IF($A316="","",MASTER_REGISTER!M313)</f>
        <v/>
      </c>
      <c r="J316" s="31">
        <f>IF($A316="","",MASTER_REGISTER!N313)</f>
        <v/>
      </c>
    </row>
    <row r="317">
      <c r="A317" s="31">
        <f>IF(MASTER_REGISTER!E314="","",MASTER_REGISTER!E314)</f>
        <v/>
      </c>
      <c r="B317" s="31">
        <f>IF($A317="","",MASTER_REGISTER!F314)</f>
        <v/>
      </c>
      <c r="C317" s="31">
        <f>IF($A317="","",MASTER_REGISTER!C314)</f>
        <v/>
      </c>
      <c r="D317" s="31">
        <f>IF($A317="","",MASTER_REGISTER!H314)</f>
        <v/>
      </c>
      <c r="E317" s="31">
        <f>IF($A317="","",MASTER_REGISTER!G314)</f>
        <v/>
      </c>
      <c r="F317" s="31">
        <f>IF($A317="","",MASTER_REGISTER!I314)</f>
        <v/>
      </c>
      <c r="G317" s="32">
        <f>IF($A317="","",MASTER_REGISTER!J314)</f>
        <v/>
      </c>
      <c r="H317" s="32">
        <f>IF($A317="","",MASTER_REGISTER!L314)</f>
        <v/>
      </c>
      <c r="I317" s="32">
        <f>IF($A317="","",MASTER_REGISTER!M314)</f>
        <v/>
      </c>
      <c r="J317" s="31">
        <f>IF($A317="","",MASTER_REGISTER!N314)</f>
        <v/>
      </c>
    </row>
    <row r="318">
      <c r="A318" s="31">
        <f>IF(MASTER_REGISTER!E315="","",MASTER_REGISTER!E315)</f>
        <v/>
      </c>
      <c r="B318" s="31">
        <f>IF($A318="","",MASTER_REGISTER!F315)</f>
        <v/>
      </c>
      <c r="C318" s="31">
        <f>IF($A318="","",MASTER_REGISTER!C315)</f>
        <v/>
      </c>
      <c r="D318" s="31">
        <f>IF($A318="","",MASTER_REGISTER!H315)</f>
        <v/>
      </c>
      <c r="E318" s="31">
        <f>IF($A318="","",MASTER_REGISTER!G315)</f>
        <v/>
      </c>
      <c r="F318" s="31">
        <f>IF($A318="","",MASTER_REGISTER!I315)</f>
        <v/>
      </c>
      <c r="G318" s="32">
        <f>IF($A318="","",MASTER_REGISTER!J315)</f>
        <v/>
      </c>
      <c r="H318" s="32">
        <f>IF($A318="","",MASTER_REGISTER!L315)</f>
        <v/>
      </c>
      <c r="I318" s="32">
        <f>IF($A318="","",MASTER_REGISTER!M315)</f>
        <v/>
      </c>
      <c r="J318" s="31">
        <f>IF($A318="","",MASTER_REGISTER!N315)</f>
        <v/>
      </c>
    </row>
    <row r="319">
      <c r="A319" s="31">
        <f>IF(MASTER_REGISTER!E316="","",MASTER_REGISTER!E316)</f>
        <v/>
      </c>
      <c r="B319" s="31">
        <f>IF($A319="","",MASTER_REGISTER!F316)</f>
        <v/>
      </c>
      <c r="C319" s="31">
        <f>IF($A319="","",MASTER_REGISTER!C316)</f>
        <v/>
      </c>
      <c r="D319" s="31">
        <f>IF($A319="","",MASTER_REGISTER!H316)</f>
        <v/>
      </c>
      <c r="E319" s="31">
        <f>IF($A319="","",MASTER_REGISTER!G316)</f>
        <v/>
      </c>
      <c r="F319" s="31">
        <f>IF($A319="","",MASTER_REGISTER!I316)</f>
        <v/>
      </c>
      <c r="G319" s="32">
        <f>IF($A319="","",MASTER_REGISTER!J316)</f>
        <v/>
      </c>
      <c r="H319" s="32">
        <f>IF($A319="","",MASTER_REGISTER!L316)</f>
        <v/>
      </c>
      <c r="I319" s="32">
        <f>IF($A319="","",MASTER_REGISTER!M316)</f>
        <v/>
      </c>
      <c r="J319" s="31">
        <f>IF($A319="","",MASTER_REGISTER!N316)</f>
        <v/>
      </c>
    </row>
    <row r="320">
      <c r="A320" s="31">
        <f>IF(MASTER_REGISTER!E317="","",MASTER_REGISTER!E317)</f>
        <v/>
      </c>
      <c r="B320" s="31">
        <f>IF($A320="","",MASTER_REGISTER!F317)</f>
        <v/>
      </c>
      <c r="C320" s="31">
        <f>IF($A320="","",MASTER_REGISTER!C317)</f>
        <v/>
      </c>
      <c r="D320" s="31">
        <f>IF($A320="","",MASTER_REGISTER!H317)</f>
        <v/>
      </c>
      <c r="E320" s="31">
        <f>IF($A320="","",MASTER_REGISTER!G317)</f>
        <v/>
      </c>
      <c r="F320" s="31">
        <f>IF($A320="","",MASTER_REGISTER!I317)</f>
        <v/>
      </c>
      <c r="G320" s="32">
        <f>IF($A320="","",MASTER_REGISTER!J317)</f>
        <v/>
      </c>
      <c r="H320" s="32">
        <f>IF($A320="","",MASTER_REGISTER!L317)</f>
        <v/>
      </c>
      <c r="I320" s="32">
        <f>IF($A320="","",MASTER_REGISTER!M317)</f>
        <v/>
      </c>
      <c r="J320" s="31">
        <f>IF($A320="","",MASTER_REGISTER!N317)</f>
        <v/>
      </c>
    </row>
    <row r="321">
      <c r="A321" s="31">
        <f>IF(MASTER_REGISTER!E318="","",MASTER_REGISTER!E318)</f>
        <v/>
      </c>
      <c r="B321" s="31">
        <f>IF($A321="","",MASTER_REGISTER!F318)</f>
        <v/>
      </c>
      <c r="C321" s="31">
        <f>IF($A321="","",MASTER_REGISTER!C318)</f>
        <v/>
      </c>
      <c r="D321" s="31">
        <f>IF($A321="","",MASTER_REGISTER!H318)</f>
        <v/>
      </c>
      <c r="E321" s="31">
        <f>IF($A321="","",MASTER_REGISTER!G318)</f>
        <v/>
      </c>
      <c r="F321" s="31">
        <f>IF($A321="","",MASTER_REGISTER!I318)</f>
        <v/>
      </c>
      <c r="G321" s="32">
        <f>IF($A321="","",MASTER_REGISTER!J318)</f>
        <v/>
      </c>
      <c r="H321" s="32">
        <f>IF($A321="","",MASTER_REGISTER!L318)</f>
        <v/>
      </c>
      <c r="I321" s="32">
        <f>IF($A321="","",MASTER_REGISTER!M318)</f>
        <v/>
      </c>
      <c r="J321" s="31">
        <f>IF($A321="","",MASTER_REGISTER!N318)</f>
        <v/>
      </c>
    </row>
    <row r="322">
      <c r="A322" s="31">
        <f>IF(MASTER_REGISTER!E319="","",MASTER_REGISTER!E319)</f>
        <v/>
      </c>
      <c r="B322" s="31">
        <f>IF($A322="","",MASTER_REGISTER!F319)</f>
        <v/>
      </c>
      <c r="C322" s="31">
        <f>IF($A322="","",MASTER_REGISTER!C319)</f>
        <v/>
      </c>
      <c r="D322" s="31">
        <f>IF($A322="","",MASTER_REGISTER!H319)</f>
        <v/>
      </c>
      <c r="E322" s="31">
        <f>IF($A322="","",MASTER_REGISTER!G319)</f>
        <v/>
      </c>
      <c r="F322" s="31">
        <f>IF($A322="","",MASTER_REGISTER!I319)</f>
        <v/>
      </c>
      <c r="G322" s="32">
        <f>IF($A322="","",MASTER_REGISTER!J319)</f>
        <v/>
      </c>
      <c r="H322" s="32">
        <f>IF($A322="","",MASTER_REGISTER!L319)</f>
        <v/>
      </c>
      <c r="I322" s="32">
        <f>IF($A322="","",MASTER_REGISTER!M319)</f>
        <v/>
      </c>
      <c r="J322" s="31">
        <f>IF($A322="","",MASTER_REGISTER!N319)</f>
        <v/>
      </c>
    </row>
    <row r="323">
      <c r="A323" s="31">
        <f>IF(MASTER_REGISTER!E320="","",MASTER_REGISTER!E320)</f>
        <v/>
      </c>
      <c r="B323" s="31">
        <f>IF($A323="","",MASTER_REGISTER!F320)</f>
        <v/>
      </c>
      <c r="C323" s="31">
        <f>IF($A323="","",MASTER_REGISTER!C320)</f>
        <v/>
      </c>
      <c r="D323" s="31">
        <f>IF($A323="","",MASTER_REGISTER!H320)</f>
        <v/>
      </c>
      <c r="E323" s="31">
        <f>IF($A323="","",MASTER_REGISTER!G320)</f>
        <v/>
      </c>
      <c r="F323" s="31">
        <f>IF($A323="","",MASTER_REGISTER!I320)</f>
        <v/>
      </c>
      <c r="G323" s="32">
        <f>IF($A323="","",MASTER_REGISTER!J320)</f>
        <v/>
      </c>
      <c r="H323" s="32">
        <f>IF($A323="","",MASTER_REGISTER!L320)</f>
        <v/>
      </c>
      <c r="I323" s="32">
        <f>IF($A323="","",MASTER_REGISTER!M320)</f>
        <v/>
      </c>
      <c r="J323" s="31">
        <f>IF($A323="","",MASTER_REGISTER!N320)</f>
        <v/>
      </c>
    </row>
    <row r="324">
      <c r="A324" s="31">
        <f>IF(MASTER_REGISTER!E321="","",MASTER_REGISTER!E321)</f>
        <v/>
      </c>
      <c r="B324" s="31">
        <f>IF($A324="","",MASTER_REGISTER!F321)</f>
        <v/>
      </c>
      <c r="C324" s="31">
        <f>IF($A324="","",MASTER_REGISTER!C321)</f>
        <v/>
      </c>
      <c r="D324" s="31">
        <f>IF($A324="","",MASTER_REGISTER!H321)</f>
        <v/>
      </c>
      <c r="E324" s="31">
        <f>IF($A324="","",MASTER_REGISTER!G321)</f>
        <v/>
      </c>
      <c r="F324" s="31">
        <f>IF($A324="","",MASTER_REGISTER!I321)</f>
        <v/>
      </c>
      <c r="G324" s="32">
        <f>IF($A324="","",MASTER_REGISTER!J321)</f>
        <v/>
      </c>
      <c r="H324" s="32">
        <f>IF($A324="","",MASTER_REGISTER!L321)</f>
        <v/>
      </c>
      <c r="I324" s="32">
        <f>IF($A324="","",MASTER_REGISTER!M321)</f>
        <v/>
      </c>
      <c r="J324" s="31">
        <f>IF($A324="","",MASTER_REGISTER!N321)</f>
        <v/>
      </c>
    </row>
    <row r="325">
      <c r="A325" s="31">
        <f>IF(MASTER_REGISTER!E322="","",MASTER_REGISTER!E322)</f>
        <v/>
      </c>
      <c r="B325" s="31">
        <f>IF($A325="","",MASTER_REGISTER!F322)</f>
        <v/>
      </c>
      <c r="C325" s="31">
        <f>IF($A325="","",MASTER_REGISTER!C322)</f>
        <v/>
      </c>
      <c r="D325" s="31">
        <f>IF($A325="","",MASTER_REGISTER!H322)</f>
        <v/>
      </c>
      <c r="E325" s="31">
        <f>IF($A325="","",MASTER_REGISTER!G322)</f>
        <v/>
      </c>
      <c r="F325" s="31">
        <f>IF($A325="","",MASTER_REGISTER!I322)</f>
        <v/>
      </c>
      <c r="G325" s="32">
        <f>IF($A325="","",MASTER_REGISTER!J322)</f>
        <v/>
      </c>
      <c r="H325" s="32">
        <f>IF($A325="","",MASTER_REGISTER!L322)</f>
        <v/>
      </c>
      <c r="I325" s="32">
        <f>IF($A325="","",MASTER_REGISTER!M322)</f>
        <v/>
      </c>
      <c r="J325" s="31">
        <f>IF($A325="","",MASTER_REGISTER!N322)</f>
        <v/>
      </c>
    </row>
    <row r="326">
      <c r="A326" s="31">
        <f>IF(MASTER_REGISTER!E323="","",MASTER_REGISTER!E323)</f>
        <v/>
      </c>
      <c r="B326" s="31">
        <f>IF($A326="","",MASTER_REGISTER!F323)</f>
        <v/>
      </c>
      <c r="C326" s="31">
        <f>IF($A326="","",MASTER_REGISTER!C323)</f>
        <v/>
      </c>
      <c r="D326" s="31">
        <f>IF($A326="","",MASTER_REGISTER!H323)</f>
        <v/>
      </c>
      <c r="E326" s="31">
        <f>IF($A326="","",MASTER_REGISTER!G323)</f>
        <v/>
      </c>
      <c r="F326" s="31">
        <f>IF($A326="","",MASTER_REGISTER!I323)</f>
        <v/>
      </c>
      <c r="G326" s="32">
        <f>IF($A326="","",MASTER_REGISTER!J323)</f>
        <v/>
      </c>
      <c r="H326" s="32">
        <f>IF($A326="","",MASTER_REGISTER!L323)</f>
        <v/>
      </c>
      <c r="I326" s="32">
        <f>IF($A326="","",MASTER_REGISTER!M323)</f>
        <v/>
      </c>
      <c r="J326" s="31">
        <f>IF($A326="","",MASTER_REGISTER!N323)</f>
        <v/>
      </c>
    </row>
    <row r="327">
      <c r="A327" s="31">
        <f>IF(MASTER_REGISTER!E324="","",MASTER_REGISTER!E324)</f>
        <v/>
      </c>
      <c r="B327" s="31">
        <f>IF($A327="","",MASTER_REGISTER!F324)</f>
        <v/>
      </c>
      <c r="C327" s="31">
        <f>IF($A327="","",MASTER_REGISTER!C324)</f>
        <v/>
      </c>
      <c r="D327" s="31">
        <f>IF($A327="","",MASTER_REGISTER!H324)</f>
        <v/>
      </c>
      <c r="E327" s="31">
        <f>IF($A327="","",MASTER_REGISTER!G324)</f>
        <v/>
      </c>
      <c r="F327" s="31">
        <f>IF($A327="","",MASTER_REGISTER!I324)</f>
        <v/>
      </c>
      <c r="G327" s="32">
        <f>IF($A327="","",MASTER_REGISTER!J324)</f>
        <v/>
      </c>
      <c r="H327" s="32">
        <f>IF($A327="","",MASTER_REGISTER!L324)</f>
        <v/>
      </c>
      <c r="I327" s="32">
        <f>IF($A327="","",MASTER_REGISTER!M324)</f>
        <v/>
      </c>
      <c r="J327" s="31">
        <f>IF($A327="","",MASTER_REGISTER!N324)</f>
        <v/>
      </c>
    </row>
    <row r="328">
      <c r="A328" s="31">
        <f>IF(MASTER_REGISTER!E325="","",MASTER_REGISTER!E325)</f>
        <v/>
      </c>
      <c r="B328" s="31">
        <f>IF($A328="","",MASTER_REGISTER!F325)</f>
        <v/>
      </c>
      <c r="C328" s="31">
        <f>IF($A328="","",MASTER_REGISTER!C325)</f>
        <v/>
      </c>
      <c r="D328" s="31">
        <f>IF($A328="","",MASTER_REGISTER!H325)</f>
        <v/>
      </c>
      <c r="E328" s="31">
        <f>IF($A328="","",MASTER_REGISTER!G325)</f>
        <v/>
      </c>
      <c r="F328" s="31">
        <f>IF($A328="","",MASTER_REGISTER!I325)</f>
        <v/>
      </c>
      <c r="G328" s="32">
        <f>IF($A328="","",MASTER_REGISTER!J325)</f>
        <v/>
      </c>
      <c r="H328" s="32">
        <f>IF($A328="","",MASTER_REGISTER!L325)</f>
        <v/>
      </c>
      <c r="I328" s="32">
        <f>IF($A328="","",MASTER_REGISTER!M325)</f>
        <v/>
      </c>
      <c r="J328" s="31">
        <f>IF($A328="","",MASTER_REGISTER!N325)</f>
        <v/>
      </c>
    </row>
    <row r="329">
      <c r="A329" s="31">
        <f>IF(MASTER_REGISTER!E326="","",MASTER_REGISTER!E326)</f>
        <v/>
      </c>
      <c r="B329" s="31">
        <f>IF($A329="","",MASTER_REGISTER!F326)</f>
        <v/>
      </c>
      <c r="C329" s="31">
        <f>IF($A329="","",MASTER_REGISTER!C326)</f>
        <v/>
      </c>
      <c r="D329" s="31">
        <f>IF($A329="","",MASTER_REGISTER!H326)</f>
        <v/>
      </c>
      <c r="E329" s="31">
        <f>IF($A329="","",MASTER_REGISTER!G326)</f>
        <v/>
      </c>
      <c r="F329" s="31">
        <f>IF($A329="","",MASTER_REGISTER!I326)</f>
        <v/>
      </c>
      <c r="G329" s="32">
        <f>IF($A329="","",MASTER_REGISTER!J326)</f>
        <v/>
      </c>
      <c r="H329" s="32">
        <f>IF($A329="","",MASTER_REGISTER!L326)</f>
        <v/>
      </c>
      <c r="I329" s="32">
        <f>IF($A329="","",MASTER_REGISTER!M326)</f>
        <v/>
      </c>
      <c r="J329" s="31">
        <f>IF($A329="","",MASTER_REGISTER!N326)</f>
        <v/>
      </c>
    </row>
    <row r="330">
      <c r="A330" s="31">
        <f>IF(MASTER_REGISTER!E327="","",MASTER_REGISTER!E327)</f>
        <v/>
      </c>
      <c r="B330" s="31">
        <f>IF($A330="","",MASTER_REGISTER!F327)</f>
        <v/>
      </c>
      <c r="C330" s="31">
        <f>IF($A330="","",MASTER_REGISTER!C327)</f>
        <v/>
      </c>
      <c r="D330" s="31">
        <f>IF($A330="","",MASTER_REGISTER!H327)</f>
        <v/>
      </c>
      <c r="E330" s="31">
        <f>IF($A330="","",MASTER_REGISTER!G327)</f>
        <v/>
      </c>
      <c r="F330" s="31">
        <f>IF($A330="","",MASTER_REGISTER!I327)</f>
        <v/>
      </c>
      <c r="G330" s="32">
        <f>IF($A330="","",MASTER_REGISTER!J327)</f>
        <v/>
      </c>
      <c r="H330" s="32">
        <f>IF($A330="","",MASTER_REGISTER!L327)</f>
        <v/>
      </c>
      <c r="I330" s="32">
        <f>IF($A330="","",MASTER_REGISTER!M327)</f>
        <v/>
      </c>
      <c r="J330" s="31">
        <f>IF($A330="","",MASTER_REGISTER!N327)</f>
        <v/>
      </c>
    </row>
    <row r="331">
      <c r="A331" s="31">
        <f>IF(MASTER_REGISTER!E328="","",MASTER_REGISTER!E328)</f>
        <v/>
      </c>
      <c r="B331" s="31">
        <f>IF($A331="","",MASTER_REGISTER!F328)</f>
        <v/>
      </c>
      <c r="C331" s="31">
        <f>IF($A331="","",MASTER_REGISTER!C328)</f>
        <v/>
      </c>
      <c r="D331" s="31">
        <f>IF($A331="","",MASTER_REGISTER!H328)</f>
        <v/>
      </c>
      <c r="E331" s="31">
        <f>IF($A331="","",MASTER_REGISTER!G328)</f>
        <v/>
      </c>
      <c r="F331" s="31">
        <f>IF($A331="","",MASTER_REGISTER!I328)</f>
        <v/>
      </c>
      <c r="G331" s="32">
        <f>IF($A331="","",MASTER_REGISTER!J328)</f>
        <v/>
      </c>
      <c r="H331" s="32">
        <f>IF($A331="","",MASTER_REGISTER!L328)</f>
        <v/>
      </c>
      <c r="I331" s="32">
        <f>IF($A331="","",MASTER_REGISTER!M328)</f>
        <v/>
      </c>
      <c r="J331" s="31">
        <f>IF($A331="","",MASTER_REGISTER!N328)</f>
        <v/>
      </c>
    </row>
    <row r="332">
      <c r="A332" s="31">
        <f>IF(MASTER_REGISTER!E329="","",MASTER_REGISTER!E329)</f>
        <v/>
      </c>
      <c r="B332" s="31">
        <f>IF($A332="","",MASTER_REGISTER!F329)</f>
        <v/>
      </c>
      <c r="C332" s="31">
        <f>IF($A332="","",MASTER_REGISTER!C329)</f>
        <v/>
      </c>
      <c r="D332" s="31">
        <f>IF($A332="","",MASTER_REGISTER!H329)</f>
        <v/>
      </c>
      <c r="E332" s="31">
        <f>IF($A332="","",MASTER_REGISTER!G329)</f>
        <v/>
      </c>
      <c r="F332" s="31">
        <f>IF($A332="","",MASTER_REGISTER!I329)</f>
        <v/>
      </c>
      <c r="G332" s="32">
        <f>IF($A332="","",MASTER_REGISTER!J329)</f>
        <v/>
      </c>
      <c r="H332" s="32">
        <f>IF($A332="","",MASTER_REGISTER!L329)</f>
        <v/>
      </c>
      <c r="I332" s="32">
        <f>IF($A332="","",MASTER_REGISTER!M329)</f>
        <v/>
      </c>
      <c r="J332" s="31">
        <f>IF($A332="","",MASTER_REGISTER!N329)</f>
        <v/>
      </c>
    </row>
    <row r="333">
      <c r="A333" s="31">
        <f>IF(MASTER_REGISTER!E330="","",MASTER_REGISTER!E330)</f>
        <v/>
      </c>
      <c r="B333" s="31">
        <f>IF($A333="","",MASTER_REGISTER!F330)</f>
        <v/>
      </c>
      <c r="C333" s="31">
        <f>IF($A333="","",MASTER_REGISTER!C330)</f>
        <v/>
      </c>
      <c r="D333" s="31">
        <f>IF($A333="","",MASTER_REGISTER!H330)</f>
        <v/>
      </c>
      <c r="E333" s="31">
        <f>IF($A333="","",MASTER_REGISTER!G330)</f>
        <v/>
      </c>
      <c r="F333" s="31">
        <f>IF($A333="","",MASTER_REGISTER!I330)</f>
        <v/>
      </c>
      <c r="G333" s="32">
        <f>IF($A333="","",MASTER_REGISTER!J330)</f>
        <v/>
      </c>
      <c r="H333" s="32">
        <f>IF($A333="","",MASTER_REGISTER!L330)</f>
        <v/>
      </c>
      <c r="I333" s="32">
        <f>IF($A333="","",MASTER_REGISTER!M330)</f>
        <v/>
      </c>
      <c r="J333" s="31">
        <f>IF($A333="","",MASTER_REGISTER!N330)</f>
        <v/>
      </c>
    </row>
    <row r="334">
      <c r="A334" s="31">
        <f>IF(MASTER_REGISTER!E331="","",MASTER_REGISTER!E331)</f>
        <v/>
      </c>
      <c r="B334" s="31">
        <f>IF($A334="","",MASTER_REGISTER!F331)</f>
        <v/>
      </c>
      <c r="C334" s="31">
        <f>IF($A334="","",MASTER_REGISTER!C331)</f>
        <v/>
      </c>
      <c r="D334" s="31">
        <f>IF($A334="","",MASTER_REGISTER!H331)</f>
        <v/>
      </c>
      <c r="E334" s="31">
        <f>IF($A334="","",MASTER_REGISTER!G331)</f>
        <v/>
      </c>
      <c r="F334" s="31">
        <f>IF($A334="","",MASTER_REGISTER!I331)</f>
        <v/>
      </c>
      <c r="G334" s="32">
        <f>IF($A334="","",MASTER_REGISTER!J331)</f>
        <v/>
      </c>
      <c r="H334" s="32">
        <f>IF($A334="","",MASTER_REGISTER!L331)</f>
        <v/>
      </c>
      <c r="I334" s="32">
        <f>IF($A334="","",MASTER_REGISTER!M331)</f>
        <v/>
      </c>
      <c r="J334" s="31">
        <f>IF($A334="","",MASTER_REGISTER!N331)</f>
        <v/>
      </c>
    </row>
    <row r="335">
      <c r="A335" s="31">
        <f>IF(MASTER_REGISTER!E332="","",MASTER_REGISTER!E332)</f>
        <v/>
      </c>
      <c r="B335" s="31">
        <f>IF($A335="","",MASTER_REGISTER!F332)</f>
        <v/>
      </c>
      <c r="C335" s="31">
        <f>IF($A335="","",MASTER_REGISTER!C332)</f>
        <v/>
      </c>
      <c r="D335" s="31">
        <f>IF($A335="","",MASTER_REGISTER!H332)</f>
        <v/>
      </c>
      <c r="E335" s="31">
        <f>IF($A335="","",MASTER_REGISTER!G332)</f>
        <v/>
      </c>
      <c r="F335" s="31">
        <f>IF($A335="","",MASTER_REGISTER!I332)</f>
        <v/>
      </c>
      <c r="G335" s="32">
        <f>IF($A335="","",MASTER_REGISTER!J332)</f>
        <v/>
      </c>
      <c r="H335" s="32">
        <f>IF($A335="","",MASTER_REGISTER!L332)</f>
        <v/>
      </c>
      <c r="I335" s="32">
        <f>IF($A335="","",MASTER_REGISTER!M332)</f>
        <v/>
      </c>
      <c r="J335" s="31">
        <f>IF($A335="","",MASTER_REGISTER!N332)</f>
        <v/>
      </c>
    </row>
    <row r="336">
      <c r="A336" s="31">
        <f>IF(MASTER_REGISTER!E333="","",MASTER_REGISTER!E333)</f>
        <v/>
      </c>
      <c r="B336" s="31">
        <f>IF($A336="","",MASTER_REGISTER!F333)</f>
        <v/>
      </c>
      <c r="C336" s="31">
        <f>IF($A336="","",MASTER_REGISTER!C333)</f>
        <v/>
      </c>
      <c r="D336" s="31">
        <f>IF($A336="","",MASTER_REGISTER!H333)</f>
        <v/>
      </c>
      <c r="E336" s="31">
        <f>IF($A336="","",MASTER_REGISTER!G333)</f>
        <v/>
      </c>
      <c r="F336" s="31">
        <f>IF($A336="","",MASTER_REGISTER!I333)</f>
        <v/>
      </c>
      <c r="G336" s="32">
        <f>IF($A336="","",MASTER_REGISTER!J333)</f>
        <v/>
      </c>
      <c r="H336" s="32">
        <f>IF($A336="","",MASTER_REGISTER!L333)</f>
        <v/>
      </c>
      <c r="I336" s="32">
        <f>IF($A336="","",MASTER_REGISTER!M333)</f>
        <v/>
      </c>
      <c r="J336" s="31">
        <f>IF($A336="","",MASTER_REGISTER!N333)</f>
        <v/>
      </c>
    </row>
    <row r="337">
      <c r="A337" s="31">
        <f>IF(MASTER_REGISTER!E334="","",MASTER_REGISTER!E334)</f>
        <v/>
      </c>
      <c r="B337" s="31">
        <f>IF($A337="","",MASTER_REGISTER!F334)</f>
        <v/>
      </c>
      <c r="C337" s="31">
        <f>IF($A337="","",MASTER_REGISTER!C334)</f>
        <v/>
      </c>
      <c r="D337" s="31">
        <f>IF($A337="","",MASTER_REGISTER!H334)</f>
        <v/>
      </c>
      <c r="E337" s="31">
        <f>IF($A337="","",MASTER_REGISTER!G334)</f>
        <v/>
      </c>
      <c r="F337" s="31">
        <f>IF($A337="","",MASTER_REGISTER!I334)</f>
        <v/>
      </c>
      <c r="G337" s="32">
        <f>IF($A337="","",MASTER_REGISTER!J334)</f>
        <v/>
      </c>
      <c r="H337" s="32">
        <f>IF($A337="","",MASTER_REGISTER!L334)</f>
        <v/>
      </c>
      <c r="I337" s="32">
        <f>IF($A337="","",MASTER_REGISTER!M334)</f>
        <v/>
      </c>
      <c r="J337" s="31">
        <f>IF($A337="","",MASTER_REGISTER!N334)</f>
        <v/>
      </c>
    </row>
    <row r="338">
      <c r="A338" s="31">
        <f>IF(MASTER_REGISTER!E335="","",MASTER_REGISTER!E335)</f>
        <v/>
      </c>
      <c r="B338" s="31">
        <f>IF($A338="","",MASTER_REGISTER!F335)</f>
        <v/>
      </c>
      <c r="C338" s="31">
        <f>IF($A338="","",MASTER_REGISTER!C335)</f>
        <v/>
      </c>
      <c r="D338" s="31">
        <f>IF($A338="","",MASTER_REGISTER!H335)</f>
        <v/>
      </c>
      <c r="E338" s="31">
        <f>IF($A338="","",MASTER_REGISTER!G335)</f>
        <v/>
      </c>
      <c r="F338" s="31">
        <f>IF($A338="","",MASTER_REGISTER!I335)</f>
        <v/>
      </c>
      <c r="G338" s="32">
        <f>IF($A338="","",MASTER_REGISTER!J335)</f>
        <v/>
      </c>
      <c r="H338" s="32">
        <f>IF($A338="","",MASTER_REGISTER!L335)</f>
        <v/>
      </c>
      <c r="I338" s="32">
        <f>IF($A338="","",MASTER_REGISTER!M335)</f>
        <v/>
      </c>
      <c r="J338" s="31">
        <f>IF($A338="","",MASTER_REGISTER!N335)</f>
        <v/>
      </c>
    </row>
    <row r="339">
      <c r="A339" s="31">
        <f>IF(MASTER_REGISTER!E336="","",MASTER_REGISTER!E336)</f>
        <v/>
      </c>
      <c r="B339" s="31">
        <f>IF($A339="","",MASTER_REGISTER!F336)</f>
        <v/>
      </c>
      <c r="C339" s="31">
        <f>IF($A339="","",MASTER_REGISTER!C336)</f>
        <v/>
      </c>
      <c r="D339" s="31">
        <f>IF($A339="","",MASTER_REGISTER!H336)</f>
        <v/>
      </c>
      <c r="E339" s="31">
        <f>IF($A339="","",MASTER_REGISTER!G336)</f>
        <v/>
      </c>
      <c r="F339" s="31">
        <f>IF($A339="","",MASTER_REGISTER!I336)</f>
        <v/>
      </c>
      <c r="G339" s="32">
        <f>IF($A339="","",MASTER_REGISTER!J336)</f>
        <v/>
      </c>
      <c r="H339" s="32">
        <f>IF($A339="","",MASTER_REGISTER!L336)</f>
        <v/>
      </c>
      <c r="I339" s="32">
        <f>IF($A339="","",MASTER_REGISTER!M336)</f>
        <v/>
      </c>
      <c r="J339" s="31">
        <f>IF($A339="","",MASTER_REGISTER!N336)</f>
        <v/>
      </c>
    </row>
    <row r="340">
      <c r="A340" s="31">
        <f>IF(MASTER_REGISTER!E337="","",MASTER_REGISTER!E337)</f>
        <v/>
      </c>
      <c r="B340" s="31">
        <f>IF($A340="","",MASTER_REGISTER!F337)</f>
        <v/>
      </c>
      <c r="C340" s="31">
        <f>IF($A340="","",MASTER_REGISTER!C337)</f>
        <v/>
      </c>
      <c r="D340" s="31">
        <f>IF($A340="","",MASTER_REGISTER!H337)</f>
        <v/>
      </c>
      <c r="E340" s="31">
        <f>IF($A340="","",MASTER_REGISTER!G337)</f>
        <v/>
      </c>
      <c r="F340" s="31">
        <f>IF($A340="","",MASTER_REGISTER!I337)</f>
        <v/>
      </c>
      <c r="G340" s="32">
        <f>IF($A340="","",MASTER_REGISTER!J337)</f>
        <v/>
      </c>
      <c r="H340" s="32">
        <f>IF($A340="","",MASTER_REGISTER!L337)</f>
        <v/>
      </c>
      <c r="I340" s="32">
        <f>IF($A340="","",MASTER_REGISTER!M337)</f>
        <v/>
      </c>
      <c r="J340" s="31">
        <f>IF($A340="","",MASTER_REGISTER!N337)</f>
        <v/>
      </c>
    </row>
    <row r="341">
      <c r="A341" s="31">
        <f>IF(MASTER_REGISTER!E338="","",MASTER_REGISTER!E338)</f>
        <v/>
      </c>
      <c r="B341" s="31">
        <f>IF($A341="","",MASTER_REGISTER!F338)</f>
        <v/>
      </c>
      <c r="C341" s="31">
        <f>IF($A341="","",MASTER_REGISTER!C338)</f>
        <v/>
      </c>
      <c r="D341" s="31">
        <f>IF($A341="","",MASTER_REGISTER!H338)</f>
        <v/>
      </c>
      <c r="E341" s="31">
        <f>IF($A341="","",MASTER_REGISTER!G338)</f>
        <v/>
      </c>
      <c r="F341" s="31">
        <f>IF($A341="","",MASTER_REGISTER!I338)</f>
        <v/>
      </c>
      <c r="G341" s="32">
        <f>IF($A341="","",MASTER_REGISTER!J338)</f>
        <v/>
      </c>
      <c r="H341" s="32">
        <f>IF($A341="","",MASTER_REGISTER!L338)</f>
        <v/>
      </c>
      <c r="I341" s="32">
        <f>IF($A341="","",MASTER_REGISTER!M338)</f>
        <v/>
      </c>
      <c r="J341" s="31">
        <f>IF($A341="","",MASTER_REGISTER!N338)</f>
        <v/>
      </c>
    </row>
    <row r="342">
      <c r="A342" s="31">
        <f>IF(MASTER_REGISTER!E339="","",MASTER_REGISTER!E339)</f>
        <v/>
      </c>
      <c r="B342" s="31">
        <f>IF($A342="","",MASTER_REGISTER!F339)</f>
        <v/>
      </c>
      <c r="C342" s="31">
        <f>IF($A342="","",MASTER_REGISTER!C339)</f>
        <v/>
      </c>
      <c r="D342" s="31">
        <f>IF($A342="","",MASTER_REGISTER!H339)</f>
        <v/>
      </c>
      <c r="E342" s="31">
        <f>IF($A342="","",MASTER_REGISTER!G339)</f>
        <v/>
      </c>
      <c r="F342" s="31">
        <f>IF($A342="","",MASTER_REGISTER!I339)</f>
        <v/>
      </c>
      <c r="G342" s="32">
        <f>IF($A342="","",MASTER_REGISTER!J339)</f>
        <v/>
      </c>
      <c r="H342" s="32">
        <f>IF($A342="","",MASTER_REGISTER!L339)</f>
        <v/>
      </c>
      <c r="I342" s="32">
        <f>IF($A342="","",MASTER_REGISTER!M339)</f>
        <v/>
      </c>
      <c r="J342" s="31">
        <f>IF($A342="","",MASTER_REGISTER!N339)</f>
        <v/>
      </c>
    </row>
    <row r="343">
      <c r="A343" s="31">
        <f>IF(MASTER_REGISTER!E340="","",MASTER_REGISTER!E340)</f>
        <v/>
      </c>
      <c r="B343" s="31">
        <f>IF($A343="","",MASTER_REGISTER!F340)</f>
        <v/>
      </c>
      <c r="C343" s="31">
        <f>IF($A343="","",MASTER_REGISTER!C340)</f>
        <v/>
      </c>
      <c r="D343" s="31">
        <f>IF($A343="","",MASTER_REGISTER!H340)</f>
        <v/>
      </c>
      <c r="E343" s="31">
        <f>IF($A343="","",MASTER_REGISTER!G340)</f>
        <v/>
      </c>
      <c r="F343" s="31">
        <f>IF($A343="","",MASTER_REGISTER!I340)</f>
        <v/>
      </c>
      <c r="G343" s="32">
        <f>IF($A343="","",MASTER_REGISTER!J340)</f>
        <v/>
      </c>
      <c r="H343" s="32">
        <f>IF($A343="","",MASTER_REGISTER!L340)</f>
        <v/>
      </c>
      <c r="I343" s="32">
        <f>IF($A343="","",MASTER_REGISTER!M340)</f>
        <v/>
      </c>
      <c r="J343" s="31">
        <f>IF($A343="","",MASTER_REGISTER!N340)</f>
        <v/>
      </c>
    </row>
    <row r="344">
      <c r="A344" s="31">
        <f>IF(MASTER_REGISTER!E341="","",MASTER_REGISTER!E341)</f>
        <v/>
      </c>
      <c r="B344" s="31">
        <f>IF($A344="","",MASTER_REGISTER!F341)</f>
        <v/>
      </c>
      <c r="C344" s="31">
        <f>IF($A344="","",MASTER_REGISTER!C341)</f>
        <v/>
      </c>
      <c r="D344" s="31">
        <f>IF($A344="","",MASTER_REGISTER!H341)</f>
        <v/>
      </c>
      <c r="E344" s="31">
        <f>IF($A344="","",MASTER_REGISTER!G341)</f>
        <v/>
      </c>
      <c r="F344" s="31">
        <f>IF($A344="","",MASTER_REGISTER!I341)</f>
        <v/>
      </c>
      <c r="G344" s="32">
        <f>IF($A344="","",MASTER_REGISTER!J341)</f>
        <v/>
      </c>
      <c r="H344" s="32">
        <f>IF($A344="","",MASTER_REGISTER!L341)</f>
        <v/>
      </c>
      <c r="I344" s="32">
        <f>IF($A344="","",MASTER_REGISTER!M341)</f>
        <v/>
      </c>
      <c r="J344" s="31">
        <f>IF($A344="","",MASTER_REGISTER!N341)</f>
        <v/>
      </c>
    </row>
    <row r="345">
      <c r="A345" s="31">
        <f>IF(MASTER_REGISTER!E342="","",MASTER_REGISTER!E342)</f>
        <v/>
      </c>
      <c r="B345" s="31">
        <f>IF($A345="","",MASTER_REGISTER!F342)</f>
        <v/>
      </c>
      <c r="C345" s="31">
        <f>IF($A345="","",MASTER_REGISTER!C342)</f>
        <v/>
      </c>
      <c r="D345" s="31">
        <f>IF($A345="","",MASTER_REGISTER!H342)</f>
        <v/>
      </c>
      <c r="E345" s="31">
        <f>IF($A345="","",MASTER_REGISTER!G342)</f>
        <v/>
      </c>
      <c r="F345" s="31">
        <f>IF($A345="","",MASTER_REGISTER!I342)</f>
        <v/>
      </c>
      <c r="G345" s="32">
        <f>IF($A345="","",MASTER_REGISTER!J342)</f>
        <v/>
      </c>
      <c r="H345" s="32">
        <f>IF($A345="","",MASTER_REGISTER!L342)</f>
        <v/>
      </c>
      <c r="I345" s="32">
        <f>IF($A345="","",MASTER_REGISTER!M342)</f>
        <v/>
      </c>
      <c r="J345" s="31">
        <f>IF($A345="","",MASTER_REGISTER!N342)</f>
        <v/>
      </c>
    </row>
    <row r="346">
      <c r="A346" s="31">
        <f>IF(MASTER_REGISTER!E343="","",MASTER_REGISTER!E343)</f>
        <v/>
      </c>
      <c r="B346" s="31">
        <f>IF($A346="","",MASTER_REGISTER!F343)</f>
        <v/>
      </c>
      <c r="C346" s="31">
        <f>IF($A346="","",MASTER_REGISTER!C343)</f>
        <v/>
      </c>
      <c r="D346" s="31">
        <f>IF($A346="","",MASTER_REGISTER!H343)</f>
        <v/>
      </c>
      <c r="E346" s="31">
        <f>IF($A346="","",MASTER_REGISTER!G343)</f>
        <v/>
      </c>
      <c r="F346" s="31">
        <f>IF($A346="","",MASTER_REGISTER!I343)</f>
        <v/>
      </c>
      <c r="G346" s="32">
        <f>IF($A346="","",MASTER_REGISTER!J343)</f>
        <v/>
      </c>
      <c r="H346" s="32">
        <f>IF($A346="","",MASTER_REGISTER!L343)</f>
        <v/>
      </c>
      <c r="I346" s="32">
        <f>IF($A346="","",MASTER_REGISTER!M343)</f>
        <v/>
      </c>
      <c r="J346" s="31">
        <f>IF($A346="","",MASTER_REGISTER!N343)</f>
        <v/>
      </c>
    </row>
    <row r="347">
      <c r="A347" s="31">
        <f>IF(MASTER_REGISTER!E344="","",MASTER_REGISTER!E344)</f>
        <v/>
      </c>
      <c r="B347" s="31">
        <f>IF($A347="","",MASTER_REGISTER!F344)</f>
        <v/>
      </c>
      <c r="C347" s="31">
        <f>IF($A347="","",MASTER_REGISTER!C344)</f>
        <v/>
      </c>
      <c r="D347" s="31">
        <f>IF($A347="","",MASTER_REGISTER!H344)</f>
        <v/>
      </c>
      <c r="E347" s="31">
        <f>IF($A347="","",MASTER_REGISTER!G344)</f>
        <v/>
      </c>
      <c r="F347" s="31">
        <f>IF($A347="","",MASTER_REGISTER!I344)</f>
        <v/>
      </c>
      <c r="G347" s="32">
        <f>IF($A347="","",MASTER_REGISTER!J344)</f>
        <v/>
      </c>
      <c r="H347" s="32">
        <f>IF($A347="","",MASTER_REGISTER!L344)</f>
        <v/>
      </c>
      <c r="I347" s="32">
        <f>IF($A347="","",MASTER_REGISTER!M344)</f>
        <v/>
      </c>
      <c r="J347" s="31">
        <f>IF($A347="","",MASTER_REGISTER!N344)</f>
        <v/>
      </c>
    </row>
    <row r="348">
      <c r="A348" s="31">
        <f>IF(MASTER_REGISTER!E345="","",MASTER_REGISTER!E345)</f>
        <v/>
      </c>
      <c r="B348" s="31">
        <f>IF($A348="","",MASTER_REGISTER!F345)</f>
        <v/>
      </c>
      <c r="C348" s="31">
        <f>IF($A348="","",MASTER_REGISTER!C345)</f>
        <v/>
      </c>
      <c r="D348" s="31">
        <f>IF($A348="","",MASTER_REGISTER!H345)</f>
        <v/>
      </c>
      <c r="E348" s="31">
        <f>IF($A348="","",MASTER_REGISTER!G345)</f>
        <v/>
      </c>
      <c r="F348" s="31">
        <f>IF($A348="","",MASTER_REGISTER!I345)</f>
        <v/>
      </c>
      <c r="G348" s="32">
        <f>IF($A348="","",MASTER_REGISTER!J345)</f>
        <v/>
      </c>
      <c r="H348" s="32">
        <f>IF($A348="","",MASTER_REGISTER!L345)</f>
        <v/>
      </c>
      <c r="I348" s="32">
        <f>IF($A348="","",MASTER_REGISTER!M345)</f>
        <v/>
      </c>
      <c r="J348" s="31">
        <f>IF($A348="","",MASTER_REGISTER!N345)</f>
        <v/>
      </c>
    </row>
    <row r="349">
      <c r="A349" s="31">
        <f>IF(MASTER_REGISTER!E346="","",MASTER_REGISTER!E346)</f>
        <v/>
      </c>
      <c r="B349" s="31">
        <f>IF($A349="","",MASTER_REGISTER!F346)</f>
        <v/>
      </c>
      <c r="C349" s="31">
        <f>IF($A349="","",MASTER_REGISTER!C346)</f>
        <v/>
      </c>
      <c r="D349" s="31">
        <f>IF($A349="","",MASTER_REGISTER!H346)</f>
        <v/>
      </c>
      <c r="E349" s="31">
        <f>IF($A349="","",MASTER_REGISTER!G346)</f>
        <v/>
      </c>
      <c r="F349" s="31">
        <f>IF($A349="","",MASTER_REGISTER!I346)</f>
        <v/>
      </c>
      <c r="G349" s="32">
        <f>IF($A349="","",MASTER_REGISTER!J346)</f>
        <v/>
      </c>
      <c r="H349" s="32">
        <f>IF($A349="","",MASTER_REGISTER!L346)</f>
        <v/>
      </c>
      <c r="I349" s="32">
        <f>IF($A349="","",MASTER_REGISTER!M346)</f>
        <v/>
      </c>
      <c r="J349" s="31">
        <f>IF($A349="","",MASTER_REGISTER!N346)</f>
        <v/>
      </c>
    </row>
    <row r="350">
      <c r="A350" s="31">
        <f>IF(MASTER_REGISTER!E347="","",MASTER_REGISTER!E347)</f>
        <v/>
      </c>
      <c r="B350" s="31">
        <f>IF($A350="","",MASTER_REGISTER!F347)</f>
        <v/>
      </c>
      <c r="C350" s="31">
        <f>IF($A350="","",MASTER_REGISTER!C347)</f>
        <v/>
      </c>
      <c r="D350" s="31">
        <f>IF($A350="","",MASTER_REGISTER!H347)</f>
        <v/>
      </c>
      <c r="E350" s="31">
        <f>IF($A350="","",MASTER_REGISTER!G347)</f>
        <v/>
      </c>
      <c r="F350" s="31">
        <f>IF($A350="","",MASTER_REGISTER!I347)</f>
        <v/>
      </c>
      <c r="G350" s="32">
        <f>IF($A350="","",MASTER_REGISTER!J347)</f>
        <v/>
      </c>
      <c r="H350" s="32">
        <f>IF($A350="","",MASTER_REGISTER!L347)</f>
        <v/>
      </c>
      <c r="I350" s="32">
        <f>IF($A350="","",MASTER_REGISTER!M347)</f>
        <v/>
      </c>
      <c r="J350" s="31">
        <f>IF($A350="","",MASTER_REGISTER!N347)</f>
        <v/>
      </c>
    </row>
    <row r="351">
      <c r="A351" s="31">
        <f>IF(MASTER_REGISTER!E348="","",MASTER_REGISTER!E348)</f>
        <v/>
      </c>
      <c r="B351" s="31">
        <f>IF($A351="","",MASTER_REGISTER!F348)</f>
        <v/>
      </c>
      <c r="C351" s="31">
        <f>IF($A351="","",MASTER_REGISTER!C348)</f>
        <v/>
      </c>
      <c r="D351" s="31">
        <f>IF($A351="","",MASTER_REGISTER!H348)</f>
        <v/>
      </c>
      <c r="E351" s="31">
        <f>IF($A351="","",MASTER_REGISTER!G348)</f>
        <v/>
      </c>
      <c r="F351" s="31">
        <f>IF($A351="","",MASTER_REGISTER!I348)</f>
        <v/>
      </c>
      <c r="G351" s="32">
        <f>IF($A351="","",MASTER_REGISTER!J348)</f>
        <v/>
      </c>
      <c r="H351" s="32">
        <f>IF($A351="","",MASTER_REGISTER!L348)</f>
        <v/>
      </c>
      <c r="I351" s="32">
        <f>IF($A351="","",MASTER_REGISTER!M348)</f>
        <v/>
      </c>
      <c r="J351" s="31">
        <f>IF($A351="","",MASTER_REGISTER!N348)</f>
        <v/>
      </c>
    </row>
    <row r="352">
      <c r="A352" s="31">
        <f>IF(MASTER_REGISTER!E349="","",MASTER_REGISTER!E349)</f>
        <v/>
      </c>
      <c r="B352" s="31">
        <f>IF($A352="","",MASTER_REGISTER!F349)</f>
        <v/>
      </c>
      <c r="C352" s="31">
        <f>IF($A352="","",MASTER_REGISTER!C349)</f>
        <v/>
      </c>
      <c r="D352" s="31">
        <f>IF($A352="","",MASTER_REGISTER!H349)</f>
        <v/>
      </c>
      <c r="E352" s="31">
        <f>IF($A352="","",MASTER_REGISTER!G349)</f>
        <v/>
      </c>
      <c r="F352" s="31">
        <f>IF($A352="","",MASTER_REGISTER!I349)</f>
        <v/>
      </c>
      <c r="G352" s="32">
        <f>IF($A352="","",MASTER_REGISTER!J349)</f>
        <v/>
      </c>
      <c r="H352" s="32">
        <f>IF($A352="","",MASTER_REGISTER!L349)</f>
        <v/>
      </c>
      <c r="I352" s="32">
        <f>IF($A352="","",MASTER_REGISTER!M349)</f>
        <v/>
      </c>
      <c r="J352" s="31">
        <f>IF($A352="","",MASTER_REGISTER!N349)</f>
        <v/>
      </c>
    </row>
    <row r="353">
      <c r="A353" s="31">
        <f>IF(MASTER_REGISTER!E350="","",MASTER_REGISTER!E350)</f>
        <v/>
      </c>
      <c r="B353" s="31">
        <f>IF($A353="","",MASTER_REGISTER!F350)</f>
        <v/>
      </c>
      <c r="C353" s="31">
        <f>IF($A353="","",MASTER_REGISTER!C350)</f>
        <v/>
      </c>
      <c r="D353" s="31">
        <f>IF($A353="","",MASTER_REGISTER!H350)</f>
        <v/>
      </c>
      <c r="E353" s="31">
        <f>IF($A353="","",MASTER_REGISTER!G350)</f>
        <v/>
      </c>
      <c r="F353" s="31">
        <f>IF($A353="","",MASTER_REGISTER!I350)</f>
        <v/>
      </c>
      <c r="G353" s="32">
        <f>IF($A353="","",MASTER_REGISTER!J350)</f>
        <v/>
      </c>
      <c r="H353" s="32">
        <f>IF($A353="","",MASTER_REGISTER!L350)</f>
        <v/>
      </c>
      <c r="I353" s="32">
        <f>IF($A353="","",MASTER_REGISTER!M350)</f>
        <v/>
      </c>
      <c r="J353" s="31">
        <f>IF($A353="","",MASTER_REGISTER!N350)</f>
        <v/>
      </c>
    </row>
    <row r="354">
      <c r="A354" s="31">
        <f>IF(MASTER_REGISTER!E351="","",MASTER_REGISTER!E351)</f>
        <v/>
      </c>
      <c r="B354" s="31">
        <f>IF($A354="","",MASTER_REGISTER!F351)</f>
        <v/>
      </c>
      <c r="C354" s="31">
        <f>IF($A354="","",MASTER_REGISTER!C351)</f>
        <v/>
      </c>
      <c r="D354" s="31">
        <f>IF($A354="","",MASTER_REGISTER!H351)</f>
        <v/>
      </c>
      <c r="E354" s="31">
        <f>IF($A354="","",MASTER_REGISTER!G351)</f>
        <v/>
      </c>
      <c r="F354" s="31">
        <f>IF($A354="","",MASTER_REGISTER!I351)</f>
        <v/>
      </c>
      <c r="G354" s="32">
        <f>IF($A354="","",MASTER_REGISTER!J351)</f>
        <v/>
      </c>
      <c r="H354" s="32">
        <f>IF($A354="","",MASTER_REGISTER!L351)</f>
        <v/>
      </c>
      <c r="I354" s="32">
        <f>IF($A354="","",MASTER_REGISTER!M351)</f>
        <v/>
      </c>
      <c r="J354" s="31">
        <f>IF($A354="","",MASTER_REGISTER!N351)</f>
        <v/>
      </c>
    </row>
    <row r="355">
      <c r="A355" s="31">
        <f>IF(MASTER_REGISTER!E352="","",MASTER_REGISTER!E352)</f>
        <v/>
      </c>
      <c r="B355" s="31">
        <f>IF($A355="","",MASTER_REGISTER!F352)</f>
        <v/>
      </c>
      <c r="C355" s="31">
        <f>IF($A355="","",MASTER_REGISTER!C352)</f>
        <v/>
      </c>
      <c r="D355" s="31">
        <f>IF($A355="","",MASTER_REGISTER!H352)</f>
        <v/>
      </c>
      <c r="E355" s="31">
        <f>IF($A355="","",MASTER_REGISTER!G352)</f>
        <v/>
      </c>
      <c r="F355" s="31">
        <f>IF($A355="","",MASTER_REGISTER!I352)</f>
        <v/>
      </c>
      <c r="G355" s="32">
        <f>IF($A355="","",MASTER_REGISTER!J352)</f>
        <v/>
      </c>
      <c r="H355" s="32">
        <f>IF($A355="","",MASTER_REGISTER!L352)</f>
        <v/>
      </c>
      <c r="I355" s="32">
        <f>IF($A355="","",MASTER_REGISTER!M352)</f>
        <v/>
      </c>
      <c r="J355" s="31">
        <f>IF($A355="","",MASTER_REGISTER!N352)</f>
        <v/>
      </c>
    </row>
    <row r="356">
      <c r="A356" s="31">
        <f>IF(MASTER_REGISTER!E353="","",MASTER_REGISTER!E353)</f>
        <v/>
      </c>
      <c r="B356" s="31">
        <f>IF($A356="","",MASTER_REGISTER!F353)</f>
        <v/>
      </c>
      <c r="C356" s="31">
        <f>IF($A356="","",MASTER_REGISTER!C353)</f>
        <v/>
      </c>
      <c r="D356" s="31">
        <f>IF($A356="","",MASTER_REGISTER!H353)</f>
        <v/>
      </c>
      <c r="E356" s="31">
        <f>IF($A356="","",MASTER_REGISTER!G353)</f>
        <v/>
      </c>
      <c r="F356" s="31">
        <f>IF($A356="","",MASTER_REGISTER!I353)</f>
        <v/>
      </c>
      <c r="G356" s="32">
        <f>IF($A356="","",MASTER_REGISTER!J353)</f>
        <v/>
      </c>
      <c r="H356" s="32">
        <f>IF($A356="","",MASTER_REGISTER!L353)</f>
        <v/>
      </c>
      <c r="I356" s="32">
        <f>IF($A356="","",MASTER_REGISTER!M353)</f>
        <v/>
      </c>
      <c r="J356" s="31">
        <f>IF($A356="","",MASTER_REGISTER!N353)</f>
        <v/>
      </c>
    </row>
    <row r="357">
      <c r="A357" s="31">
        <f>IF(MASTER_REGISTER!E354="","",MASTER_REGISTER!E354)</f>
        <v/>
      </c>
      <c r="B357" s="31">
        <f>IF($A357="","",MASTER_REGISTER!F354)</f>
        <v/>
      </c>
      <c r="C357" s="31">
        <f>IF($A357="","",MASTER_REGISTER!C354)</f>
        <v/>
      </c>
      <c r="D357" s="31">
        <f>IF($A357="","",MASTER_REGISTER!H354)</f>
        <v/>
      </c>
      <c r="E357" s="31">
        <f>IF($A357="","",MASTER_REGISTER!G354)</f>
        <v/>
      </c>
      <c r="F357" s="31">
        <f>IF($A357="","",MASTER_REGISTER!I354)</f>
        <v/>
      </c>
      <c r="G357" s="32">
        <f>IF($A357="","",MASTER_REGISTER!J354)</f>
        <v/>
      </c>
      <c r="H357" s="32">
        <f>IF($A357="","",MASTER_REGISTER!L354)</f>
        <v/>
      </c>
      <c r="I357" s="32">
        <f>IF($A357="","",MASTER_REGISTER!M354)</f>
        <v/>
      </c>
      <c r="J357" s="31">
        <f>IF($A357="","",MASTER_REGISTER!N354)</f>
        <v/>
      </c>
    </row>
    <row r="358">
      <c r="A358" s="31">
        <f>IF(MASTER_REGISTER!E355="","",MASTER_REGISTER!E355)</f>
        <v/>
      </c>
      <c r="B358" s="31">
        <f>IF($A358="","",MASTER_REGISTER!F355)</f>
        <v/>
      </c>
      <c r="C358" s="31">
        <f>IF($A358="","",MASTER_REGISTER!C355)</f>
        <v/>
      </c>
      <c r="D358" s="31">
        <f>IF($A358="","",MASTER_REGISTER!H355)</f>
        <v/>
      </c>
      <c r="E358" s="31">
        <f>IF($A358="","",MASTER_REGISTER!G355)</f>
        <v/>
      </c>
      <c r="F358" s="31">
        <f>IF($A358="","",MASTER_REGISTER!I355)</f>
        <v/>
      </c>
      <c r="G358" s="32">
        <f>IF($A358="","",MASTER_REGISTER!J355)</f>
        <v/>
      </c>
      <c r="H358" s="32">
        <f>IF($A358="","",MASTER_REGISTER!L355)</f>
        <v/>
      </c>
      <c r="I358" s="32">
        <f>IF($A358="","",MASTER_REGISTER!M355)</f>
        <v/>
      </c>
      <c r="J358" s="31">
        <f>IF($A358="","",MASTER_REGISTER!N355)</f>
        <v/>
      </c>
    </row>
    <row r="359">
      <c r="A359" s="31">
        <f>IF(MASTER_REGISTER!E356="","",MASTER_REGISTER!E356)</f>
        <v/>
      </c>
      <c r="B359" s="31">
        <f>IF($A359="","",MASTER_REGISTER!F356)</f>
        <v/>
      </c>
      <c r="C359" s="31">
        <f>IF($A359="","",MASTER_REGISTER!C356)</f>
        <v/>
      </c>
      <c r="D359" s="31">
        <f>IF($A359="","",MASTER_REGISTER!H356)</f>
        <v/>
      </c>
      <c r="E359" s="31">
        <f>IF($A359="","",MASTER_REGISTER!G356)</f>
        <v/>
      </c>
      <c r="F359" s="31">
        <f>IF($A359="","",MASTER_REGISTER!I356)</f>
        <v/>
      </c>
      <c r="G359" s="32">
        <f>IF($A359="","",MASTER_REGISTER!J356)</f>
        <v/>
      </c>
      <c r="H359" s="32">
        <f>IF($A359="","",MASTER_REGISTER!L356)</f>
        <v/>
      </c>
      <c r="I359" s="32">
        <f>IF($A359="","",MASTER_REGISTER!M356)</f>
        <v/>
      </c>
      <c r="J359" s="31">
        <f>IF($A359="","",MASTER_REGISTER!N356)</f>
        <v/>
      </c>
    </row>
    <row r="360">
      <c r="A360" s="31">
        <f>IF(MASTER_REGISTER!E357="","",MASTER_REGISTER!E357)</f>
        <v/>
      </c>
      <c r="B360" s="31">
        <f>IF($A360="","",MASTER_REGISTER!F357)</f>
        <v/>
      </c>
      <c r="C360" s="31">
        <f>IF($A360="","",MASTER_REGISTER!C357)</f>
        <v/>
      </c>
      <c r="D360" s="31">
        <f>IF($A360="","",MASTER_REGISTER!H357)</f>
        <v/>
      </c>
      <c r="E360" s="31">
        <f>IF($A360="","",MASTER_REGISTER!G357)</f>
        <v/>
      </c>
      <c r="F360" s="31">
        <f>IF($A360="","",MASTER_REGISTER!I357)</f>
        <v/>
      </c>
      <c r="G360" s="32">
        <f>IF($A360="","",MASTER_REGISTER!J357)</f>
        <v/>
      </c>
      <c r="H360" s="32">
        <f>IF($A360="","",MASTER_REGISTER!L357)</f>
        <v/>
      </c>
      <c r="I360" s="32">
        <f>IF($A360="","",MASTER_REGISTER!M357)</f>
        <v/>
      </c>
      <c r="J360" s="31">
        <f>IF($A360="","",MASTER_REGISTER!N357)</f>
        <v/>
      </c>
    </row>
    <row r="361">
      <c r="A361" s="31">
        <f>IF(MASTER_REGISTER!E358="","",MASTER_REGISTER!E358)</f>
        <v/>
      </c>
      <c r="B361" s="31">
        <f>IF($A361="","",MASTER_REGISTER!F358)</f>
        <v/>
      </c>
      <c r="C361" s="31">
        <f>IF($A361="","",MASTER_REGISTER!C358)</f>
        <v/>
      </c>
      <c r="D361" s="31">
        <f>IF($A361="","",MASTER_REGISTER!H358)</f>
        <v/>
      </c>
      <c r="E361" s="31">
        <f>IF($A361="","",MASTER_REGISTER!G358)</f>
        <v/>
      </c>
      <c r="F361" s="31">
        <f>IF($A361="","",MASTER_REGISTER!I358)</f>
        <v/>
      </c>
      <c r="G361" s="32">
        <f>IF($A361="","",MASTER_REGISTER!J358)</f>
        <v/>
      </c>
      <c r="H361" s="32">
        <f>IF($A361="","",MASTER_REGISTER!L358)</f>
        <v/>
      </c>
      <c r="I361" s="32">
        <f>IF($A361="","",MASTER_REGISTER!M358)</f>
        <v/>
      </c>
      <c r="J361" s="31">
        <f>IF($A361="","",MASTER_REGISTER!N358)</f>
        <v/>
      </c>
    </row>
    <row r="362">
      <c r="A362" s="31">
        <f>IF(MASTER_REGISTER!E359="","",MASTER_REGISTER!E359)</f>
        <v/>
      </c>
      <c r="B362" s="31">
        <f>IF($A362="","",MASTER_REGISTER!F359)</f>
        <v/>
      </c>
      <c r="C362" s="31">
        <f>IF($A362="","",MASTER_REGISTER!C359)</f>
        <v/>
      </c>
      <c r="D362" s="31">
        <f>IF($A362="","",MASTER_REGISTER!H359)</f>
        <v/>
      </c>
      <c r="E362" s="31">
        <f>IF($A362="","",MASTER_REGISTER!G359)</f>
        <v/>
      </c>
      <c r="F362" s="31">
        <f>IF($A362="","",MASTER_REGISTER!I359)</f>
        <v/>
      </c>
      <c r="G362" s="32">
        <f>IF($A362="","",MASTER_REGISTER!J359)</f>
        <v/>
      </c>
      <c r="H362" s="32">
        <f>IF($A362="","",MASTER_REGISTER!L359)</f>
        <v/>
      </c>
      <c r="I362" s="32">
        <f>IF($A362="","",MASTER_REGISTER!M359)</f>
        <v/>
      </c>
      <c r="J362" s="31">
        <f>IF($A362="","",MASTER_REGISTER!N359)</f>
        <v/>
      </c>
    </row>
    <row r="363">
      <c r="A363" s="31">
        <f>IF(MASTER_REGISTER!E360="","",MASTER_REGISTER!E360)</f>
        <v/>
      </c>
      <c r="B363" s="31">
        <f>IF($A363="","",MASTER_REGISTER!F360)</f>
        <v/>
      </c>
      <c r="C363" s="31">
        <f>IF($A363="","",MASTER_REGISTER!C360)</f>
        <v/>
      </c>
      <c r="D363" s="31">
        <f>IF($A363="","",MASTER_REGISTER!H360)</f>
        <v/>
      </c>
      <c r="E363" s="31">
        <f>IF($A363="","",MASTER_REGISTER!G360)</f>
        <v/>
      </c>
      <c r="F363" s="31">
        <f>IF($A363="","",MASTER_REGISTER!I360)</f>
        <v/>
      </c>
      <c r="G363" s="32">
        <f>IF($A363="","",MASTER_REGISTER!J360)</f>
        <v/>
      </c>
      <c r="H363" s="32">
        <f>IF($A363="","",MASTER_REGISTER!L360)</f>
        <v/>
      </c>
      <c r="I363" s="32">
        <f>IF($A363="","",MASTER_REGISTER!M360)</f>
        <v/>
      </c>
      <c r="J363" s="31">
        <f>IF($A363="","",MASTER_REGISTER!N360)</f>
        <v/>
      </c>
    </row>
    <row r="364">
      <c r="A364" s="31">
        <f>IF(MASTER_REGISTER!E361="","",MASTER_REGISTER!E361)</f>
        <v/>
      </c>
      <c r="B364" s="31">
        <f>IF($A364="","",MASTER_REGISTER!F361)</f>
        <v/>
      </c>
      <c r="C364" s="31">
        <f>IF($A364="","",MASTER_REGISTER!C361)</f>
        <v/>
      </c>
      <c r="D364" s="31">
        <f>IF($A364="","",MASTER_REGISTER!H361)</f>
        <v/>
      </c>
      <c r="E364" s="31">
        <f>IF($A364="","",MASTER_REGISTER!G361)</f>
        <v/>
      </c>
      <c r="F364" s="31">
        <f>IF($A364="","",MASTER_REGISTER!I361)</f>
        <v/>
      </c>
      <c r="G364" s="32">
        <f>IF($A364="","",MASTER_REGISTER!J361)</f>
        <v/>
      </c>
      <c r="H364" s="32">
        <f>IF($A364="","",MASTER_REGISTER!L361)</f>
        <v/>
      </c>
      <c r="I364" s="32">
        <f>IF($A364="","",MASTER_REGISTER!M361)</f>
        <v/>
      </c>
      <c r="J364" s="31">
        <f>IF($A364="","",MASTER_REGISTER!N361)</f>
        <v/>
      </c>
    </row>
    <row r="365">
      <c r="A365" s="31">
        <f>IF(MASTER_REGISTER!E362="","",MASTER_REGISTER!E362)</f>
        <v/>
      </c>
      <c r="B365" s="31">
        <f>IF($A365="","",MASTER_REGISTER!F362)</f>
        <v/>
      </c>
      <c r="C365" s="31">
        <f>IF($A365="","",MASTER_REGISTER!C362)</f>
        <v/>
      </c>
      <c r="D365" s="31">
        <f>IF($A365="","",MASTER_REGISTER!H362)</f>
        <v/>
      </c>
      <c r="E365" s="31">
        <f>IF($A365="","",MASTER_REGISTER!G362)</f>
        <v/>
      </c>
      <c r="F365" s="31">
        <f>IF($A365="","",MASTER_REGISTER!I362)</f>
        <v/>
      </c>
      <c r="G365" s="32">
        <f>IF($A365="","",MASTER_REGISTER!J362)</f>
        <v/>
      </c>
      <c r="H365" s="32">
        <f>IF($A365="","",MASTER_REGISTER!L362)</f>
        <v/>
      </c>
      <c r="I365" s="32">
        <f>IF($A365="","",MASTER_REGISTER!M362)</f>
        <v/>
      </c>
      <c r="J365" s="31">
        <f>IF($A365="","",MASTER_REGISTER!N362)</f>
        <v/>
      </c>
    </row>
    <row r="366">
      <c r="A366" s="31">
        <f>IF(MASTER_REGISTER!E363="","",MASTER_REGISTER!E363)</f>
        <v/>
      </c>
      <c r="B366" s="31">
        <f>IF($A366="","",MASTER_REGISTER!F363)</f>
        <v/>
      </c>
      <c r="C366" s="31">
        <f>IF($A366="","",MASTER_REGISTER!C363)</f>
        <v/>
      </c>
      <c r="D366" s="31">
        <f>IF($A366="","",MASTER_REGISTER!H363)</f>
        <v/>
      </c>
      <c r="E366" s="31">
        <f>IF($A366="","",MASTER_REGISTER!G363)</f>
        <v/>
      </c>
      <c r="F366" s="31">
        <f>IF($A366="","",MASTER_REGISTER!I363)</f>
        <v/>
      </c>
      <c r="G366" s="32">
        <f>IF($A366="","",MASTER_REGISTER!J363)</f>
        <v/>
      </c>
      <c r="H366" s="32">
        <f>IF($A366="","",MASTER_REGISTER!L363)</f>
        <v/>
      </c>
      <c r="I366" s="32">
        <f>IF($A366="","",MASTER_REGISTER!M363)</f>
        <v/>
      </c>
      <c r="J366" s="31">
        <f>IF($A366="","",MASTER_REGISTER!N363)</f>
        <v/>
      </c>
    </row>
    <row r="367">
      <c r="A367" s="31">
        <f>IF(MASTER_REGISTER!E364="","",MASTER_REGISTER!E364)</f>
        <v/>
      </c>
      <c r="B367" s="31">
        <f>IF($A367="","",MASTER_REGISTER!F364)</f>
        <v/>
      </c>
      <c r="C367" s="31">
        <f>IF($A367="","",MASTER_REGISTER!C364)</f>
        <v/>
      </c>
      <c r="D367" s="31">
        <f>IF($A367="","",MASTER_REGISTER!H364)</f>
        <v/>
      </c>
      <c r="E367" s="31">
        <f>IF($A367="","",MASTER_REGISTER!G364)</f>
        <v/>
      </c>
      <c r="F367" s="31">
        <f>IF($A367="","",MASTER_REGISTER!I364)</f>
        <v/>
      </c>
      <c r="G367" s="32">
        <f>IF($A367="","",MASTER_REGISTER!J364)</f>
        <v/>
      </c>
      <c r="H367" s="32">
        <f>IF($A367="","",MASTER_REGISTER!L364)</f>
        <v/>
      </c>
      <c r="I367" s="32">
        <f>IF($A367="","",MASTER_REGISTER!M364)</f>
        <v/>
      </c>
      <c r="J367" s="31">
        <f>IF($A367="","",MASTER_REGISTER!N364)</f>
        <v/>
      </c>
    </row>
    <row r="368">
      <c r="A368" s="31">
        <f>IF(MASTER_REGISTER!E365="","",MASTER_REGISTER!E365)</f>
        <v/>
      </c>
      <c r="B368" s="31">
        <f>IF($A368="","",MASTER_REGISTER!F365)</f>
        <v/>
      </c>
      <c r="C368" s="31">
        <f>IF($A368="","",MASTER_REGISTER!C365)</f>
        <v/>
      </c>
      <c r="D368" s="31">
        <f>IF($A368="","",MASTER_REGISTER!H365)</f>
        <v/>
      </c>
      <c r="E368" s="31">
        <f>IF($A368="","",MASTER_REGISTER!G365)</f>
        <v/>
      </c>
      <c r="F368" s="31">
        <f>IF($A368="","",MASTER_REGISTER!I365)</f>
        <v/>
      </c>
      <c r="G368" s="32">
        <f>IF($A368="","",MASTER_REGISTER!J365)</f>
        <v/>
      </c>
      <c r="H368" s="32">
        <f>IF($A368="","",MASTER_REGISTER!L365)</f>
        <v/>
      </c>
      <c r="I368" s="32">
        <f>IF($A368="","",MASTER_REGISTER!M365)</f>
        <v/>
      </c>
      <c r="J368" s="31">
        <f>IF($A368="","",MASTER_REGISTER!N365)</f>
        <v/>
      </c>
    </row>
    <row r="369">
      <c r="A369" s="31">
        <f>IF(MASTER_REGISTER!E366="","",MASTER_REGISTER!E366)</f>
        <v/>
      </c>
      <c r="B369" s="31">
        <f>IF($A369="","",MASTER_REGISTER!F366)</f>
        <v/>
      </c>
      <c r="C369" s="31">
        <f>IF($A369="","",MASTER_REGISTER!C366)</f>
        <v/>
      </c>
      <c r="D369" s="31">
        <f>IF($A369="","",MASTER_REGISTER!H366)</f>
        <v/>
      </c>
      <c r="E369" s="31">
        <f>IF($A369="","",MASTER_REGISTER!G366)</f>
        <v/>
      </c>
      <c r="F369" s="31">
        <f>IF($A369="","",MASTER_REGISTER!I366)</f>
        <v/>
      </c>
      <c r="G369" s="32">
        <f>IF($A369="","",MASTER_REGISTER!J366)</f>
        <v/>
      </c>
      <c r="H369" s="32">
        <f>IF($A369="","",MASTER_REGISTER!L366)</f>
        <v/>
      </c>
      <c r="I369" s="32">
        <f>IF($A369="","",MASTER_REGISTER!M366)</f>
        <v/>
      </c>
      <c r="J369" s="31">
        <f>IF($A369="","",MASTER_REGISTER!N366)</f>
        <v/>
      </c>
    </row>
    <row r="370">
      <c r="A370" s="31">
        <f>IF(MASTER_REGISTER!E367="","",MASTER_REGISTER!E367)</f>
        <v/>
      </c>
      <c r="B370" s="31">
        <f>IF($A370="","",MASTER_REGISTER!F367)</f>
        <v/>
      </c>
      <c r="C370" s="31">
        <f>IF($A370="","",MASTER_REGISTER!C367)</f>
        <v/>
      </c>
      <c r="D370" s="31">
        <f>IF($A370="","",MASTER_REGISTER!H367)</f>
        <v/>
      </c>
      <c r="E370" s="31">
        <f>IF($A370="","",MASTER_REGISTER!G367)</f>
        <v/>
      </c>
      <c r="F370" s="31">
        <f>IF($A370="","",MASTER_REGISTER!I367)</f>
        <v/>
      </c>
      <c r="G370" s="32">
        <f>IF($A370="","",MASTER_REGISTER!J367)</f>
        <v/>
      </c>
      <c r="H370" s="32">
        <f>IF($A370="","",MASTER_REGISTER!L367)</f>
        <v/>
      </c>
      <c r="I370" s="32">
        <f>IF($A370="","",MASTER_REGISTER!M367)</f>
        <v/>
      </c>
      <c r="J370" s="31">
        <f>IF($A370="","",MASTER_REGISTER!N367)</f>
        <v/>
      </c>
    </row>
    <row r="371">
      <c r="A371" s="31">
        <f>IF(MASTER_REGISTER!E368="","",MASTER_REGISTER!E368)</f>
        <v/>
      </c>
      <c r="B371" s="31">
        <f>IF($A371="","",MASTER_REGISTER!F368)</f>
        <v/>
      </c>
      <c r="C371" s="31">
        <f>IF($A371="","",MASTER_REGISTER!C368)</f>
        <v/>
      </c>
      <c r="D371" s="31">
        <f>IF($A371="","",MASTER_REGISTER!H368)</f>
        <v/>
      </c>
      <c r="E371" s="31">
        <f>IF($A371="","",MASTER_REGISTER!G368)</f>
        <v/>
      </c>
      <c r="F371" s="31">
        <f>IF($A371="","",MASTER_REGISTER!I368)</f>
        <v/>
      </c>
      <c r="G371" s="32">
        <f>IF($A371="","",MASTER_REGISTER!J368)</f>
        <v/>
      </c>
      <c r="H371" s="32">
        <f>IF($A371="","",MASTER_REGISTER!L368)</f>
        <v/>
      </c>
      <c r="I371" s="32">
        <f>IF($A371="","",MASTER_REGISTER!M368)</f>
        <v/>
      </c>
      <c r="J371" s="31">
        <f>IF($A371="","",MASTER_REGISTER!N368)</f>
        <v/>
      </c>
    </row>
    <row r="372">
      <c r="A372" s="31">
        <f>IF(MASTER_REGISTER!E369="","",MASTER_REGISTER!E369)</f>
        <v/>
      </c>
      <c r="B372" s="31">
        <f>IF($A372="","",MASTER_REGISTER!F369)</f>
        <v/>
      </c>
      <c r="C372" s="31">
        <f>IF($A372="","",MASTER_REGISTER!C369)</f>
        <v/>
      </c>
      <c r="D372" s="31">
        <f>IF($A372="","",MASTER_REGISTER!H369)</f>
        <v/>
      </c>
      <c r="E372" s="31">
        <f>IF($A372="","",MASTER_REGISTER!G369)</f>
        <v/>
      </c>
      <c r="F372" s="31">
        <f>IF($A372="","",MASTER_REGISTER!I369)</f>
        <v/>
      </c>
      <c r="G372" s="32">
        <f>IF($A372="","",MASTER_REGISTER!J369)</f>
        <v/>
      </c>
      <c r="H372" s="32">
        <f>IF($A372="","",MASTER_REGISTER!L369)</f>
        <v/>
      </c>
      <c r="I372" s="32">
        <f>IF($A372="","",MASTER_REGISTER!M369)</f>
        <v/>
      </c>
      <c r="J372" s="31">
        <f>IF($A372="","",MASTER_REGISTER!N369)</f>
        <v/>
      </c>
    </row>
    <row r="373">
      <c r="A373" s="31">
        <f>IF(MASTER_REGISTER!E370="","",MASTER_REGISTER!E370)</f>
        <v/>
      </c>
      <c r="B373" s="31">
        <f>IF($A373="","",MASTER_REGISTER!F370)</f>
        <v/>
      </c>
      <c r="C373" s="31">
        <f>IF($A373="","",MASTER_REGISTER!C370)</f>
        <v/>
      </c>
      <c r="D373" s="31">
        <f>IF($A373="","",MASTER_REGISTER!H370)</f>
        <v/>
      </c>
      <c r="E373" s="31">
        <f>IF($A373="","",MASTER_REGISTER!G370)</f>
        <v/>
      </c>
      <c r="F373" s="31">
        <f>IF($A373="","",MASTER_REGISTER!I370)</f>
        <v/>
      </c>
      <c r="G373" s="32">
        <f>IF($A373="","",MASTER_REGISTER!J370)</f>
        <v/>
      </c>
      <c r="H373" s="32">
        <f>IF($A373="","",MASTER_REGISTER!L370)</f>
        <v/>
      </c>
      <c r="I373" s="32">
        <f>IF($A373="","",MASTER_REGISTER!M370)</f>
        <v/>
      </c>
      <c r="J373" s="31">
        <f>IF($A373="","",MASTER_REGISTER!N370)</f>
        <v/>
      </c>
    </row>
    <row r="374">
      <c r="A374" s="31">
        <f>IF(MASTER_REGISTER!E371="","",MASTER_REGISTER!E371)</f>
        <v/>
      </c>
      <c r="B374" s="31">
        <f>IF($A374="","",MASTER_REGISTER!F371)</f>
        <v/>
      </c>
      <c r="C374" s="31">
        <f>IF($A374="","",MASTER_REGISTER!C371)</f>
        <v/>
      </c>
      <c r="D374" s="31">
        <f>IF($A374="","",MASTER_REGISTER!H371)</f>
        <v/>
      </c>
      <c r="E374" s="31">
        <f>IF($A374="","",MASTER_REGISTER!G371)</f>
        <v/>
      </c>
      <c r="F374" s="31">
        <f>IF($A374="","",MASTER_REGISTER!I371)</f>
        <v/>
      </c>
      <c r="G374" s="32">
        <f>IF($A374="","",MASTER_REGISTER!J371)</f>
        <v/>
      </c>
      <c r="H374" s="32">
        <f>IF($A374="","",MASTER_REGISTER!L371)</f>
        <v/>
      </c>
      <c r="I374" s="32">
        <f>IF($A374="","",MASTER_REGISTER!M371)</f>
        <v/>
      </c>
      <c r="J374" s="31">
        <f>IF($A374="","",MASTER_REGISTER!N371)</f>
        <v/>
      </c>
    </row>
    <row r="375">
      <c r="A375" s="31">
        <f>IF(MASTER_REGISTER!E372="","",MASTER_REGISTER!E372)</f>
        <v/>
      </c>
      <c r="B375" s="31">
        <f>IF($A375="","",MASTER_REGISTER!F372)</f>
        <v/>
      </c>
      <c r="C375" s="31">
        <f>IF($A375="","",MASTER_REGISTER!C372)</f>
        <v/>
      </c>
      <c r="D375" s="31">
        <f>IF($A375="","",MASTER_REGISTER!H372)</f>
        <v/>
      </c>
      <c r="E375" s="31">
        <f>IF($A375="","",MASTER_REGISTER!G372)</f>
        <v/>
      </c>
      <c r="F375" s="31">
        <f>IF($A375="","",MASTER_REGISTER!I372)</f>
        <v/>
      </c>
      <c r="G375" s="32">
        <f>IF($A375="","",MASTER_REGISTER!J372)</f>
        <v/>
      </c>
      <c r="H375" s="32">
        <f>IF($A375="","",MASTER_REGISTER!L372)</f>
        <v/>
      </c>
      <c r="I375" s="32">
        <f>IF($A375="","",MASTER_REGISTER!M372)</f>
        <v/>
      </c>
      <c r="J375" s="31">
        <f>IF($A375="","",MASTER_REGISTER!N372)</f>
        <v/>
      </c>
    </row>
    <row r="376">
      <c r="A376" s="31">
        <f>IF(MASTER_REGISTER!E373="","",MASTER_REGISTER!E373)</f>
        <v/>
      </c>
      <c r="B376" s="31">
        <f>IF($A376="","",MASTER_REGISTER!F373)</f>
        <v/>
      </c>
      <c r="C376" s="31">
        <f>IF($A376="","",MASTER_REGISTER!C373)</f>
        <v/>
      </c>
      <c r="D376" s="31">
        <f>IF($A376="","",MASTER_REGISTER!H373)</f>
        <v/>
      </c>
      <c r="E376" s="31">
        <f>IF($A376="","",MASTER_REGISTER!G373)</f>
        <v/>
      </c>
      <c r="F376" s="31">
        <f>IF($A376="","",MASTER_REGISTER!I373)</f>
        <v/>
      </c>
      <c r="G376" s="32">
        <f>IF($A376="","",MASTER_REGISTER!J373)</f>
        <v/>
      </c>
      <c r="H376" s="32">
        <f>IF($A376="","",MASTER_REGISTER!L373)</f>
        <v/>
      </c>
      <c r="I376" s="32">
        <f>IF($A376="","",MASTER_REGISTER!M373)</f>
        <v/>
      </c>
      <c r="J376" s="31">
        <f>IF($A376="","",MASTER_REGISTER!N373)</f>
        <v/>
      </c>
    </row>
    <row r="377">
      <c r="A377" s="31">
        <f>IF(MASTER_REGISTER!E374="","",MASTER_REGISTER!E374)</f>
        <v/>
      </c>
      <c r="B377" s="31">
        <f>IF($A377="","",MASTER_REGISTER!F374)</f>
        <v/>
      </c>
      <c r="C377" s="31">
        <f>IF($A377="","",MASTER_REGISTER!C374)</f>
        <v/>
      </c>
      <c r="D377" s="31">
        <f>IF($A377="","",MASTER_REGISTER!H374)</f>
        <v/>
      </c>
      <c r="E377" s="31">
        <f>IF($A377="","",MASTER_REGISTER!G374)</f>
        <v/>
      </c>
      <c r="F377" s="31">
        <f>IF($A377="","",MASTER_REGISTER!I374)</f>
        <v/>
      </c>
      <c r="G377" s="32">
        <f>IF($A377="","",MASTER_REGISTER!J374)</f>
        <v/>
      </c>
      <c r="H377" s="32">
        <f>IF($A377="","",MASTER_REGISTER!L374)</f>
        <v/>
      </c>
      <c r="I377" s="32">
        <f>IF($A377="","",MASTER_REGISTER!M374)</f>
        <v/>
      </c>
      <c r="J377" s="31">
        <f>IF($A377="","",MASTER_REGISTER!N374)</f>
        <v/>
      </c>
    </row>
    <row r="378">
      <c r="A378" s="31">
        <f>IF(MASTER_REGISTER!E375="","",MASTER_REGISTER!E375)</f>
        <v/>
      </c>
      <c r="B378" s="31">
        <f>IF($A378="","",MASTER_REGISTER!F375)</f>
        <v/>
      </c>
      <c r="C378" s="31">
        <f>IF($A378="","",MASTER_REGISTER!C375)</f>
        <v/>
      </c>
      <c r="D378" s="31">
        <f>IF($A378="","",MASTER_REGISTER!H375)</f>
        <v/>
      </c>
      <c r="E378" s="31">
        <f>IF($A378="","",MASTER_REGISTER!G375)</f>
        <v/>
      </c>
      <c r="F378" s="31">
        <f>IF($A378="","",MASTER_REGISTER!I375)</f>
        <v/>
      </c>
      <c r="G378" s="32">
        <f>IF($A378="","",MASTER_REGISTER!J375)</f>
        <v/>
      </c>
      <c r="H378" s="32">
        <f>IF($A378="","",MASTER_REGISTER!L375)</f>
        <v/>
      </c>
      <c r="I378" s="32">
        <f>IF($A378="","",MASTER_REGISTER!M375)</f>
        <v/>
      </c>
      <c r="J378" s="31">
        <f>IF($A378="","",MASTER_REGISTER!N375)</f>
        <v/>
      </c>
    </row>
    <row r="379">
      <c r="A379" s="31">
        <f>IF(MASTER_REGISTER!E376="","",MASTER_REGISTER!E376)</f>
        <v/>
      </c>
      <c r="B379" s="31">
        <f>IF($A379="","",MASTER_REGISTER!F376)</f>
        <v/>
      </c>
      <c r="C379" s="31">
        <f>IF($A379="","",MASTER_REGISTER!C376)</f>
        <v/>
      </c>
      <c r="D379" s="31">
        <f>IF($A379="","",MASTER_REGISTER!H376)</f>
        <v/>
      </c>
      <c r="E379" s="31">
        <f>IF($A379="","",MASTER_REGISTER!G376)</f>
        <v/>
      </c>
      <c r="F379" s="31">
        <f>IF($A379="","",MASTER_REGISTER!I376)</f>
        <v/>
      </c>
      <c r="G379" s="32">
        <f>IF($A379="","",MASTER_REGISTER!J376)</f>
        <v/>
      </c>
      <c r="H379" s="32">
        <f>IF($A379="","",MASTER_REGISTER!L376)</f>
        <v/>
      </c>
      <c r="I379" s="32">
        <f>IF($A379="","",MASTER_REGISTER!M376)</f>
        <v/>
      </c>
      <c r="J379" s="31">
        <f>IF($A379="","",MASTER_REGISTER!N376)</f>
        <v/>
      </c>
    </row>
    <row r="380">
      <c r="A380" s="31">
        <f>IF(MASTER_REGISTER!E377="","",MASTER_REGISTER!E377)</f>
        <v/>
      </c>
      <c r="B380" s="31">
        <f>IF($A380="","",MASTER_REGISTER!F377)</f>
        <v/>
      </c>
      <c r="C380" s="31">
        <f>IF($A380="","",MASTER_REGISTER!C377)</f>
        <v/>
      </c>
      <c r="D380" s="31">
        <f>IF($A380="","",MASTER_REGISTER!H377)</f>
        <v/>
      </c>
      <c r="E380" s="31">
        <f>IF($A380="","",MASTER_REGISTER!G377)</f>
        <v/>
      </c>
      <c r="F380" s="31">
        <f>IF($A380="","",MASTER_REGISTER!I377)</f>
        <v/>
      </c>
      <c r="G380" s="32">
        <f>IF($A380="","",MASTER_REGISTER!J377)</f>
        <v/>
      </c>
      <c r="H380" s="32">
        <f>IF($A380="","",MASTER_REGISTER!L377)</f>
        <v/>
      </c>
      <c r="I380" s="32">
        <f>IF($A380="","",MASTER_REGISTER!M377)</f>
        <v/>
      </c>
      <c r="J380" s="31">
        <f>IF($A380="","",MASTER_REGISTER!N377)</f>
        <v/>
      </c>
    </row>
    <row r="381">
      <c r="A381" s="31">
        <f>IF(MASTER_REGISTER!E378="","",MASTER_REGISTER!E378)</f>
        <v/>
      </c>
      <c r="B381" s="31">
        <f>IF($A381="","",MASTER_REGISTER!F378)</f>
        <v/>
      </c>
      <c r="C381" s="31">
        <f>IF($A381="","",MASTER_REGISTER!C378)</f>
        <v/>
      </c>
      <c r="D381" s="31">
        <f>IF($A381="","",MASTER_REGISTER!H378)</f>
        <v/>
      </c>
      <c r="E381" s="31">
        <f>IF($A381="","",MASTER_REGISTER!G378)</f>
        <v/>
      </c>
      <c r="F381" s="31">
        <f>IF($A381="","",MASTER_REGISTER!I378)</f>
        <v/>
      </c>
      <c r="G381" s="32">
        <f>IF($A381="","",MASTER_REGISTER!J378)</f>
        <v/>
      </c>
      <c r="H381" s="32">
        <f>IF($A381="","",MASTER_REGISTER!L378)</f>
        <v/>
      </c>
      <c r="I381" s="32">
        <f>IF($A381="","",MASTER_REGISTER!M378)</f>
        <v/>
      </c>
      <c r="J381" s="31">
        <f>IF($A381="","",MASTER_REGISTER!N378)</f>
        <v/>
      </c>
    </row>
    <row r="382">
      <c r="A382" s="31">
        <f>IF(MASTER_REGISTER!E379="","",MASTER_REGISTER!E379)</f>
        <v/>
      </c>
      <c r="B382" s="31">
        <f>IF($A382="","",MASTER_REGISTER!F379)</f>
        <v/>
      </c>
      <c r="C382" s="31">
        <f>IF($A382="","",MASTER_REGISTER!C379)</f>
        <v/>
      </c>
      <c r="D382" s="31">
        <f>IF($A382="","",MASTER_REGISTER!H379)</f>
        <v/>
      </c>
      <c r="E382" s="31">
        <f>IF($A382="","",MASTER_REGISTER!G379)</f>
        <v/>
      </c>
      <c r="F382" s="31">
        <f>IF($A382="","",MASTER_REGISTER!I379)</f>
        <v/>
      </c>
      <c r="G382" s="32">
        <f>IF($A382="","",MASTER_REGISTER!J379)</f>
        <v/>
      </c>
      <c r="H382" s="32">
        <f>IF($A382="","",MASTER_REGISTER!L379)</f>
        <v/>
      </c>
      <c r="I382" s="32">
        <f>IF($A382="","",MASTER_REGISTER!M379)</f>
        <v/>
      </c>
      <c r="J382" s="31">
        <f>IF($A382="","",MASTER_REGISTER!N379)</f>
        <v/>
      </c>
    </row>
    <row r="383">
      <c r="A383" s="31">
        <f>IF(MASTER_REGISTER!E380="","",MASTER_REGISTER!E380)</f>
        <v/>
      </c>
      <c r="B383" s="31">
        <f>IF($A383="","",MASTER_REGISTER!F380)</f>
        <v/>
      </c>
      <c r="C383" s="31">
        <f>IF($A383="","",MASTER_REGISTER!C380)</f>
        <v/>
      </c>
      <c r="D383" s="31">
        <f>IF($A383="","",MASTER_REGISTER!H380)</f>
        <v/>
      </c>
      <c r="E383" s="31">
        <f>IF($A383="","",MASTER_REGISTER!G380)</f>
        <v/>
      </c>
      <c r="F383" s="31">
        <f>IF($A383="","",MASTER_REGISTER!I380)</f>
        <v/>
      </c>
      <c r="G383" s="32">
        <f>IF($A383="","",MASTER_REGISTER!J380)</f>
        <v/>
      </c>
      <c r="H383" s="32">
        <f>IF($A383="","",MASTER_REGISTER!L380)</f>
        <v/>
      </c>
      <c r="I383" s="32">
        <f>IF($A383="","",MASTER_REGISTER!M380)</f>
        <v/>
      </c>
      <c r="J383" s="31">
        <f>IF($A383="","",MASTER_REGISTER!N380)</f>
        <v/>
      </c>
    </row>
    <row r="384">
      <c r="A384" s="31">
        <f>IF(MASTER_REGISTER!E381="","",MASTER_REGISTER!E381)</f>
        <v/>
      </c>
      <c r="B384" s="31">
        <f>IF($A384="","",MASTER_REGISTER!F381)</f>
        <v/>
      </c>
      <c r="C384" s="31">
        <f>IF($A384="","",MASTER_REGISTER!C381)</f>
        <v/>
      </c>
      <c r="D384" s="31">
        <f>IF($A384="","",MASTER_REGISTER!H381)</f>
        <v/>
      </c>
      <c r="E384" s="31">
        <f>IF($A384="","",MASTER_REGISTER!G381)</f>
        <v/>
      </c>
      <c r="F384" s="31">
        <f>IF($A384="","",MASTER_REGISTER!I381)</f>
        <v/>
      </c>
      <c r="G384" s="32">
        <f>IF($A384="","",MASTER_REGISTER!J381)</f>
        <v/>
      </c>
      <c r="H384" s="32">
        <f>IF($A384="","",MASTER_REGISTER!L381)</f>
        <v/>
      </c>
      <c r="I384" s="32">
        <f>IF($A384="","",MASTER_REGISTER!M381)</f>
        <v/>
      </c>
      <c r="J384" s="31">
        <f>IF($A384="","",MASTER_REGISTER!N381)</f>
        <v/>
      </c>
    </row>
    <row r="385">
      <c r="A385" s="31">
        <f>IF(MASTER_REGISTER!E382="","",MASTER_REGISTER!E382)</f>
        <v/>
      </c>
      <c r="B385" s="31">
        <f>IF($A385="","",MASTER_REGISTER!F382)</f>
        <v/>
      </c>
      <c r="C385" s="31">
        <f>IF($A385="","",MASTER_REGISTER!C382)</f>
        <v/>
      </c>
      <c r="D385" s="31">
        <f>IF($A385="","",MASTER_REGISTER!H382)</f>
        <v/>
      </c>
      <c r="E385" s="31">
        <f>IF($A385="","",MASTER_REGISTER!G382)</f>
        <v/>
      </c>
      <c r="F385" s="31">
        <f>IF($A385="","",MASTER_REGISTER!I382)</f>
        <v/>
      </c>
      <c r="G385" s="32">
        <f>IF($A385="","",MASTER_REGISTER!J382)</f>
        <v/>
      </c>
      <c r="H385" s="32">
        <f>IF($A385="","",MASTER_REGISTER!L382)</f>
        <v/>
      </c>
      <c r="I385" s="32">
        <f>IF($A385="","",MASTER_REGISTER!M382)</f>
        <v/>
      </c>
      <c r="J385" s="31">
        <f>IF($A385="","",MASTER_REGISTER!N382)</f>
        <v/>
      </c>
    </row>
    <row r="386">
      <c r="A386" s="31">
        <f>IF(MASTER_REGISTER!E383="","",MASTER_REGISTER!E383)</f>
        <v/>
      </c>
      <c r="B386" s="31">
        <f>IF($A386="","",MASTER_REGISTER!F383)</f>
        <v/>
      </c>
      <c r="C386" s="31">
        <f>IF($A386="","",MASTER_REGISTER!C383)</f>
        <v/>
      </c>
      <c r="D386" s="31">
        <f>IF($A386="","",MASTER_REGISTER!H383)</f>
        <v/>
      </c>
      <c r="E386" s="31">
        <f>IF($A386="","",MASTER_REGISTER!G383)</f>
        <v/>
      </c>
      <c r="F386" s="31">
        <f>IF($A386="","",MASTER_REGISTER!I383)</f>
        <v/>
      </c>
      <c r="G386" s="32">
        <f>IF($A386="","",MASTER_REGISTER!J383)</f>
        <v/>
      </c>
      <c r="H386" s="32">
        <f>IF($A386="","",MASTER_REGISTER!L383)</f>
        <v/>
      </c>
      <c r="I386" s="32">
        <f>IF($A386="","",MASTER_REGISTER!M383)</f>
        <v/>
      </c>
      <c r="J386" s="31">
        <f>IF($A386="","",MASTER_REGISTER!N383)</f>
        <v/>
      </c>
    </row>
    <row r="387">
      <c r="A387" s="31">
        <f>IF(MASTER_REGISTER!E384="","",MASTER_REGISTER!E384)</f>
        <v/>
      </c>
      <c r="B387" s="31">
        <f>IF($A387="","",MASTER_REGISTER!F384)</f>
        <v/>
      </c>
      <c r="C387" s="31">
        <f>IF($A387="","",MASTER_REGISTER!C384)</f>
        <v/>
      </c>
      <c r="D387" s="31">
        <f>IF($A387="","",MASTER_REGISTER!H384)</f>
        <v/>
      </c>
      <c r="E387" s="31">
        <f>IF($A387="","",MASTER_REGISTER!G384)</f>
        <v/>
      </c>
      <c r="F387" s="31">
        <f>IF($A387="","",MASTER_REGISTER!I384)</f>
        <v/>
      </c>
      <c r="G387" s="32">
        <f>IF($A387="","",MASTER_REGISTER!J384)</f>
        <v/>
      </c>
      <c r="H387" s="32">
        <f>IF($A387="","",MASTER_REGISTER!L384)</f>
        <v/>
      </c>
      <c r="I387" s="32">
        <f>IF($A387="","",MASTER_REGISTER!M384)</f>
        <v/>
      </c>
      <c r="J387" s="31">
        <f>IF($A387="","",MASTER_REGISTER!N384)</f>
        <v/>
      </c>
    </row>
    <row r="388">
      <c r="A388" s="31">
        <f>IF(MASTER_REGISTER!E385="","",MASTER_REGISTER!E385)</f>
        <v/>
      </c>
      <c r="B388" s="31">
        <f>IF($A388="","",MASTER_REGISTER!F385)</f>
        <v/>
      </c>
      <c r="C388" s="31">
        <f>IF($A388="","",MASTER_REGISTER!C385)</f>
        <v/>
      </c>
      <c r="D388" s="31">
        <f>IF($A388="","",MASTER_REGISTER!H385)</f>
        <v/>
      </c>
      <c r="E388" s="31">
        <f>IF($A388="","",MASTER_REGISTER!G385)</f>
        <v/>
      </c>
      <c r="F388" s="31">
        <f>IF($A388="","",MASTER_REGISTER!I385)</f>
        <v/>
      </c>
      <c r="G388" s="32">
        <f>IF($A388="","",MASTER_REGISTER!J385)</f>
        <v/>
      </c>
      <c r="H388" s="32">
        <f>IF($A388="","",MASTER_REGISTER!L385)</f>
        <v/>
      </c>
      <c r="I388" s="32">
        <f>IF($A388="","",MASTER_REGISTER!M385)</f>
        <v/>
      </c>
      <c r="J388" s="31">
        <f>IF($A388="","",MASTER_REGISTER!N385)</f>
        <v/>
      </c>
    </row>
    <row r="389">
      <c r="A389" s="31">
        <f>IF(MASTER_REGISTER!E386="","",MASTER_REGISTER!E386)</f>
        <v/>
      </c>
      <c r="B389" s="31">
        <f>IF($A389="","",MASTER_REGISTER!F386)</f>
        <v/>
      </c>
      <c r="C389" s="31">
        <f>IF($A389="","",MASTER_REGISTER!C386)</f>
        <v/>
      </c>
      <c r="D389" s="31">
        <f>IF($A389="","",MASTER_REGISTER!H386)</f>
        <v/>
      </c>
      <c r="E389" s="31">
        <f>IF($A389="","",MASTER_REGISTER!G386)</f>
        <v/>
      </c>
      <c r="F389" s="31">
        <f>IF($A389="","",MASTER_REGISTER!I386)</f>
        <v/>
      </c>
      <c r="G389" s="32">
        <f>IF($A389="","",MASTER_REGISTER!J386)</f>
        <v/>
      </c>
      <c r="H389" s="32">
        <f>IF($A389="","",MASTER_REGISTER!L386)</f>
        <v/>
      </c>
      <c r="I389" s="32">
        <f>IF($A389="","",MASTER_REGISTER!M386)</f>
        <v/>
      </c>
      <c r="J389" s="31">
        <f>IF($A389="","",MASTER_REGISTER!N386)</f>
        <v/>
      </c>
    </row>
    <row r="390">
      <c r="A390" s="31">
        <f>IF(MASTER_REGISTER!E387="","",MASTER_REGISTER!E387)</f>
        <v/>
      </c>
      <c r="B390" s="31">
        <f>IF($A390="","",MASTER_REGISTER!F387)</f>
        <v/>
      </c>
      <c r="C390" s="31">
        <f>IF($A390="","",MASTER_REGISTER!C387)</f>
        <v/>
      </c>
      <c r="D390" s="31">
        <f>IF($A390="","",MASTER_REGISTER!H387)</f>
        <v/>
      </c>
      <c r="E390" s="31">
        <f>IF($A390="","",MASTER_REGISTER!G387)</f>
        <v/>
      </c>
      <c r="F390" s="31">
        <f>IF($A390="","",MASTER_REGISTER!I387)</f>
        <v/>
      </c>
      <c r="G390" s="32">
        <f>IF($A390="","",MASTER_REGISTER!J387)</f>
        <v/>
      </c>
      <c r="H390" s="32">
        <f>IF($A390="","",MASTER_REGISTER!L387)</f>
        <v/>
      </c>
      <c r="I390" s="32">
        <f>IF($A390="","",MASTER_REGISTER!M387)</f>
        <v/>
      </c>
      <c r="J390" s="31">
        <f>IF($A390="","",MASTER_REGISTER!N387)</f>
        <v/>
      </c>
    </row>
    <row r="391">
      <c r="A391" s="31">
        <f>IF(MASTER_REGISTER!E388="","",MASTER_REGISTER!E388)</f>
        <v/>
      </c>
      <c r="B391" s="31">
        <f>IF($A391="","",MASTER_REGISTER!F388)</f>
        <v/>
      </c>
      <c r="C391" s="31">
        <f>IF($A391="","",MASTER_REGISTER!C388)</f>
        <v/>
      </c>
      <c r="D391" s="31">
        <f>IF($A391="","",MASTER_REGISTER!H388)</f>
        <v/>
      </c>
      <c r="E391" s="31">
        <f>IF($A391="","",MASTER_REGISTER!G388)</f>
        <v/>
      </c>
      <c r="F391" s="31">
        <f>IF($A391="","",MASTER_REGISTER!I388)</f>
        <v/>
      </c>
      <c r="G391" s="32">
        <f>IF($A391="","",MASTER_REGISTER!J388)</f>
        <v/>
      </c>
      <c r="H391" s="32">
        <f>IF($A391="","",MASTER_REGISTER!L388)</f>
        <v/>
      </c>
      <c r="I391" s="32">
        <f>IF($A391="","",MASTER_REGISTER!M388)</f>
        <v/>
      </c>
      <c r="J391" s="31">
        <f>IF($A391="","",MASTER_REGISTER!N388)</f>
        <v/>
      </c>
    </row>
    <row r="392">
      <c r="A392" s="31">
        <f>IF(MASTER_REGISTER!E389="","",MASTER_REGISTER!E389)</f>
        <v/>
      </c>
      <c r="B392" s="31">
        <f>IF($A392="","",MASTER_REGISTER!F389)</f>
        <v/>
      </c>
      <c r="C392" s="31">
        <f>IF($A392="","",MASTER_REGISTER!C389)</f>
        <v/>
      </c>
      <c r="D392" s="31">
        <f>IF($A392="","",MASTER_REGISTER!H389)</f>
        <v/>
      </c>
      <c r="E392" s="31">
        <f>IF($A392="","",MASTER_REGISTER!G389)</f>
        <v/>
      </c>
      <c r="F392" s="31">
        <f>IF($A392="","",MASTER_REGISTER!I389)</f>
        <v/>
      </c>
      <c r="G392" s="32">
        <f>IF($A392="","",MASTER_REGISTER!J389)</f>
        <v/>
      </c>
      <c r="H392" s="32">
        <f>IF($A392="","",MASTER_REGISTER!L389)</f>
        <v/>
      </c>
      <c r="I392" s="32">
        <f>IF($A392="","",MASTER_REGISTER!M389)</f>
        <v/>
      </c>
      <c r="J392" s="31">
        <f>IF($A392="","",MASTER_REGISTER!N389)</f>
        <v/>
      </c>
    </row>
    <row r="393">
      <c r="A393" s="31">
        <f>IF(MASTER_REGISTER!E390="","",MASTER_REGISTER!E390)</f>
        <v/>
      </c>
      <c r="B393" s="31">
        <f>IF($A393="","",MASTER_REGISTER!F390)</f>
        <v/>
      </c>
      <c r="C393" s="31">
        <f>IF($A393="","",MASTER_REGISTER!C390)</f>
        <v/>
      </c>
      <c r="D393" s="31">
        <f>IF($A393="","",MASTER_REGISTER!H390)</f>
        <v/>
      </c>
      <c r="E393" s="31">
        <f>IF($A393="","",MASTER_REGISTER!G390)</f>
        <v/>
      </c>
      <c r="F393" s="31">
        <f>IF($A393="","",MASTER_REGISTER!I390)</f>
        <v/>
      </c>
      <c r="G393" s="32">
        <f>IF($A393="","",MASTER_REGISTER!J390)</f>
        <v/>
      </c>
      <c r="H393" s="32">
        <f>IF($A393="","",MASTER_REGISTER!L390)</f>
        <v/>
      </c>
      <c r="I393" s="32">
        <f>IF($A393="","",MASTER_REGISTER!M390)</f>
        <v/>
      </c>
      <c r="J393" s="31">
        <f>IF($A393="","",MASTER_REGISTER!N390)</f>
        <v/>
      </c>
    </row>
    <row r="394">
      <c r="A394" s="31">
        <f>IF(MASTER_REGISTER!E391="","",MASTER_REGISTER!E391)</f>
        <v/>
      </c>
      <c r="B394" s="31">
        <f>IF($A394="","",MASTER_REGISTER!F391)</f>
        <v/>
      </c>
      <c r="C394" s="31">
        <f>IF($A394="","",MASTER_REGISTER!C391)</f>
        <v/>
      </c>
      <c r="D394" s="31">
        <f>IF($A394="","",MASTER_REGISTER!H391)</f>
        <v/>
      </c>
      <c r="E394" s="31">
        <f>IF($A394="","",MASTER_REGISTER!G391)</f>
        <v/>
      </c>
      <c r="F394" s="31">
        <f>IF($A394="","",MASTER_REGISTER!I391)</f>
        <v/>
      </c>
      <c r="G394" s="32">
        <f>IF($A394="","",MASTER_REGISTER!J391)</f>
        <v/>
      </c>
      <c r="H394" s="32">
        <f>IF($A394="","",MASTER_REGISTER!L391)</f>
        <v/>
      </c>
      <c r="I394" s="32">
        <f>IF($A394="","",MASTER_REGISTER!M391)</f>
        <v/>
      </c>
      <c r="J394" s="31">
        <f>IF($A394="","",MASTER_REGISTER!N391)</f>
        <v/>
      </c>
    </row>
    <row r="395">
      <c r="A395" s="31">
        <f>IF(MASTER_REGISTER!E392="","",MASTER_REGISTER!E392)</f>
        <v/>
      </c>
      <c r="B395" s="31">
        <f>IF($A395="","",MASTER_REGISTER!F392)</f>
        <v/>
      </c>
      <c r="C395" s="31">
        <f>IF($A395="","",MASTER_REGISTER!C392)</f>
        <v/>
      </c>
      <c r="D395" s="31">
        <f>IF($A395="","",MASTER_REGISTER!H392)</f>
        <v/>
      </c>
      <c r="E395" s="31">
        <f>IF($A395="","",MASTER_REGISTER!G392)</f>
        <v/>
      </c>
      <c r="F395" s="31">
        <f>IF($A395="","",MASTER_REGISTER!I392)</f>
        <v/>
      </c>
      <c r="G395" s="32">
        <f>IF($A395="","",MASTER_REGISTER!J392)</f>
        <v/>
      </c>
      <c r="H395" s="32">
        <f>IF($A395="","",MASTER_REGISTER!L392)</f>
        <v/>
      </c>
      <c r="I395" s="32">
        <f>IF($A395="","",MASTER_REGISTER!M392)</f>
        <v/>
      </c>
      <c r="J395" s="31">
        <f>IF($A395="","",MASTER_REGISTER!N392)</f>
        <v/>
      </c>
    </row>
    <row r="396">
      <c r="A396" s="31">
        <f>IF(MASTER_REGISTER!E393="","",MASTER_REGISTER!E393)</f>
        <v/>
      </c>
      <c r="B396" s="31">
        <f>IF($A396="","",MASTER_REGISTER!F393)</f>
        <v/>
      </c>
      <c r="C396" s="31">
        <f>IF($A396="","",MASTER_REGISTER!C393)</f>
        <v/>
      </c>
      <c r="D396" s="31">
        <f>IF($A396="","",MASTER_REGISTER!H393)</f>
        <v/>
      </c>
      <c r="E396" s="31">
        <f>IF($A396="","",MASTER_REGISTER!G393)</f>
        <v/>
      </c>
      <c r="F396" s="31">
        <f>IF($A396="","",MASTER_REGISTER!I393)</f>
        <v/>
      </c>
      <c r="G396" s="32">
        <f>IF($A396="","",MASTER_REGISTER!J393)</f>
        <v/>
      </c>
      <c r="H396" s="32">
        <f>IF($A396="","",MASTER_REGISTER!L393)</f>
        <v/>
      </c>
      <c r="I396" s="32">
        <f>IF($A396="","",MASTER_REGISTER!M393)</f>
        <v/>
      </c>
      <c r="J396" s="31">
        <f>IF($A396="","",MASTER_REGISTER!N393)</f>
        <v/>
      </c>
    </row>
    <row r="397">
      <c r="A397" s="31">
        <f>IF(MASTER_REGISTER!E394="","",MASTER_REGISTER!E394)</f>
        <v/>
      </c>
      <c r="B397" s="31">
        <f>IF($A397="","",MASTER_REGISTER!F394)</f>
        <v/>
      </c>
      <c r="C397" s="31">
        <f>IF($A397="","",MASTER_REGISTER!C394)</f>
        <v/>
      </c>
      <c r="D397" s="31">
        <f>IF($A397="","",MASTER_REGISTER!H394)</f>
        <v/>
      </c>
      <c r="E397" s="31">
        <f>IF($A397="","",MASTER_REGISTER!G394)</f>
        <v/>
      </c>
      <c r="F397" s="31">
        <f>IF($A397="","",MASTER_REGISTER!I394)</f>
        <v/>
      </c>
      <c r="G397" s="32">
        <f>IF($A397="","",MASTER_REGISTER!J394)</f>
        <v/>
      </c>
      <c r="H397" s="32">
        <f>IF($A397="","",MASTER_REGISTER!L394)</f>
        <v/>
      </c>
      <c r="I397" s="32">
        <f>IF($A397="","",MASTER_REGISTER!M394)</f>
        <v/>
      </c>
      <c r="J397" s="31">
        <f>IF($A397="","",MASTER_REGISTER!N394)</f>
        <v/>
      </c>
    </row>
    <row r="398">
      <c r="A398" s="31">
        <f>IF(MASTER_REGISTER!E395="","",MASTER_REGISTER!E395)</f>
        <v/>
      </c>
      <c r="B398" s="31">
        <f>IF($A398="","",MASTER_REGISTER!F395)</f>
        <v/>
      </c>
      <c r="C398" s="31">
        <f>IF($A398="","",MASTER_REGISTER!C395)</f>
        <v/>
      </c>
      <c r="D398" s="31">
        <f>IF($A398="","",MASTER_REGISTER!H395)</f>
        <v/>
      </c>
      <c r="E398" s="31">
        <f>IF($A398="","",MASTER_REGISTER!G395)</f>
        <v/>
      </c>
      <c r="F398" s="31">
        <f>IF($A398="","",MASTER_REGISTER!I395)</f>
        <v/>
      </c>
      <c r="G398" s="32">
        <f>IF($A398="","",MASTER_REGISTER!J395)</f>
        <v/>
      </c>
      <c r="H398" s="32">
        <f>IF($A398="","",MASTER_REGISTER!L395)</f>
        <v/>
      </c>
      <c r="I398" s="32">
        <f>IF($A398="","",MASTER_REGISTER!M395)</f>
        <v/>
      </c>
      <c r="J398" s="31">
        <f>IF($A398="","",MASTER_REGISTER!N395)</f>
        <v/>
      </c>
    </row>
    <row r="399">
      <c r="A399" s="31">
        <f>IF(MASTER_REGISTER!E396="","",MASTER_REGISTER!E396)</f>
        <v/>
      </c>
      <c r="B399" s="31">
        <f>IF($A399="","",MASTER_REGISTER!F396)</f>
        <v/>
      </c>
      <c r="C399" s="31">
        <f>IF($A399="","",MASTER_REGISTER!C396)</f>
        <v/>
      </c>
      <c r="D399" s="31">
        <f>IF($A399="","",MASTER_REGISTER!H396)</f>
        <v/>
      </c>
      <c r="E399" s="31">
        <f>IF($A399="","",MASTER_REGISTER!G396)</f>
        <v/>
      </c>
      <c r="F399" s="31">
        <f>IF($A399="","",MASTER_REGISTER!I396)</f>
        <v/>
      </c>
      <c r="G399" s="32">
        <f>IF($A399="","",MASTER_REGISTER!J396)</f>
        <v/>
      </c>
      <c r="H399" s="32">
        <f>IF($A399="","",MASTER_REGISTER!L396)</f>
        <v/>
      </c>
      <c r="I399" s="32">
        <f>IF($A399="","",MASTER_REGISTER!M396)</f>
        <v/>
      </c>
      <c r="J399" s="31">
        <f>IF($A399="","",MASTER_REGISTER!N396)</f>
        <v/>
      </c>
    </row>
    <row r="400">
      <c r="A400" s="31">
        <f>IF(MASTER_REGISTER!E397="","",MASTER_REGISTER!E397)</f>
        <v/>
      </c>
      <c r="B400" s="31">
        <f>IF($A400="","",MASTER_REGISTER!F397)</f>
        <v/>
      </c>
      <c r="C400" s="31">
        <f>IF($A400="","",MASTER_REGISTER!C397)</f>
        <v/>
      </c>
      <c r="D400" s="31">
        <f>IF($A400="","",MASTER_REGISTER!H397)</f>
        <v/>
      </c>
      <c r="E400" s="31">
        <f>IF($A400="","",MASTER_REGISTER!G397)</f>
        <v/>
      </c>
      <c r="F400" s="31">
        <f>IF($A400="","",MASTER_REGISTER!I397)</f>
        <v/>
      </c>
      <c r="G400" s="32">
        <f>IF($A400="","",MASTER_REGISTER!J397)</f>
        <v/>
      </c>
      <c r="H400" s="32">
        <f>IF($A400="","",MASTER_REGISTER!L397)</f>
        <v/>
      </c>
      <c r="I400" s="32">
        <f>IF($A400="","",MASTER_REGISTER!M397)</f>
        <v/>
      </c>
      <c r="J400" s="31">
        <f>IF($A400="","",MASTER_REGISTER!N397)</f>
        <v/>
      </c>
    </row>
    <row r="401">
      <c r="A401" s="31">
        <f>IF(MASTER_REGISTER!E398="","",MASTER_REGISTER!E398)</f>
        <v/>
      </c>
      <c r="B401" s="31">
        <f>IF($A401="","",MASTER_REGISTER!F398)</f>
        <v/>
      </c>
      <c r="C401" s="31">
        <f>IF($A401="","",MASTER_REGISTER!C398)</f>
        <v/>
      </c>
      <c r="D401" s="31">
        <f>IF($A401="","",MASTER_REGISTER!H398)</f>
        <v/>
      </c>
      <c r="E401" s="31">
        <f>IF($A401="","",MASTER_REGISTER!G398)</f>
        <v/>
      </c>
      <c r="F401" s="31">
        <f>IF($A401="","",MASTER_REGISTER!I398)</f>
        <v/>
      </c>
      <c r="G401" s="32">
        <f>IF($A401="","",MASTER_REGISTER!J398)</f>
        <v/>
      </c>
      <c r="H401" s="32">
        <f>IF($A401="","",MASTER_REGISTER!L398)</f>
        <v/>
      </c>
      <c r="I401" s="32">
        <f>IF($A401="","",MASTER_REGISTER!M398)</f>
        <v/>
      </c>
      <c r="J401" s="31">
        <f>IF($A401="","",MASTER_REGISTER!N398)</f>
        <v/>
      </c>
    </row>
    <row r="402">
      <c r="A402" s="31">
        <f>IF(MASTER_REGISTER!E399="","",MASTER_REGISTER!E399)</f>
        <v/>
      </c>
      <c r="B402" s="31">
        <f>IF($A402="","",MASTER_REGISTER!F399)</f>
        <v/>
      </c>
      <c r="C402" s="31">
        <f>IF($A402="","",MASTER_REGISTER!C399)</f>
        <v/>
      </c>
      <c r="D402" s="31">
        <f>IF($A402="","",MASTER_REGISTER!H399)</f>
        <v/>
      </c>
      <c r="E402" s="31">
        <f>IF($A402="","",MASTER_REGISTER!G399)</f>
        <v/>
      </c>
      <c r="F402" s="31">
        <f>IF($A402="","",MASTER_REGISTER!I399)</f>
        <v/>
      </c>
      <c r="G402" s="32">
        <f>IF($A402="","",MASTER_REGISTER!J399)</f>
        <v/>
      </c>
      <c r="H402" s="32">
        <f>IF($A402="","",MASTER_REGISTER!L399)</f>
        <v/>
      </c>
      <c r="I402" s="32">
        <f>IF($A402="","",MASTER_REGISTER!M399)</f>
        <v/>
      </c>
      <c r="J402" s="31">
        <f>IF($A402="","",MASTER_REGISTER!N399)</f>
        <v/>
      </c>
    </row>
    <row r="403">
      <c r="A403" s="31">
        <f>IF(MASTER_REGISTER!E400="","",MASTER_REGISTER!E400)</f>
        <v/>
      </c>
      <c r="B403" s="31">
        <f>IF($A403="","",MASTER_REGISTER!F400)</f>
        <v/>
      </c>
      <c r="C403" s="31">
        <f>IF($A403="","",MASTER_REGISTER!C400)</f>
        <v/>
      </c>
      <c r="D403" s="31">
        <f>IF($A403="","",MASTER_REGISTER!H400)</f>
        <v/>
      </c>
      <c r="E403" s="31">
        <f>IF($A403="","",MASTER_REGISTER!G400)</f>
        <v/>
      </c>
      <c r="F403" s="31">
        <f>IF($A403="","",MASTER_REGISTER!I400)</f>
        <v/>
      </c>
      <c r="G403" s="32">
        <f>IF($A403="","",MASTER_REGISTER!J400)</f>
        <v/>
      </c>
      <c r="H403" s="32">
        <f>IF($A403="","",MASTER_REGISTER!L400)</f>
        <v/>
      </c>
      <c r="I403" s="32">
        <f>IF($A403="","",MASTER_REGISTER!M400)</f>
        <v/>
      </c>
      <c r="J403" s="31">
        <f>IF($A403="","",MASTER_REGISTER!N400)</f>
        <v/>
      </c>
    </row>
    <row r="404">
      <c r="A404" s="31">
        <f>IF(MASTER_REGISTER!E401="","",MASTER_REGISTER!E401)</f>
        <v/>
      </c>
      <c r="B404" s="31">
        <f>IF($A404="","",MASTER_REGISTER!F401)</f>
        <v/>
      </c>
      <c r="C404" s="31">
        <f>IF($A404="","",MASTER_REGISTER!C401)</f>
        <v/>
      </c>
      <c r="D404" s="31">
        <f>IF($A404="","",MASTER_REGISTER!H401)</f>
        <v/>
      </c>
      <c r="E404" s="31">
        <f>IF($A404="","",MASTER_REGISTER!G401)</f>
        <v/>
      </c>
      <c r="F404" s="31">
        <f>IF($A404="","",MASTER_REGISTER!I401)</f>
        <v/>
      </c>
      <c r="G404" s="32">
        <f>IF($A404="","",MASTER_REGISTER!J401)</f>
        <v/>
      </c>
      <c r="H404" s="32">
        <f>IF($A404="","",MASTER_REGISTER!L401)</f>
        <v/>
      </c>
      <c r="I404" s="32">
        <f>IF($A404="","",MASTER_REGISTER!M401)</f>
        <v/>
      </c>
      <c r="J404" s="31">
        <f>IF($A404="","",MASTER_REGISTER!N401)</f>
        <v/>
      </c>
    </row>
    <row r="405">
      <c r="A405" s="31">
        <f>IF(MASTER_REGISTER!E402="","",MASTER_REGISTER!E402)</f>
        <v/>
      </c>
      <c r="B405" s="31">
        <f>IF($A405="","",MASTER_REGISTER!F402)</f>
        <v/>
      </c>
      <c r="C405" s="31">
        <f>IF($A405="","",MASTER_REGISTER!C402)</f>
        <v/>
      </c>
      <c r="D405" s="31">
        <f>IF($A405="","",MASTER_REGISTER!H402)</f>
        <v/>
      </c>
      <c r="E405" s="31">
        <f>IF($A405="","",MASTER_REGISTER!G402)</f>
        <v/>
      </c>
      <c r="F405" s="31">
        <f>IF($A405="","",MASTER_REGISTER!I402)</f>
        <v/>
      </c>
      <c r="G405" s="32">
        <f>IF($A405="","",MASTER_REGISTER!J402)</f>
        <v/>
      </c>
      <c r="H405" s="32">
        <f>IF($A405="","",MASTER_REGISTER!L402)</f>
        <v/>
      </c>
      <c r="I405" s="32">
        <f>IF($A405="","",MASTER_REGISTER!M402)</f>
        <v/>
      </c>
      <c r="J405" s="31">
        <f>IF($A405="","",MASTER_REGISTER!N402)</f>
        <v/>
      </c>
    </row>
    <row r="406">
      <c r="A406" s="31">
        <f>IF(MASTER_REGISTER!E403="","",MASTER_REGISTER!E403)</f>
        <v/>
      </c>
      <c r="B406" s="31">
        <f>IF($A406="","",MASTER_REGISTER!F403)</f>
        <v/>
      </c>
      <c r="C406" s="31">
        <f>IF($A406="","",MASTER_REGISTER!C403)</f>
        <v/>
      </c>
      <c r="D406" s="31">
        <f>IF($A406="","",MASTER_REGISTER!H403)</f>
        <v/>
      </c>
      <c r="E406" s="31">
        <f>IF($A406="","",MASTER_REGISTER!G403)</f>
        <v/>
      </c>
      <c r="F406" s="31">
        <f>IF($A406="","",MASTER_REGISTER!I403)</f>
        <v/>
      </c>
      <c r="G406" s="32">
        <f>IF($A406="","",MASTER_REGISTER!J403)</f>
        <v/>
      </c>
      <c r="H406" s="32">
        <f>IF($A406="","",MASTER_REGISTER!L403)</f>
        <v/>
      </c>
      <c r="I406" s="32">
        <f>IF($A406="","",MASTER_REGISTER!M403)</f>
        <v/>
      </c>
      <c r="J406" s="31">
        <f>IF($A406="","",MASTER_REGISTER!N403)</f>
        <v/>
      </c>
    </row>
    <row r="407">
      <c r="A407" s="31">
        <f>IF(MASTER_REGISTER!E404="","",MASTER_REGISTER!E404)</f>
        <v/>
      </c>
      <c r="B407" s="31">
        <f>IF($A407="","",MASTER_REGISTER!F404)</f>
        <v/>
      </c>
      <c r="C407" s="31">
        <f>IF($A407="","",MASTER_REGISTER!C404)</f>
        <v/>
      </c>
      <c r="D407" s="31">
        <f>IF($A407="","",MASTER_REGISTER!H404)</f>
        <v/>
      </c>
      <c r="E407" s="31">
        <f>IF($A407="","",MASTER_REGISTER!G404)</f>
        <v/>
      </c>
      <c r="F407" s="31">
        <f>IF($A407="","",MASTER_REGISTER!I404)</f>
        <v/>
      </c>
      <c r="G407" s="32">
        <f>IF($A407="","",MASTER_REGISTER!J404)</f>
        <v/>
      </c>
      <c r="H407" s="32">
        <f>IF($A407="","",MASTER_REGISTER!L404)</f>
        <v/>
      </c>
      <c r="I407" s="32">
        <f>IF($A407="","",MASTER_REGISTER!M404)</f>
        <v/>
      </c>
      <c r="J407" s="31">
        <f>IF($A407="","",MASTER_REGISTER!N404)</f>
        <v/>
      </c>
    </row>
    <row r="408">
      <c r="A408" s="31">
        <f>IF(MASTER_REGISTER!E405="","",MASTER_REGISTER!E405)</f>
        <v/>
      </c>
      <c r="B408" s="31">
        <f>IF($A408="","",MASTER_REGISTER!F405)</f>
        <v/>
      </c>
      <c r="C408" s="31">
        <f>IF($A408="","",MASTER_REGISTER!C405)</f>
        <v/>
      </c>
      <c r="D408" s="31">
        <f>IF($A408="","",MASTER_REGISTER!H405)</f>
        <v/>
      </c>
      <c r="E408" s="31">
        <f>IF($A408="","",MASTER_REGISTER!G405)</f>
        <v/>
      </c>
      <c r="F408" s="31">
        <f>IF($A408="","",MASTER_REGISTER!I405)</f>
        <v/>
      </c>
      <c r="G408" s="32">
        <f>IF($A408="","",MASTER_REGISTER!J405)</f>
        <v/>
      </c>
      <c r="H408" s="32">
        <f>IF($A408="","",MASTER_REGISTER!L405)</f>
        <v/>
      </c>
      <c r="I408" s="32">
        <f>IF($A408="","",MASTER_REGISTER!M405)</f>
        <v/>
      </c>
      <c r="J408" s="31">
        <f>IF($A408="","",MASTER_REGISTER!N405)</f>
        <v/>
      </c>
    </row>
    <row r="409">
      <c r="A409" s="31">
        <f>IF(MASTER_REGISTER!E406="","",MASTER_REGISTER!E406)</f>
        <v/>
      </c>
      <c r="B409" s="31">
        <f>IF($A409="","",MASTER_REGISTER!F406)</f>
        <v/>
      </c>
      <c r="C409" s="31">
        <f>IF($A409="","",MASTER_REGISTER!C406)</f>
        <v/>
      </c>
      <c r="D409" s="31">
        <f>IF($A409="","",MASTER_REGISTER!H406)</f>
        <v/>
      </c>
      <c r="E409" s="31">
        <f>IF($A409="","",MASTER_REGISTER!G406)</f>
        <v/>
      </c>
      <c r="F409" s="31">
        <f>IF($A409="","",MASTER_REGISTER!I406)</f>
        <v/>
      </c>
      <c r="G409" s="32">
        <f>IF($A409="","",MASTER_REGISTER!J406)</f>
        <v/>
      </c>
      <c r="H409" s="32">
        <f>IF($A409="","",MASTER_REGISTER!L406)</f>
        <v/>
      </c>
      <c r="I409" s="32">
        <f>IF($A409="","",MASTER_REGISTER!M406)</f>
        <v/>
      </c>
      <c r="J409" s="31">
        <f>IF($A409="","",MASTER_REGISTER!N406)</f>
        <v/>
      </c>
    </row>
    <row r="410">
      <c r="A410" s="31">
        <f>IF(MASTER_REGISTER!E407="","",MASTER_REGISTER!E407)</f>
        <v/>
      </c>
      <c r="B410" s="31">
        <f>IF($A410="","",MASTER_REGISTER!F407)</f>
        <v/>
      </c>
      <c r="C410" s="31">
        <f>IF($A410="","",MASTER_REGISTER!C407)</f>
        <v/>
      </c>
      <c r="D410" s="31">
        <f>IF($A410="","",MASTER_REGISTER!H407)</f>
        <v/>
      </c>
      <c r="E410" s="31">
        <f>IF($A410="","",MASTER_REGISTER!G407)</f>
        <v/>
      </c>
      <c r="F410" s="31">
        <f>IF($A410="","",MASTER_REGISTER!I407)</f>
        <v/>
      </c>
      <c r="G410" s="32">
        <f>IF($A410="","",MASTER_REGISTER!J407)</f>
        <v/>
      </c>
      <c r="H410" s="32">
        <f>IF($A410="","",MASTER_REGISTER!L407)</f>
        <v/>
      </c>
      <c r="I410" s="32">
        <f>IF($A410="","",MASTER_REGISTER!M407)</f>
        <v/>
      </c>
      <c r="J410" s="31">
        <f>IF($A410="","",MASTER_REGISTER!N407)</f>
        <v/>
      </c>
    </row>
    <row r="411">
      <c r="A411" s="31">
        <f>IF(MASTER_REGISTER!E408="","",MASTER_REGISTER!E408)</f>
        <v/>
      </c>
      <c r="B411" s="31">
        <f>IF($A411="","",MASTER_REGISTER!F408)</f>
        <v/>
      </c>
      <c r="C411" s="31">
        <f>IF($A411="","",MASTER_REGISTER!C408)</f>
        <v/>
      </c>
      <c r="D411" s="31">
        <f>IF($A411="","",MASTER_REGISTER!H408)</f>
        <v/>
      </c>
      <c r="E411" s="31">
        <f>IF($A411="","",MASTER_REGISTER!G408)</f>
        <v/>
      </c>
      <c r="F411" s="31">
        <f>IF($A411="","",MASTER_REGISTER!I408)</f>
        <v/>
      </c>
      <c r="G411" s="32">
        <f>IF($A411="","",MASTER_REGISTER!J408)</f>
        <v/>
      </c>
      <c r="H411" s="32">
        <f>IF($A411="","",MASTER_REGISTER!L408)</f>
        <v/>
      </c>
      <c r="I411" s="32">
        <f>IF($A411="","",MASTER_REGISTER!M408)</f>
        <v/>
      </c>
      <c r="J411" s="31">
        <f>IF($A411="","",MASTER_REGISTER!N408)</f>
        <v/>
      </c>
    </row>
    <row r="412">
      <c r="A412" s="31">
        <f>IF(MASTER_REGISTER!E409="","",MASTER_REGISTER!E409)</f>
        <v/>
      </c>
      <c r="B412" s="31">
        <f>IF($A412="","",MASTER_REGISTER!F409)</f>
        <v/>
      </c>
      <c r="C412" s="31">
        <f>IF($A412="","",MASTER_REGISTER!C409)</f>
        <v/>
      </c>
      <c r="D412" s="31">
        <f>IF($A412="","",MASTER_REGISTER!H409)</f>
        <v/>
      </c>
      <c r="E412" s="31">
        <f>IF($A412="","",MASTER_REGISTER!G409)</f>
        <v/>
      </c>
      <c r="F412" s="31">
        <f>IF($A412="","",MASTER_REGISTER!I409)</f>
        <v/>
      </c>
      <c r="G412" s="32">
        <f>IF($A412="","",MASTER_REGISTER!J409)</f>
        <v/>
      </c>
      <c r="H412" s="32">
        <f>IF($A412="","",MASTER_REGISTER!L409)</f>
        <v/>
      </c>
      <c r="I412" s="32">
        <f>IF($A412="","",MASTER_REGISTER!M409)</f>
        <v/>
      </c>
      <c r="J412" s="31">
        <f>IF($A412="","",MASTER_REGISTER!N409)</f>
        <v/>
      </c>
    </row>
    <row r="413">
      <c r="A413" s="31">
        <f>IF(MASTER_REGISTER!E410="","",MASTER_REGISTER!E410)</f>
        <v/>
      </c>
      <c r="B413" s="31">
        <f>IF($A413="","",MASTER_REGISTER!F410)</f>
        <v/>
      </c>
      <c r="C413" s="31">
        <f>IF($A413="","",MASTER_REGISTER!C410)</f>
        <v/>
      </c>
      <c r="D413" s="31">
        <f>IF($A413="","",MASTER_REGISTER!H410)</f>
        <v/>
      </c>
      <c r="E413" s="31">
        <f>IF($A413="","",MASTER_REGISTER!G410)</f>
        <v/>
      </c>
      <c r="F413" s="31">
        <f>IF($A413="","",MASTER_REGISTER!I410)</f>
        <v/>
      </c>
      <c r="G413" s="32">
        <f>IF($A413="","",MASTER_REGISTER!J410)</f>
        <v/>
      </c>
      <c r="H413" s="32">
        <f>IF($A413="","",MASTER_REGISTER!L410)</f>
        <v/>
      </c>
      <c r="I413" s="32">
        <f>IF($A413="","",MASTER_REGISTER!M410)</f>
        <v/>
      </c>
      <c r="J413" s="31">
        <f>IF($A413="","",MASTER_REGISTER!N410)</f>
        <v/>
      </c>
    </row>
    <row r="414">
      <c r="A414" s="31">
        <f>IF(MASTER_REGISTER!E411="","",MASTER_REGISTER!E411)</f>
        <v/>
      </c>
      <c r="B414" s="31">
        <f>IF($A414="","",MASTER_REGISTER!F411)</f>
        <v/>
      </c>
      <c r="C414" s="31">
        <f>IF($A414="","",MASTER_REGISTER!C411)</f>
        <v/>
      </c>
      <c r="D414" s="31">
        <f>IF($A414="","",MASTER_REGISTER!H411)</f>
        <v/>
      </c>
      <c r="E414" s="31">
        <f>IF($A414="","",MASTER_REGISTER!G411)</f>
        <v/>
      </c>
      <c r="F414" s="31">
        <f>IF($A414="","",MASTER_REGISTER!I411)</f>
        <v/>
      </c>
      <c r="G414" s="32">
        <f>IF($A414="","",MASTER_REGISTER!J411)</f>
        <v/>
      </c>
      <c r="H414" s="32">
        <f>IF($A414="","",MASTER_REGISTER!L411)</f>
        <v/>
      </c>
      <c r="I414" s="32">
        <f>IF($A414="","",MASTER_REGISTER!M411)</f>
        <v/>
      </c>
      <c r="J414" s="31">
        <f>IF($A414="","",MASTER_REGISTER!N411)</f>
        <v/>
      </c>
    </row>
    <row r="415">
      <c r="A415" s="31">
        <f>IF(MASTER_REGISTER!E412="","",MASTER_REGISTER!E412)</f>
        <v/>
      </c>
      <c r="B415" s="31">
        <f>IF($A415="","",MASTER_REGISTER!F412)</f>
        <v/>
      </c>
      <c r="C415" s="31">
        <f>IF($A415="","",MASTER_REGISTER!C412)</f>
        <v/>
      </c>
      <c r="D415" s="31">
        <f>IF($A415="","",MASTER_REGISTER!H412)</f>
        <v/>
      </c>
      <c r="E415" s="31">
        <f>IF($A415="","",MASTER_REGISTER!G412)</f>
        <v/>
      </c>
      <c r="F415" s="31">
        <f>IF($A415="","",MASTER_REGISTER!I412)</f>
        <v/>
      </c>
      <c r="G415" s="32">
        <f>IF($A415="","",MASTER_REGISTER!J412)</f>
        <v/>
      </c>
      <c r="H415" s="32">
        <f>IF($A415="","",MASTER_REGISTER!L412)</f>
        <v/>
      </c>
      <c r="I415" s="32">
        <f>IF($A415="","",MASTER_REGISTER!M412)</f>
        <v/>
      </c>
      <c r="J415" s="31">
        <f>IF($A415="","",MASTER_REGISTER!N412)</f>
        <v/>
      </c>
    </row>
    <row r="416">
      <c r="A416" s="31">
        <f>IF(MASTER_REGISTER!E413="","",MASTER_REGISTER!E413)</f>
        <v/>
      </c>
      <c r="B416" s="31">
        <f>IF($A416="","",MASTER_REGISTER!F413)</f>
        <v/>
      </c>
      <c r="C416" s="31">
        <f>IF($A416="","",MASTER_REGISTER!C413)</f>
        <v/>
      </c>
      <c r="D416" s="31">
        <f>IF($A416="","",MASTER_REGISTER!H413)</f>
        <v/>
      </c>
      <c r="E416" s="31">
        <f>IF($A416="","",MASTER_REGISTER!G413)</f>
        <v/>
      </c>
      <c r="F416" s="31">
        <f>IF($A416="","",MASTER_REGISTER!I413)</f>
        <v/>
      </c>
      <c r="G416" s="32">
        <f>IF($A416="","",MASTER_REGISTER!J413)</f>
        <v/>
      </c>
      <c r="H416" s="32">
        <f>IF($A416="","",MASTER_REGISTER!L413)</f>
        <v/>
      </c>
      <c r="I416" s="32">
        <f>IF($A416="","",MASTER_REGISTER!M413)</f>
        <v/>
      </c>
      <c r="J416" s="31">
        <f>IF($A416="","",MASTER_REGISTER!N413)</f>
        <v/>
      </c>
    </row>
    <row r="417">
      <c r="A417" s="31">
        <f>IF(MASTER_REGISTER!E414="","",MASTER_REGISTER!E414)</f>
        <v/>
      </c>
      <c r="B417" s="31">
        <f>IF($A417="","",MASTER_REGISTER!F414)</f>
        <v/>
      </c>
      <c r="C417" s="31">
        <f>IF($A417="","",MASTER_REGISTER!C414)</f>
        <v/>
      </c>
      <c r="D417" s="31">
        <f>IF($A417="","",MASTER_REGISTER!H414)</f>
        <v/>
      </c>
      <c r="E417" s="31">
        <f>IF($A417="","",MASTER_REGISTER!G414)</f>
        <v/>
      </c>
      <c r="F417" s="31">
        <f>IF($A417="","",MASTER_REGISTER!I414)</f>
        <v/>
      </c>
      <c r="G417" s="32">
        <f>IF($A417="","",MASTER_REGISTER!J414)</f>
        <v/>
      </c>
      <c r="H417" s="32">
        <f>IF($A417="","",MASTER_REGISTER!L414)</f>
        <v/>
      </c>
      <c r="I417" s="32">
        <f>IF($A417="","",MASTER_REGISTER!M414)</f>
        <v/>
      </c>
      <c r="J417" s="31">
        <f>IF($A417="","",MASTER_REGISTER!N414)</f>
        <v/>
      </c>
    </row>
    <row r="418">
      <c r="A418" s="31">
        <f>IF(MASTER_REGISTER!E415="","",MASTER_REGISTER!E415)</f>
        <v/>
      </c>
      <c r="B418" s="31">
        <f>IF($A418="","",MASTER_REGISTER!F415)</f>
        <v/>
      </c>
      <c r="C418" s="31">
        <f>IF($A418="","",MASTER_REGISTER!C415)</f>
        <v/>
      </c>
      <c r="D418" s="31">
        <f>IF($A418="","",MASTER_REGISTER!H415)</f>
        <v/>
      </c>
      <c r="E418" s="31">
        <f>IF($A418="","",MASTER_REGISTER!G415)</f>
        <v/>
      </c>
      <c r="F418" s="31">
        <f>IF($A418="","",MASTER_REGISTER!I415)</f>
        <v/>
      </c>
      <c r="G418" s="32">
        <f>IF($A418="","",MASTER_REGISTER!J415)</f>
        <v/>
      </c>
      <c r="H418" s="32">
        <f>IF($A418="","",MASTER_REGISTER!L415)</f>
        <v/>
      </c>
      <c r="I418" s="32">
        <f>IF($A418="","",MASTER_REGISTER!M415)</f>
        <v/>
      </c>
      <c r="J418" s="31">
        <f>IF($A418="","",MASTER_REGISTER!N415)</f>
        <v/>
      </c>
    </row>
    <row r="419">
      <c r="A419" s="31">
        <f>IF(MASTER_REGISTER!E416="","",MASTER_REGISTER!E416)</f>
        <v/>
      </c>
      <c r="B419" s="31">
        <f>IF($A419="","",MASTER_REGISTER!F416)</f>
        <v/>
      </c>
      <c r="C419" s="31">
        <f>IF($A419="","",MASTER_REGISTER!C416)</f>
        <v/>
      </c>
      <c r="D419" s="31">
        <f>IF($A419="","",MASTER_REGISTER!H416)</f>
        <v/>
      </c>
      <c r="E419" s="31">
        <f>IF($A419="","",MASTER_REGISTER!G416)</f>
        <v/>
      </c>
      <c r="F419" s="31">
        <f>IF($A419="","",MASTER_REGISTER!I416)</f>
        <v/>
      </c>
      <c r="G419" s="32">
        <f>IF($A419="","",MASTER_REGISTER!J416)</f>
        <v/>
      </c>
      <c r="H419" s="32">
        <f>IF($A419="","",MASTER_REGISTER!L416)</f>
        <v/>
      </c>
      <c r="I419" s="32">
        <f>IF($A419="","",MASTER_REGISTER!M416)</f>
        <v/>
      </c>
      <c r="J419" s="31">
        <f>IF($A419="","",MASTER_REGISTER!N416)</f>
        <v/>
      </c>
    </row>
    <row r="420">
      <c r="A420" s="31">
        <f>IF(MASTER_REGISTER!E417="","",MASTER_REGISTER!E417)</f>
        <v/>
      </c>
      <c r="B420" s="31">
        <f>IF($A420="","",MASTER_REGISTER!F417)</f>
        <v/>
      </c>
      <c r="C420" s="31">
        <f>IF($A420="","",MASTER_REGISTER!C417)</f>
        <v/>
      </c>
      <c r="D420" s="31">
        <f>IF($A420="","",MASTER_REGISTER!H417)</f>
        <v/>
      </c>
      <c r="E420" s="31">
        <f>IF($A420="","",MASTER_REGISTER!G417)</f>
        <v/>
      </c>
      <c r="F420" s="31">
        <f>IF($A420="","",MASTER_REGISTER!I417)</f>
        <v/>
      </c>
      <c r="G420" s="32">
        <f>IF($A420="","",MASTER_REGISTER!J417)</f>
        <v/>
      </c>
      <c r="H420" s="32">
        <f>IF($A420="","",MASTER_REGISTER!L417)</f>
        <v/>
      </c>
      <c r="I420" s="32">
        <f>IF($A420="","",MASTER_REGISTER!M417)</f>
        <v/>
      </c>
      <c r="J420" s="31">
        <f>IF($A420="","",MASTER_REGISTER!N417)</f>
        <v/>
      </c>
    </row>
    <row r="421">
      <c r="A421" s="31">
        <f>IF(MASTER_REGISTER!E418="","",MASTER_REGISTER!E418)</f>
        <v/>
      </c>
      <c r="B421" s="31">
        <f>IF($A421="","",MASTER_REGISTER!F418)</f>
        <v/>
      </c>
      <c r="C421" s="31">
        <f>IF($A421="","",MASTER_REGISTER!C418)</f>
        <v/>
      </c>
      <c r="D421" s="31">
        <f>IF($A421="","",MASTER_REGISTER!H418)</f>
        <v/>
      </c>
      <c r="E421" s="31">
        <f>IF($A421="","",MASTER_REGISTER!G418)</f>
        <v/>
      </c>
      <c r="F421" s="31">
        <f>IF($A421="","",MASTER_REGISTER!I418)</f>
        <v/>
      </c>
      <c r="G421" s="32">
        <f>IF($A421="","",MASTER_REGISTER!J418)</f>
        <v/>
      </c>
      <c r="H421" s="32">
        <f>IF($A421="","",MASTER_REGISTER!L418)</f>
        <v/>
      </c>
      <c r="I421" s="32">
        <f>IF($A421="","",MASTER_REGISTER!M418)</f>
        <v/>
      </c>
      <c r="J421" s="31">
        <f>IF($A421="","",MASTER_REGISTER!N418)</f>
        <v/>
      </c>
    </row>
    <row r="422">
      <c r="A422" s="31">
        <f>IF(MASTER_REGISTER!E419="","",MASTER_REGISTER!E419)</f>
        <v/>
      </c>
      <c r="B422" s="31">
        <f>IF($A422="","",MASTER_REGISTER!F419)</f>
        <v/>
      </c>
      <c r="C422" s="31">
        <f>IF($A422="","",MASTER_REGISTER!C419)</f>
        <v/>
      </c>
      <c r="D422" s="31">
        <f>IF($A422="","",MASTER_REGISTER!H419)</f>
        <v/>
      </c>
      <c r="E422" s="31">
        <f>IF($A422="","",MASTER_REGISTER!G419)</f>
        <v/>
      </c>
      <c r="F422" s="31">
        <f>IF($A422="","",MASTER_REGISTER!I419)</f>
        <v/>
      </c>
      <c r="G422" s="32">
        <f>IF($A422="","",MASTER_REGISTER!J419)</f>
        <v/>
      </c>
      <c r="H422" s="32">
        <f>IF($A422="","",MASTER_REGISTER!L419)</f>
        <v/>
      </c>
      <c r="I422" s="32">
        <f>IF($A422="","",MASTER_REGISTER!M419)</f>
        <v/>
      </c>
      <c r="J422" s="31">
        <f>IF($A422="","",MASTER_REGISTER!N419)</f>
        <v/>
      </c>
    </row>
    <row r="423">
      <c r="A423" s="31">
        <f>IF(MASTER_REGISTER!E420="","",MASTER_REGISTER!E420)</f>
        <v/>
      </c>
      <c r="B423" s="31">
        <f>IF($A423="","",MASTER_REGISTER!F420)</f>
        <v/>
      </c>
      <c r="C423" s="31">
        <f>IF($A423="","",MASTER_REGISTER!C420)</f>
        <v/>
      </c>
      <c r="D423" s="31">
        <f>IF($A423="","",MASTER_REGISTER!H420)</f>
        <v/>
      </c>
      <c r="E423" s="31">
        <f>IF($A423="","",MASTER_REGISTER!G420)</f>
        <v/>
      </c>
      <c r="F423" s="31">
        <f>IF($A423="","",MASTER_REGISTER!I420)</f>
        <v/>
      </c>
      <c r="G423" s="32">
        <f>IF($A423="","",MASTER_REGISTER!J420)</f>
        <v/>
      </c>
      <c r="H423" s="32">
        <f>IF($A423="","",MASTER_REGISTER!L420)</f>
        <v/>
      </c>
      <c r="I423" s="32">
        <f>IF($A423="","",MASTER_REGISTER!M420)</f>
        <v/>
      </c>
      <c r="J423" s="31">
        <f>IF($A423="","",MASTER_REGISTER!N420)</f>
        <v/>
      </c>
    </row>
    <row r="424">
      <c r="A424" s="31">
        <f>IF(MASTER_REGISTER!E421="","",MASTER_REGISTER!E421)</f>
        <v/>
      </c>
      <c r="B424" s="31">
        <f>IF($A424="","",MASTER_REGISTER!F421)</f>
        <v/>
      </c>
      <c r="C424" s="31">
        <f>IF($A424="","",MASTER_REGISTER!C421)</f>
        <v/>
      </c>
      <c r="D424" s="31">
        <f>IF($A424="","",MASTER_REGISTER!H421)</f>
        <v/>
      </c>
      <c r="E424" s="31">
        <f>IF($A424="","",MASTER_REGISTER!G421)</f>
        <v/>
      </c>
      <c r="F424" s="31">
        <f>IF($A424="","",MASTER_REGISTER!I421)</f>
        <v/>
      </c>
      <c r="G424" s="32">
        <f>IF($A424="","",MASTER_REGISTER!J421)</f>
        <v/>
      </c>
      <c r="H424" s="32">
        <f>IF($A424="","",MASTER_REGISTER!L421)</f>
        <v/>
      </c>
      <c r="I424" s="32">
        <f>IF($A424="","",MASTER_REGISTER!M421)</f>
        <v/>
      </c>
      <c r="J424" s="31">
        <f>IF($A424="","",MASTER_REGISTER!N421)</f>
        <v/>
      </c>
    </row>
    <row r="425">
      <c r="A425" s="31">
        <f>IF(MASTER_REGISTER!E422="","",MASTER_REGISTER!E422)</f>
        <v/>
      </c>
      <c r="B425" s="31">
        <f>IF($A425="","",MASTER_REGISTER!F422)</f>
        <v/>
      </c>
      <c r="C425" s="31">
        <f>IF($A425="","",MASTER_REGISTER!C422)</f>
        <v/>
      </c>
      <c r="D425" s="31">
        <f>IF($A425="","",MASTER_REGISTER!H422)</f>
        <v/>
      </c>
      <c r="E425" s="31">
        <f>IF($A425="","",MASTER_REGISTER!G422)</f>
        <v/>
      </c>
      <c r="F425" s="31">
        <f>IF($A425="","",MASTER_REGISTER!I422)</f>
        <v/>
      </c>
      <c r="G425" s="32">
        <f>IF($A425="","",MASTER_REGISTER!J422)</f>
        <v/>
      </c>
      <c r="H425" s="32">
        <f>IF($A425="","",MASTER_REGISTER!L422)</f>
        <v/>
      </c>
      <c r="I425" s="32">
        <f>IF($A425="","",MASTER_REGISTER!M422)</f>
        <v/>
      </c>
      <c r="J425" s="31">
        <f>IF($A425="","",MASTER_REGISTER!N422)</f>
        <v/>
      </c>
    </row>
    <row r="426">
      <c r="A426" s="31">
        <f>IF(MASTER_REGISTER!E423="","",MASTER_REGISTER!E423)</f>
        <v/>
      </c>
      <c r="B426" s="31">
        <f>IF($A426="","",MASTER_REGISTER!F423)</f>
        <v/>
      </c>
      <c r="C426" s="31">
        <f>IF($A426="","",MASTER_REGISTER!C423)</f>
        <v/>
      </c>
      <c r="D426" s="31">
        <f>IF($A426="","",MASTER_REGISTER!H423)</f>
        <v/>
      </c>
      <c r="E426" s="31">
        <f>IF($A426="","",MASTER_REGISTER!G423)</f>
        <v/>
      </c>
      <c r="F426" s="31">
        <f>IF($A426="","",MASTER_REGISTER!I423)</f>
        <v/>
      </c>
      <c r="G426" s="32">
        <f>IF($A426="","",MASTER_REGISTER!J423)</f>
        <v/>
      </c>
      <c r="H426" s="32">
        <f>IF($A426="","",MASTER_REGISTER!L423)</f>
        <v/>
      </c>
      <c r="I426" s="32">
        <f>IF($A426="","",MASTER_REGISTER!M423)</f>
        <v/>
      </c>
      <c r="J426" s="31">
        <f>IF($A426="","",MASTER_REGISTER!N423)</f>
        <v/>
      </c>
    </row>
    <row r="427">
      <c r="A427" s="31">
        <f>IF(MASTER_REGISTER!E424="","",MASTER_REGISTER!E424)</f>
        <v/>
      </c>
      <c r="B427" s="31">
        <f>IF($A427="","",MASTER_REGISTER!F424)</f>
        <v/>
      </c>
      <c r="C427" s="31">
        <f>IF($A427="","",MASTER_REGISTER!C424)</f>
        <v/>
      </c>
      <c r="D427" s="31">
        <f>IF($A427="","",MASTER_REGISTER!H424)</f>
        <v/>
      </c>
      <c r="E427" s="31">
        <f>IF($A427="","",MASTER_REGISTER!G424)</f>
        <v/>
      </c>
      <c r="F427" s="31">
        <f>IF($A427="","",MASTER_REGISTER!I424)</f>
        <v/>
      </c>
      <c r="G427" s="32">
        <f>IF($A427="","",MASTER_REGISTER!J424)</f>
        <v/>
      </c>
      <c r="H427" s="32">
        <f>IF($A427="","",MASTER_REGISTER!L424)</f>
        <v/>
      </c>
      <c r="I427" s="32">
        <f>IF($A427="","",MASTER_REGISTER!M424)</f>
        <v/>
      </c>
      <c r="J427" s="31">
        <f>IF($A427="","",MASTER_REGISTER!N424)</f>
        <v/>
      </c>
    </row>
    <row r="428">
      <c r="A428" s="31">
        <f>IF(MASTER_REGISTER!E425="","",MASTER_REGISTER!E425)</f>
        <v/>
      </c>
      <c r="B428" s="31">
        <f>IF($A428="","",MASTER_REGISTER!F425)</f>
        <v/>
      </c>
      <c r="C428" s="31">
        <f>IF($A428="","",MASTER_REGISTER!C425)</f>
        <v/>
      </c>
      <c r="D428" s="31">
        <f>IF($A428="","",MASTER_REGISTER!H425)</f>
        <v/>
      </c>
      <c r="E428" s="31">
        <f>IF($A428="","",MASTER_REGISTER!G425)</f>
        <v/>
      </c>
      <c r="F428" s="31">
        <f>IF($A428="","",MASTER_REGISTER!I425)</f>
        <v/>
      </c>
      <c r="G428" s="32">
        <f>IF($A428="","",MASTER_REGISTER!J425)</f>
        <v/>
      </c>
      <c r="H428" s="32">
        <f>IF($A428="","",MASTER_REGISTER!L425)</f>
        <v/>
      </c>
      <c r="I428" s="32">
        <f>IF($A428="","",MASTER_REGISTER!M425)</f>
        <v/>
      </c>
      <c r="J428" s="31">
        <f>IF($A428="","",MASTER_REGISTER!N425)</f>
        <v/>
      </c>
    </row>
    <row r="429">
      <c r="A429" s="31">
        <f>IF(MASTER_REGISTER!E426="","",MASTER_REGISTER!E426)</f>
        <v/>
      </c>
      <c r="B429" s="31">
        <f>IF($A429="","",MASTER_REGISTER!F426)</f>
        <v/>
      </c>
      <c r="C429" s="31">
        <f>IF($A429="","",MASTER_REGISTER!C426)</f>
        <v/>
      </c>
      <c r="D429" s="31">
        <f>IF($A429="","",MASTER_REGISTER!H426)</f>
        <v/>
      </c>
      <c r="E429" s="31">
        <f>IF($A429="","",MASTER_REGISTER!G426)</f>
        <v/>
      </c>
      <c r="F429" s="31">
        <f>IF($A429="","",MASTER_REGISTER!I426)</f>
        <v/>
      </c>
      <c r="G429" s="32">
        <f>IF($A429="","",MASTER_REGISTER!J426)</f>
        <v/>
      </c>
      <c r="H429" s="32">
        <f>IF($A429="","",MASTER_REGISTER!L426)</f>
        <v/>
      </c>
      <c r="I429" s="32">
        <f>IF($A429="","",MASTER_REGISTER!M426)</f>
        <v/>
      </c>
      <c r="J429" s="31">
        <f>IF($A429="","",MASTER_REGISTER!N426)</f>
        <v/>
      </c>
    </row>
    <row r="430">
      <c r="A430" s="31">
        <f>IF(MASTER_REGISTER!E427="","",MASTER_REGISTER!E427)</f>
        <v/>
      </c>
      <c r="B430" s="31">
        <f>IF($A430="","",MASTER_REGISTER!F427)</f>
        <v/>
      </c>
      <c r="C430" s="31">
        <f>IF($A430="","",MASTER_REGISTER!C427)</f>
        <v/>
      </c>
      <c r="D430" s="31">
        <f>IF($A430="","",MASTER_REGISTER!H427)</f>
        <v/>
      </c>
      <c r="E430" s="31">
        <f>IF($A430="","",MASTER_REGISTER!G427)</f>
        <v/>
      </c>
      <c r="F430" s="31">
        <f>IF($A430="","",MASTER_REGISTER!I427)</f>
        <v/>
      </c>
      <c r="G430" s="32">
        <f>IF($A430="","",MASTER_REGISTER!J427)</f>
        <v/>
      </c>
      <c r="H430" s="32">
        <f>IF($A430="","",MASTER_REGISTER!L427)</f>
        <v/>
      </c>
      <c r="I430" s="32">
        <f>IF($A430="","",MASTER_REGISTER!M427)</f>
        <v/>
      </c>
      <c r="J430" s="31">
        <f>IF($A430="","",MASTER_REGISTER!N427)</f>
        <v/>
      </c>
    </row>
    <row r="431">
      <c r="A431" s="31">
        <f>IF(MASTER_REGISTER!E428="","",MASTER_REGISTER!E428)</f>
        <v/>
      </c>
      <c r="B431" s="31">
        <f>IF($A431="","",MASTER_REGISTER!F428)</f>
        <v/>
      </c>
      <c r="C431" s="31">
        <f>IF($A431="","",MASTER_REGISTER!C428)</f>
        <v/>
      </c>
      <c r="D431" s="31">
        <f>IF($A431="","",MASTER_REGISTER!H428)</f>
        <v/>
      </c>
      <c r="E431" s="31">
        <f>IF($A431="","",MASTER_REGISTER!G428)</f>
        <v/>
      </c>
      <c r="F431" s="31">
        <f>IF($A431="","",MASTER_REGISTER!I428)</f>
        <v/>
      </c>
      <c r="G431" s="32">
        <f>IF($A431="","",MASTER_REGISTER!J428)</f>
        <v/>
      </c>
      <c r="H431" s="32">
        <f>IF($A431="","",MASTER_REGISTER!L428)</f>
        <v/>
      </c>
      <c r="I431" s="32">
        <f>IF($A431="","",MASTER_REGISTER!M428)</f>
        <v/>
      </c>
      <c r="J431" s="31">
        <f>IF($A431="","",MASTER_REGISTER!N428)</f>
        <v/>
      </c>
    </row>
    <row r="432">
      <c r="A432" s="31">
        <f>IF(MASTER_REGISTER!E429="","",MASTER_REGISTER!E429)</f>
        <v/>
      </c>
      <c r="B432" s="31">
        <f>IF($A432="","",MASTER_REGISTER!F429)</f>
        <v/>
      </c>
      <c r="C432" s="31">
        <f>IF($A432="","",MASTER_REGISTER!C429)</f>
        <v/>
      </c>
      <c r="D432" s="31">
        <f>IF($A432="","",MASTER_REGISTER!H429)</f>
        <v/>
      </c>
      <c r="E432" s="31">
        <f>IF($A432="","",MASTER_REGISTER!G429)</f>
        <v/>
      </c>
      <c r="F432" s="31">
        <f>IF($A432="","",MASTER_REGISTER!I429)</f>
        <v/>
      </c>
      <c r="G432" s="32">
        <f>IF($A432="","",MASTER_REGISTER!J429)</f>
        <v/>
      </c>
      <c r="H432" s="32">
        <f>IF($A432="","",MASTER_REGISTER!L429)</f>
        <v/>
      </c>
      <c r="I432" s="32">
        <f>IF($A432="","",MASTER_REGISTER!M429)</f>
        <v/>
      </c>
      <c r="J432" s="31">
        <f>IF($A432="","",MASTER_REGISTER!N429)</f>
        <v/>
      </c>
    </row>
    <row r="433">
      <c r="A433" s="31">
        <f>IF(MASTER_REGISTER!E430="","",MASTER_REGISTER!E430)</f>
        <v/>
      </c>
      <c r="B433" s="31">
        <f>IF($A433="","",MASTER_REGISTER!F430)</f>
        <v/>
      </c>
      <c r="C433" s="31">
        <f>IF($A433="","",MASTER_REGISTER!C430)</f>
        <v/>
      </c>
      <c r="D433" s="31">
        <f>IF($A433="","",MASTER_REGISTER!H430)</f>
        <v/>
      </c>
      <c r="E433" s="31">
        <f>IF($A433="","",MASTER_REGISTER!G430)</f>
        <v/>
      </c>
      <c r="F433" s="31">
        <f>IF($A433="","",MASTER_REGISTER!I430)</f>
        <v/>
      </c>
      <c r="G433" s="32">
        <f>IF($A433="","",MASTER_REGISTER!J430)</f>
        <v/>
      </c>
      <c r="H433" s="32">
        <f>IF($A433="","",MASTER_REGISTER!L430)</f>
        <v/>
      </c>
      <c r="I433" s="32">
        <f>IF($A433="","",MASTER_REGISTER!M430)</f>
        <v/>
      </c>
      <c r="J433" s="31">
        <f>IF($A433="","",MASTER_REGISTER!N430)</f>
        <v/>
      </c>
    </row>
    <row r="434">
      <c r="A434" s="31">
        <f>IF(MASTER_REGISTER!E431="","",MASTER_REGISTER!E431)</f>
        <v/>
      </c>
      <c r="B434" s="31">
        <f>IF($A434="","",MASTER_REGISTER!F431)</f>
        <v/>
      </c>
      <c r="C434" s="31">
        <f>IF($A434="","",MASTER_REGISTER!C431)</f>
        <v/>
      </c>
      <c r="D434" s="31">
        <f>IF($A434="","",MASTER_REGISTER!H431)</f>
        <v/>
      </c>
      <c r="E434" s="31">
        <f>IF($A434="","",MASTER_REGISTER!G431)</f>
        <v/>
      </c>
      <c r="F434" s="31">
        <f>IF($A434="","",MASTER_REGISTER!I431)</f>
        <v/>
      </c>
      <c r="G434" s="32">
        <f>IF($A434="","",MASTER_REGISTER!J431)</f>
        <v/>
      </c>
      <c r="H434" s="32">
        <f>IF($A434="","",MASTER_REGISTER!L431)</f>
        <v/>
      </c>
      <c r="I434" s="32">
        <f>IF($A434="","",MASTER_REGISTER!M431)</f>
        <v/>
      </c>
      <c r="J434" s="31">
        <f>IF($A434="","",MASTER_REGISTER!N431)</f>
        <v/>
      </c>
    </row>
    <row r="435">
      <c r="A435" s="31">
        <f>IF(MASTER_REGISTER!E432="","",MASTER_REGISTER!E432)</f>
        <v/>
      </c>
      <c r="B435" s="31">
        <f>IF($A435="","",MASTER_REGISTER!F432)</f>
        <v/>
      </c>
      <c r="C435" s="31">
        <f>IF($A435="","",MASTER_REGISTER!C432)</f>
        <v/>
      </c>
      <c r="D435" s="31">
        <f>IF($A435="","",MASTER_REGISTER!H432)</f>
        <v/>
      </c>
      <c r="E435" s="31">
        <f>IF($A435="","",MASTER_REGISTER!G432)</f>
        <v/>
      </c>
      <c r="F435" s="31">
        <f>IF($A435="","",MASTER_REGISTER!I432)</f>
        <v/>
      </c>
      <c r="G435" s="32">
        <f>IF($A435="","",MASTER_REGISTER!J432)</f>
        <v/>
      </c>
      <c r="H435" s="32">
        <f>IF($A435="","",MASTER_REGISTER!L432)</f>
        <v/>
      </c>
      <c r="I435" s="32">
        <f>IF($A435="","",MASTER_REGISTER!M432)</f>
        <v/>
      </c>
      <c r="J435" s="31">
        <f>IF($A435="","",MASTER_REGISTER!N432)</f>
        <v/>
      </c>
    </row>
    <row r="436">
      <c r="A436" s="31">
        <f>IF(MASTER_REGISTER!E433="","",MASTER_REGISTER!E433)</f>
        <v/>
      </c>
      <c r="B436" s="31">
        <f>IF($A436="","",MASTER_REGISTER!F433)</f>
        <v/>
      </c>
      <c r="C436" s="31">
        <f>IF($A436="","",MASTER_REGISTER!C433)</f>
        <v/>
      </c>
      <c r="D436" s="31">
        <f>IF($A436="","",MASTER_REGISTER!H433)</f>
        <v/>
      </c>
      <c r="E436" s="31">
        <f>IF($A436="","",MASTER_REGISTER!G433)</f>
        <v/>
      </c>
      <c r="F436" s="31">
        <f>IF($A436="","",MASTER_REGISTER!I433)</f>
        <v/>
      </c>
      <c r="G436" s="32">
        <f>IF($A436="","",MASTER_REGISTER!J433)</f>
        <v/>
      </c>
      <c r="H436" s="32">
        <f>IF($A436="","",MASTER_REGISTER!L433)</f>
        <v/>
      </c>
      <c r="I436" s="32">
        <f>IF($A436="","",MASTER_REGISTER!M433)</f>
        <v/>
      </c>
      <c r="J436" s="31">
        <f>IF($A436="","",MASTER_REGISTER!N433)</f>
        <v/>
      </c>
    </row>
    <row r="437">
      <c r="A437" s="31">
        <f>IF(MASTER_REGISTER!E434="","",MASTER_REGISTER!E434)</f>
        <v/>
      </c>
      <c r="B437" s="31">
        <f>IF($A437="","",MASTER_REGISTER!F434)</f>
        <v/>
      </c>
      <c r="C437" s="31">
        <f>IF($A437="","",MASTER_REGISTER!C434)</f>
        <v/>
      </c>
      <c r="D437" s="31">
        <f>IF($A437="","",MASTER_REGISTER!H434)</f>
        <v/>
      </c>
      <c r="E437" s="31">
        <f>IF($A437="","",MASTER_REGISTER!G434)</f>
        <v/>
      </c>
      <c r="F437" s="31">
        <f>IF($A437="","",MASTER_REGISTER!I434)</f>
        <v/>
      </c>
      <c r="G437" s="32">
        <f>IF($A437="","",MASTER_REGISTER!J434)</f>
        <v/>
      </c>
      <c r="H437" s="32">
        <f>IF($A437="","",MASTER_REGISTER!L434)</f>
        <v/>
      </c>
      <c r="I437" s="32">
        <f>IF($A437="","",MASTER_REGISTER!M434)</f>
        <v/>
      </c>
      <c r="J437" s="31">
        <f>IF($A437="","",MASTER_REGISTER!N434)</f>
        <v/>
      </c>
    </row>
    <row r="438">
      <c r="A438" s="31">
        <f>IF(MASTER_REGISTER!E435="","",MASTER_REGISTER!E435)</f>
        <v/>
      </c>
      <c r="B438" s="31">
        <f>IF($A438="","",MASTER_REGISTER!F435)</f>
        <v/>
      </c>
      <c r="C438" s="31">
        <f>IF($A438="","",MASTER_REGISTER!C435)</f>
        <v/>
      </c>
      <c r="D438" s="31">
        <f>IF($A438="","",MASTER_REGISTER!H435)</f>
        <v/>
      </c>
      <c r="E438" s="31">
        <f>IF($A438="","",MASTER_REGISTER!G435)</f>
        <v/>
      </c>
      <c r="F438" s="31">
        <f>IF($A438="","",MASTER_REGISTER!I435)</f>
        <v/>
      </c>
      <c r="G438" s="32">
        <f>IF($A438="","",MASTER_REGISTER!J435)</f>
        <v/>
      </c>
      <c r="H438" s="32">
        <f>IF($A438="","",MASTER_REGISTER!L435)</f>
        <v/>
      </c>
      <c r="I438" s="32">
        <f>IF($A438="","",MASTER_REGISTER!M435)</f>
        <v/>
      </c>
      <c r="J438" s="31">
        <f>IF($A438="","",MASTER_REGISTER!N435)</f>
        <v/>
      </c>
    </row>
    <row r="439">
      <c r="A439" s="31">
        <f>IF(MASTER_REGISTER!E436="","",MASTER_REGISTER!E436)</f>
        <v/>
      </c>
      <c r="B439" s="31">
        <f>IF($A439="","",MASTER_REGISTER!F436)</f>
        <v/>
      </c>
      <c r="C439" s="31">
        <f>IF($A439="","",MASTER_REGISTER!C436)</f>
        <v/>
      </c>
      <c r="D439" s="31">
        <f>IF($A439="","",MASTER_REGISTER!H436)</f>
        <v/>
      </c>
      <c r="E439" s="31">
        <f>IF($A439="","",MASTER_REGISTER!G436)</f>
        <v/>
      </c>
      <c r="F439" s="31">
        <f>IF($A439="","",MASTER_REGISTER!I436)</f>
        <v/>
      </c>
      <c r="G439" s="32">
        <f>IF($A439="","",MASTER_REGISTER!J436)</f>
        <v/>
      </c>
      <c r="H439" s="32">
        <f>IF($A439="","",MASTER_REGISTER!L436)</f>
        <v/>
      </c>
      <c r="I439" s="32">
        <f>IF($A439="","",MASTER_REGISTER!M436)</f>
        <v/>
      </c>
      <c r="J439" s="31">
        <f>IF($A439="","",MASTER_REGISTER!N436)</f>
        <v/>
      </c>
    </row>
    <row r="440">
      <c r="A440" s="31">
        <f>IF(MASTER_REGISTER!E437="","",MASTER_REGISTER!E437)</f>
        <v/>
      </c>
      <c r="B440" s="31">
        <f>IF($A440="","",MASTER_REGISTER!F437)</f>
        <v/>
      </c>
      <c r="C440" s="31">
        <f>IF($A440="","",MASTER_REGISTER!C437)</f>
        <v/>
      </c>
      <c r="D440" s="31">
        <f>IF($A440="","",MASTER_REGISTER!H437)</f>
        <v/>
      </c>
      <c r="E440" s="31">
        <f>IF($A440="","",MASTER_REGISTER!G437)</f>
        <v/>
      </c>
      <c r="F440" s="31">
        <f>IF($A440="","",MASTER_REGISTER!I437)</f>
        <v/>
      </c>
      <c r="G440" s="32">
        <f>IF($A440="","",MASTER_REGISTER!J437)</f>
        <v/>
      </c>
      <c r="H440" s="32">
        <f>IF($A440="","",MASTER_REGISTER!L437)</f>
        <v/>
      </c>
      <c r="I440" s="32">
        <f>IF($A440="","",MASTER_REGISTER!M437)</f>
        <v/>
      </c>
      <c r="J440" s="31">
        <f>IF($A440="","",MASTER_REGISTER!N437)</f>
        <v/>
      </c>
    </row>
    <row r="441">
      <c r="A441" s="31">
        <f>IF(MASTER_REGISTER!E438="","",MASTER_REGISTER!E438)</f>
        <v/>
      </c>
      <c r="B441" s="31">
        <f>IF($A441="","",MASTER_REGISTER!F438)</f>
        <v/>
      </c>
      <c r="C441" s="31">
        <f>IF($A441="","",MASTER_REGISTER!C438)</f>
        <v/>
      </c>
      <c r="D441" s="31">
        <f>IF($A441="","",MASTER_REGISTER!H438)</f>
        <v/>
      </c>
      <c r="E441" s="31">
        <f>IF($A441="","",MASTER_REGISTER!G438)</f>
        <v/>
      </c>
      <c r="F441" s="31">
        <f>IF($A441="","",MASTER_REGISTER!I438)</f>
        <v/>
      </c>
      <c r="G441" s="32">
        <f>IF($A441="","",MASTER_REGISTER!J438)</f>
        <v/>
      </c>
      <c r="H441" s="32">
        <f>IF($A441="","",MASTER_REGISTER!L438)</f>
        <v/>
      </c>
      <c r="I441" s="32">
        <f>IF($A441="","",MASTER_REGISTER!M438)</f>
        <v/>
      </c>
      <c r="J441" s="31">
        <f>IF($A441="","",MASTER_REGISTER!N438)</f>
        <v/>
      </c>
    </row>
    <row r="442">
      <c r="A442" s="31">
        <f>IF(MASTER_REGISTER!E439="","",MASTER_REGISTER!E439)</f>
        <v/>
      </c>
      <c r="B442" s="31">
        <f>IF($A442="","",MASTER_REGISTER!F439)</f>
        <v/>
      </c>
      <c r="C442" s="31">
        <f>IF($A442="","",MASTER_REGISTER!C439)</f>
        <v/>
      </c>
      <c r="D442" s="31">
        <f>IF($A442="","",MASTER_REGISTER!H439)</f>
        <v/>
      </c>
      <c r="E442" s="31">
        <f>IF($A442="","",MASTER_REGISTER!G439)</f>
        <v/>
      </c>
      <c r="F442" s="31">
        <f>IF($A442="","",MASTER_REGISTER!I439)</f>
        <v/>
      </c>
      <c r="G442" s="32">
        <f>IF($A442="","",MASTER_REGISTER!J439)</f>
        <v/>
      </c>
      <c r="H442" s="32">
        <f>IF($A442="","",MASTER_REGISTER!L439)</f>
        <v/>
      </c>
      <c r="I442" s="32">
        <f>IF($A442="","",MASTER_REGISTER!M439)</f>
        <v/>
      </c>
      <c r="J442" s="31">
        <f>IF($A442="","",MASTER_REGISTER!N439)</f>
        <v/>
      </c>
    </row>
    <row r="443">
      <c r="A443" s="31">
        <f>IF(MASTER_REGISTER!E440="","",MASTER_REGISTER!E440)</f>
        <v/>
      </c>
      <c r="B443" s="31">
        <f>IF($A443="","",MASTER_REGISTER!F440)</f>
        <v/>
      </c>
      <c r="C443" s="31">
        <f>IF($A443="","",MASTER_REGISTER!C440)</f>
        <v/>
      </c>
      <c r="D443" s="31">
        <f>IF($A443="","",MASTER_REGISTER!H440)</f>
        <v/>
      </c>
      <c r="E443" s="31">
        <f>IF($A443="","",MASTER_REGISTER!G440)</f>
        <v/>
      </c>
      <c r="F443" s="31">
        <f>IF($A443="","",MASTER_REGISTER!I440)</f>
        <v/>
      </c>
      <c r="G443" s="32">
        <f>IF($A443="","",MASTER_REGISTER!J440)</f>
        <v/>
      </c>
      <c r="H443" s="32">
        <f>IF($A443="","",MASTER_REGISTER!L440)</f>
        <v/>
      </c>
      <c r="I443" s="32">
        <f>IF($A443="","",MASTER_REGISTER!M440)</f>
        <v/>
      </c>
      <c r="J443" s="31">
        <f>IF($A443="","",MASTER_REGISTER!N440)</f>
        <v/>
      </c>
    </row>
    <row r="444">
      <c r="A444" s="31">
        <f>IF(MASTER_REGISTER!E441="","",MASTER_REGISTER!E441)</f>
        <v/>
      </c>
      <c r="B444" s="31">
        <f>IF($A444="","",MASTER_REGISTER!F441)</f>
        <v/>
      </c>
      <c r="C444" s="31">
        <f>IF($A444="","",MASTER_REGISTER!C441)</f>
        <v/>
      </c>
      <c r="D444" s="31">
        <f>IF($A444="","",MASTER_REGISTER!H441)</f>
        <v/>
      </c>
      <c r="E444" s="31">
        <f>IF($A444="","",MASTER_REGISTER!G441)</f>
        <v/>
      </c>
      <c r="F444" s="31">
        <f>IF($A444="","",MASTER_REGISTER!I441)</f>
        <v/>
      </c>
      <c r="G444" s="32">
        <f>IF($A444="","",MASTER_REGISTER!J441)</f>
        <v/>
      </c>
      <c r="H444" s="32">
        <f>IF($A444="","",MASTER_REGISTER!L441)</f>
        <v/>
      </c>
      <c r="I444" s="32">
        <f>IF($A444="","",MASTER_REGISTER!M441)</f>
        <v/>
      </c>
      <c r="J444" s="31">
        <f>IF($A444="","",MASTER_REGISTER!N441)</f>
        <v/>
      </c>
    </row>
    <row r="445">
      <c r="A445" s="31">
        <f>IF(MASTER_REGISTER!E442="","",MASTER_REGISTER!E442)</f>
        <v/>
      </c>
      <c r="B445" s="31">
        <f>IF($A445="","",MASTER_REGISTER!F442)</f>
        <v/>
      </c>
      <c r="C445" s="31">
        <f>IF($A445="","",MASTER_REGISTER!C442)</f>
        <v/>
      </c>
      <c r="D445" s="31">
        <f>IF($A445="","",MASTER_REGISTER!H442)</f>
        <v/>
      </c>
      <c r="E445" s="31">
        <f>IF($A445="","",MASTER_REGISTER!G442)</f>
        <v/>
      </c>
      <c r="F445" s="31">
        <f>IF($A445="","",MASTER_REGISTER!I442)</f>
        <v/>
      </c>
      <c r="G445" s="32">
        <f>IF($A445="","",MASTER_REGISTER!J442)</f>
        <v/>
      </c>
      <c r="H445" s="32">
        <f>IF($A445="","",MASTER_REGISTER!L442)</f>
        <v/>
      </c>
      <c r="I445" s="32">
        <f>IF($A445="","",MASTER_REGISTER!M442)</f>
        <v/>
      </c>
      <c r="J445" s="31">
        <f>IF($A445="","",MASTER_REGISTER!N442)</f>
        <v/>
      </c>
    </row>
    <row r="446">
      <c r="A446" s="31">
        <f>IF(MASTER_REGISTER!E443="","",MASTER_REGISTER!E443)</f>
        <v/>
      </c>
      <c r="B446" s="31">
        <f>IF($A446="","",MASTER_REGISTER!F443)</f>
        <v/>
      </c>
      <c r="C446" s="31">
        <f>IF($A446="","",MASTER_REGISTER!C443)</f>
        <v/>
      </c>
      <c r="D446" s="31">
        <f>IF($A446="","",MASTER_REGISTER!H443)</f>
        <v/>
      </c>
      <c r="E446" s="31">
        <f>IF($A446="","",MASTER_REGISTER!G443)</f>
        <v/>
      </c>
      <c r="F446" s="31">
        <f>IF($A446="","",MASTER_REGISTER!I443)</f>
        <v/>
      </c>
      <c r="G446" s="32">
        <f>IF($A446="","",MASTER_REGISTER!J443)</f>
        <v/>
      </c>
      <c r="H446" s="32">
        <f>IF($A446="","",MASTER_REGISTER!L443)</f>
        <v/>
      </c>
      <c r="I446" s="32">
        <f>IF($A446="","",MASTER_REGISTER!M443)</f>
        <v/>
      </c>
      <c r="J446" s="31">
        <f>IF($A446="","",MASTER_REGISTER!N443)</f>
        <v/>
      </c>
    </row>
    <row r="447">
      <c r="A447" s="31">
        <f>IF(MASTER_REGISTER!E444="","",MASTER_REGISTER!E444)</f>
        <v/>
      </c>
      <c r="B447" s="31">
        <f>IF($A447="","",MASTER_REGISTER!F444)</f>
        <v/>
      </c>
      <c r="C447" s="31">
        <f>IF($A447="","",MASTER_REGISTER!C444)</f>
        <v/>
      </c>
      <c r="D447" s="31">
        <f>IF($A447="","",MASTER_REGISTER!H444)</f>
        <v/>
      </c>
      <c r="E447" s="31">
        <f>IF($A447="","",MASTER_REGISTER!G444)</f>
        <v/>
      </c>
      <c r="F447" s="31">
        <f>IF($A447="","",MASTER_REGISTER!I444)</f>
        <v/>
      </c>
      <c r="G447" s="32">
        <f>IF($A447="","",MASTER_REGISTER!J444)</f>
        <v/>
      </c>
      <c r="H447" s="32">
        <f>IF($A447="","",MASTER_REGISTER!L444)</f>
        <v/>
      </c>
      <c r="I447" s="32">
        <f>IF($A447="","",MASTER_REGISTER!M444)</f>
        <v/>
      </c>
      <c r="J447" s="31">
        <f>IF($A447="","",MASTER_REGISTER!N444)</f>
        <v/>
      </c>
    </row>
    <row r="448">
      <c r="A448" s="31">
        <f>IF(MASTER_REGISTER!E445="","",MASTER_REGISTER!E445)</f>
        <v/>
      </c>
      <c r="B448" s="31">
        <f>IF($A448="","",MASTER_REGISTER!F445)</f>
        <v/>
      </c>
      <c r="C448" s="31">
        <f>IF($A448="","",MASTER_REGISTER!C445)</f>
        <v/>
      </c>
      <c r="D448" s="31">
        <f>IF($A448="","",MASTER_REGISTER!H445)</f>
        <v/>
      </c>
      <c r="E448" s="31">
        <f>IF($A448="","",MASTER_REGISTER!G445)</f>
        <v/>
      </c>
      <c r="F448" s="31">
        <f>IF($A448="","",MASTER_REGISTER!I445)</f>
        <v/>
      </c>
      <c r="G448" s="32">
        <f>IF($A448="","",MASTER_REGISTER!J445)</f>
        <v/>
      </c>
      <c r="H448" s="32">
        <f>IF($A448="","",MASTER_REGISTER!L445)</f>
        <v/>
      </c>
      <c r="I448" s="32">
        <f>IF($A448="","",MASTER_REGISTER!M445)</f>
        <v/>
      </c>
      <c r="J448" s="31">
        <f>IF($A448="","",MASTER_REGISTER!N445)</f>
        <v/>
      </c>
    </row>
    <row r="449">
      <c r="A449" s="31">
        <f>IF(MASTER_REGISTER!E446="","",MASTER_REGISTER!E446)</f>
        <v/>
      </c>
      <c r="B449" s="31">
        <f>IF($A449="","",MASTER_REGISTER!F446)</f>
        <v/>
      </c>
      <c r="C449" s="31">
        <f>IF($A449="","",MASTER_REGISTER!C446)</f>
        <v/>
      </c>
      <c r="D449" s="31">
        <f>IF($A449="","",MASTER_REGISTER!H446)</f>
        <v/>
      </c>
      <c r="E449" s="31">
        <f>IF($A449="","",MASTER_REGISTER!G446)</f>
        <v/>
      </c>
      <c r="F449" s="31">
        <f>IF($A449="","",MASTER_REGISTER!I446)</f>
        <v/>
      </c>
      <c r="G449" s="32">
        <f>IF($A449="","",MASTER_REGISTER!J446)</f>
        <v/>
      </c>
      <c r="H449" s="32">
        <f>IF($A449="","",MASTER_REGISTER!L446)</f>
        <v/>
      </c>
      <c r="I449" s="32">
        <f>IF($A449="","",MASTER_REGISTER!M446)</f>
        <v/>
      </c>
      <c r="J449" s="31">
        <f>IF($A449="","",MASTER_REGISTER!N446)</f>
        <v/>
      </c>
    </row>
    <row r="450">
      <c r="A450" s="31">
        <f>IF(MASTER_REGISTER!E447="","",MASTER_REGISTER!E447)</f>
        <v/>
      </c>
      <c r="B450" s="31">
        <f>IF($A450="","",MASTER_REGISTER!F447)</f>
        <v/>
      </c>
      <c r="C450" s="31">
        <f>IF($A450="","",MASTER_REGISTER!C447)</f>
        <v/>
      </c>
      <c r="D450" s="31">
        <f>IF($A450="","",MASTER_REGISTER!H447)</f>
        <v/>
      </c>
      <c r="E450" s="31">
        <f>IF($A450="","",MASTER_REGISTER!G447)</f>
        <v/>
      </c>
      <c r="F450" s="31">
        <f>IF($A450="","",MASTER_REGISTER!I447)</f>
        <v/>
      </c>
      <c r="G450" s="32">
        <f>IF($A450="","",MASTER_REGISTER!J447)</f>
        <v/>
      </c>
      <c r="H450" s="32">
        <f>IF($A450="","",MASTER_REGISTER!L447)</f>
        <v/>
      </c>
      <c r="I450" s="32">
        <f>IF($A450="","",MASTER_REGISTER!M447)</f>
        <v/>
      </c>
      <c r="J450" s="31">
        <f>IF($A450="","",MASTER_REGISTER!N447)</f>
        <v/>
      </c>
    </row>
    <row r="451">
      <c r="A451" s="31">
        <f>IF(MASTER_REGISTER!E448="","",MASTER_REGISTER!E448)</f>
        <v/>
      </c>
      <c r="B451" s="31">
        <f>IF($A451="","",MASTER_REGISTER!F448)</f>
        <v/>
      </c>
      <c r="C451" s="31">
        <f>IF($A451="","",MASTER_REGISTER!C448)</f>
        <v/>
      </c>
      <c r="D451" s="31">
        <f>IF($A451="","",MASTER_REGISTER!H448)</f>
        <v/>
      </c>
      <c r="E451" s="31">
        <f>IF($A451="","",MASTER_REGISTER!G448)</f>
        <v/>
      </c>
      <c r="F451" s="31">
        <f>IF($A451="","",MASTER_REGISTER!I448)</f>
        <v/>
      </c>
      <c r="G451" s="32">
        <f>IF($A451="","",MASTER_REGISTER!J448)</f>
        <v/>
      </c>
      <c r="H451" s="32">
        <f>IF($A451="","",MASTER_REGISTER!L448)</f>
        <v/>
      </c>
      <c r="I451" s="32">
        <f>IF($A451="","",MASTER_REGISTER!M448)</f>
        <v/>
      </c>
      <c r="J451" s="31">
        <f>IF($A451="","",MASTER_REGISTER!N448)</f>
        <v/>
      </c>
    </row>
    <row r="452">
      <c r="A452" s="31">
        <f>IF(MASTER_REGISTER!E449="","",MASTER_REGISTER!E449)</f>
        <v/>
      </c>
      <c r="B452" s="31">
        <f>IF($A452="","",MASTER_REGISTER!F449)</f>
        <v/>
      </c>
      <c r="C452" s="31">
        <f>IF($A452="","",MASTER_REGISTER!C449)</f>
        <v/>
      </c>
      <c r="D452" s="31">
        <f>IF($A452="","",MASTER_REGISTER!H449)</f>
        <v/>
      </c>
      <c r="E452" s="31">
        <f>IF($A452="","",MASTER_REGISTER!G449)</f>
        <v/>
      </c>
      <c r="F452" s="31">
        <f>IF($A452="","",MASTER_REGISTER!I449)</f>
        <v/>
      </c>
      <c r="G452" s="32">
        <f>IF($A452="","",MASTER_REGISTER!J449)</f>
        <v/>
      </c>
      <c r="H452" s="32">
        <f>IF($A452="","",MASTER_REGISTER!L449)</f>
        <v/>
      </c>
      <c r="I452" s="32">
        <f>IF($A452="","",MASTER_REGISTER!M449)</f>
        <v/>
      </c>
      <c r="J452" s="31">
        <f>IF($A452="","",MASTER_REGISTER!N449)</f>
        <v/>
      </c>
    </row>
    <row r="453">
      <c r="A453" s="31">
        <f>IF(MASTER_REGISTER!E450="","",MASTER_REGISTER!E450)</f>
        <v/>
      </c>
      <c r="B453" s="31">
        <f>IF($A453="","",MASTER_REGISTER!F450)</f>
        <v/>
      </c>
      <c r="C453" s="31">
        <f>IF($A453="","",MASTER_REGISTER!C450)</f>
        <v/>
      </c>
      <c r="D453" s="31">
        <f>IF($A453="","",MASTER_REGISTER!H450)</f>
        <v/>
      </c>
      <c r="E453" s="31">
        <f>IF($A453="","",MASTER_REGISTER!G450)</f>
        <v/>
      </c>
      <c r="F453" s="31">
        <f>IF($A453="","",MASTER_REGISTER!I450)</f>
        <v/>
      </c>
      <c r="G453" s="32">
        <f>IF($A453="","",MASTER_REGISTER!J450)</f>
        <v/>
      </c>
      <c r="H453" s="32">
        <f>IF($A453="","",MASTER_REGISTER!L450)</f>
        <v/>
      </c>
      <c r="I453" s="32">
        <f>IF($A453="","",MASTER_REGISTER!M450)</f>
        <v/>
      </c>
      <c r="J453" s="31">
        <f>IF($A453="","",MASTER_REGISTER!N450)</f>
        <v/>
      </c>
    </row>
    <row r="454">
      <c r="A454" s="31">
        <f>IF(MASTER_REGISTER!E451="","",MASTER_REGISTER!E451)</f>
        <v/>
      </c>
      <c r="B454" s="31">
        <f>IF($A454="","",MASTER_REGISTER!F451)</f>
        <v/>
      </c>
      <c r="C454" s="31">
        <f>IF($A454="","",MASTER_REGISTER!C451)</f>
        <v/>
      </c>
      <c r="D454" s="31">
        <f>IF($A454="","",MASTER_REGISTER!H451)</f>
        <v/>
      </c>
      <c r="E454" s="31">
        <f>IF($A454="","",MASTER_REGISTER!G451)</f>
        <v/>
      </c>
      <c r="F454" s="31">
        <f>IF($A454="","",MASTER_REGISTER!I451)</f>
        <v/>
      </c>
      <c r="G454" s="32">
        <f>IF($A454="","",MASTER_REGISTER!J451)</f>
        <v/>
      </c>
      <c r="H454" s="32">
        <f>IF($A454="","",MASTER_REGISTER!L451)</f>
        <v/>
      </c>
      <c r="I454" s="32">
        <f>IF($A454="","",MASTER_REGISTER!M451)</f>
        <v/>
      </c>
      <c r="J454" s="31">
        <f>IF($A454="","",MASTER_REGISTER!N451)</f>
        <v/>
      </c>
    </row>
    <row r="455">
      <c r="A455" s="31">
        <f>IF(MASTER_REGISTER!E452="","",MASTER_REGISTER!E452)</f>
        <v/>
      </c>
      <c r="B455" s="31">
        <f>IF($A455="","",MASTER_REGISTER!F452)</f>
        <v/>
      </c>
      <c r="C455" s="31">
        <f>IF($A455="","",MASTER_REGISTER!C452)</f>
        <v/>
      </c>
      <c r="D455" s="31">
        <f>IF($A455="","",MASTER_REGISTER!H452)</f>
        <v/>
      </c>
      <c r="E455" s="31">
        <f>IF($A455="","",MASTER_REGISTER!G452)</f>
        <v/>
      </c>
      <c r="F455" s="31">
        <f>IF($A455="","",MASTER_REGISTER!I452)</f>
        <v/>
      </c>
      <c r="G455" s="32">
        <f>IF($A455="","",MASTER_REGISTER!J452)</f>
        <v/>
      </c>
      <c r="H455" s="32">
        <f>IF($A455="","",MASTER_REGISTER!L452)</f>
        <v/>
      </c>
      <c r="I455" s="32">
        <f>IF($A455="","",MASTER_REGISTER!M452)</f>
        <v/>
      </c>
      <c r="J455" s="31">
        <f>IF($A455="","",MASTER_REGISTER!N452)</f>
        <v/>
      </c>
    </row>
    <row r="456">
      <c r="A456" s="31">
        <f>IF(MASTER_REGISTER!E453="","",MASTER_REGISTER!E453)</f>
        <v/>
      </c>
      <c r="B456" s="31">
        <f>IF($A456="","",MASTER_REGISTER!F453)</f>
        <v/>
      </c>
      <c r="C456" s="31">
        <f>IF($A456="","",MASTER_REGISTER!C453)</f>
        <v/>
      </c>
      <c r="D456" s="31">
        <f>IF($A456="","",MASTER_REGISTER!H453)</f>
        <v/>
      </c>
      <c r="E456" s="31">
        <f>IF($A456="","",MASTER_REGISTER!G453)</f>
        <v/>
      </c>
      <c r="F456" s="31">
        <f>IF($A456="","",MASTER_REGISTER!I453)</f>
        <v/>
      </c>
      <c r="G456" s="32">
        <f>IF($A456="","",MASTER_REGISTER!J453)</f>
        <v/>
      </c>
      <c r="H456" s="32">
        <f>IF($A456="","",MASTER_REGISTER!L453)</f>
        <v/>
      </c>
      <c r="I456" s="32">
        <f>IF($A456="","",MASTER_REGISTER!M453)</f>
        <v/>
      </c>
      <c r="J456" s="31">
        <f>IF($A456="","",MASTER_REGISTER!N453)</f>
        <v/>
      </c>
    </row>
    <row r="457">
      <c r="A457" s="31">
        <f>IF(MASTER_REGISTER!E454="","",MASTER_REGISTER!E454)</f>
        <v/>
      </c>
      <c r="B457" s="31">
        <f>IF($A457="","",MASTER_REGISTER!F454)</f>
        <v/>
      </c>
      <c r="C457" s="31">
        <f>IF($A457="","",MASTER_REGISTER!C454)</f>
        <v/>
      </c>
      <c r="D457" s="31">
        <f>IF($A457="","",MASTER_REGISTER!H454)</f>
        <v/>
      </c>
      <c r="E457" s="31">
        <f>IF($A457="","",MASTER_REGISTER!G454)</f>
        <v/>
      </c>
      <c r="F457" s="31">
        <f>IF($A457="","",MASTER_REGISTER!I454)</f>
        <v/>
      </c>
      <c r="G457" s="32">
        <f>IF($A457="","",MASTER_REGISTER!J454)</f>
        <v/>
      </c>
      <c r="H457" s="32">
        <f>IF($A457="","",MASTER_REGISTER!L454)</f>
        <v/>
      </c>
      <c r="I457" s="32">
        <f>IF($A457="","",MASTER_REGISTER!M454)</f>
        <v/>
      </c>
      <c r="J457" s="31">
        <f>IF($A457="","",MASTER_REGISTER!N454)</f>
        <v/>
      </c>
    </row>
    <row r="458">
      <c r="A458" s="31">
        <f>IF(MASTER_REGISTER!E455="","",MASTER_REGISTER!E455)</f>
        <v/>
      </c>
      <c r="B458" s="31">
        <f>IF($A458="","",MASTER_REGISTER!F455)</f>
        <v/>
      </c>
      <c r="C458" s="31">
        <f>IF($A458="","",MASTER_REGISTER!C455)</f>
        <v/>
      </c>
      <c r="D458" s="31">
        <f>IF($A458="","",MASTER_REGISTER!H455)</f>
        <v/>
      </c>
      <c r="E458" s="31">
        <f>IF($A458="","",MASTER_REGISTER!G455)</f>
        <v/>
      </c>
      <c r="F458" s="31">
        <f>IF($A458="","",MASTER_REGISTER!I455)</f>
        <v/>
      </c>
      <c r="G458" s="32">
        <f>IF($A458="","",MASTER_REGISTER!J455)</f>
        <v/>
      </c>
      <c r="H458" s="32">
        <f>IF($A458="","",MASTER_REGISTER!L455)</f>
        <v/>
      </c>
      <c r="I458" s="32">
        <f>IF($A458="","",MASTER_REGISTER!M455)</f>
        <v/>
      </c>
      <c r="J458" s="31">
        <f>IF($A458="","",MASTER_REGISTER!N455)</f>
        <v/>
      </c>
    </row>
    <row r="459">
      <c r="A459" s="31">
        <f>IF(MASTER_REGISTER!E456="","",MASTER_REGISTER!E456)</f>
        <v/>
      </c>
      <c r="B459" s="31">
        <f>IF($A459="","",MASTER_REGISTER!F456)</f>
        <v/>
      </c>
      <c r="C459" s="31">
        <f>IF($A459="","",MASTER_REGISTER!C456)</f>
        <v/>
      </c>
      <c r="D459" s="31">
        <f>IF($A459="","",MASTER_REGISTER!H456)</f>
        <v/>
      </c>
      <c r="E459" s="31">
        <f>IF($A459="","",MASTER_REGISTER!G456)</f>
        <v/>
      </c>
      <c r="F459" s="31">
        <f>IF($A459="","",MASTER_REGISTER!I456)</f>
        <v/>
      </c>
      <c r="G459" s="32">
        <f>IF($A459="","",MASTER_REGISTER!J456)</f>
        <v/>
      </c>
      <c r="H459" s="32">
        <f>IF($A459="","",MASTER_REGISTER!L456)</f>
        <v/>
      </c>
      <c r="I459" s="32">
        <f>IF($A459="","",MASTER_REGISTER!M456)</f>
        <v/>
      </c>
      <c r="J459" s="31">
        <f>IF($A459="","",MASTER_REGISTER!N456)</f>
        <v/>
      </c>
    </row>
    <row r="460">
      <c r="A460" s="31">
        <f>IF(MASTER_REGISTER!E457="","",MASTER_REGISTER!E457)</f>
        <v/>
      </c>
      <c r="B460" s="31">
        <f>IF($A460="","",MASTER_REGISTER!F457)</f>
        <v/>
      </c>
      <c r="C460" s="31">
        <f>IF($A460="","",MASTER_REGISTER!C457)</f>
        <v/>
      </c>
      <c r="D460" s="31">
        <f>IF($A460="","",MASTER_REGISTER!H457)</f>
        <v/>
      </c>
      <c r="E460" s="31">
        <f>IF($A460="","",MASTER_REGISTER!G457)</f>
        <v/>
      </c>
      <c r="F460" s="31">
        <f>IF($A460="","",MASTER_REGISTER!I457)</f>
        <v/>
      </c>
      <c r="G460" s="32">
        <f>IF($A460="","",MASTER_REGISTER!J457)</f>
        <v/>
      </c>
      <c r="H460" s="32">
        <f>IF($A460="","",MASTER_REGISTER!L457)</f>
        <v/>
      </c>
      <c r="I460" s="32">
        <f>IF($A460="","",MASTER_REGISTER!M457)</f>
        <v/>
      </c>
      <c r="J460" s="31">
        <f>IF($A460="","",MASTER_REGISTER!N457)</f>
        <v/>
      </c>
    </row>
    <row r="461">
      <c r="A461" s="31">
        <f>IF(MASTER_REGISTER!E458="","",MASTER_REGISTER!E458)</f>
        <v/>
      </c>
      <c r="B461" s="31">
        <f>IF($A461="","",MASTER_REGISTER!F458)</f>
        <v/>
      </c>
      <c r="C461" s="31">
        <f>IF($A461="","",MASTER_REGISTER!C458)</f>
        <v/>
      </c>
      <c r="D461" s="31">
        <f>IF($A461="","",MASTER_REGISTER!H458)</f>
        <v/>
      </c>
      <c r="E461" s="31">
        <f>IF($A461="","",MASTER_REGISTER!G458)</f>
        <v/>
      </c>
      <c r="F461" s="31">
        <f>IF($A461="","",MASTER_REGISTER!I458)</f>
        <v/>
      </c>
      <c r="G461" s="32">
        <f>IF($A461="","",MASTER_REGISTER!J458)</f>
        <v/>
      </c>
      <c r="H461" s="32">
        <f>IF($A461="","",MASTER_REGISTER!L458)</f>
        <v/>
      </c>
      <c r="I461" s="32">
        <f>IF($A461="","",MASTER_REGISTER!M458)</f>
        <v/>
      </c>
      <c r="J461" s="31">
        <f>IF($A461="","",MASTER_REGISTER!N458)</f>
        <v/>
      </c>
    </row>
    <row r="462">
      <c r="A462" s="31">
        <f>IF(MASTER_REGISTER!E459="","",MASTER_REGISTER!E459)</f>
        <v/>
      </c>
      <c r="B462" s="31">
        <f>IF($A462="","",MASTER_REGISTER!F459)</f>
        <v/>
      </c>
      <c r="C462" s="31">
        <f>IF($A462="","",MASTER_REGISTER!C459)</f>
        <v/>
      </c>
      <c r="D462" s="31">
        <f>IF($A462="","",MASTER_REGISTER!H459)</f>
        <v/>
      </c>
      <c r="E462" s="31">
        <f>IF($A462="","",MASTER_REGISTER!G459)</f>
        <v/>
      </c>
      <c r="F462" s="31">
        <f>IF($A462="","",MASTER_REGISTER!I459)</f>
        <v/>
      </c>
      <c r="G462" s="32">
        <f>IF($A462="","",MASTER_REGISTER!J459)</f>
        <v/>
      </c>
      <c r="H462" s="32">
        <f>IF($A462="","",MASTER_REGISTER!L459)</f>
        <v/>
      </c>
      <c r="I462" s="32">
        <f>IF($A462="","",MASTER_REGISTER!M459)</f>
        <v/>
      </c>
      <c r="J462" s="31">
        <f>IF($A462="","",MASTER_REGISTER!N459)</f>
        <v/>
      </c>
    </row>
    <row r="463">
      <c r="A463" s="31">
        <f>IF(MASTER_REGISTER!E460="","",MASTER_REGISTER!E460)</f>
        <v/>
      </c>
      <c r="B463" s="31">
        <f>IF($A463="","",MASTER_REGISTER!F460)</f>
        <v/>
      </c>
      <c r="C463" s="31">
        <f>IF($A463="","",MASTER_REGISTER!C460)</f>
        <v/>
      </c>
      <c r="D463" s="31">
        <f>IF($A463="","",MASTER_REGISTER!H460)</f>
        <v/>
      </c>
      <c r="E463" s="31">
        <f>IF($A463="","",MASTER_REGISTER!G460)</f>
        <v/>
      </c>
      <c r="F463" s="31">
        <f>IF($A463="","",MASTER_REGISTER!I460)</f>
        <v/>
      </c>
      <c r="G463" s="32">
        <f>IF($A463="","",MASTER_REGISTER!J460)</f>
        <v/>
      </c>
      <c r="H463" s="32">
        <f>IF($A463="","",MASTER_REGISTER!L460)</f>
        <v/>
      </c>
      <c r="I463" s="32">
        <f>IF($A463="","",MASTER_REGISTER!M460)</f>
        <v/>
      </c>
      <c r="J463" s="31">
        <f>IF($A463="","",MASTER_REGISTER!N460)</f>
        <v/>
      </c>
    </row>
    <row r="464">
      <c r="A464" s="31">
        <f>IF(MASTER_REGISTER!E461="","",MASTER_REGISTER!E461)</f>
        <v/>
      </c>
      <c r="B464" s="31">
        <f>IF($A464="","",MASTER_REGISTER!F461)</f>
        <v/>
      </c>
      <c r="C464" s="31">
        <f>IF($A464="","",MASTER_REGISTER!C461)</f>
        <v/>
      </c>
      <c r="D464" s="31">
        <f>IF($A464="","",MASTER_REGISTER!H461)</f>
        <v/>
      </c>
      <c r="E464" s="31">
        <f>IF($A464="","",MASTER_REGISTER!G461)</f>
        <v/>
      </c>
      <c r="F464" s="31">
        <f>IF($A464="","",MASTER_REGISTER!I461)</f>
        <v/>
      </c>
      <c r="G464" s="32">
        <f>IF($A464="","",MASTER_REGISTER!J461)</f>
        <v/>
      </c>
      <c r="H464" s="32">
        <f>IF($A464="","",MASTER_REGISTER!L461)</f>
        <v/>
      </c>
      <c r="I464" s="32">
        <f>IF($A464="","",MASTER_REGISTER!M461)</f>
        <v/>
      </c>
      <c r="J464" s="31">
        <f>IF($A464="","",MASTER_REGISTER!N461)</f>
        <v/>
      </c>
    </row>
    <row r="465">
      <c r="A465" s="31">
        <f>IF(MASTER_REGISTER!E462="","",MASTER_REGISTER!E462)</f>
        <v/>
      </c>
      <c r="B465" s="31">
        <f>IF($A465="","",MASTER_REGISTER!F462)</f>
        <v/>
      </c>
      <c r="C465" s="31">
        <f>IF($A465="","",MASTER_REGISTER!C462)</f>
        <v/>
      </c>
      <c r="D465" s="31">
        <f>IF($A465="","",MASTER_REGISTER!H462)</f>
        <v/>
      </c>
      <c r="E465" s="31">
        <f>IF($A465="","",MASTER_REGISTER!G462)</f>
        <v/>
      </c>
      <c r="F465" s="31">
        <f>IF($A465="","",MASTER_REGISTER!I462)</f>
        <v/>
      </c>
      <c r="G465" s="32">
        <f>IF($A465="","",MASTER_REGISTER!J462)</f>
        <v/>
      </c>
      <c r="H465" s="32">
        <f>IF($A465="","",MASTER_REGISTER!L462)</f>
        <v/>
      </c>
      <c r="I465" s="32">
        <f>IF($A465="","",MASTER_REGISTER!M462)</f>
        <v/>
      </c>
      <c r="J465" s="31">
        <f>IF($A465="","",MASTER_REGISTER!N462)</f>
        <v/>
      </c>
    </row>
    <row r="466">
      <c r="A466" s="31">
        <f>IF(MASTER_REGISTER!E463="","",MASTER_REGISTER!E463)</f>
        <v/>
      </c>
      <c r="B466" s="31">
        <f>IF($A466="","",MASTER_REGISTER!F463)</f>
        <v/>
      </c>
      <c r="C466" s="31">
        <f>IF($A466="","",MASTER_REGISTER!C463)</f>
        <v/>
      </c>
      <c r="D466" s="31">
        <f>IF($A466="","",MASTER_REGISTER!H463)</f>
        <v/>
      </c>
      <c r="E466" s="31">
        <f>IF($A466="","",MASTER_REGISTER!G463)</f>
        <v/>
      </c>
      <c r="F466" s="31">
        <f>IF($A466="","",MASTER_REGISTER!I463)</f>
        <v/>
      </c>
      <c r="G466" s="32">
        <f>IF($A466="","",MASTER_REGISTER!J463)</f>
        <v/>
      </c>
      <c r="H466" s="32">
        <f>IF($A466="","",MASTER_REGISTER!L463)</f>
        <v/>
      </c>
      <c r="I466" s="32">
        <f>IF($A466="","",MASTER_REGISTER!M463)</f>
        <v/>
      </c>
      <c r="J466" s="31">
        <f>IF($A466="","",MASTER_REGISTER!N463)</f>
        <v/>
      </c>
    </row>
    <row r="467">
      <c r="A467" s="31">
        <f>IF(MASTER_REGISTER!E464="","",MASTER_REGISTER!E464)</f>
        <v/>
      </c>
      <c r="B467" s="31">
        <f>IF($A467="","",MASTER_REGISTER!F464)</f>
        <v/>
      </c>
      <c r="C467" s="31">
        <f>IF($A467="","",MASTER_REGISTER!C464)</f>
        <v/>
      </c>
      <c r="D467" s="31">
        <f>IF($A467="","",MASTER_REGISTER!H464)</f>
        <v/>
      </c>
      <c r="E467" s="31">
        <f>IF($A467="","",MASTER_REGISTER!G464)</f>
        <v/>
      </c>
      <c r="F467" s="31">
        <f>IF($A467="","",MASTER_REGISTER!I464)</f>
        <v/>
      </c>
      <c r="G467" s="32">
        <f>IF($A467="","",MASTER_REGISTER!J464)</f>
        <v/>
      </c>
      <c r="H467" s="32">
        <f>IF($A467="","",MASTER_REGISTER!L464)</f>
        <v/>
      </c>
      <c r="I467" s="32">
        <f>IF($A467="","",MASTER_REGISTER!M464)</f>
        <v/>
      </c>
      <c r="J467" s="31">
        <f>IF($A467="","",MASTER_REGISTER!N464)</f>
        <v/>
      </c>
    </row>
    <row r="468">
      <c r="A468" s="31">
        <f>IF(MASTER_REGISTER!E465="","",MASTER_REGISTER!E465)</f>
        <v/>
      </c>
      <c r="B468" s="31">
        <f>IF($A468="","",MASTER_REGISTER!F465)</f>
        <v/>
      </c>
      <c r="C468" s="31">
        <f>IF($A468="","",MASTER_REGISTER!C465)</f>
        <v/>
      </c>
      <c r="D468" s="31">
        <f>IF($A468="","",MASTER_REGISTER!H465)</f>
        <v/>
      </c>
      <c r="E468" s="31">
        <f>IF($A468="","",MASTER_REGISTER!G465)</f>
        <v/>
      </c>
      <c r="F468" s="31">
        <f>IF($A468="","",MASTER_REGISTER!I465)</f>
        <v/>
      </c>
      <c r="G468" s="32">
        <f>IF($A468="","",MASTER_REGISTER!J465)</f>
        <v/>
      </c>
      <c r="H468" s="32">
        <f>IF($A468="","",MASTER_REGISTER!L465)</f>
        <v/>
      </c>
      <c r="I468" s="32">
        <f>IF($A468="","",MASTER_REGISTER!M465)</f>
        <v/>
      </c>
      <c r="J468" s="31">
        <f>IF($A468="","",MASTER_REGISTER!N465)</f>
        <v/>
      </c>
    </row>
    <row r="469">
      <c r="A469" s="31">
        <f>IF(MASTER_REGISTER!E466="","",MASTER_REGISTER!E466)</f>
        <v/>
      </c>
      <c r="B469" s="31">
        <f>IF($A469="","",MASTER_REGISTER!F466)</f>
        <v/>
      </c>
      <c r="C469" s="31">
        <f>IF($A469="","",MASTER_REGISTER!C466)</f>
        <v/>
      </c>
      <c r="D469" s="31">
        <f>IF($A469="","",MASTER_REGISTER!H466)</f>
        <v/>
      </c>
      <c r="E469" s="31">
        <f>IF($A469="","",MASTER_REGISTER!G466)</f>
        <v/>
      </c>
      <c r="F469" s="31">
        <f>IF($A469="","",MASTER_REGISTER!I466)</f>
        <v/>
      </c>
      <c r="G469" s="32">
        <f>IF($A469="","",MASTER_REGISTER!J466)</f>
        <v/>
      </c>
      <c r="H469" s="32">
        <f>IF($A469="","",MASTER_REGISTER!L466)</f>
        <v/>
      </c>
      <c r="I469" s="32">
        <f>IF($A469="","",MASTER_REGISTER!M466)</f>
        <v/>
      </c>
      <c r="J469" s="31">
        <f>IF($A469="","",MASTER_REGISTER!N466)</f>
        <v/>
      </c>
    </row>
    <row r="470">
      <c r="A470" s="31">
        <f>IF(MASTER_REGISTER!E467="","",MASTER_REGISTER!E467)</f>
        <v/>
      </c>
      <c r="B470" s="31">
        <f>IF($A470="","",MASTER_REGISTER!F467)</f>
        <v/>
      </c>
      <c r="C470" s="31">
        <f>IF($A470="","",MASTER_REGISTER!C467)</f>
        <v/>
      </c>
      <c r="D470" s="31">
        <f>IF($A470="","",MASTER_REGISTER!H467)</f>
        <v/>
      </c>
      <c r="E470" s="31">
        <f>IF($A470="","",MASTER_REGISTER!G467)</f>
        <v/>
      </c>
      <c r="F470" s="31">
        <f>IF($A470="","",MASTER_REGISTER!I467)</f>
        <v/>
      </c>
      <c r="G470" s="32">
        <f>IF($A470="","",MASTER_REGISTER!J467)</f>
        <v/>
      </c>
      <c r="H470" s="32">
        <f>IF($A470="","",MASTER_REGISTER!L467)</f>
        <v/>
      </c>
      <c r="I470" s="32">
        <f>IF($A470="","",MASTER_REGISTER!M467)</f>
        <v/>
      </c>
      <c r="J470" s="31">
        <f>IF($A470="","",MASTER_REGISTER!N467)</f>
        <v/>
      </c>
    </row>
    <row r="471">
      <c r="A471" s="31">
        <f>IF(MASTER_REGISTER!E468="","",MASTER_REGISTER!E468)</f>
        <v/>
      </c>
      <c r="B471" s="31">
        <f>IF($A471="","",MASTER_REGISTER!F468)</f>
        <v/>
      </c>
      <c r="C471" s="31">
        <f>IF($A471="","",MASTER_REGISTER!C468)</f>
        <v/>
      </c>
      <c r="D471" s="31">
        <f>IF($A471="","",MASTER_REGISTER!H468)</f>
        <v/>
      </c>
      <c r="E471" s="31">
        <f>IF($A471="","",MASTER_REGISTER!G468)</f>
        <v/>
      </c>
      <c r="F471" s="31">
        <f>IF($A471="","",MASTER_REGISTER!I468)</f>
        <v/>
      </c>
      <c r="G471" s="32">
        <f>IF($A471="","",MASTER_REGISTER!J468)</f>
        <v/>
      </c>
      <c r="H471" s="32">
        <f>IF($A471="","",MASTER_REGISTER!L468)</f>
        <v/>
      </c>
      <c r="I471" s="32">
        <f>IF($A471="","",MASTER_REGISTER!M468)</f>
        <v/>
      </c>
      <c r="J471" s="31">
        <f>IF($A471="","",MASTER_REGISTER!N468)</f>
        <v/>
      </c>
    </row>
    <row r="472">
      <c r="A472" s="31">
        <f>IF(MASTER_REGISTER!E469="","",MASTER_REGISTER!E469)</f>
        <v/>
      </c>
      <c r="B472" s="31">
        <f>IF($A472="","",MASTER_REGISTER!F469)</f>
        <v/>
      </c>
      <c r="C472" s="31">
        <f>IF($A472="","",MASTER_REGISTER!C469)</f>
        <v/>
      </c>
      <c r="D472" s="31">
        <f>IF($A472="","",MASTER_REGISTER!H469)</f>
        <v/>
      </c>
      <c r="E472" s="31">
        <f>IF($A472="","",MASTER_REGISTER!G469)</f>
        <v/>
      </c>
      <c r="F472" s="31">
        <f>IF($A472="","",MASTER_REGISTER!I469)</f>
        <v/>
      </c>
      <c r="G472" s="32">
        <f>IF($A472="","",MASTER_REGISTER!J469)</f>
        <v/>
      </c>
      <c r="H472" s="32">
        <f>IF($A472="","",MASTER_REGISTER!L469)</f>
        <v/>
      </c>
      <c r="I472" s="32">
        <f>IF($A472="","",MASTER_REGISTER!M469)</f>
        <v/>
      </c>
      <c r="J472" s="31">
        <f>IF($A472="","",MASTER_REGISTER!N469)</f>
        <v/>
      </c>
    </row>
    <row r="473">
      <c r="A473" s="31">
        <f>IF(MASTER_REGISTER!E470="","",MASTER_REGISTER!E470)</f>
        <v/>
      </c>
      <c r="B473" s="31">
        <f>IF($A473="","",MASTER_REGISTER!F470)</f>
        <v/>
      </c>
      <c r="C473" s="31">
        <f>IF($A473="","",MASTER_REGISTER!C470)</f>
        <v/>
      </c>
      <c r="D473" s="31">
        <f>IF($A473="","",MASTER_REGISTER!H470)</f>
        <v/>
      </c>
      <c r="E473" s="31">
        <f>IF($A473="","",MASTER_REGISTER!G470)</f>
        <v/>
      </c>
      <c r="F473" s="31">
        <f>IF($A473="","",MASTER_REGISTER!I470)</f>
        <v/>
      </c>
      <c r="G473" s="32">
        <f>IF($A473="","",MASTER_REGISTER!J470)</f>
        <v/>
      </c>
      <c r="H473" s="32">
        <f>IF($A473="","",MASTER_REGISTER!L470)</f>
        <v/>
      </c>
      <c r="I473" s="32">
        <f>IF($A473="","",MASTER_REGISTER!M470)</f>
        <v/>
      </c>
      <c r="J473" s="31">
        <f>IF($A473="","",MASTER_REGISTER!N470)</f>
        <v/>
      </c>
    </row>
    <row r="474">
      <c r="A474" s="31">
        <f>IF(MASTER_REGISTER!E471="","",MASTER_REGISTER!E471)</f>
        <v/>
      </c>
      <c r="B474" s="31">
        <f>IF($A474="","",MASTER_REGISTER!F471)</f>
        <v/>
      </c>
      <c r="C474" s="31">
        <f>IF($A474="","",MASTER_REGISTER!C471)</f>
        <v/>
      </c>
      <c r="D474" s="31">
        <f>IF($A474="","",MASTER_REGISTER!H471)</f>
        <v/>
      </c>
      <c r="E474" s="31">
        <f>IF($A474="","",MASTER_REGISTER!G471)</f>
        <v/>
      </c>
      <c r="F474" s="31">
        <f>IF($A474="","",MASTER_REGISTER!I471)</f>
        <v/>
      </c>
      <c r="G474" s="32">
        <f>IF($A474="","",MASTER_REGISTER!J471)</f>
        <v/>
      </c>
      <c r="H474" s="32">
        <f>IF($A474="","",MASTER_REGISTER!L471)</f>
        <v/>
      </c>
      <c r="I474" s="32">
        <f>IF($A474="","",MASTER_REGISTER!M471)</f>
        <v/>
      </c>
      <c r="J474" s="31">
        <f>IF($A474="","",MASTER_REGISTER!N471)</f>
        <v/>
      </c>
    </row>
    <row r="475">
      <c r="A475" s="31">
        <f>IF(MASTER_REGISTER!E472="","",MASTER_REGISTER!E472)</f>
        <v/>
      </c>
      <c r="B475" s="31">
        <f>IF($A475="","",MASTER_REGISTER!F472)</f>
        <v/>
      </c>
      <c r="C475" s="31">
        <f>IF($A475="","",MASTER_REGISTER!C472)</f>
        <v/>
      </c>
      <c r="D475" s="31">
        <f>IF($A475="","",MASTER_REGISTER!H472)</f>
        <v/>
      </c>
      <c r="E475" s="31">
        <f>IF($A475="","",MASTER_REGISTER!G472)</f>
        <v/>
      </c>
      <c r="F475" s="31">
        <f>IF($A475="","",MASTER_REGISTER!I472)</f>
        <v/>
      </c>
      <c r="G475" s="32">
        <f>IF($A475="","",MASTER_REGISTER!J472)</f>
        <v/>
      </c>
      <c r="H475" s="32">
        <f>IF($A475="","",MASTER_REGISTER!L472)</f>
        <v/>
      </c>
      <c r="I475" s="32">
        <f>IF($A475="","",MASTER_REGISTER!M472)</f>
        <v/>
      </c>
      <c r="J475" s="31">
        <f>IF($A475="","",MASTER_REGISTER!N472)</f>
        <v/>
      </c>
    </row>
    <row r="476">
      <c r="A476" s="31">
        <f>IF(MASTER_REGISTER!E473="","",MASTER_REGISTER!E473)</f>
        <v/>
      </c>
      <c r="B476" s="31">
        <f>IF($A476="","",MASTER_REGISTER!F473)</f>
        <v/>
      </c>
      <c r="C476" s="31">
        <f>IF($A476="","",MASTER_REGISTER!C473)</f>
        <v/>
      </c>
      <c r="D476" s="31">
        <f>IF($A476="","",MASTER_REGISTER!H473)</f>
        <v/>
      </c>
      <c r="E476" s="31">
        <f>IF($A476="","",MASTER_REGISTER!G473)</f>
        <v/>
      </c>
      <c r="F476" s="31">
        <f>IF($A476="","",MASTER_REGISTER!I473)</f>
        <v/>
      </c>
      <c r="G476" s="32">
        <f>IF($A476="","",MASTER_REGISTER!J473)</f>
        <v/>
      </c>
      <c r="H476" s="32">
        <f>IF($A476="","",MASTER_REGISTER!L473)</f>
        <v/>
      </c>
      <c r="I476" s="32">
        <f>IF($A476="","",MASTER_REGISTER!M473)</f>
        <v/>
      </c>
      <c r="J476" s="31">
        <f>IF($A476="","",MASTER_REGISTER!N473)</f>
        <v/>
      </c>
    </row>
    <row r="477">
      <c r="A477" s="31">
        <f>IF(MASTER_REGISTER!E474="","",MASTER_REGISTER!E474)</f>
        <v/>
      </c>
      <c r="B477" s="31">
        <f>IF($A477="","",MASTER_REGISTER!F474)</f>
        <v/>
      </c>
      <c r="C477" s="31">
        <f>IF($A477="","",MASTER_REGISTER!C474)</f>
        <v/>
      </c>
      <c r="D477" s="31">
        <f>IF($A477="","",MASTER_REGISTER!H474)</f>
        <v/>
      </c>
      <c r="E477" s="31">
        <f>IF($A477="","",MASTER_REGISTER!G474)</f>
        <v/>
      </c>
      <c r="F477" s="31">
        <f>IF($A477="","",MASTER_REGISTER!I474)</f>
        <v/>
      </c>
      <c r="G477" s="32">
        <f>IF($A477="","",MASTER_REGISTER!J474)</f>
        <v/>
      </c>
      <c r="H477" s="32">
        <f>IF($A477="","",MASTER_REGISTER!L474)</f>
        <v/>
      </c>
      <c r="I477" s="32">
        <f>IF($A477="","",MASTER_REGISTER!M474)</f>
        <v/>
      </c>
      <c r="J477" s="31">
        <f>IF($A477="","",MASTER_REGISTER!N474)</f>
        <v/>
      </c>
    </row>
    <row r="478">
      <c r="A478" s="31">
        <f>IF(MASTER_REGISTER!E475="","",MASTER_REGISTER!E475)</f>
        <v/>
      </c>
      <c r="B478" s="31">
        <f>IF($A478="","",MASTER_REGISTER!F475)</f>
        <v/>
      </c>
      <c r="C478" s="31">
        <f>IF($A478="","",MASTER_REGISTER!C475)</f>
        <v/>
      </c>
      <c r="D478" s="31">
        <f>IF($A478="","",MASTER_REGISTER!H475)</f>
        <v/>
      </c>
      <c r="E478" s="31">
        <f>IF($A478="","",MASTER_REGISTER!G475)</f>
        <v/>
      </c>
      <c r="F478" s="31">
        <f>IF($A478="","",MASTER_REGISTER!I475)</f>
        <v/>
      </c>
      <c r="G478" s="32">
        <f>IF($A478="","",MASTER_REGISTER!J475)</f>
        <v/>
      </c>
      <c r="H478" s="32">
        <f>IF($A478="","",MASTER_REGISTER!L475)</f>
        <v/>
      </c>
      <c r="I478" s="32">
        <f>IF($A478="","",MASTER_REGISTER!M475)</f>
        <v/>
      </c>
      <c r="J478" s="31">
        <f>IF($A478="","",MASTER_REGISTER!N475)</f>
        <v/>
      </c>
    </row>
    <row r="479">
      <c r="A479" s="31">
        <f>IF(MASTER_REGISTER!E476="","",MASTER_REGISTER!E476)</f>
        <v/>
      </c>
      <c r="B479" s="31">
        <f>IF($A479="","",MASTER_REGISTER!F476)</f>
        <v/>
      </c>
      <c r="C479" s="31">
        <f>IF($A479="","",MASTER_REGISTER!C476)</f>
        <v/>
      </c>
      <c r="D479" s="31">
        <f>IF($A479="","",MASTER_REGISTER!H476)</f>
        <v/>
      </c>
      <c r="E479" s="31">
        <f>IF($A479="","",MASTER_REGISTER!G476)</f>
        <v/>
      </c>
      <c r="F479" s="31">
        <f>IF($A479="","",MASTER_REGISTER!I476)</f>
        <v/>
      </c>
      <c r="G479" s="32">
        <f>IF($A479="","",MASTER_REGISTER!J476)</f>
        <v/>
      </c>
      <c r="H479" s="32">
        <f>IF($A479="","",MASTER_REGISTER!L476)</f>
        <v/>
      </c>
      <c r="I479" s="32">
        <f>IF($A479="","",MASTER_REGISTER!M476)</f>
        <v/>
      </c>
      <c r="J479" s="31">
        <f>IF($A479="","",MASTER_REGISTER!N476)</f>
        <v/>
      </c>
    </row>
    <row r="480">
      <c r="A480" s="31">
        <f>IF(MASTER_REGISTER!E477="","",MASTER_REGISTER!E477)</f>
        <v/>
      </c>
      <c r="B480" s="31">
        <f>IF($A480="","",MASTER_REGISTER!F477)</f>
        <v/>
      </c>
      <c r="C480" s="31">
        <f>IF($A480="","",MASTER_REGISTER!C477)</f>
        <v/>
      </c>
      <c r="D480" s="31">
        <f>IF($A480="","",MASTER_REGISTER!H477)</f>
        <v/>
      </c>
      <c r="E480" s="31">
        <f>IF($A480="","",MASTER_REGISTER!G477)</f>
        <v/>
      </c>
      <c r="F480" s="31">
        <f>IF($A480="","",MASTER_REGISTER!I477)</f>
        <v/>
      </c>
      <c r="G480" s="32">
        <f>IF($A480="","",MASTER_REGISTER!J477)</f>
        <v/>
      </c>
      <c r="H480" s="32">
        <f>IF($A480="","",MASTER_REGISTER!L477)</f>
        <v/>
      </c>
      <c r="I480" s="32">
        <f>IF($A480="","",MASTER_REGISTER!M477)</f>
        <v/>
      </c>
      <c r="J480" s="31">
        <f>IF($A480="","",MASTER_REGISTER!N477)</f>
        <v/>
      </c>
    </row>
    <row r="481">
      <c r="A481" s="31">
        <f>IF(MASTER_REGISTER!E478="","",MASTER_REGISTER!E478)</f>
        <v/>
      </c>
      <c r="B481" s="31">
        <f>IF($A481="","",MASTER_REGISTER!F478)</f>
        <v/>
      </c>
      <c r="C481" s="31">
        <f>IF($A481="","",MASTER_REGISTER!C478)</f>
        <v/>
      </c>
      <c r="D481" s="31">
        <f>IF($A481="","",MASTER_REGISTER!H478)</f>
        <v/>
      </c>
      <c r="E481" s="31">
        <f>IF($A481="","",MASTER_REGISTER!G478)</f>
        <v/>
      </c>
      <c r="F481" s="31">
        <f>IF($A481="","",MASTER_REGISTER!I478)</f>
        <v/>
      </c>
      <c r="G481" s="32">
        <f>IF($A481="","",MASTER_REGISTER!J478)</f>
        <v/>
      </c>
      <c r="H481" s="32">
        <f>IF($A481="","",MASTER_REGISTER!L478)</f>
        <v/>
      </c>
      <c r="I481" s="32">
        <f>IF($A481="","",MASTER_REGISTER!M478)</f>
        <v/>
      </c>
      <c r="J481" s="31">
        <f>IF($A481="","",MASTER_REGISTER!N478)</f>
        <v/>
      </c>
    </row>
    <row r="482">
      <c r="A482" s="31">
        <f>IF(MASTER_REGISTER!E479="","",MASTER_REGISTER!E479)</f>
        <v/>
      </c>
      <c r="B482" s="31">
        <f>IF($A482="","",MASTER_REGISTER!F479)</f>
        <v/>
      </c>
      <c r="C482" s="31">
        <f>IF($A482="","",MASTER_REGISTER!C479)</f>
        <v/>
      </c>
      <c r="D482" s="31">
        <f>IF($A482="","",MASTER_REGISTER!H479)</f>
        <v/>
      </c>
      <c r="E482" s="31">
        <f>IF($A482="","",MASTER_REGISTER!G479)</f>
        <v/>
      </c>
      <c r="F482" s="31">
        <f>IF($A482="","",MASTER_REGISTER!I479)</f>
        <v/>
      </c>
      <c r="G482" s="32">
        <f>IF($A482="","",MASTER_REGISTER!J479)</f>
        <v/>
      </c>
      <c r="H482" s="32">
        <f>IF($A482="","",MASTER_REGISTER!L479)</f>
        <v/>
      </c>
      <c r="I482" s="32">
        <f>IF($A482="","",MASTER_REGISTER!M479)</f>
        <v/>
      </c>
      <c r="J482" s="31">
        <f>IF($A482="","",MASTER_REGISTER!N479)</f>
        <v/>
      </c>
    </row>
    <row r="483">
      <c r="A483" s="31">
        <f>IF(MASTER_REGISTER!E480="","",MASTER_REGISTER!E480)</f>
        <v/>
      </c>
      <c r="B483" s="31">
        <f>IF($A483="","",MASTER_REGISTER!F480)</f>
        <v/>
      </c>
      <c r="C483" s="31">
        <f>IF($A483="","",MASTER_REGISTER!C480)</f>
        <v/>
      </c>
      <c r="D483" s="31">
        <f>IF($A483="","",MASTER_REGISTER!H480)</f>
        <v/>
      </c>
      <c r="E483" s="31">
        <f>IF($A483="","",MASTER_REGISTER!G480)</f>
        <v/>
      </c>
      <c r="F483" s="31">
        <f>IF($A483="","",MASTER_REGISTER!I480)</f>
        <v/>
      </c>
      <c r="G483" s="32">
        <f>IF($A483="","",MASTER_REGISTER!J480)</f>
        <v/>
      </c>
      <c r="H483" s="32">
        <f>IF($A483="","",MASTER_REGISTER!L480)</f>
        <v/>
      </c>
      <c r="I483" s="32">
        <f>IF($A483="","",MASTER_REGISTER!M480)</f>
        <v/>
      </c>
      <c r="J483" s="31">
        <f>IF($A483="","",MASTER_REGISTER!N480)</f>
        <v/>
      </c>
    </row>
    <row r="484">
      <c r="A484" s="31">
        <f>IF(MASTER_REGISTER!E481="","",MASTER_REGISTER!E481)</f>
        <v/>
      </c>
      <c r="B484" s="31">
        <f>IF($A484="","",MASTER_REGISTER!F481)</f>
        <v/>
      </c>
      <c r="C484" s="31">
        <f>IF($A484="","",MASTER_REGISTER!C481)</f>
        <v/>
      </c>
      <c r="D484" s="31">
        <f>IF($A484="","",MASTER_REGISTER!H481)</f>
        <v/>
      </c>
      <c r="E484" s="31">
        <f>IF($A484="","",MASTER_REGISTER!G481)</f>
        <v/>
      </c>
      <c r="F484" s="31">
        <f>IF($A484="","",MASTER_REGISTER!I481)</f>
        <v/>
      </c>
      <c r="G484" s="32">
        <f>IF($A484="","",MASTER_REGISTER!J481)</f>
        <v/>
      </c>
      <c r="H484" s="32">
        <f>IF($A484="","",MASTER_REGISTER!L481)</f>
        <v/>
      </c>
      <c r="I484" s="32">
        <f>IF($A484="","",MASTER_REGISTER!M481)</f>
        <v/>
      </c>
      <c r="J484" s="31">
        <f>IF($A484="","",MASTER_REGISTER!N481)</f>
        <v/>
      </c>
    </row>
    <row r="485">
      <c r="A485" s="31">
        <f>IF(MASTER_REGISTER!E482="","",MASTER_REGISTER!E482)</f>
        <v/>
      </c>
      <c r="B485" s="31">
        <f>IF($A485="","",MASTER_REGISTER!F482)</f>
        <v/>
      </c>
      <c r="C485" s="31">
        <f>IF($A485="","",MASTER_REGISTER!C482)</f>
        <v/>
      </c>
      <c r="D485" s="31">
        <f>IF($A485="","",MASTER_REGISTER!H482)</f>
        <v/>
      </c>
      <c r="E485" s="31">
        <f>IF($A485="","",MASTER_REGISTER!G482)</f>
        <v/>
      </c>
      <c r="F485" s="31">
        <f>IF($A485="","",MASTER_REGISTER!I482)</f>
        <v/>
      </c>
      <c r="G485" s="32">
        <f>IF($A485="","",MASTER_REGISTER!J482)</f>
        <v/>
      </c>
      <c r="H485" s="32">
        <f>IF($A485="","",MASTER_REGISTER!L482)</f>
        <v/>
      </c>
      <c r="I485" s="32">
        <f>IF($A485="","",MASTER_REGISTER!M482)</f>
        <v/>
      </c>
      <c r="J485" s="31">
        <f>IF($A485="","",MASTER_REGISTER!N482)</f>
        <v/>
      </c>
    </row>
    <row r="486">
      <c r="A486" s="31">
        <f>IF(MASTER_REGISTER!E483="","",MASTER_REGISTER!E483)</f>
        <v/>
      </c>
      <c r="B486" s="31">
        <f>IF($A486="","",MASTER_REGISTER!F483)</f>
        <v/>
      </c>
      <c r="C486" s="31">
        <f>IF($A486="","",MASTER_REGISTER!C483)</f>
        <v/>
      </c>
      <c r="D486" s="31">
        <f>IF($A486="","",MASTER_REGISTER!H483)</f>
        <v/>
      </c>
      <c r="E486" s="31">
        <f>IF($A486="","",MASTER_REGISTER!G483)</f>
        <v/>
      </c>
      <c r="F486" s="31">
        <f>IF($A486="","",MASTER_REGISTER!I483)</f>
        <v/>
      </c>
      <c r="G486" s="32">
        <f>IF($A486="","",MASTER_REGISTER!J483)</f>
        <v/>
      </c>
      <c r="H486" s="32">
        <f>IF($A486="","",MASTER_REGISTER!L483)</f>
        <v/>
      </c>
      <c r="I486" s="32">
        <f>IF($A486="","",MASTER_REGISTER!M483)</f>
        <v/>
      </c>
      <c r="J486" s="31">
        <f>IF($A486="","",MASTER_REGISTER!N483)</f>
        <v/>
      </c>
    </row>
    <row r="487">
      <c r="A487" s="31">
        <f>IF(MASTER_REGISTER!E484="","",MASTER_REGISTER!E484)</f>
        <v/>
      </c>
      <c r="B487" s="31">
        <f>IF($A487="","",MASTER_REGISTER!F484)</f>
        <v/>
      </c>
      <c r="C487" s="31">
        <f>IF($A487="","",MASTER_REGISTER!C484)</f>
        <v/>
      </c>
      <c r="D487" s="31">
        <f>IF($A487="","",MASTER_REGISTER!H484)</f>
        <v/>
      </c>
      <c r="E487" s="31">
        <f>IF($A487="","",MASTER_REGISTER!G484)</f>
        <v/>
      </c>
      <c r="F487" s="31">
        <f>IF($A487="","",MASTER_REGISTER!I484)</f>
        <v/>
      </c>
      <c r="G487" s="32">
        <f>IF($A487="","",MASTER_REGISTER!J484)</f>
        <v/>
      </c>
      <c r="H487" s="32">
        <f>IF($A487="","",MASTER_REGISTER!L484)</f>
        <v/>
      </c>
      <c r="I487" s="32">
        <f>IF($A487="","",MASTER_REGISTER!M484)</f>
        <v/>
      </c>
      <c r="J487" s="31">
        <f>IF($A487="","",MASTER_REGISTER!N484)</f>
        <v/>
      </c>
    </row>
    <row r="488">
      <c r="A488" s="31">
        <f>IF(MASTER_REGISTER!E485="","",MASTER_REGISTER!E485)</f>
        <v/>
      </c>
      <c r="B488" s="31">
        <f>IF($A488="","",MASTER_REGISTER!F485)</f>
        <v/>
      </c>
      <c r="C488" s="31">
        <f>IF($A488="","",MASTER_REGISTER!C485)</f>
        <v/>
      </c>
      <c r="D488" s="31">
        <f>IF($A488="","",MASTER_REGISTER!H485)</f>
        <v/>
      </c>
      <c r="E488" s="31">
        <f>IF($A488="","",MASTER_REGISTER!G485)</f>
        <v/>
      </c>
      <c r="F488" s="31">
        <f>IF($A488="","",MASTER_REGISTER!I485)</f>
        <v/>
      </c>
      <c r="G488" s="32">
        <f>IF($A488="","",MASTER_REGISTER!J485)</f>
        <v/>
      </c>
      <c r="H488" s="32">
        <f>IF($A488="","",MASTER_REGISTER!L485)</f>
        <v/>
      </c>
      <c r="I488" s="32">
        <f>IF($A488="","",MASTER_REGISTER!M485)</f>
        <v/>
      </c>
      <c r="J488" s="31">
        <f>IF($A488="","",MASTER_REGISTER!N485)</f>
        <v/>
      </c>
    </row>
    <row r="489">
      <c r="A489" s="31">
        <f>IF(MASTER_REGISTER!E486="","",MASTER_REGISTER!E486)</f>
        <v/>
      </c>
      <c r="B489" s="31">
        <f>IF($A489="","",MASTER_REGISTER!F486)</f>
        <v/>
      </c>
      <c r="C489" s="31">
        <f>IF($A489="","",MASTER_REGISTER!C486)</f>
        <v/>
      </c>
      <c r="D489" s="31">
        <f>IF($A489="","",MASTER_REGISTER!H486)</f>
        <v/>
      </c>
      <c r="E489" s="31">
        <f>IF($A489="","",MASTER_REGISTER!G486)</f>
        <v/>
      </c>
      <c r="F489" s="31">
        <f>IF($A489="","",MASTER_REGISTER!I486)</f>
        <v/>
      </c>
      <c r="G489" s="32">
        <f>IF($A489="","",MASTER_REGISTER!J486)</f>
        <v/>
      </c>
      <c r="H489" s="32">
        <f>IF($A489="","",MASTER_REGISTER!L486)</f>
        <v/>
      </c>
      <c r="I489" s="32">
        <f>IF($A489="","",MASTER_REGISTER!M486)</f>
        <v/>
      </c>
      <c r="J489" s="31">
        <f>IF($A489="","",MASTER_REGISTER!N486)</f>
        <v/>
      </c>
    </row>
    <row r="490">
      <c r="A490" s="31">
        <f>IF(MASTER_REGISTER!E487="","",MASTER_REGISTER!E487)</f>
        <v/>
      </c>
      <c r="B490" s="31">
        <f>IF($A490="","",MASTER_REGISTER!F487)</f>
        <v/>
      </c>
      <c r="C490" s="31">
        <f>IF($A490="","",MASTER_REGISTER!C487)</f>
        <v/>
      </c>
      <c r="D490" s="31">
        <f>IF($A490="","",MASTER_REGISTER!H487)</f>
        <v/>
      </c>
      <c r="E490" s="31">
        <f>IF($A490="","",MASTER_REGISTER!G487)</f>
        <v/>
      </c>
      <c r="F490" s="31">
        <f>IF($A490="","",MASTER_REGISTER!I487)</f>
        <v/>
      </c>
      <c r="G490" s="32">
        <f>IF($A490="","",MASTER_REGISTER!J487)</f>
        <v/>
      </c>
      <c r="H490" s="32">
        <f>IF($A490="","",MASTER_REGISTER!L487)</f>
        <v/>
      </c>
      <c r="I490" s="32">
        <f>IF($A490="","",MASTER_REGISTER!M487)</f>
        <v/>
      </c>
      <c r="J490" s="31">
        <f>IF($A490="","",MASTER_REGISTER!N487)</f>
        <v/>
      </c>
    </row>
    <row r="491">
      <c r="A491" s="31">
        <f>IF(MASTER_REGISTER!E488="","",MASTER_REGISTER!E488)</f>
        <v/>
      </c>
      <c r="B491" s="31">
        <f>IF($A491="","",MASTER_REGISTER!F488)</f>
        <v/>
      </c>
      <c r="C491" s="31">
        <f>IF($A491="","",MASTER_REGISTER!C488)</f>
        <v/>
      </c>
      <c r="D491" s="31">
        <f>IF($A491="","",MASTER_REGISTER!H488)</f>
        <v/>
      </c>
      <c r="E491" s="31">
        <f>IF($A491="","",MASTER_REGISTER!G488)</f>
        <v/>
      </c>
      <c r="F491" s="31">
        <f>IF($A491="","",MASTER_REGISTER!I488)</f>
        <v/>
      </c>
      <c r="G491" s="32">
        <f>IF($A491="","",MASTER_REGISTER!J488)</f>
        <v/>
      </c>
      <c r="H491" s="32">
        <f>IF($A491="","",MASTER_REGISTER!L488)</f>
        <v/>
      </c>
      <c r="I491" s="32">
        <f>IF($A491="","",MASTER_REGISTER!M488)</f>
        <v/>
      </c>
      <c r="J491" s="31">
        <f>IF($A491="","",MASTER_REGISTER!N488)</f>
        <v/>
      </c>
    </row>
    <row r="492">
      <c r="A492" s="31">
        <f>IF(MASTER_REGISTER!E489="","",MASTER_REGISTER!E489)</f>
        <v/>
      </c>
      <c r="B492" s="31">
        <f>IF($A492="","",MASTER_REGISTER!F489)</f>
        <v/>
      </c>
      <c r="C492" s="31">
        <f>IF($A492="","",MASTER_REGISTER!C489)</f>
        <v/>
      </c>
      <c r="D492" s="31">
        <f>IF($A492="","",MASTER_REGISTER!H489)</f>
        <v/>
      </c>
      <c r="E492" s="31">
        <f>IF($A492="","",MASTER_REGISTER!G489)</f>
        <v/>
      </c>
      <c r="F492" s="31">
        <f>IF($A492="","",MASTER_REGISTER!I489)</f>
        <v/>
      </c>
      <c r="G492" s="32">
        <f>IF($A492="","",MASTER_REGISTER!J489)</f>
        <v/>
      </c>
      <c r="H492" s="32">
        <f>IF($A492="","",MASTER_REGISTER!L489)</f>
        <v/>
      </c>
      <c r="I492" s="32">
        <f>IF($A492="","",MASTER_REGISTER!M489)</f>
        <v/>
      </c>
      <c r="J492" s="31">
        <f>IF($A492="","",MASTER_REGISTER!N489)</f>
        <v/>
      </c>
    </row>
    <row r="493">
      <c r="A493" s="31">
        <f>IF(MASTER_REGISTER!E490="","",MASTER_REGISTER!E490)</f>
        <v/>
      </c>
      <c r="B493" s="31">
        <f>IF($A493="","",MASTER_REGISTER!F490)</f>
        <v/>
      </c>
      <c r="C493" s="31">
        <f>IF($A493="","",MASTER_REGISTER!C490)</f>
        <v/>
      </c>
      <c r="D493" s="31">
        <f>IF($A493="","",MASTER_REGISTER!H490)</f>
        <v/>
      </c>
      <c r="E493" s="31">
        <f>IF($A493="","",MASTER_REGISTER!G490)</f>
        <v/>
      </c>
      <c r="F493" s="31">
        <f>IF($A493="","",MASTER_REGISTER!I490)</f>
        <v/>
      </c>
      <c r="G493" s="32">
        <f>IF($A493="","",MASTER_REGISTER!J490)</f>
        <v/>
      </c>
      <c r="H493" s="32">
        <f>IF($A493="","",MASTER_REGISTER!L490)</f>
        <v/>
      </c>
      <c r="I493" s="32">
        <f>IF($A493="","",MASTER_REGISTER!M490)</f>
        <v/>
      </c>
      <c r="J493" s="31">
        <f>IF($A493="","",MASTER_REGISTER!N490)</f>
        <v/>
      </c>
    </row>
    <row r="494">
      <c r="A494" s="31">
        <f>IF(MASTER_REGISTER!E491="","",MASTER_REGISTER!E491)</f>
        <v/>
      </c>
      <c r="B494" s="31">
        <f>IF($A494="","",MASTER_REGISTER!F491)</f>
        <v/>
      </c>
      <c r="C494" s="31">
        <f>IF($A494="","",MASTER_REGISTER!C491)</f>
        <v/>
      </c>
      <c r="D494" s="31">
        <f>IF($A494="","",MASTER_REGISTER!H491)</f>
        <v/>
      </c>
      <c r="E494" s="31">
        <f>IF($A494="","",MASTER_REGISTER!G491)</f>
        <v/>
      </c>
      <c r="F494" s="31">
        <f>IF($A494="","",MASTER_REGISTER!I491)</f>
        <v/>
      </c>
      <c r="G494" s="32">
        <f>IF($A494="","",MASTER_REGISTER!J491)</f>
        <v/>
      </c>
      <c r="H494" s="32">
        <f>IF($A494="","",MASTER_REGISTER!L491)</f>
        <v/>
      </c>
      <c r="I494" s="32">
        <f>IF($A494="","",MASTER_REGISTER!M491)</f>
        <v/>
      </c>
      <c r="J494" s="31">
        <f>IF($A494="","",MASTER_REGISTER!N491)</f>
        <v/>
      </c>
    </row>
    <row r="495">
      <c r="A495" s="31">
        <f>IF(MASTER_REGISTER!E492="","",MASTER_REGISTER!E492)</f>
        <v/>
      </c>
      <c r="B495" s="31">
        <f>IF($A495="","",MASTER_REGISTER!F492)</f>
        <v/>
      </c>
      <c r="C495" s="31">
        <f>IF($A495="","",MASTER_REGISTER!C492)</f>
        <v/>
      </c>
      <c r="D495" s="31">
        <f>IF($A495="","",MASTER_REGISTER!H492)</f>
        <v/>
      </c>
      <c r="E495" s="31">
        <f>IF($A495="","",MASTER_REGISTER!G492)</f>
        <v/>
      </c>
      <c r="F495" s="31">
        <f>IF($A495="","",MASTER_REGISTER!I492)</f>
        <v/>
      </c>
      <c r="G495" s="32">
        <f>IF($A495="","",MASTER_REGISTER!J492)</f>
        <v/>
      </c>
      <c r="H495" s="32">
        <f>IF($A495="","",MASTER_REGISTER!L492)</f>
        <v/>
      </c>
      <c r="I495" s="32">
        <f>IF($A495="","",MASTER_REGISTER!M492)</f>
        <v/>
      </c>
      <c r="J495" s="31">
        <f>IF($A495="","",MASTER_REGISTER!N492)</f>
        <v/>
      </c>
    </row>
    <row r="496">
      <c r="A496" s="31">
        <f>IF(MASTER_REGISTER!E493="","",MASTER_REGISTER!E493)</f>
        <v/>
      </c>
      <c r="B496" s="31">
        <f>IF($A496="","",MASTER_REGISTER!F493)</f>
        <v/>
      </c>
      <c r="C496" s="31">
        <f>IF($A496="","",MASTER_REGISTER!C493)</f>
        <v/>
      </c>
      <c r="D496" s="31">
        <f>IF($A496="","",MASTER_REGISTER!H493)</f>
        <v/>
      </c>
      <c r="E496" s="31">
        <f>IF($A496="","",MASTER_REGISTER!G493)</f>
        <v/>
      </c>
      <c r="F496" s="31">
        <f>IF($A496="","",MASTER_REGISTER!I493)</f>
        <v/>
      </c>
      <c r="G496" s="32">
        <f>IF($A496="","",MASTER_REGISTER!J493)</f>
        <v/>
      </c>
      <c r="H496" s="32">
        <f>IF($A496="","",MASTER_REGISTER!L493)</f>
        <v/>
      </c>
      <c r="I496" s="32">
        <f>IF($A496="","",MASTER_REGISTER!M493)</f>
        <v/>
      </c>
      <c r="J496" s="31">
        <f>IF($A496="","",MASTER_REGISTER!N493)</f>
        <v/>
      </c>
    </row>
    <row r="497">
      <c r="A497" s="31">
        <f>IF(MASTER_REGISTER!E494="","",MASTER_REGISTER!E494)</f>
        <v/>
      </c>
      <c r="B497" s="31">
        <f>IF($A497="","",MASTER_REGISTER!F494)</f>
        <v/>
      </c>
      <c r="C497" s="31">
        <f>IF($A497="","",MASTER_REGISTER!C494)</f>
        <v/>
      </c>
      <c r="D497" s="31">
        <f>IF($A497="","",MASTER_REGISTER!H494)</f>
        <v/>
      </c>
      <c r="E497" s="31">
        <f>IF($A497="","",MASTER_REGISTER!G494)</f>
        <v/>
      </c>
      <c r="F497" s="31">
        <f>IF($A497="","",MASTER_REGISTER!I494)</f>
        <v/>
      </c>
      <c r="G497" s="32">
        <f>IF($A497="","",MASTER_REGISTER!J494)</f>
        <v/>
      </c>
      <c r="H497" s="32">
        <f>IF($A497="","",MASTER_REGISTER!L494)</f>
        <v/>
      </c>
      <c r="I497" s="32">
        <f>IF($A497="","",MASTER_REGISTER!M494)</f>
        <v/>
      </c>
      <c r="J497" s="31">
        <f>IF($A497="","",MASTER_REGISTER!N494)</f>
        <v/>
      </c>
    </row>
    <row r="498">
      <c r="A498" s="31">
        <f>IF(MASTER_REGISTER!E495="","",MASTER_REGISTER!E495)</f>
        <v/>
      </c>
      <c r="B498" s="31">
        <f>IF($A498="","",MASTER_REGISTER!F495)</f>
        <v/>
      </c>
      <c r="C498" s="31">
        <f>IF($A498="","",MASTER_REGISTER!C495)</f>
        <v/>
      </c>
      <c r="D498" s="31">
        <f>IF($A498="","",MASTER_REGISTER!H495)</f>
        <v/>
      </c>
      <c r="E498" s="31">
        <f>IF($A498="","",MASTER_REGISTER!G495)</f>
        <v/>
      </c>
      <c r="F498" s="31">
        <f>IF($A498="","",MASTER_REGISTER!I495)</f>
        <v/>
      </c>
      <c r="G498" s="32">
        <f>IF($A498="","",MASTER_REGISTER!J495)</f>
        <v/>
      </c>
      <c r="H498" s="32">
        <f>IF($A498="","",MASTER_REGISTER!L495)</f>
        <v/>
      </c>
      <c r="I498" s="32">
        <f>IF($A498="","",MASTER_REGISTER!M495)</f>
        <v/>
      </c>
      <c r="J498" s="31">
        <f>IF($A498="","",MASTER_REGISTER!N495)</f>
        <v/>
      </c>
    </row>
    <row r="499">
      <c r="A499" s="31">
        <f>IF(MASTER_REGISTER!E496="","",MASTER_REGISTER!E496)</f>
        <v/>
      </c>
      <c r="B499" s="31">
        <f>IF($A499="","",MASTER_REGISTER!F496)</f>
        <v/>
      </c>
      <c r="C499" s="31">
        <f>IF($A499="","",MASTER_REGISTER!C496)</f>
        <v/>
      </c>
      <c r="D499" s="31">
        <f>IF($A499="","",MASTER_REGISTER!H496)</f>
        <v/>
      </c>
      <c r="E499" s="31">
        <f>IF($A499="","",MASTER_REGISTER!G496)</f>
        <v/>
      </c>
      <c r="F499" s="31">
        <f>IF($A499="","",MASTER_REGISTER!I496)</f>
        <v/>
      </c>
      <c r="G499" s="32">
        <f>IF($A499="","",MASTER_REGISTER!J496)</f>
        <v/>
      </c>
      <c r="H499" s="32">
        <f>IF($A499="","",MASTER_REGISTER!L496)</f>
        <v/>
      </c>
      <c r="I499" s="32">
        <f>IF($A499="","",MASTER_REGISTER!M496)</f>
        <v/>
      </c>
      <c r="J499" s="31">
        <f>IF($A499="","",MASTER_REGISTER!N496)</f>
        <v/>
      </c>
    </row>
    <row r="500">
      <c r="A500" s="31">
        <f>IF(MASTER_REGISTER!E497="","",MASTER_REGISTER!E497)</f>
        <v/>
      </c>
      <c r="B500" s="31">
        <f>IF($A500="","",MASTER_REGISTER!F497)</f>
        <v/>
      </c>
      <c r="C500" s="31">
        <f>IF($A500="","",MASTER_REGISTER!C497)</f>
        <v/>
      </c>
      <c r="D500" s="31">
        <f>IF($A500="","",MASTER_REGISTER!H497)</f>
        <v/>
      </c>
      <c r="E500" s="31">
        <f>IF($A500="","",MASTER_REGISTER!G497)</f>
        <v/>
      </c>
      <c r="F500" s="31">
        <f>IF($A500="","",MASTER_REGISTER!I497)</f>
        <v/>
      </c>
      <c r="G500" s="32">
        <f>IF($A500="","",MASTER_REGISTER!J497)</f>
        <v/>
      </c>
      <c r="H500" s="32">
        <f>IF($A500="","",MASTER_REGISTER!L497)</f>
        <v/>
      </c>
      <c r="I500" s="32">
        <f>IF($A500="","",MASTER_REGISTER!M497)</f>
        <v/>
      </c>
      <c r="J500" s="31">
        <f>IF($A500="","",MASTER_REGISTER!N497)</f>
        <v/>
      </c>
    </row>
    <row r="501">
      <c r="A501" s="31">
        <f>IF(MASTER_REGISTER!E498="","",MASTER_REGISTER!E498)</f>
        <v/>
      </c>
      <c r="B501" s="31">
        <f>IF($A501="","",MASTER_REGISTER!F498)</f>
        <v/>
      </c>
      <c r="C501" s="31">
        <f>IF($A501="","",MASTER_REGISTER!C498)</f>
        <v/>
      </c>
      <c r="D501" s="31">
        <f>IF($A501="","",MASTER_REGISTER!H498)</f>
        <v/>
      </c>
      <c r="E501" s="31">
        <f>IF($A501="","",MASTER_REGISTER!G498)</f>
        <v/>
      </c>
      <c r="F501" s="31">
        <f>IF($A501="","",MASTER_REGISTER!I498)</f>
        <v/>
      </c>
      <c r="G501" s="32">
        <f>IF($A501="","",MASTER_REGISTER!J498)</f>
        <v/>
      </c>
      <c r="H501" s="32">
        <f>IF($A501="","",MASTER_REGISTER!L498)</f>
        <v/>
      </c>
      <c r="I501" s="32">
        <f>IF($A501="","",MASTER_REGISTER!M498)</f>
        <v/>
      </c>
      <c r="J501" s="31">
        <f>IF($A501="","",MASTER_REGISTER!N498)</f>
        <v/>
      </c>
    </row>
    <row r="502">
      <c r="A502" s="31">
        <f>IF(MASTER_REGISTER!E499="","",MASTER_REGISTER!E499)</f>
        <v/>
      </c>
      <c r="B502" s="31">
        <f>IF($A502="","",MASTER_REGISTER!F499)</f>
        <v/>
      </c>
      <c r="C502" s="31">
        <f>IF($A502="","",MASTER_REGISTER!C499)</f>
        <v/>
      </c>
      <c r="D502" s="31">
        <f>IF($A502="","",MASTER_REGISTER!H499)</f>
        <v/>
      </c>
      <c r="E502" s="31">
        <f>IF($A502="","",MASTER_REGISTER!G499)</f>
        <v/>
      </c>
      <c r="F502" s="31">
        <f>IF($A502="","",MASTER_REGISTER!I499)</f>
        <v/>
      </c>
      <c r="G502" s="32">
        <f>IF($A502="","",MASTER_REGISTER!J499)</f>
        <v/>
      </c>
      <c r="H502" s="32">
        <f>IF($A502="","",MASTER_REGISTER!L499)</f>
        <v/>
      </c>
      <c r="I502" s="32">
        <f>IF($A502="","",MASTER_REGISTER!M499)</f>
        <v/>
      </c>
      <c r="J502" s="31">
        <f>IF($A502="","",MASTER_REGISTER!N499)</f>
        <v/>
      </c>
    </row>
    <row r="503">
      <c r="A503" s="31">
        <f>IF(MASTER_REGISTER!E500="","",MASTER_REGISTER!E500)</f>
        <v/>
      </c>
      <c r="B503" s="31">
        <f>IF($A503="","",MASTER_REGISTER!F500)</f>
        <v/>
      </c>
      <c r="C503" s="31">
        <f>IF($A503="","",MASTER_REGISTER!C500)</f>
        <v/>
      </c>
      <c r="D503" s="31">
        <f>IF($A503="","",MASTER_REGISTER!H500)</f>
        <v/>
      </c>
      <c r="E503" s="31">
        <f>IF($A503="","",MASTER_REGISTER!G500)</f>
        <v/>
      </c>
      <c r="F503" s="31">
        <f>IF($A503="","",MASTER_REGISTER!I500)</f>
        <v/>
      </c>
      <c r="G503" s="32">
        <f>IF($A503="","",MASTER_REGISTER!J500)</f>
        <v/>
      </c>
      <c r="H503" s="32">
        <f>IF($A503="","",MASTER_REGISTER!L500)</f>
        <v/>
      </c>
      <c r="I503" s="32">
        <f>IF($A503="","",MASTER_REGISTER!M500)</f>
        <v/>
      </c>
      <c r="J503" s="31">
        <f>IF($A503="","",MASTER_REGISTER!N500)</f>
        <v/>
      </c>
    </row>
    <row r="504">
      <c r="A504" s="31">
        <f>IF(MASTER_REGISTER!E501="","",MASTER_REGISTER!E501)</f>
        <v/>
      </c>
      <c r="B504" s="31">
        <f>IF($A504="","",MASTER_REGISTER!F501)</f>
        <v/>
      </c>
      <c r="C504" s="31">
        <f>IF($A504="","",MASTER_REGISTER!C501)</f>
        <v/>
      </c>
      <c r="D504" s="31">
        <f>IF($A504="","",MASTER_REGISTER!H501)</f>
        <v/>
      </c>
      <c r="E504" s="31">
        <f>IF($A504="","",MASTER_REGISTER!G501)</f>
        <v/>
      </c>
      <c r="F504" s="31">
        <f>IF($A504="","",MASTER_REGISTER!I501)</f>
        <v/>
      </c>
      <c r="G504" s="32">
        <f>IF($A504="","",MASTER_REGISTER!J501)</f>
        <v/>
      </c>
      <c r="H504" s="32">
        <f>IF($A504="","",MASTER_REGISTER!L501)</f>
        <v/>
      </c>
      <c r="I504" s="32">
        <f>IF($A504="","",MASTER_REGISTER!M501)</f>
        <v/>
      </c>
      <c r="J504" s="31">
        <f>IF($A504="","",MASTER_REGISTER!N501)</f>
        <v/>
      </c>
    </row>
    <row r="506">
      <c r="A506" s="27" t="inlineStr">
        <is>
          <t>EXPORT: Payments</t>
        </is>
      </c>
    </row>
    <row r="507">
      <c r="A507" s="30" t="inlineStr">
        <is>
          <t>Payment Date</t>
        </is>
      </c>
      <c r="B507" s="30" t="inlineStr">
        <is>
          <t>Receipt/Ref</t>
        </is>
      </c>
      <c r="C507" s="30" t="inlineStr">
        <is>
          <t>Student Number</t>
        </is>
      </c>
      <c r="D507" s="30" t="inlineStr">
        <is>
          <t>Payer Name</t>
        </is>
      </c>
      <c r="E507" s="30" t="inlineStr">
        <is>
          <t>Amount Paid (R)</t>
        </is>
      </c>
      <c r="F507" s="30" t="inlineStr">
        <is>
          <t>Method</t>
        </is>
      </c>
      <c r="G507" s="30" t="inlineStr">
        <is>
          <t>Notes</t>
        </is>
      </c>
    </row>
    <row r="508">
      <c r="A508" s="33">
        <f>IF(PAYMENTS!A1="","",PAYMENTS!A1)</f>
        <v/>
      </c>
      <c r="B508" s="31">
        <f>IF($A508="","",PAYMENTS!B1)</f>
        <v/>
      </c>
      <c r="C508" s="31">
        <f>IF($A508="","",PAYMENTS!C1)</f>
        <v/>
      </c>
      <c r="D508" s="31">
        <f>IF($A508="","",PAYMENTS!D1)</f>
        <v/>
      </c>
      <c r="E508" s="32">
        <f>IF($A508="","",PAYMENTS!E1)</f>
        <v/>
      </c>
      <c r="F508" s="31">
        <f>IF($A508="","",PAYMENTS!F1)</f>
        <v/>
      </c>
      <c r="G508" s="31">
        <f>IF($A508="","",PAYMENTS!G1)</f>
        <v/>
      </c>
    </row>
    <row r="509">
      <c r="A509" s="33">
        <f>IF(PAYMENTS!A2="","",PAYMENTS!A2)</f>
        <v/>
      </c>
      <c r="B509" s="31">
        <f>IF($A509="","",PAYMENTS!B2)</f>
        <v/>
      </c>
      <c r="C509" s="31">
        <f>IF($A509="","",PAYMENTS!C2)</f>
        <v/>
      </c>
      <c r="D509" s="31">
        <f>IF($A509="","",PAYMENTS!D2)</f>
        <v/>
      </c>
      <c r="E509" s="32">
        <f>IF($A509="","",PAYMENTS!E2)</f>
        <v/>
      </c>
      <c r="F509" s="31">
        <f>IF($A509="","",PAYMENTS!F2)</f>
        <v/>
      </c>
      <c r="G509" s="31">
        <f>IF($A509="","",PAYMENTS!G2)</f>
        <v/>
      </c>
    </row>
    <row r="510">
      <c r="A510" s="33">
        <f>IF(PAYMENTS!A3="","",PAYMENTS!A3)</f>
        <v/>
      </c>
      <c r="B510" s="31">
        <f>IF($A510="","",PAYMENTS!B3)</f>
        <v/>
      </c>
      <c r="C510" s="31">
        <f>IF($A510="","",PAYMENTS!C3)</f>
        <v/>
      </c>
      <c r="D510" s="31">
        <f>IF($A510="","",PAYMENTS!D3)</f>
        <v/>
      </c>
      <c r="E510" s="32">
        <f>IF($A510="","",PAYMENTS!E3)</f>
        <v/>
      </c>
      <c r="F510" s="31">
        <f>IF($A510="","",PAYMENTS!F3)</f>
        <v/>
      </c>
      <c r="G510" s="31">
        <f>IF($A510="","",PAYMENTS!G3)</f>
        <v/>
      </c>
    </row>
    <row r="511">
      <c r="A511" s="33">
        <f>IF(PAYMENTS!A4="","",PAYMENTS!A4)</f>
        <v/>
      </c>
      <c r="B511" s="31">
        <f>IF($A511="","",PAYMENTS!B4)</f>
        <v/>
      </c>
      <c r="C511" s="31">
        <f>IF($A511="","",PAYMENTS!C4)</f>
        <v/>
      </c>
      <c r="D511" s="31">
        <f>IF($A511="","",PAYMENTS!D4)</f>
        <v/>
      </c>
      <c r="E511" s="32">
        <f>IF($A511="","",PAYMENTS!E4)</f>
        <v/>
      </c>
      <c r="F511" s="31">
        <f>IF($A511="","",PAYMENTS!F4)</f>
        <v/>
      </c>
      <c r="G511" s="31">
        <f>IF($A511="","",PAYMENTS!G4)</f>
        <v/>
      </c>
    </row>
    <row r="512">
      <c r="A512" s="33">
        <f>IF(PAYMENTS!A5="","",PAYMENTS!A5)</f>
        <v/>
      </c>
      <c r="B512" s="31">
        <f>IF($A512="","",PAYMENTS!B5)</f>
        <v/>
      </c>
      <c r="C512" s="31">
        <f>IF($A512="","",PAYMENTS!C5)</f>
        <v/>
      </c>
      <c r="D512" s="31">
        <f>IF($A512="","",PAYMENTS!D5)</f>
        <v/>
      </c>
      <c r="E512" s="32">
        <f>IF($A512="","",PAYMENTS!E5)</f>
        <v/>
      </c>
      <c r="F512" s="31">
        <f>IF($A512="","",PAYMENTS!F5)</f>
        <v/>
      </c>
      <c r="G512" s="31">
        <f>IF($A512="","",PAYMENTS!G5)</f>
        <v/>
      </c>
    </row>
    <row r="513">
      <c r="A513" s="33">
        <f>IF(PAYMENTS!A6="","",PAYMENTS!A6)</f>
        <v/>
      </c>
      <c r="B513" s="31">
        <f>IF($A513="","",PAYMENTS!B6)</f>
        <v/>
      </c>
      <c r="C513" s="31">
        <f>IF($A513="","",PAYMENTS!C6)</f>
        <v/>
      </c>
      <c r="D513" s="31">
        <f>IF($A513="","",PAYMENTS!D6)</f>
        <v/>
      </c>
      <c r="E513" s="32">
        <f>IF($A513="","",PAYMENTS!E6)</f>
        <v/>
      </c>
      <c r="F513" s="31">
        <f>IF($A513="","",PAYMENTS!F6)</f>
        <v/>
      </c>
      <c r="G513" s="31">
        <f>IF($A513="","",PAYMENTS!G6)</f>
        <v/>
      </c>
    </row>
    <row r="514">
      <c r="A514" s="33">
        <f>IF(PAYMENTS!A7="","",PAYMENTS!A7)</f>
        <v/>
      </c>
      <c r="B514" s="31">
        <f>IF($A514="","",PAYMENTS!B7)</f>
        <v/>
      </c>
      <c r="C514" s="31">
        <f>IF($A514="","",PAYMENTS!C7)</f>
        <v/>
      </c>
      <c r="D514" s="31">
        <f>IF($A514="","",PAYMENTS!D7)</f>
        <v/>
      </c>
      <c r="E514" s="32">
        <f>IF($A514="","",PAYMENTS!E7)</f>
        <v/>
      </c>
      <c r="F514" s="31">
        <f>IF($A514="","",PAYMENTS!F7)</f>
        <v/>
      </c>
      <c r="G514" s="31">
        <f>IF($A514="","",PAYMENTS!G7)</f>
        <v/>
      </c>
    </row>
    <row r="515">
      <c r="A515" s="33">
        <f>IF(PAYMENTS!A8="","",PAYMENTS!A8)</f>
        <v/>
      </c>
      <c r="B515" s="31">
        <f>IF($A515="","",PAYMENTS!B8)</f>
        <v/>
      </c>
      <c r="C515" s="31">
        <f>IF($A515="","",PAYMENTS!C8)</f>
        <v/>
      </c>
      <c r="D515" s="31">
        <f>IF($A515="","",PAYMENTS!D8)</f>
        <v/>
      </c>
      <c r="E515" s="32">
        <f>IF($A515="","",PAYMENTS!E8)</f>
        <v/>
      </c>
      <c r="F515" s="31">
        <f>IF($A515="","",PAYMENTS!F8)</f>
        <v/>
      </c>
      <c r="G515" s="31">
        <f>IF($A515="","",PAYMENTS!G8)</f>
        <v/>
      </c>
    </row>
    <row r="516">
      <c r="A516" s="33">
        <f>IF(PAYMENTS!A9="","",PAYMENTS!A9)</f>
        <v/>
      </c>
      <c r="B516" s="31">
        <f>IF($A516="","",PAYMENTS!B9)</f>
        <v/>
      </c>
      <c r="C516" s="31">
        <f>IF($A516="","",PAYMENTS!C9)</f>
        <v/>
      </c>
      <c r="D516" s="31">
        <f>IF($A516="","",PAYMENTS!D9)</f>
        <v/>
      </c>
      <c r="E516" s="32">
        <f>IF($A516="","",PAYMENTS!E9)</f>
        <v/>
      </c>
      <c r="F516" s="31">
        <f>IF($A516="","",PAYMENTS!F9)</f>
        <v/>
      </c>
      <c r="G516" s="31">
        <f>IF($A516="","",PAYMENTS!G9)</f>
        <v/>
      </c>
    </row>
    <row r="517">
      <c r="A517" s="33">
        <f>IF(PAYMENTS!A10="","",PAYMENTS!A10)</f>
        <v/>
      </c>
      <c r="B517" s="31">
        <f>IF($A517="","",PAYMENTS!B10)</f>
        <v/>
      </c>
      <c r="C517" s="31">
        <f>IF($A517="","",PAYMENTS!C10)</f>
        <v/>
      </c>
      <c r="D517" s="31">
        <f>IF($A517="","",PAYMENTS!D10)</f>
        <v/>
      </c>
      <c r="E517" s="32">
        <f>IF($A517="","",PAYMENTS!E10)</f>
        <v/>
      </c>
      <c r="F517" s="31">
        <f>IF($A517="","",PAYMENTS!F10)</f>
        <v/>
      </c>
      <c r="G517" s="31">
        <f>IF($A517="","",PAYMENTS!G10)</f>
        <v/>
      </c>
    </row>
    <row r="518">
      <c r="A518" s="33">
        <f>IF(PAYMENTS!A11="","",PAYMENTS!A11)</f>
        <v/>
      </c>
      <c r="B518" s="31">
        <f>IF($A518="","",PAYMENTS!B11)</f>
        <v/>
      </c>
      <c r="C518" s="31">
        <f>IF($A518="","",PAYMENTS!C11)</f>
        <v/>
      </c>
      <c r="D518" s="31">
        <f>IF($A518="","",PAYMENTS!D11)</f>
        <v/>
      </c>
      <c r="E518" s="32">
        <f>IF($A518="","",PAYMENTS!E11)</f>
        <v/>
      </c>
      <c r="F518" s="31">
        <f>IF($A518="","",PAYMENTS!F11)</f>
        <v/>
      </c>
      <c r="G518" s="31">
        <f>IF($A518="","",PAYMENTS!G11)</f>
        <v/>
      </c>
    </row>
    <row r="519">
      <c r="A519" s="33">
        <f>IF(PAYMENTS!A12="","",PAYMENTS!A12)</f>
        <v/>
      </c>
      <c r="B519" s="31">
        <f>IF($A519="","",PAYMENTS!B12)</f>
        <v/>
      </c>
      <c r="C519" s="31">
        <f>IF($A519="","",PAYMENTS!C12)</f>
        <v/>
      </c>
      <c r="D519" s="31">
        <f>IF($A519="","",PAYMENTS!D12)</f>
        <v/>
      </c>
      <c r="E519" s="32">
        <f>IF($A519="","",PAYMENTS!E12)</f>
        <v/>
      </c>
      <c r="F519" s="31">
        <f>IF($A519="","",PAYMENTS!F12)</f>
        <v/>
      </c>
      <c r="G519" s="31">
        <f>IF($A519="","",PAYMENTS!G12)</f>
        <v/>
      </c>
    </row>
    <row r="520">
      <c r="A520" s="33">
        <f>IF(PAYMENTS!A13="","",PAYMENTS!A13)</f>
        <v/>
      </c>
      <c r="B520" s="31">
        <f>IF($A520="","",PAYMENTS!B13)</f>
        <v/>
      </c>
      <c r="C520" s="31">
        <f>IF($A520="","",PAYMENTS!C13)</f>
        <v/>
      </c>
      <c r="D520" s="31">
        <f>IF($A520="","",PAYMENTS!D13)</f>
        <v/>
      </c>
      <c r="E520" s="32">
        <f>IF($A520="","",PAYMENTS!E13)</f>
        <v/>
      </c>
      <c r="F520" s="31">
        <f>IF($A520="","",PAYMENTS!F13)</f>
        <v/>
      </c>
      <c r="G520" s="31">
        <f>IF($A520="","",PAYMENTS!G13)</f>
        <v/>
      </c>
    </row>
    <row r="521">
      <c r="A521" s="33">
        <f>IF(PAYMENTS!A14="","",PAYMENTS!A14)</f>
        <v/>
      </c>
      <c r="B521" s="31">
        <f>IF($A521="","",PAYMENTS!B14)</f>
        <v/>
      </c>
      <c r="C521" s="31">
        <f>IF($A521="","",PAYMENTS!C14)</f>
        <v/>
      </c>
      <c r="D521" s="31">
        <f>IF($A521="","",PAYMENTS!D14)</f>
        <v/>
      </c>
      <c r="E521" s="32">
        <f>IF($A521="","",PAYMENTS!E14)</f>
        <v/>
      </c>
      <c r="F521" s="31">
        <f>IF($A521="","",PAYMENTS!F14)</f>
        <v/>
      </c>
      <c r="G521" s="31">
        <f>IF($A521="","",PAYMENTS!G14)</f>
        <v/>
      </c>
    </row>
    <row r="522">
      <c r="A522" s="33">
        <f>IF(PAYMENTS!A15="","",PAYMENTS!A15)</f>
        <v/>
      </c>
      <c r="B522" s="31">
        <f>IF($A522="","",PAYMENTS!B15)</f>
        <v/>
      </c>
      <c r="C522" s="31">
        <f>IF($A522="","",PAYMENTS!C15)</f>
        <v/>
      </c>
      <c r="D522" s="31">
        <f>IF($A522="","",PAYMENTS!D15)</f>
        <v/>
      </c>
      <c r="E522" s="32">
        <f>IF($A522="","",PAYMENTS!E15)</f>
        <v/>
      </c>
      <c r="F522" s="31">
        <f>IF($A522="","",PAYMENTS!F15)</f>
        <v/>
      </c>
      <c r="G522" s="31">
        <f>IF($A522="","",PAYMENTS!G15)</f>
        <v/>
      </c>
    </row>
    <row r="523">
      <c r="A523" s="33">
        <f>IF(PAYMENTS!A16="","",PAYMENTS!A16)</f>
        <v/>
      </c>
      <c r="B523" s="31">
        <f>IF($A523="","",PAYMENTS!B16)</f>
        <v/>
      </c>
      <c r="C523" s="31">
        <f>IF($A523="","",PAYMENTS!C16)</f>
        <v/>
      </c>
      <c r="D523" s="31">
        <f>IF($A523="","",PAYMENTS!D16)</f>
        <v/>
      </c>
      <c r="E523" s="32">
        <f>IF($A523="","",PAYMENTS!E16)</f>
        <v/>
      </c>
      <c r="F523" s="31">
        <f>IF($A523="","",PAYMENTS!F16)</f>
        <v/>
      </c>
      <c r="G523" s="31">
        <f>IF($A523="","",PAYMENTS!G16)</f>
        <v/>
      </c>
    </row>
    <row r="524">
      <c r="A524" s="33">
        <f>IF(PAYMENTS!A17="","",PAYMENTS!A17)</f>
        <v/>
      </c>
      <c r="B524" s="31">
        <f>IF($A524="","",PAYMENTS!B17)</f>
        <v/>
      </c>
      <c r="C524" s="31">
        <f>IF($A524="","",PAYMENTS!C17)</f>
        <v/>
      </c>
      <c r="D524" s="31">
        <f>IF($A524="","",PAYMENTS!D17)</f>
        <v/>
      </c>
      <c r="E524" s="32">
        <f>IF($A524="","",PAYMENTS!E17)</f>
        <v/>
      </c>
      <c r="F524" s="31">
        <f>IF($A524="","",PAYMENTS!F17)</f>
        <v/>
      </c>
      <c r="G524" s="31">
        <f>IF($A524="","",PAYMENTS!G17)</f>
        <v/>
      </c>
    </row>
    <row r="525">
      <c r="A525" s="33">
        <f>IF(PAYMENTS!A18="","",PAYMENTS!A18)</f>
        <v/>
      </c>
      <c r="B525" s="31">
        <f>IF($A525="","",PAYMENTS!B18)</f>
        <v/>
      </c>
      <c r="C525" s="31">
        <f>IF($A525="","",PAYMENTS!C18)</f>
        <v/>
      </c>
      <c r="D525" s="31">
        <f>IF($A525="","",PAYMENTS!D18)</f>
        <v/>
      </c>
      <c r="E525" s="32">
        <f>IF($A525="","",PAYMENTS!E18)</f>
        <v/>
      </c>
      <c r="F525" s="31">
        <f>IF($A525="","",PAYMENTS!F18)</f>
        <v/>
      </c>
      <c r="G525" s="31">
        <f>IF($A525="","",PAYMENTS!G18)</f>
        <v/>
      </c>
    </row>
    <row r="526">
      <c r="A526" s="33">
        <f>IF(PAYMENTS!A19="","",PAYMENTS!A19)</f>
        <v/>
      </c>
      <c r="B526" s="31">
        <f>IF($A526="","",PAYMENTS!B19)</f>
        <v/>
      </c>
      <c r="C526" s="31">
        <f>IF($A526="","",PAYMENTS!C19)</f>
        <v/>
      </c>
      <c r="D526" s="31">
        <f>IF($A526="","",PAYMENTS!D19)</f>
        <v/>
      </c>
      <c r="E526" s="32">
        <f>IF($A526="","",PAYMENTS!E19)</f>
        <v/>
      </c>
      <c r="F526" s="31">
        <f>IF($A526="","",PAYMENTS!F19)</f>
        <v/>
      </c>
      <c r="G526" s="31">
        <f>IF($A526="","",PAYMENTS!G19)</f>
        <v/>
      </c>
    </row>
    <row r="527">
      <c r="A527" s="33">
        <f>IF(PAYMENTS!A20="","",PAYMENTS!A20)</f>
        <v/>
      </c>
      <c r="B527" s="31">
        <f>IF($A527="","",PAYMENTS!B20)</f>
        <v/>
      </c>
      <c r="C527" s="31">
        <f>IF($A527="","",PAYMENTS!C20)</f>
        <v/>
      </c>
      <c r="D527" s="31">
        <f>IF($A527="","",PAYMENTS!D20)</f>
        <v/>
      </c>
      <c r="E527" s="32">
        <f>IF($A527="","",PAYMENTS!E20)</f>
        <v/>
      </c>
      <c r="F527" s="31">
        <f>IF($A527="","",PAYMENTS!F20)</f>
        <v/>
      </c>
      <c r="G527" s="31">
        <f>IF($A527="","",PAYMENTS!G20)</f>
        <v/>
      </c>
    </row>
    <row r="528">
      <c r="A528" s="33">
        <f>IF(PAYMENTS!A21="","",PAYMENTS!A21)</f>
        <v/>
      </c>
      <c r="B528" s="31">
        <f>IF($A528="","",PAYMENTS!B21)</f>
        <v/>
      </c>
      <c r="C528" s="31">
        <f>IF($A528="","",PAYMENTS!C21)</f>
        <v/>
      </c>
      <c r="D528" s="31">
        <f>IF($A528="","",PAYMENTS!D21)</f>
        <v/>
      </c>
      <c r="E528" s="32">
        <f>IF($A528="","",PAYMENTS!E21)</f>
        <v/>
      </c>
      <c r="F528" s="31">
        <f>IF($A528="","",PAYMENTS!F21)</f>
        <v/>
      </c>
      <c r="G528" s="31">
        <f>IF($A528="","",PAYMENTS!G21)</f>
        <v/>
      </c>
    </row>
    <row r="529">
      <c r="A529" s="33">
        <f>IF(PAYMENTS!A22="","",PAYMENTS!A22)</f>
        <v/>
      </c>
      <c r="B529" s="31">
        <f>IF($A529="","",PAYMENTS!B22)</f>
        <v/>
      </c>
      <c r="C529" s="31">
        <f>IF($A529="","",PAYMENTS!C22)</f>
        <v/>
      </c>
      <c r="D529" s="31">
        <f>IF($A529="","",PAYMENTS!D22)</f>
        <v/>
      </c>
      <c r="E529" s="32">
        <f>IF($A529="","",PAYMENTS!E22)</f>
        <v/>
      </c>
      <c r="F529" s="31">
        <f>IF($A529="","",PAYMENTS!F22)</f>
        <v/>
      </c>
      <c r="G529" s="31">
        <f>IF($A529="","",PAYMENTS!G22)</f>
        <v/>
      </c>
    </row>
    <row r="530">
      <c r="A530" s="33">
        <f>IF(PAYMENTS!A23="","",PAYMENTS!A23)</f>
        <v/>
      </c>
      <c r="B530" s="31">
        <f>IF($A530="","",PAYMENTS!B23)</f>
        <v/>
      </c>
      <c r="C530" s="31">
        <f>IF($A530="","",PAYMENTS!C23)</f>
        <v/>
      </c>
      <c r="D530" s="31">
        <f>IF($A530="","",PAYMENTS!D23)</f>
        <v/>
      </c>
      <c r="E530" s="32">
        <f>IF($A530="","",PAYMENTS!E23)</f>
        <v/>
      </c>
      <c r="F530" s="31">
        <f>IF($A530="","",PAYMENTS!F23)</f>
        <v/>
      </c>
      <c r="G530" s="31">
        <f>IF($A530="","",PAYMENTS!G23)</f>
        <v/>
      </c>
    </row>
    <row r="531">
      <c r="A531" s="33">
        <f>IF(PAYMENTS!A24="","",PAYMENTS!A24)</f>
        <v/>
      </c>
      <c r="B531" s="31">
        <f>IF($A531="","",PAYMENTS!B24)</f>
        <v/>
      </c>
      <c r="C531" s="31">
        <f>IF($A531="","",PAYMENTS!C24)</f>
        <v/>
      </c>
      <c r="D531" s="31">
        <f>IF($A531="","",PAYMENTS!D24)</f>
        <v/>
      </c>
      <c r="E531" s="32">
        <f>IF($A531="","",PAYMENTS!E24)</f>
        <v/>
      </c>
      <c r="F531" s="31">
        <f>IF($A531="","",PAYMENTS!F24)</f>
        <v/>
      </c>
      <c r="G531" s="31">
        <f>IF($A531="","",PAYMENTS!G24)</f>
        <v/>
      </c>
    </row>
    <row r="532">
      <c r="A532" s="33">
        <f>IF(PAYMENTS!A25="","",PAYMENTS!A25)</f>
        <v/>
      </c>
      <c r="B532" s="31">
        <f>IF($A532="","",PAYMENTS!B25)</f>
        <v/>
      </c>
      <c r="C532" s="31">
        <f>IF($A532="","",PAYMENTS!C25)</f>
        <v/>
      </c>
      <c r="D532" s="31">
        <f>IF($A532="","",PAYMENTS!D25)</f>
        <v/>
      </c>
      <c r="E532" s="32">
        <f>IF($A532="","",PAYMENTS!E25)</f>
        <v/>
      </c>
      <c r="F532" s="31">
        <f>IF($A532="","",PAYMENTS!F25)</f>
        <v/>
      </c>
      <c r="G532" s="31">
        <f>IF($A532="","",PAYMENTS!G25)</f>
        <v/>
      </c>
    </row>
    <row r="533">
      <c r="A533" s="33">
        <f>IF(PAYMENTS!A26="","",PAYMENTS!A26)</f>
        <v/>
      </c>
      <c r="B533" s="31">
        <f>IF($A533="","",PAYMENTS!B26)</f>
        <v/>
      </c>
      <c r="C533" s="31">
        <f>IF($A533="","",PAYMENTS!C26)</f>
        <v/>
      </c>
      <c r="D533" s="31">
        <f>IF($A533="","",PAYMENTS!D26)</f>
        <v/>
      </c>
      <c r="E533" s="32">
        <f>IF($A533="","",PAYMENTS!E26)</f>
        <v/>
      </c>
      <c r="F533" s="31">
        <f>IF($A533="","",PAYMENTS!F26)</f>
        <v/>
      </c>
      <c r="G533" s="31">
        <f>IF($A533="","",PAYMENTS!G26)</f>
        <v/>
      </c>
    </row>
    <row r="534">
      <c r="A534" s="33">
        <f>IF(PAYMENTS!A27="","",PAYMENTS!A27)</f>
        <v/>
      </c>
      <c r="B534" s="31">
        <f>IF($A534="","",PAYMENTS!B27)</f>
        <v/>
      </c>
      <c r="C534" s="31">
        <f>IF($A534="","",PAYMENTS!C27)</f>
        <v/>
      </c>
      <c r="D534" s="31">
        <f>IF($A534="","",PAYMENTS!D27)</f>
        <v/>
      </c>
      <c r="E534" s="32">
        <f>IF($A534="","",PAYMENTS!E27)</f>
        <v/>
      </c>
      <c r="F534" s="31">
        <f>IF($A534="","",PAYMENTS!F27)</f>
        <v/>
      </c>
      <c r="G534" s="31">
        <f>IF($A534="","",PAYMENTS!G27)</f>
        <v/>
      </c>
    </row>
    <row r="535">
      <c r="A535" s="33">
        <f>IF(PAYMENTS!A28="","",PAYMENTS!A28)</f>
        <v/>
      </c>
      <c r="B535" s="31">
        <f>IF($A535="","",PAYMENTS!B28)</f>
        <v/>
      </c>
      <c r="C535" s="31">
        <f>IF($A535="","",PAYMENTS!C28)</f>
        <v/>
      </c>
      <c r="D535" s="31">
        <f>IF($A535="","",PAYMENTS!D28)</f>
        <v/>
      </c>
      <c r="E535" s="32">
        <f>IF($A535="","",PAYMENTS!E28)</f>
        <v/>
      </c>
      <c r="F535" s="31">
        <f>IF($A535="","",PAYMENTS!F28)</f>
        <v/>
      </c>
      <c r="G535" s="31">
        <f>IF($A535="","",PAYMENTS!G28)</f>
        <v/>
      </c>
    </row>
    <row r="536">
      <c r="A536" s="33">
        <f>IF(PAYMENTS!A29="","",PAYMENTS!A29)</f>
        <v/>
      </c>
      <c r="B536" s="31">
        <f>IF($A536="","",PAYMENTS!B29)</f>
        <v/>
      </c>
      <c r="C536" s="31">
        <f>IF($A536="","",PAYMENTS!C29)</f>
        <v/>
      </c>
      <c r="D536" s="31">
        <f>IF($A536="","",PAYMENTS!D29)</f>
        <v/>
      </c>
      <c r="E536" s="32">
        <f>IF($A536="","",PAYMENTS!E29)</f>
        <v/>
      </c>
      <c r="F536" s="31">
        <f>IF($A536="","",PAYMENTS!F29)</f>
        <v/>
      </c>
      <c r="G536" s="31">
        <f>IF($A536="","",PAYMENTS!G29)</f>
        <v/>
      </c>
    </row>
    <row r="537">
      <c r="A537" s="33">
        <f>IF(PAYMENTS!A30="","",PAYMENTS!A30)</f>
        <v/>
      </c>
      <c r="B537" s="31">
        <f>IF($A537="","",PAYMENTS!B30)</f>
        <v/>
      </c>
      <c r="C537" s="31">
        <f>IF($A537="","",PAYMENTS!C30)</f>
        <v/>
      </c>
      <c r="D537" s="31">
        <f>IF($A537="","",PAYMENTS!D30)</f>
        <v/>
      </c>
      <c r="E537" s="32">
        <f>IF($A537="","",PAYMENTS!E30)</f>
        <v/>
      </c>
      <c r="F537" s="31">
        <f>IF($A537="","",PAYMENTS!F30)</f>
        <v/>
      </c>
      <c r="G537" s="31">
        <f>IF($A537="","",PAYMENTS!G30)</f>
        <v/>
      </c>
    </row>
    <row r="538">
      <c r="A538" s="33">
        <f>IF(PAYMENTS!A31="","",PAYMENTS!A31)</f>
        <v/>
      </c>
      <c r="B538" s="31">
        <f>IF($A538="","",PAYMENTS!B31)</f>
        <v/>
      </c>
      <c r="C538" s="31">
        <f>IF($A538="","",PAYMENTS!C31)</f>
        <v/>
      </c>
      <c r="D538" s="31">
        <f>IF($A538="","",PAYMENTS!D31)</f>
        <v/>
      </c>
      <c r="E538" s="32">
        <f>IF($A538="","",PAYMENTS!E31)</f>
        <v/>
      </c>
      <c r="F538" s="31">
        <f>IF($A538="","",PAYMENTS!F31)</f>
        <v/>
      </c>
      <c r="G538" s="31">
        <f>IF($A538="","",PAYMENTS!G31)</f>
        <v/>
      </c>
    </row>
    <row r="539">
      <c r="A539" s="33">
        <f>IF(PAYMENTS!A32="","",PAYMENTS!A32)</f>
        <v/>
      </c>
      <c r="B539" s="31">
        <f>IF($A539="","",PAYMENTS!B32)</f>
        <v/>
      </c>
      <c r="C539" s="31">
        <f>IF($A539="","",PAYMENTS!C32)</f>
        <v/>
      </c>
      <c r="D539" s="31">
        <f>IF($A539="","",PAYMENTS!D32)</f>
        <v/>
      </c>
      <c r="E539" s="32">
        <f>IF($A539="","",PAYMENTS!E32)</f>
        <v/>
      </c>
      <c r="F539" s="31">
        <f>IF($A539="","",PAYMENTS!F32)</f>
        <v/>
      </c>
      <c r="G539" s="31">
        <f>IF($A539="","",PAYMENTS!G32)</f>
        <v/>
      </c>
    </row>
    <row r="540">
      <c r="A540" s="33">
        <f>IF(PAYMENTS!A33="","",PAYMENTS!A33)</f>
        <v/>
      </c>
      <c r="B540" s="31">
        <f>IF($A540="","",PAYMENTS!B33)</f>
        <v/>
      </c>
      <c r="C540" s="31">
        <f>IF($A540="","",PAYMENTS!C33)</f>
        <v/>
      </c>
      <c r="D540" s="31">
        <f>IF($A540="","",PAYMENTS!D33)</f>
        <v/>
      </c>
      <c r="E540" s="32">
        <f>IF($A540="","",PAYMENTS!E33)</f>
        <v/>
      </c>
      <c r="F540" s="31">
        <f>IF($A540="","",PAYMENTS!F33)</f>
        <v/>
      </c>
      <c r="G540" s="31">
        <f>IF($A540="","",PAYMENTS!G33)</f>
        <v/>
      </c>
    </row>
    <row r="541">
      <c r="A541" s="33">
        <f>IF(PAYMENTS!A34="","",PAYMENTS!A34)</f>
        <v/>
      </c>
      <c r="B541" s="31">
        <f>IF($A541="","",PAYMENTS!B34)</f>
        <v/>
      </c>
      <c r="C541" s="31">
        <f>IF($A541="","",PAYMENTS!C34)</f>
        <v/>
      </c>
      <c r="D541" s="31">
        <f>IF($A541="","",PAYMENTS!D34)</f>
        <v/>
      </c>
      <c r="E541" s="32">
        <f>IF($A541="","",PAYMENTS!E34)</f>
        <v/>
      </c>
      <c r="F541" s="31">
        <f>IF($A541="","",PAYMENTS!F34)</f>
        <v/>
      </c>
      <c r="G541" s="31">
        <f>IF($A541="","",PAYMENTS!G34)</f>
        <v/>
      </c>
    </row>
    <row r="542">
      <c r="A542" s="33">
        <f>IF(PAYMENTS!A35="","",PAYMENTS!A35)</f>
        <v/>
      </c>
      <c r="B542" s="31">
        <f>IF($A542="","",PAYMENTS!B35)</f>
        <v/>
      </c>
      <c r="C542" s="31">
        <f>IF($A542="","",PAYMENTS!C35)</f>
        <v/>
      </c>
      <c r="D542" s="31">
        <f>IF($A542="","",PAYMENTS!D35)</f>
        <v/>
      </c>
      <c r="E542" s="32">
        <f>IF($A542="","",PAYMENTS!E35)</f>
        <v/>
      </c>
      <c r="F542" s="31">
        <f>IF($A542="","",PAYMENTS!F35)</f>
        <v/>
      </c>
      <c r="G542" s="31">
        <f>IF($A542="","",PAYMENTS!G35)</f>
        <v/>
      </c>
    </row>
    <row r="543">
      <c r="A543" s="33">
        <f>IF(PAYMENTS!A36="","",PAYMENTS!A36)</f>
        <v/>
      </c>
      <c r="B543" s="31">
        <f>IF($A543="","",PAYMENTS!B36)</f>
        <v/>
      </c>
      <c r="C543" s="31">
        <f>IF($A543="","",PAYMENTS!C36)</f>
        <v/>
      </c>
      <c r="D543" s="31">
        <f>IF($A543="","",PAYMENTS!D36)</f>
        <v/>
      </c>
      <c r="E543" s="32">
        <f>IF($A543="","",PAYMENTS!E36)</f>
        <v/>
      </c>
      <c r="F543" s="31">
        <f>IF($A543="","",PAYMENTS!F36)</f>
        <v/>
      </c>
      <c r="G543" s="31">
        <f>IF($A543="","",PAYMENTS!G36)</f>
        <v/>
      </c>
    </row>
    <row r="544">
      <c r="A544" s="33">
        <f>IF(PAYMENTS!A37="","",PAYMENTS!A37)</f>
        <v/>
      </c>
      <c r="B544" s="31">
        <f>IF($A544="","",PAYMENTS!B37)</f>
        <v/>
      </c>
      <c r="C544" s="31">
        <f>IF($A544="","",PAYMENTS!C37)</f>
        <v/>
      </c>
      <c r="D544" s="31">
        <f>IF($A544="","",PAYMENTS!D37)</f>
        <v/>
      </c>
      <c r="E544" s="32">
        <f>IF($A544="","",PAYMENTS!E37)</f>
        <v/>
      </c>
      <c r="F544" s="31">
        <f>IF($A544="","",PAYMENTS!F37)</f>
        <v/>
      </c>
      <c r="G544" s="31">
        <f>IF($A544="","",PAYMENTS!G37)</f>
        <v/>
      </c>
    </row>
    <row r="545">
      <c r="A545" s="33">
        <f>IF(PAYMENTS!A38="","",PAYMENTS!A38)</f>
        <v/>
      </c>
      <c r="B545" s="31">
        <f>IF($A545="","",PAYMENTS!B38)</f>
        <v/>
      </c>
      <c r="C545" s="31">
        <f>IF($A545="","",PAYMENTS!C38)</f>
        <v/>
      </c>
      <c r="D545" s="31">
        <f>IF($A545="","",PAYMENTS!D38)</f>
        <v/>
      </c>
      <c r="E545" s="32">
        <f>IF($A545="","",PAYMENTS!E38)</f>
        <v/>
      </c>
      <c r="F545" s="31">
        <f>IF($A545="","",PAYMENTS!F38)</f>
        <v/>
      </c>
      <c r="G545" s="31">
        <f>IF($A545="","",PAYMENTS!G38)</f>
        <v/>
      </c>
    </row>
    <row r="546">
      <c r="A546" s="33">
        <f>IF(PAYMENTS!A39="","",PAYMENTS!A39)</f>
        <v/>
      </c>
      <c r="B546" s="31">
        <f>IF($A546="","",PAYMENTS!B39)</f>
        <v/>
      </c>
      <c r="C546" s="31">
        <f>IF($A546="","",PAYMENTS!C39)</f>
        <v/>
      </c>
      <c r="D546" s="31">
        <f>IF($A546="","",PAYMENTS!D39)</f>
        <v/>
      </c>
      <c r="E546" s="32">
        <f>IF($A546="","",PAYMENTS!E39)</f>
        <v/>
      </c>
      <c r="F546" s="31">
        <f>IF($A546="","",PAYMENTS!F39)</f>
        <v/>
      </c>
      <c r="G546" s="31">
        <f>IF($A546="","",PAYMENTS!G39)</f>
        <v/>
      </c>
    </row>
    <row r="547">
      <c r="A547" s="33">
        <f>IF(PAYMENTS!A40="","",PAYMENTS!A40)</f>
        <v/>
      </c>
      <c r="B547" s="31">
        <f>IF($A547="","",PAYMENTS!B40)</f>
        <v/>
      </c>
      <c r="C547" s="31">
        <f>IF($A547="","",PAYMENTS!C40)</f>
        <v/>
      </c>
      <c r="D547" s="31">
        <f>IF($A547="","",PAYMENTS!D40)</f>
        <v/>
      </c>
      <c r="E547" s="32">
        <f>IF($A547="","",PAYMENTS!E40)</f>
        <v/>
      </c>
      <c r="F547" s="31">
        <f>IF($A547="","",PAYMENTS!F40)</f>
        <v/>
      </c>
      <c r="G547" s="31">
        <f>IF($A547="","",PAYMENTS!G40)</f>
        <v/>
      </c>
    </row>
    <row r="548">
      <c r="A548" s="33">
        <f>IF(PAYMENTS!A41="","",PAYMENTS!A41)</f>
        <v/>
      </c>
      <c r="B548" s="31">
        <f>IF($A548="","",PAYMENTS!B41)</f>
        <v/>
      </c>
      <c r="C548" s="31">
        <f>IF($A548="","",PAYMENTS!C41)</f>
        <v/>
      </c>
      <c r="D548" s="31">
        <f>IF($A548="","",PAYMENTS!D41)</f>
        <v/>
      </c>
      <c r="E548" s="32">
        <f>IF($A548="","",PAYMENTS!E41)</f>
        <v/>
      </c>
      <c r="F548" s="31">
        <f>IF($A548="","",PAYMENTS!F41)</f>
        <v/>
      </c>
      <c r="G548" s="31">
        <f>IF($A548="","",PAYMENTS!G41)</f>
        <v/>
      </c>
    </row>
    <row r="549">
      <c r="A549" s="33">
        <f>IF(PAYMENTS!A42="","",PAYMENTS!A42)</f>
        <v/>
      </c>
      <c r="B549" s="31">
        <f>IF($A549="","",PAYMENTS!B42)</f>
        <v/>
      </c>
      <c r="C549" s="31">
        <f>IF($A549="","",PAYMENTS!C42)</f>
        <v/>
      </c>
      <c r="D549" s="31">
        <f>IF($A549="","",PAYMENTS!D42)</f>
        <v/>
      </c>
      <c r="E549" s="32">
        <f>IF($A549="","",PAYMENTS!E42)</f>
        <v/>
      </c>
      <c r="F549" s="31">
        <f>IF($A549="","",PAYMENTS!F42)</f>
        <v/>
      </c>
      <c r="G549" s="31">
        <f>IF($A549="","",PAYMENTS!G42)</f>
        <v/>
      </c>
    </row>
    <row r="550">
      <c r="A550" s="33">
        <f>IF(PAYMENTS!A43="","",PAYMENTS!A43)</f>
        <v/>
      </c>
      <c r="B550" s="31">
        <f>IF($A550="","",PAYMENTS!B43)</f>
        <v/>
      </c>
      <c r="C550" s="31">
        <f>IF($A550="","",PAYMENTS!C43)</f>
        <v/>
      </c>
      <c r="D550" s="31">
        <f>IF($A550="","",PAYMENTS!D43)</f>
        <v/>
      </c>
      <c r="E550" s="32">
        <f>IF($A550="","",PAYMENTS!E43)</f>
        <v/>
      </c>
      <c r="F550" s="31">
        <f>IF($A550="","",PAYMENTS!F43)</f>
        <v/>
      </c>
      <c r="G550" s="31">
        <f>IF($A550="","",PAYMENTS!G43)</f>
        <v/>
      </c>
    </row>
    <row r="551">
      <c r="A551" s="33">
        <f>IF(PAYMENTS!A44="","",PAYMENTS!A44)</f>
        <v/>
      </c>
      <c r="B551" s="31">
        <f>IF($A551="","",PAYMENTS!B44)</f>
        <v/>
      </c>
      <c r="C551" s="31">
        <f>IF($A551="","",PAYMENTS!C44)</f>
        <v/>
      </c>
      <c r="D551" s="31">
        <f>IF($A551="","",PAYMENTS!D44)</f>
        <v/>
      </c>
      <c r="E551" s="32">
        <f>IF($A551="","",PAYMENTS!E44)</f>
        <v/>
      </c>
      <c r="F551" s="31">
        <f>IF($A551="","",PAYMENTS!F44)</f>
        <v/>
      </c>
      <c r="G551" s="31">
        <f>IF($A551="","",PAYMENTS!G44)</f>
        <v/>
      </c>
    </row>
    <row r="552">
      <c r="A552" s="33">
        <f>IF(PAYMENTS!A45="","",PAYMENTS!A45)</f>
        <v/>
      </c>
      <c r="B552" s="31">
        <f>IF($A552="","",PAYMENTS!B45)</f>
        <v/>
      </c>
      <c r="C552" s="31">
        <f>IF($A552="","",PAYMENTS!C45)</f>
        <v/>
      </c>
      <c r="D552" s="31">
        <f>IF($A552="","",PAYMENTS!D45)</f>
        <v/>
      </c>
      <c r="E552" s="32">
        <f>IF($A552="","",PAYMENTS!E45)</f>
        <v/>
      </c>
      <c r="F552" s="31">
        <f>IF($A552="","",PAYMENTS!F45)</f>
        <v/>
      </c>
      <c r="G552" s="31">
        <f>IF($A552="","",PAYMENTS!G45)</f>
        <v/>
      </c>
    </row>
    <row r="553">
      <c r="A553" s="33">
        <f>IF(PAYMENTS!A46="","",PAYMENTS!A46)</f>
        <v/>
      </c>
      <c r="B553" s="31">
        <f>IF($A553="","",PAYMENTS!B46)</f>
        <v/>
      </c>
      <c r="C553" s="31">
        <f>IF($A553="","",PAYMENTS!C46)</f>
        <v/>
      </c>
      <c r="D553" s="31">
        <f>IF($A553="","",PAYMENTS!D46)</f>
        <v/>
      </c>
      <c r="E553" s="32">
        <f>IF($A553="","",PAYMENTS!E46)</f>
        <v/>
      </c>
      <c r="F553" s="31">
        <f>IF($A553="","",PAYMENTS!F46)</f>
        <v/>
      </c>
      <c r="G553" s="31">
        <f>IF($A553="","",PAYMENTS!G46)</f>
        <v/>
      </c>
    </row>
    <row r="554">
      <c r="A554" s="33">
        <f>IF(PAYMENTS!A47="","",PAYMENTS!A47)</f>
        <v/>
      </c>
      <c r="B554" s="31">
        <f>IF($A554="","",PAYMENTS!B47)</f>
        <v/>
      </c>
      <c r="C554" s="31">
        <f>IF($A554="","",PAYMENTS!C47)</f>
        <v/>
      </c>
      <c r="D554" s="31">
        <f>IF($A554="","",PAYMENTS!D47)</f>
        <v/>
      </c>
      <c r="E554" s="32">
        <f>IF($A554="","",PAYMENTS!E47)</f>
        <v/>
      </c>
      <c r="F554" s="31">
        <f>IF($A554="","",PAYMENTS!F47)</f>
        <v/>
      </c>
      <c r="G554" s="31">
        <f>IF($A554="","",PAYMENTS!G47)</f>
        <v/>
      </c>
    </row>
    <row r="555">
      <c r="A555" s="33">
        <f>IF(PAYMENTS!A48="","",PAYMENTS!A48)</f>
        <v/>
      </c>
      <c r="B555" s="31">
        <f>IF($A555="","",PAYMENTS!B48)</f>
        <v/>
      </c>
      <c r="C555" s="31">
        <f>IF($A555="","",PAYMENTS!C48)</f>
        <v/>
      </c>
      <c r="D555" s="31">
        <f>IF($A555="","",PAYMENTS!D48)</f>
        <v/>
      </c>
      <c r="E555" s="32">
        <f>IF($A555="","",PAYMENTS!E48)</f>
        <v/>
      </c>
      <c r="F555" s="31">
        <f>IF($A555="","",PAYMENTS!F48)</f>
        <v/>
      </c>
      <c r="G555" s="31">
        <f>IF($A555="","",PAYMENTS!G48)</f>
        <v/>
      </c>
    </row>
    <row r="556">
      <c r="A556" s="33">
        <f>IF(PAYMENTS!A49="","",PAYMENTS!A49)</f>
        <v/>
      </c>
      <c r="B556" s="31">
        <f>IF($A556="","",PAYMENTS!B49)</f>
        <v/>
      </c>
      <c r="C556" s="31">
        <f>IF($A556="","",PAYMENTS!C49)</f>
        <v/>
      </c>
      <c r="D556" s="31">
        <f>IF($A556="","",PAYMENTS!D49)</f>
        <v/>
      </c>
      <c r="E556" s="32">
        <f>IF($A556="","",PAYMENTS!E49)</f>
        <v/>
      </c>
      <c r="F556" s="31">
        <f>IF($A556="","",PAYMENTS!F49)</f>
        <v/>
      </c>
      <c r="G556" s="31">
        <f>IF($A556="","",PAYMENTS!G49)</f>
        <v/>
      </c>
    </row>
    <row r="557">
      <c r="A557" s="33">
        <f>IF(PAYMENTS!A50="","",PAYMENTS!A50)</f>
        <v/>
      </c>
      <c r="B557" s="31">
        <f>IF($A557="","",PAYMENTS!B50)</f>
        <v/>
      </c>
      <c r="C557" s="31">
        <f>IF($A557="","",PAYMENTS!C50)</f>
        <v/>
      </c>
      <c r="D557" s="31">
        <f>IF($A557="","",PAYMENTS!D50)</f>
        <v/>
      </c>
      <c r="E557" s="32">
        <f>IF($A557="","",PAYMENTS!E50)</f>
        <v/>
      </c>
      <c r="F557" s="31">
        <f>IF($A557="","",PAYMENTS!F50)</f>
        <v/>
      </c>
      <c r="G557" s="31">
        <f>IF($A557="","",PAYMENTS!G50)</f>
        <v/>
      </c>
    </row>
    <row r="558">
      <c r="A558" s="33">
        <f>IF(PAYMENTS!A51="","",PAYMENTS!A51)</f>
        <v/>
      </c>
      <c r="B558" s="31">
        <f>IF($A558="","",PAYMENTS!B51)</f>
        <v/>
      </c>
      <c r="C558" s="31">
        <f>IF($A558="","",PAYMENTS!C51)</f>
        <v/>
      </c>
      <c r="D558" s="31">
        <f>IF($A558="","",PAYMENTS!D51)</f>
        <v/>
      </c>
      <c r="E558" s="32">
        <f>IF($A558="","",PAYMENTS!E51)</f>
        <v/>
      </c>
      <c r="F558" s="31">
        <f>IF($A558="","",PAYMENTS!F51)</f>
        <v/>
      </c>
      <c r="G558" s="31">
        <f>IF($A558="","",PAYMENTS!G51)</f>
        <v/>
      </c>
    </row>
    <row r="559">
      <c r="A559" s="33">
        <f>IF(PAYMENTS!A52="","",PAYMENTS!A52)</f>
        <v/>
      </c>
      <c r="B559" s="31">
        <f>IF($A559="","",PAYMENTS!B52)</f>
        <v/>
      </c>
      <c r="C559" s="31">
        <f>IF($A559="","",PAYMENTS!C52)</f>
        <v/>
      </c>
      <c r="D559" s="31">
        <f>IF($A559="","",PAYMENTS!D52)</f>
        <v/>
      </c>
      <c r="E559" s="32">
        <f>IF($A559="","",PAYMENTS!E52)</f>
        <v/>
      </c>
      <c r="F559" s="31">
        <f>IF($A559="","",PAYMENTS!F52)</f>
        <v/>
      </c>
      <c r="G559" s="31">
        <f>IF($A559="","",PAYMENTS!G52)</f>
        <v/>
      </c>
    </row>
    <row r="560">
      <c r="A560" s="33">
        <f>IF(PAYMENTS!A53="","",PAYMENTS!A53)</f>
        <v/>
      </c>
      <c r="B560" s="31">
        <f>IF($A560="","",PAYMENTS!B53)</f>
        <v/>
      </c>
      <c r="C560" s="31">
        <f>IF($A560="","",PAYMENTS!C53)</f>
        <v/>
      </c>
      <c r="D560" s="31">
        <f>IF($A560="","",PAYMENTS!D53)</f>
        <v/>
      </c>
      <c r="E560" s="32">
        <f>IF($A560="","",PAYMENTS!E53)</f>
        <v/>
      </c>
      <c r="F560" s="31">
        <f>IF($A560="","",PAYMENTS!F53)</f>
        <v/>
      </c>
      <c r="G560" s="31">
        <f>IF($A560="","",PAYMENTS!G53)</f>
        <v/>
      </c>
    </row>
    <row r="561">
      <c r="A561" s="33">
        <f>IF(PAYMENTS!A54="","",PAYMENTS!A54)</f>
        <v/>
      </c>
      <c r="B561" s="31">
        <f>IF($A561="","",PAYMENTS!B54)</f>
        <v/>
      </c>
      <c r="C561" s="31">
        <f>IF($A561="","",PAYMENTS!C54)</f>
        <v/>
      </c>
      <c r="D561" s="31">
        <f>IF($A561="","",PAYMENTS!D54)</f>
        <v/>
      </c>
      <c r="E561" s="32">
        <f>IF($A561="","",PAYMENTS!E54)</f>
        <v/>
      </c>
      <c r="F561" s="31">
        <f>IF($A561="","",PAYMENTS!F54)</f>
        <v/>
      </c>
      <c r="G561" s="31">
        <f>IF($A561="","",PAYMENTS!G54)</f>
        <v/>
      </c>
    </row>
    <row r="562">
      <c r="A562" s="33">
        <f>IF(PAYMENTS!A55="","",PAYMENTS!A55)</f>
        <v/>
      </c>
      <c r="B562" s="31">
        <f>IF($A562="","",PAYMENTS!B55)</f>
        <v/>
      </c>
      <c r="C562" s="31">
        <f>IF($A562="","",PAYMENTS!C55)</f>
        <v/>
      </c>
      <c r="D562" s="31">
        <f>IF($A562="","",PAYMENTS!D55)</f>
        <v/>
      </c>
      <c r="E562" s="32">
        <f>IF($A562="","",PAYMENTS!E55)</f>
        <v/>
      </c>
      <c r="F562" s="31">
        <f>IF($A562="","",PAYMENTS!F55)</f>
        <v/>
      </c>
      <c r="G562" s="31">
        <f>IF($A562="","",PAYMENTS!G55)</f>
        <v/>
      </c>
    </row>
    <row r="563">
      <c r="A563" s="33">
        <f>IF(PAYMENTS!A56="","",PAYMENTS!A56)</f>
        <v/>
      </c>
      <c r="B563" s="31">
        <f>IF($A563="","",PAYMENTS!B56)</f>
        <v/>
      </c>
      <c r="C563" s="31">
        <f>IF($A563="","",PAYMENTS!C56)</f>
        <v/>
      </c>
      <c r="D563" s="31">
        <f>IF($A563="","",PAYMENTS!D56)</f>
        <v/>
      </c>
      <c r="E563" s="32">
        <f>IF($A563="","",PAYMENTS!E56)</f>
        <v/>
      </c>
      <c r="F563" s="31">
        <f>IF($A563="","",PAYMENTS!F56)</f>
        <v/>
      </c>
      <c r="G563" s="31">
        <f>IF($A563="","",PAYMENTS!G56)</f>
        <v/>
      </c>
    </row>
    <row r="564">
      <c r="A564" s="33">
        <f>IF(PAYMENTS!A57="","",PAYMENTS!A57)</f>
        <v/>
      </c>
      <c r="B564" s="31">
        <f>IF($A564="","",PAYMENTS!B57)</f>
        <v/>
      </c>
      <c r="C564" s="31">
        <f>IF($A564="","",PAYMENTS!C57)</f>
        <v/>
      </c>
      <c r="D564" s="31">
        <f>IF($A564="","",PAYMENTS!D57)</f>
        <v/>
      </c>
      <c r="E564" s="32">
        <f>IF($A564="","",PAYMENTS!E57)</f>
        <v/>
      </c>
      <c r="F564" s="31">
        <f>IF($A564="","",PAYMENTS!F57)</f>
        <v/>
      </c>
      <c r="G564" s="31">
        <f>IF($A564="","",PAYMENTS!G57)</f>
        <v/>
      </c>
    </row>
    <row r="565">
      <c r="A565" s="33">
        <f>IF(PAYMENTS!A58="","",PAYMENTS!A58)</f>
        <v/>
      </c>
      <c r="B565" s="31">
        <f>IF($A565="","",PAYMENTS!B58)</f>
        <v/>
      </c>
      <c r="C565" s="31">
        <f>IF($A565="","",PAYMENTS!C58)</f>
        <v/>
      </c>
      <c r="D565" s="31">
        <f>IF($A565="","",PAYMENTS!D58)</f>
        <v/>
      </c>
      <c r="E565" s="32">
        <f>IF($A565="","",PAYMENTS!E58)</f>
        <v/>
      </c>
      <c r="F565" s="31">
        <f>IF($A565="","",PAYMENTS!F58)</f>
        <v/>
      </c>
      <c r="G565" s="31">
        <f>IF($A565="","",PAYMENTS!G58)</f>
        <v/>
      </c>
    </row>
    <row r="566">
      <c r="A566" s="33">
        <f>IF(PAYMENTS!A59="","",PAYMENTS!A59)</f>
        <v/>
      </c>
      <c r="B566" s="31">
        <f>IF($A566="","",PAYMENTS!B59)</f>
        <v/>
      </c>
      <c r="C566" s="31">
        <f>IF($A566="","",PAYMENTS!C59)</f>
        <v/>
      </c>
      <c r="D566" s="31">
        <f>IF($A566="","",PAYMENTS!D59)</f>
        <v/>
      </c>
      <c r="E566" s="32">
        <f>IF($A566="","",PAYMENTS!E59)</f>
        <v/>
      </c>
      <c r="F566" s="31">
        <f>IF($A566="","",PAYMENTS!F59)</f>
        <v/>
      </c>
      <c r="G566" s="31">
        <f>IF($A566="","",PAYMENTS!G59)</f>
        <v/>
      </c>
    </row>
    <row r="567">
      <c r="A567" s="33">
        <f>IF(PAYMENTS!A60="","",PAYMENTS!A60)</f>
        <v/>
      </c>
      <c r="B567" s="31">
        <f>IF($A567="","",PAYMENTS!B60)</f>
        <v/>
      </c>
      <c r="C567" s="31">
        <f>IF($A567="","",PAYMENTS!C60)</f>
        <v/>
      </c>
      <c r="D567" s="31">
        <f>IF($A567="","",PAYMENTS!D60)</f>
        <v/>
      </c>
      <c r="E567" s="32">
        <f>IF($A567="","",PAYMENTS!E60)</f>
        <v/>
      </c>
      <c r="F567" s="31">
        <f>IF($A567="","",PAYMENTS!F60)</f>
        <v/>
      </c>
      <c r="G567" s="31">
        <f>IF($A567="","",PAYMENTS!G60)</f>
        <v/>
      </c>
    </row>
    <row r="568">
      <c r="A568" s="33">
        <f>IF(PAYMENTS!A61="","",PAYMENTS!A61)</f>
        <v/>
      </c>
      <c r="B568" s="31">
        <f>IF($A568="","",PAYMENTS!B61)</f>
        <v/>
      </c>
      <c r="C568" s="31">
        <f>IF($A568="","",PAYMENTS!C61)</f>
        <v/>
      </c>
      <c r="D568" s="31">
        <f>IF($A568="","",PAYMENTS!D61)</f>
        <v/>
      </c>
      <c r="E568" s="32">
        <f>IF($A568="","",PAYMENTS!E61)</f>
        <v/>
      </c>
      <c r="F568" s="31">
        <f>IF($A568="","",PAYMENTS!F61)</f>
        <v/>
      </c>
      <c r="G568" s="31">
        <f>IF($A568="","",PAYMENTS!G61)</f>
        <v/>
      </c>
    </row>
    <row r="569">
      <c r="A569" s="33">
        <f>IF(PAYMENTS!A62="","",PAYMENTS!A62)</f>
        <v/>
      </c>
      <c r="B569" s="31">
        <f>IF($A569="","",PAYMENTS!B62)</f>
        <v/>
      </c>
      <c r="C569" s="31">
        <f>IF($A569="","",PAYMENTS!C62)</f>
        <v/>
      </c>
      <c r="D569" s="31">
        <f>IF($A569="","",PAYMENTS!D62)</f>
        <v/>
      </c>
      <c r="E569" s="32">
        <f>IF($A569="","",PAYMENTS!E62)</f>
        <v/>
      </c>
      <c r="F569" s="31">
        <f>IF($A569="","",PAYMENTS!F62)</f>
        <v/>
      </c>
      <c r="G569" s="31">
        <f>IF($A569="","",PAYMENTS!G62)</f>
        <v/>
      </c>
    </row>
    <row r="570">
      <c r="A570" s="33">
        <f>IF(PAYMENTS!A63="","",PAYMENTS!A63)</f>
        <v/>
      </c>
      <c r="B570" s="31">
        <f>IF($A570="","",PAYMENTS!B63)</f>
        <v/>
      </c>
      <c r="C570" s="31">
        <f>IF($A570="","",PAYMENTS!C63)</f>
        <v/>
      </c>
      <c r="D570" s="31">
        <f>IF($A570="","",PAYMENTS!D63)</f>
        <v/>
      </c>
      <c r="E570" s="32">
        <f>IF($A570="","",PAYMENTS!E63)</f>
        <v/>
      </c>
      <c r="F570" s="31">
        <f>IF($A570="","",PAYMENTS!F63)</f>
        <v/>
      </c>
      <c r="G570" s="31">
        <f>IF($A570="","",PAYMENTS!G63)</f>
        <v/>
      </c>
    </row>
    <row r="571">
      <c r="A571" s="33">
        <f>IF(PAYMENTS!A64="","",PAYMENTS!A64)</f>
        <v/>
      </c>
      <c r="B571" s="31">
        <f>IF($A571="","",PAYMENTS!B64)</f>
        <v/>
      </c>
      <c r="C571" s="31">
        <f>IF($A571="","",PAYMENTS!C64)</f>
        <v/>
      </c>
      <c r="D571" s="31">
        <f>IF($A571="","",PAYMENTS!D64)</f>
        <v/>
      </c>
      <c r="E571" s="32">
        <f>IF($A571="","",PAYMENTS!E64)</f>
        <v/>
      </c>
      <c r="F571" s="31">
        <f>IF($A571="","",PAYMENTS!F64)</f>
        <v/>
      </c>
      <c r="G571" s="31">
        <f>IF($A571="","",PAYMENTS!G64)</f>
        <v/>
      </c>
    </row>
    <row r="572">
      <c r="A572" s="33">
        <f>IF(PAYMENTS!A65="","",PAYMENTS!A65)</f>
        <v/>
      </c>
      <c r="B572" s="31">
        <f>IF($A572="","",PAYMENTS!B65)</f>
        <v/>
      </c>
      <c r="C572" s="31">
        <f>IF($A572="","",PAYMENTS!C65)</f>
        <v/>
      </c>
      <c r="D572" s="31">
        <f>IF($A572="","",PAYMENTS!D65)</f>
        <v/>
      </c>
      <c r="E572" s="32">
        <f>IF($A572="","",PAYMENTS!E65)</f>
        <v/>
      </c>
      <c r="F572" s="31">
        <f>IF($A572="","",PAYMENTS!F65)</f>
        <v/>
      </c>
      <c r="G572" s="31">
        <f>IF($A572="","",PAYMENTS!G65)</f>
        <v/>
      </c>
    </row>
    <row r="573">
      <c r="A573" s="33">
        <f>IF(PAYMENTS!A66="","",PAYMENTS!A66)</f>
        <v/>
      </c>
      <c r="B573" s="31">
        <f>IF($A573="","",PAYMENTS!B66)</f>
        <v/>
      </c>
      <c r="C573" s="31">
        <f>IF($A573="","",PAYMENTS!C66)</f>
        <v/>
      </c>
      <c r="D573" s="31">
        <f>IF($A573="","",PAYMENTS!D66)</f>
        <v/>
      </c>
      <c r="E573" s="32">
        <f>IF($A573="","",PAYMENTS!E66)</f>
        <v/>
      </c>
      <c r="F573" s="31">
        <f>IF($A573="","",PAYMENTS!F66)</f>
        <v/>
      </c>
      <c r="G573" s="31">
        <f>IF($A573="","",PAYMENTS!G66)</f>
        <v/>
      </c>
    </row>
    <row r="574">
      <c r="A574" s="33">
        <f>IF(PAYMENTS!A67="","",PAYMENTS!A67)</f>
        <v/>
      </c>
      <c r="B574" s="31">
        <f>IF($A574="","",PAYMENTS!B67)</f>
        <v/>
      </c>
      <c r="C574" s="31">
        <f>IF($A574="","",PAYMENTS!C67)</f>
        <v/>
      </c>
      <c r="D574" s="31">
        <f>IF($A574="","",PAYMENTS!D67)</f>
        <v/>
      </c>
      <c r="E574" s="32">
        <f>IF($A574="","",PAYMENTS!E67)</f>
        <v/>
      </c>
      <c r="F574" s="31">
        <f>IF($A574="","",PAYMENTS!F67)</f>
        <v/>
      </c>
      <c r="G574" s="31">
        <f>IF($A574="","",PAYMENTS!G67)</f>
        <v/>
      </c>
    </row>
    <row r="575">
      <c r="A575" s="33">
        <f>IF(PAYMENTS!A68="","",PAYMENTS!A68)</f>
        <v/>
      </c>
      <c r="B575" s="31">
        <f>IF($A575="","",PAYMENTS!B68)</f>
        <v/>
      </c>
      <c r="C575" s="31">
        <f>IF($A575="","",PAYMENTS!C68)</f>
        <v/>
      </c>
      <c r="D575" s="31">
        <f>IF($A575="","",PAYMENTS!D68)</f>
        <v/>
      </c>
      <c r="E575" s="32">
        <f>IF($A575="","",PAYMENTS!E68)</f>
        <v/>
      </c>
      <c r="F575" s="31">
        <f>IF($A575="","",PAYMENTS!F68)</f>
        <v/>
      </c>
      <c r="G575" s="31">
        <f>IF($A575="","",PAYMENTS!G68)</f>
        <v/>
      </c>
    </row>
    <row r="576">
      <c r="A576" s="33">
        <f>IF(PAYMENTS!A69="","",PAYMENTS!A69)</f>
        <v/>
      </c>
      <c r="B576" s="31">
        <f>IF($A576="","",PAYMENTS!B69)</f>
        <v/>
      </c>
      <c r="C576" s="31">
        <f>IF($A576="","",PAYMENTS!C69)</f>
        <v/>
      </c>
      <c r="D576" s="31">
        <f>IF($A576="","",PAYMENTS!D69)</f>
        <v/>
      </c>
      <c r="E576" s="32">
        <f>IF($A576="","",PAYMENTS!E69)</f>
        <v/>
      </c>
      <c r="F576" s="31">
        <f>IF($A576="","",PAYMENTS!F69)</f>
        <v/>
      </c>
      <c r="G576" s="31">
        <f>IF($A576="","",PAYMENTS!G69)</f>
        <v/>
      </c>
    </row>
    <row r="577">
      <c r="A577" s="33">
        <f>IF(PAYMENTS!A70="","",PAYMENTS!A70)</f>
        <v/>
      </c>
      <c r="B577" s="31">
        <f>IF($A577="","",PAYMENTS!B70)</f>
        <v/>
      </c>
      <c r="C577" s="31">
        <f>IF($A577="","",PAYMENTS!C70)</f>
        <v/>
      </c>
      <c r="D577" s="31">
        <f>IF($A577="","",PAYMENTS!D70)</f>
        <v/>
      </c>
      <c r="E577" s="32">
        <f>IF($A577="","",PAYMENTS!E70)</f>
        <v/>
      </c>
      <c r="F577" s="31">
        <f>IF($A577="","",PAYMENTS!F70)</f>
        <v/>
      </c>
      <c r="G577" s="31">
        <f>IF($A577="","",PAYMENTS!G70)</f>
        <v/>
      </c>
    </row>
    <row r="578">
      <c r="A578" s="33">
        <f>IF(PAYMENTS!A71="","",PAYMENTS!A71)</f>
        <v/>
      </c>
      <c r="B578" s="31">
        <f>IF($A578="","",PAYMENTS!B71)</f>
        <v/>
      </c>
      <c r="C578" s="31">
        <f>IF($A578="","",PAYMENTS!C71)</f>
        <v/>
      </c>
      <c r="D578" s="31">
        <f>IF($A578="","",PAYMENTS!D71)</f>
        <v/>
      </c>
      <c r="E578" s="32">
        <f>IF($A578="","",PAYMENTS!E71)</f>
        <v/>
      </c>
      <c r="F578" s="31">
        <f>IF($A578="","",PAYMENTS!F71)</f>
        <v/>
      </c>
      <c r="G578" s="31">
        <f>IF($A578="","",PAYMENTS!G71)</f>
        <v/>
      </c>
    </row>
    <row r="579">
      <c r="A579" s="33">
        <f>IF(PAYMENTS!A72="","",PAYMENTS!A72)</f>
        <v/>
      </c>
      <c r="B579" s="31">
        <f>IF($A579="","",PAYMENTS!B72)</f>
        <v/>
      </c>
      <c r="C579" s="31">
        <f>IF($A579="","",PAYMENTS!C72)</f>
        <v/>
      </c>
      <c r="D579" s="31">
        <f>IF($A579="","",PAYMENTS!D72)</f>
        <v/>
      </c>
      <c r="E579" s="32">
        <f>IF($A579="","",PAYMENTS!E72)</f>
        <v/>
      </c>
      <c r="F579" s="31">
        <f>IF($A579="","",PAYMENTS!F72)</f>
        <v/>
      </c>
      <c r="G579" s="31">
        <f>IF($A579="","",PAYMENTS!G72)</f>
        <v/>
      </c>
    </row>
    <row r="580">
      <c r="A580" s="33">
        <f>IF(PAYMENTS!A73="","",PAYMENTS!A73)</f>
        <v/>
      </c>
      <c r="B580" s="31">
        <f>IF($A580="","",PAYMENTS!B73)</f>
        <v/>
      </c>
      <c r="C580" s="31">
        <f>IF($A580="","",PAYMENTS!C73)</f>
        <v/>
      </c>
      <c r="D580" s="31">
        <f>IF($A580="","",PAYMENTS!D73)</f>
        <v/>
      </c>
      <c r="E580" s="32">
        <f>IF($A580="","",PAYMENTS!E73)</f>
        <v/>
      </c>
      <c r="F580" s="31">
        <f>IF($A580="","",PAYMENTS!F73)</f>
        <v/>
      </c>
      <c r="G580" s="31">
        <f>IF($A580="","",PAYMENTS!G73)</f>
        <v/>
      </c>
    </row>
    <row r="581">
      <c r="A581" s="33">
        <f>IF(PAYMENTS!A74="","",PAYMENTS!A74)</f>
        <v/>
      </c>
      <c r="B581" s="31">
        <f>IF($A581="","",PAYMENTS!B74)</f>
        <v/>
      </c>
      <c r="C581" s="31">
        <f>IF($A581="","",PAYMENTS!C74)</f>
        <v/>
      </c>
      <c r="D581" s="31">
        <f>IF($A581="","",PAYMENTS!D74)</f>
        <v/>
      </c>
      <c r="E581" s="32">
        <f>IF($A581="","",PAYMENTS!E74)</f>
        <v/>
      </c>
      <c r="F581" s="31">
        <f>IF($A581="","",PAYMENTS!F74)</f>
        <v/>
      </c>
      <c r="G581" s="31">
        <f>IF($A581="","",PAYMENTS!G74)</f>
        <v/>
      </c>
    </row>
    <row r="582">
      <c r="A582" s="33">
        <f>IF(PAYMENTS!A75="","",PAYMENTS!A75)</f>
        <v/>
      </c>
      <c r="B582" s="31">
        <f>IF($A582="","",PAYMENTS!B75)</f>
        <v/>
      </c>
      <c r="C582" s="31">
        <f>IF($A582="","",PAYMENTS!C75)</f>
        <v/>
      </c>
      <c r="D582" s="31">
        <f>IF($A582="","",PAYMENTS!D75)</f>
        <v/>
      </c>
      <c r="E582" s="32">
        <f>IF($A582="","",PAYMENTS!E75)</f>
        <v/>
      </c>
      <c r="F582" s="31">
        <f>IF($A582="","",PAYMENTS!F75)</f>
        <v/>
      </c>
      <c r="G582" s="31">
        <f>IF($A582="","",PAYMENTS!G75)</f>
        <v/>
      </c>
    </row>
    <row r="583">
      <c r="A583" s="33">
        <f>IF(PAYMENTS!A76="","",PAYMENTS!A76)</f>
        <v/>
      </c>
      <c r="B583" s="31">
        <f>IF($A583="","",PAYMENTS!B76)</f>
        <v/>
      </c>
      <c r="C583" s="31">
        <f>IF($A583="","",PAYMENTS!C76)</f>
        <v/>
      </c>
      <c r="D583" s="31">
        <f>IF($A583="","",PAYMENTS!D76)</f>
        <v/>
      </c>
      <c r="E583" s="32">
        <f>IF($A583="","",PAYMENTS!E76)</f>
        <v/>
      </c>
      <c r="F583" s="31">
        <f>IF($A583="","",PAYMENTS!F76)</f>
        <v/>
      </c>
      <c r="G583" s="31">
        <f>IF($A583="","",PAYMENTS!G76)</f>
        <v/>
      </c>
    </row>
    <row r="584">
      <c r="A584" s="33">
        <f>IF(PAYMENTS!A77="","",PAYMENTS!A77)</f>
        <v/>
      </c>
      <c r="B584" s="31">
        <f>IF($A584="","",PAYMENTS!B77)</f>
        <v/>
      </c>
      <c r="C584" s="31">
        <f>IF($A584="","",PAYMENTS!C77)</f>
        <v/>
      </c>
      <c r="D584" s="31">
        <f>IF($A584="","",PAYMENTS!D77)</f>
        <v/>
      </c>
      <c r="E584" s="32">
        <f>IF($A584="","",PAYMENTS!E77)</f>
        <v/>
      </c>
      <c r="F584" s="31">
        <f>IF($A584="","",PAYMENTS!F77)</f>
        <v/>
      </c>
      <c r="G584" s="31">
        <f>IF($A584="","",PAYMENTS!G77)</f>
        <v/>
      </c>
    </row>
    <row r="585">
      <c r="A585" s="33">
        <f>IF(PAYMENTS!A78="","",PAYMENTS!A78)</f>
        <v/>
      </c>
      <c r="B585" s="31">
        <f>IF($A585="","",PAYMENTS!B78)</f>
        <v/>
      </c>
      <c r="C585" s="31">
        <f>IF($A585="","",PAYMENTS!C78)</f>
        <v/>
      </c>
      <c r="D585" s="31">
        <f>IF($A585="","",PAYMENTS!D78)</f>
        <v/>
      </c>
      <c r="E585" s="32">
        <f>IF($A585="","",PAYMENTS!E78)</f>
        <v/>
      </c>
      <c r="F585" s="31">
        <f>IF($A585="","",PAYMENTS!F78)</f>
        <v/>
      </c>
      <c r="G585" s="31">
        <f>IF($A585="","",PAYMENTS!G78)</f>
        <v/>
      </c>
    </row>
    <row r="586">
      <c r="A586" s="33">
        <f>IF(PAYMENTS!A79="","",PAYMENTS!A79)</f>
        <v/>
      </c>
      <c r="B586" s="31">
        <f>IF($A586="","",PAYMENTS!B79)</f>
        <v/>
      </c>
      <c r="C586" s="31">
        <f>IF($A586="","",PAYMENTS!C79)</f>
        <v/>
      </c>
      <c r="D586" s="31">
        <f>IF($A586="","",PAYMENTS!D79)</f>
        <v/>
      </c>
      <c r="E586" s="32">
        <f>IF($A586="","",PAYMENTS!E79)</f>
        <v/>
      </c>
      <c r="F586" s="31">
        <f>IF($A586="","",PAYMENTS!F79)</f>
        <v/>
      </c>
      <c r="G586" s="31">
        <f>IF($A586="","",PAYMENTS!G79)</f>
        <v/>
      </c>
    </row>
    <row r="587">
      <c r="A587" s="33">
        <f>IF(PAYMENTS!A80="","",PAYMENTS!A80)</f>
        <v/>
      </c>
      <c r="B587" s="31">
        <f>IF($A587="","",PAYMENTS!B80)</f>
        <v/>
      </c>
      <c r="C587" s="31">
        <f>IF($A587="","",PAYMENTS!C80)</f>
        <v/>
      </c>
      <c r="D587" s="31">
        <f>IF($A587="","",PAYMENTS!D80)</f>
        <v/>
      </c>
      <c r="E587" s="32">
        <f>IF($A587="","",PAYMENTS!E80)</f>
        <v/>
      </c>
      <c r="F587" s="31">
        <f>IF($A587="","",PAYMENTS!F80)</f>
        <v/>
      </c>
      <c r="G587" s="31">
        <f>IF($A587="","",PAYMENTS!G80)</f>
        <v/>
      </c>
    </row>
    <row r="588">
      <c r="A588" s="33">
        <f>IF(PAYMENTS!A81="","",PAYMENTS!A81)</f>
        <v/>
      </c>
      <c r="B588" s="31">
        <f>IF($A588="","",PAYMENTS!B81)</f>
        <v/>
      </c>
      <c r="C588" s="31">
        <f>IF($A588="","",PAYMENTS!C81)</f>
        <v/>
      </c>
      <c r="D588" s="31">
        <f>IF($A588="","",PAYMENTS!D81)</f>
        <v/>
      </c>
      <c r="E588" s="32">
        <f>IF($A588="","",PAYMENTS!E81)</f>
        <v/>
      </c>
      <c r="F588" s="31">
        <f>IF($A588="","",PAYMENTS!F81)</f>
        <v/>
      </c>
      <c r="G588" s="31">
        <f>IF($A588="","",PAYMENTS!G81)</f>
        <v/>
      </c>
    </row>
    <row r="589">
      <c r="A589" s="33">
        <f>IF(PAYMENTS!A82="","",PAYMENTS!A82)</f>
        <v/>
      </c>
      <c r="B589" s="31">
        <f>IF($A589="","",PAYMENTS!B82)</f>
        <v/>
      </c>
      <c r="C589" s="31">
        <f>IF($A589="","",PAYMENTS!C82)</f>
        <v/>
      </c>
      <c r="D589" s="31">
        <f>IF($A589="","",PAYMENTS!D82)</f>
        <v/>
      </c>
      <c r="E589" s="32">
        <f>IF($A589="","",PAYMENTS!E82)</f>
        <v/>
      </c>
      <c r="F589" s="31">
        <f>IF($A589="","",PAYMENTS!F82)</f>
        <v/>
      </c>
      <c r="G589" s="31">
        <f>IF($A589="","",PAYMENTS!G82)</f>
        <v/>
      </c>
    </row>
    <row r="590">
      <c r="A590" s="33">
        <f>IF(PAYMENTS!A83="","",PAYMENTS!A83)</f>
        <v/>
      </c>
      <c r="B590" s="31">
        <f>IF($A590="","",PAYMENTS!B83)</f>
        <v/>
      </c>
      <c r="C590" s="31">
        <f>IF($A590="","",PAYMENTS!C83)</f>
        <v/>
      </c>
      <c r="D590" s="31">
        <f>IF($A590="","",PAYMENTS!D83)</f>
        <v/>
      </c>
      <c r="E590" s="32">
        <f>IF($A590="","",PAYMENTS!E83)</f>
        <v/>
      </c>
      <c r="F590" s="31">
        <f>IF($A590="","",PAYMENTS!F83)</f>
        <v/>
      </c>
      <c r="G590" s="31">
        <f>IF($A590="","",PAYMENTS!G83)</f>
        <v/>
      </c>
    </row>
    <row r="591">
      <c r="A591" s="33">
        <f>IF(PAYMENTS!A84="","",PAYMENTS!A84)</f>
        <v/>
      </c>
      <c r="B591" s="31">
        <f>IF($A591="","",PAYMENTS!B84)</f>
        <v/>
      </c>
      <c r="C591" s="31">
        <f>IF($A591="","",PAYMENTS!C84)</f>
        <v/>
      </c>
      <c r="D591" s="31">
        <f>IF($A591="","",PAYMENTS!D84)</f>
        <v/>
      </c>
      <c r="E591" s="32">
        <f>IF($A591="","",PAYMENTS!E84)</f>
        <v/>
      </c>
      <c r="F591" s="31">
        <f>IF($A591="","",PAYMENTS!F84)</f>
        <v/>
      </c>
      <c r="G591" s="31">
        <f>IF($A591="","",PAYMENTS!G84)</f>
        <v/>
      </c>
    </row>
    <row r="592">
      <c r="A592" s="33">
        <f>IF(PAYMENTS!A85="","",PAYMENTS!A85)</f>
        <v/>
      </c>
      <c r="B592" s="31">
        <f>IF($A592="","",PAYMENTS!B85)</f>
        <v/>
      </c>
      <c r="C592" s="31">
        <f>IF($A592="","",PAYMENTS!C85)</f>
        <v/>
      </c>
      <c r="D592" s="31">
        <f>IF($A592="","",PAYMENTS!D85)</f>
        <v/>
      </c>
      <c r="E592" s="32">
        <f>IF($A592="","",PAYMENTS!E85)</f>
        <v/>
      </c>
      <c r="F592" s="31">
        <f>IF($A592="","",PAYMENTS!F85)</f>
        <v/>
      </c>
      <c r="G592" s="31">
        <f>IF($A592="","",PAYMENTS!G85)</f>
        <v/>
      </c>
    </row>
    <row r="593">
      <c r="A593" s="33">
        <f>IF(PAYMENTS!A86="","",PAYMENTS!A86)</f>
        <v/>
      </c>
      <c r="B593" s="31">
        <f>IF($A593="","",PAYMENTS!B86)</f>
        <v/>
      </c>
      <c r="C593" s="31">
        <f>IF($A593="","",PAYMENTS!C86)</f>
        <v/>
      </c>
      <c r="D593" s="31">
        <f>IF($A593="","",PAYMENTS!D86)</f>
        <v/>
      </c>
      <c r="E593" s="32">
        <f>IF($A593="","",PAYMENTS!E86)</f>
        <v/>
      </c>
      <c r="F593" s="31">
        <f>IF($A593="","",PAYMENTS!F86)</f>
        <v/>
      </c>
      <c r="G593" s="31">
        <f>IF($A593="","",PAYMENTS!G86)</f>
        <v/>
      </c>
    </row>
    <row r="594">
      <c r="A594" s="33">
        <f>IF(PAYMENTS!A87="","",PAYMENTS!A87)</f>
        <v/>
      </c>
      <c r="B594" s="31">
        <f>IF($A594="","",PAYMENTS!B87)</f>
        <v/>
      </c>
      <c r="C594" s="31">
        <f>IF($A594="","",PAYMENTS!C87)</f>
        <v/>
      </c>
      <c r="D594" s="31">
        <f>IF($A594="","",PAYMENTS!D87)</f>
        <v/>
      </c>
      <c r="E594" s="32">
        <f>IF($A594="","",PAYMENTS!E87)</f>
        <v/>
      </c>
      <c r="F594" s="31">
        <f>IF($A594="","",PAYMENTS!F87)</f>
        <v/>
      </c>
      <c r="G594" s="31">
        <f>IF($A594="","",PAYMENTS!G87)</f>
        <v/>
      </c>
    </row>
    <row r="595">
      <c r="A595" s="33">
        <f>IF(PAYMENTS!A88="","",PAYMENTS!A88)</f>
        <v/>
      </c>
      <c r="B595" s="31">
        <f>IF($A595="","",PAYMENTS!B88)</f>
        <v/>
      </c>
      <c r="C595" s="31">
        <f>IF($A595="","",PAYMENTS!C88)</f>
        <v/>
      </c>
      <c r="D595" s="31">
        <f>IF($A595="","",PAYMENTS!D88)</f>
        <v/>
      </c>
      <c r="E595" s="32">
        <f>IF($A595="","",PAYMENTS!E88)</f>
        <v/>
      </c>
      <c r="F595" s="31">
        <f>IF($A595="","",PAYMENTS!F88)</f>
        <v/>
      </c>
      <c r="G595" s="31">
        <f>IF($A595="","",PAYMENTS!G88)</f>
        <v/>
      </c>
    </row>
    <row r="596">
      <c r="A596" s="33">
        <f>IF(PAYMENTS!A89="","",PAYMENTS!A89)</f>
        <v/>
      </c>
      <c r="B596" s="31">
        <f>IF($A596="","",PAYMENTS!B89)</f>
        <v/>
      </c>
      <c r="C596" s="31">
        <f>IF($A596="","",PAYMENTS!C89)</f>
        <v/>
      </c>
      <c r="D596" s="31">
        <f>IF($A596="","",PAYMENTS!D89)</f>
        <v/>
      </c>
      <c r="E596" s="32">
        <f>IF($A596="","",PAYMENTS!E89)</f>
        <v/>
      </c>
      <c r="F596" s="31">
        <f>IF($A596="","",PAYMENTS!F89)</f>
        <v/>
      </c>
      <c r="G596" s="31">
        <f>IF($A596="","",PAYMENTS!G89)</f>
        <v/>
      </c>
    </row>
    <row r="597">
      <c r="A597" s="33">
        <f>IF(PAYMENTS!A90="","",PAYMENTS!A90)</f>
        <v/>
      </c>
      <c r="B597" s="31">
        <f>IF($A597="","",PAYMENTS!B90)</f>
        <v/>
      </c>
      <c r="C597" s="31">
        <f>IF($A597="","",PAYMENTS!C90)</f>
        <v/>
      </c>
      <c r="D597" s="31">
        <f>IF($A597="","",PAYMENTS!D90)</f>
        <v/>
      </c>
      <c r="E597" s="32">
        <f>IF($A597="","",PAYMENTS!E90)</f>
        <v/>
      </c>
      <c r="F597" s="31">
        <f>IF($A597="","",PAYMENTS!F90)</f>
        <v/>
      </c>
      <c r="G597" s="31">
        <f>IF($A597="","",PAYMENTS!G90)</f>
        <v/>
      </c>
    </row>
    <row r="598">
      <c r="A598" s="33">
        <f>IF(PAYMENTS!A91="","",PAYMENTS!A91)</f>
        <v/>
      </c>
      <c r="B598" s="31">
        <f>IF($A598="","",PAYMENTS!B91)</f>
        <v/>
      </c>
      <c r="C598" s="31">
        <f>IF($A598="","",PAYMENTS!C91)</f>
        <v/>
      </c>
      <c r="D598" s="31">
        <f>IF($A598="","",PAYMENTS!D91)</f>
        <v/>
      </c>
      <c r="E598" s="32">
        <f>IF($A598="","",PAYMENTS!E91)</f>
        <v/>
      </c>
      <c r="F598" s="31">
        <f>IF($A598="","",PAYMENTS!F91)</f>
        <v/>
      </c>
      <c r="G598" s="31">
        <f>IF($A598="","",PAYMENTS!G91)</f>
        <v/>
      </c>
    </row>
    <row r="599">
      <c r="A599" s="33">
        <f>IF(PAYMENTS!A92="","",PAYMENTS!A92)</f>
        <v/>
      </c>
      <c r="B599" s="31">
        <f>IF($A599="","",PAYMENTS!B92)</f>
        <v/>
      </c>
      <c r="C599" s="31">
        <f>IF($A599="","",PAYMENTS!C92)</f>
        <v/>
      </c>
      <c r="D599" s="31">
        <f>IF($A599="","",PAYMENTS!D92)</f>
        <v/>
      </c>
      <c r="E599" s="32">
        <f>IF($A599="","",PAYMENTS!E92)</f>
        <v/>
      </c>
      <c r="F599" s="31">
        <f>IF($A599="","",PAYMENTS!F92)</f>
        <v/>
      </c>
      <c r="G599" s="31">
        <f>IF($A599="","",PAYMENTS!G92)</f>
        <v/>
      </c>
    </row>
    <row r="600">
      <c r="A600" s="33">
        <f>IF(PAYMENTS!A93="","",PAYMENTS!A93)</f>
        <v/>
      </c>
      <c r="B600" s="31">
        <f>IF($A600="","",PAYMENTS!B93)</f>
        <v/>
      </c>
      <c r="C600" s="31">
        <f>IF($A600="","",PAYMENTS!C93)</f>
        <v/>
      </c>
      <c r="D600" s="31">
        <f>IF($A600="","",PAYMENTS!D93)</f>
        <v/>
      </c>
      <c r="E600" s="32">
        <f>IF($A600="","",PAYMENTS!E93)</f>
        <v/>
      </c>
      <c r="F600" s="31">
        <f>IF($A600="","",PAYMENTS!F93)</f>
        <v/>
      </c>
      <c r="G600" s="31">
        <f>IF($A600="","",PAYMENTS!G93)</f>
        <v/>
      </c>
    </row>
    <row r="601">
      <c r="A601" s="33">
        <f>IF(PAYMENTS!A94="","",PAYMENTS!A94)</f>
        <v/>
      </c>
      <c r="B601" s="31">
        <f>IF($A601="","",PAYMENTS!B94)</f>
        <v/>
      </c>
      <c r="C601" s="31">
        <f>IF($A601="","",PAYMENTS!C94)</f>
        <v/>
      </c>
      <c r="D601" s="31">
        <f>IF($A601="","",PAYMENTS!D94)</f>
        <v/>
      </c>
      <c r="E601" s="32">
        <f>IF($A601="","",PAYMENTS!E94)</f>
        <v/>
      </c>
      <c r="F601" s="31">
        <f>IF($A601="","",PAYMENTS!F94)</f>
        <v/>
      </c>
      <c r="G601" s="31">
        <f>IF($A601="","",PAYMENTS!G94)</f>
        <v/>
      </c>
    </row>
    <row r="602">
      <c r="A602" s="33">
        <f>IF(PAYMENTS!A95="","",PAYMENTS!A95)</f>
        <v/>
      </c>
      <c r="B602" s="31">
        <f>IF($A602="","",PAYMENTS!B95)</f>
        <v/>
      </c>
      <c r="C602" s="31">
        <f>IF($A602="","",PAYMENTS!C95)</f>
        <v/>
      </c>
      <c r="D602" s="31">
        <f>IF($A602="","",PAYMENTS!D95)</f>
        <v/>
      </c>
      <c r="E602" s="32">
        <f>IF($A602="","",PAYMENTS!E95)</f>
        <v/>
      </c>
      <c r="F602" s="31">
        <f>IF($A602="","",PAYMENTS!F95)</f>
        <v/>
      </c>
      <c r="G602" s="31">
        <f>IF($A602="","",PAYMENTS!G95)</f>
        <v/>
      </c>
    </row>
    <row r="603">
      <c r="A603" s="33">
        <f>IF(PAYMENTS!A96="","",PAYMENTS!A96)</f>
        <v/>
      </c>
      <c r="B603" s="31">
        <f>IF($A603="","",PAYMENTS!B96)</f>
        <v/>
      </c>
      <c r="C603" s="31">
        <f>IF($A603="","",PAYMENTS!C96)</f>
        <v/>
      </c>
      <c r="D603" s="31">
        <f>IF($A603="","",PAYMENTS!D96)</f>
        <v/>
      </c>
      <c r="E603" s="32">
        <f>IF($A603="","",PAYMENTS!E96)</f>
        <v/>
      </c>
      <c r="F603" s="31">
        <f>IF($A603="","",PAYMENTS!F96)</f>
        <v/>
      </c>
      <c r="G603" s="31">
        <f>IF($A603="","",PAYMENTS!G96)</f>
        <v/>
      </c>
    </row>
    <row r="604">
      <c r="A604" s="33">
        <f>IF(PAYMENTS!A97="","",PAYMENTS!A97)</f>
        <v/>
      </c>
      <c r="B604" s="31">
        <f>IF($A604="","",PAYMENTS!B97)</f>
        <v/>
      </c>
      <c r="C604" s="31">
        <f>IF($A604="","",PAYMENTS!C97)</f>
        <v/>
      </c>
      <c r="D604" s="31">
        <f>IF($A604="","",PAYMENTS!D97)</f>
        <v/>
      </c>
      <c r="E604" s="32">
        <f>IF($A604="","",PAYMENTS!E97)</f>
        <v/>
      </c>
      <c r="F604" s="31">
        <f>IF($A604="","",PAYMENTS!F97)</f>
        <v/>
      </c>
      <c r="G604" s="31">
        <f>IF($A604="","",PAYMENTS!G97)</f>
        <v/>
      </c>
    </row>
    <row r="605">
      <c r="A605" s="33">
        <f>IF(PAYMENTS!A98="","",PAYMENTS!A98)</f>
        <v/>
      </c>
      <c r="B605" s="31">
        <f>IF($A605="","",PAYMENTS!B98)</f>
        <v/>
      </c>
      <c r="C605" s="31">
        <f>IF($A605="","",PAYMENTS!C98)</f>
        <v/>
      </c>
      <c r="D605" s="31">
        <f>IF($A605="","",PAYMENTS!D98)</f>
        <v/>
      </c>
      <c r="E605" s="32">
        <f>IF($A605="","",PAYMENTS!E98)</f>
        <v/>
      </c>
      <c r="F605" s="31">
        <f>IF($A605="","",PAYMENTS!F98)</f>
        <v/>
      </c>
      <c r="G605" s="31">
        <f>IF($A605="","",PAYMENTS!G98)</f>
        <v/>
      </c>
    </row>
    <row r="606">
      <c r="A606" s="33">
        <f>IF(PAYMENTS!A99="","",PAYMENTS!A99)</f>
        <v/>
      </c>
      <c r="B606" s="31">
        <f>IF($A606="","",PAYMENTS!B99)</f>
        <v/>
      </c>
      <c r="C606" s="31">
        <f>IF($A606="","",PAYMENTS!C99)</f>
        <v/>
      </c>
      <c r="D606" s="31">
        <f>IF($A606="","",PAYMENTS!D99)</f>
        <v/>
      </c>
      <c r="E606" s="32">
        <f>IF($A606="","",PAYMENTS!E99)</f>
        <v/>
      </c>
      <c r="F606" s="31">
        <f>IF($A606="","",PAYMENTS!F99)</f>
        <v/>
      </c>
      <c r="G606" s="31">
        <f>IF($A606="","",PAYMENTS!G99)</f>
        <v/>
      </c>
    </row>
    <row r="607">
      <c r="A607" s="33">
        <f>IF(PAYMENTS!A100="","",PAYMENTS!A100)</f>
        <v/>
      </c>
      <c r="B607" s="31">
        <f>IF($A607="","",PAYMENTS!B100)</f>
        <v/>
      </c>
      <c r="C607" s="31">
        <f>IF($A607="","",PAYMENTS!C100)</f>
        <v/>
      </c>
      <c r="D607" s="31">
        <f>IF($A607="","",PAYMENTS!D100)</f>
        <v/>
      </c>
      <c r="E607" s="32">
        <f>IF($A607="","",PAYMENTS!E100)</f>
        <v/>
      </c>
      <c r="F607" s="31">
        <f>IF($A607="","",PAYMENTS!F100)</f>
        <v/>
      </c>
      <c r="G607" s="31">
        <f>IF($A607="","",PAYMENTS!G100)</f>
        <v/>
      </c>
    </row>
    <row r="608">
      <c r="A608" s="33">
        <f>IF(PAYMENTS!A101="","",PAYMENTS!A101)</f>
        <v/>
      </c>
      <c r="B608" s="31">
        <f>IF($A608="","",PAYMENTS!B101)</f>
        <v/>
      </c>
      <c r="C608" s="31">
        <f>IF($A608="","",PAYMENTS!C101)</f>
        <v/>
      </c>
      <c r="D608" s="31">
        <f>IF($A608="","",PAYMENTS!D101)</f>
        <v/>
      </c>
      <c r="E608" s="32">
        <f>IF($A608="","",PAYMENTS!E101)</f>
        <v/>
      </c>
      <c r="F608" s="31">
        <f>IF($A608="","",PAYMENTS!F101)</f>
        <v/>
      </c>
      <c r="G608" s="31">
        <f>IF($A608="","",PAYMENTS!G101)</f>
        <v/>
      </c>
    </row>
    <row r="609">
      <c r="A609" s="33">
        <f>IF(PAYMENTS!A102="","",PAYMENTS!A102)</f>
        <v/>
      </c>
      <c r="B609" s="31">
        <f>IF($A609="","",PAYMENTS!B102)</f>
        <v/>
      </c>
      <c r="C609" s="31">
        <f>IF($A609="","",PAYMENTS!C102)</f>
        <v/>
      </c>
      <c r="D609" s="31">
        <f>IF($A609="","",PAYMENTS!D102)</f>
        <v/>
      </c>
      <c r="E609" s="32">
        <f>IF($A609="","",PAYMENTS!E102)</f>
        <v/>
      </c>
      <c r="F609" s="31">
        <f>IF($A609="","",PAYMENTS!F102)</f>
        <v/>
      </c>
      <c r="G609" s="31">
        <f>IF($A609="","",PAYMENTS!G102)</f>
        <v/>
      </c>
    </row>
    <row r="610">
      <c r="A610" s="33">
        <f>IF(PAYMENTS!A103="","",PAYMENTS!A103)</f>
        <v/>
      </c>
      <c r="B610" s="31">
        <f>IF($A610="","",PAYMENTS!B103)</f>
        <v/>
      </c>
      <c r="C610" s="31">
        <f>IF($A610="","",PAYMENTS!C103)</f>
        <v/>
      </c>
      <c r="D610" s="31">
        <f>IF($A610="","",PAYMENTS!D103)</f>
        <v/>
      </c>
      <c r="E610" s="32">
        <f>IF($A610="","",PAYMENTS!E103)</f>
        <v/>
      </c>
      <c r="F610" s="31">
        <f>IF($A610="","",PAYMENTS!F103)</f>
        <v/>
      </c>
      <c r="G610" s="31">
        <f>IF($A610="","",PAYMENTS!G103)</f>
        <v/>
      </c>
    </row>
    <row r="611">
      <c r="A611" s="33">
        <f>IF(PAYMENTS!A104="","",PAYMENTS!A104)</f>
        <v/>
      </c>
      <c r="B611" s="31">
        <f>IF($A611="","",PAYMENTS!B104)</f>
        <v/>
      </c>
      <c r="C611" s="31">
        <f>IF($A611="","",PAYMENTS!C104)</f>
        <v/>
      </c>
      <c r="D611" s="31">
        <f>IF($A611="","",PAYMENTS!D104)</f>
        <v/>
      </c>
      <c r="E611" s="32">
        <f>IF($A611="","",PAYMENTS!E104)</f>
        <v/>
      </c>
      <c r="F611" s="31">
        <f>IF($A611="","",PAYMENTS!F104)</f>
        <v/>
      </c>
      <c r="G611" s="31">
        <f>IF($A611="","",PAYMENTS!G104)</f>
        <v/>
      </c>
    </row>
    <row r="612">
      <c r="A612" s="33">
        <f>IF(PAYMENTS!A105="","",PAYMENTS!A105)</f>
        <v/>
      </c>
      <c r="B612" s="31">
        <f>IF($A612="","",PAYMENTS!B105)</f>
        <v/>
      </c>
      <c r="C612" s="31">
        <f>IF($A612="","",PAYMENTS!C105)</f>
        <v/>
      </c>
      <c r="D612" s="31">
        <f>IF($A612="","",PAYMENTS!D105)</f>
        <v/>
      </c>
      <c r="E612" s="32">
        <f>IF($A612="","",PAYMENTS!E105)</f>
        <v/>
      </c>
      <c r="F612" s="31">
        <f>IF($A612="","",PAYMENTS!F105)</f>
        <v/>
      </c>
      <c r="G612" s="31">
        <f>IF($A612="","",PAYMENTS!G105)</f>
        <v/>
      </c>
    </row>
    <row r="613">
      <c r="A613" s="33">
        <f>IF(PAYMENTS!A106="","",PAYMENTS!A106)</f>
        <v/>
      </c>
      <c r="B613" s="31">
        <f>IF($A613="","",PAYMENTS!B106)</f>
        <v/>
      </c>
      <c r="C613" s="31">
        <f>IF($A613="","",PAYMENTS!C106)</f>
        <v/>
      </c>
      <c r="D613" s="31">
        <f>IF($A613="","",PAYMENTS!D106)</f>
        <v/>
      </c>
      <c r="E613" s="32">
        <f>IF($A613="","",PAYMENTS!E106)</f>
        <v/>
      </c>
      <c r="F613" s="31">
        <f>IF($A613="","",PAYMENTS!F106)</f>
        <v/>
      </c>
      <c r="G613" s="31">
        <f>IF($A613="","",PAYMENTS!G106)</f>
        <v/>
      </c>
    </row>
    <row r="614">
      <c r="A614" s="33">
        <f>IF(PAYMENTS!A107="","",PAYMENTS!A107)</f>
        <v/>
      </c>
      <c r="B614" s="31">
        <f>IF($A614="","",PAYMENTS!B107)</f>
        <v/>
      </c>
      <c r="C614" s="31">
        <f>IF($A614="","",PAYMENTS!C107)</f>
        <v/>
      </c>
      <c r="D614" s="31">
        <f>IF($A614="","",PAYMENTS!D107)</f>
        <v/>
      </c>
      <c r="E614" s="32">
        <f>IF($A614="","",PAYMENTS!E107)</f>
        <v/>
      </c>
      <c r="F614" s="31">
        <f>IF($A614="","",PAYMENTS!F107)</f>
        <v/>
      </c>
      <c r="G614" s="31">
        <f>IF($A614="","",PAYMENTS!G107)</f>
        <v/>
      </c>
    </row>
    <row r="615">
      <c r="A615" s="33">
        <f>IF(PAYMENTS!A108="","",PAYMENTS!A108)</f>
        <v/>
      </c>
      <c r="B615" s="31">
        <f>IF($A615="","",PAYMENTS!B108)</f>
        <v/>
      </c>
      <c r="C615" s="31">
        <f>IF($A615="","",PAYMENTS!C108)</f>
        <v/>
      </c>
      <c r="D615" s="31">
        <f>IF($A615="","",PAYMENTS!D108)</f>
        <v/>
      </c>
      <c r="E615" s="32">
        <f>IF($A615="","",PAYMENTS!E108)</f>
        <v/>
      </c>
      <c r="F615" s="31">
        <f>IF($A615="","",PAYMENTS!F108)</f>
        <v/>
      </c>
      <c r="G615" s="31">
        <f>IF($A615="","",PAYMENTS!G108)</f>
        <v/>
      </c>
    </row>
    <row r="616">
      <c r="A616" s="33">
        <f>IF(PAYMENTS!A109="","",PAYMENTS!A109)</f>
        <v/>
      </c>
      <c r="B616" s="31">
        <f>IF($A616="","",PAYMENTS!B109)</f>
        <v/>
      </c>
      <c r="C616" s="31">
        <f>IF($A616="","",PAYMENTS!C109)</f>
        <v/>
      </c>
      <c r="D616" s="31">
        <f>IF($A616="","",PAYMENTS!D109)</f>
        <v/>
      </c>
      <c r="E616" s="32">
        <f>IF($A616="","",PAYMENTS!E109)</f>
        <v/>
      </c>
      <c r="F616" s="31">
        <f>IF($A616="","",PAYMENTS!F109)</f>
        <v/>
      </c>
      <c r="G616" s="31">
        <f>IF($A616="","",PAYMENTS!G109)</f>
        <v/>
      </c>
    </row>
    <row r="617">
      <c r="A617" s="33">
        <f>IF(PAYMENTS!A110="","",PAYMENTS!A110)</f>
        <v/>
      </c>
      <c r="B617" s="31">
        <f>IF($A617="","",PAYMENTS!B110)</f>
        <v/>
      </c>
      <c r="C617" s="31">
        <f>IF($A617="","",PAYMENTS!C110)</f>
        <v/>
      </c>
      <c r="D617" s="31">
        <f>IF($A617="","",PAYMENTS!D110)</f>
        <v/>
      </c>
      <c r="E617" s="32">
        <f>IF($A617="","",PAYMENTS!E110)</f>
        <v/>
      </c>
      <c r="F617" s="31">
        <f>IF($A617="","",PAYMENTS!F110)</f>
        <v/>
      </c>
      <c r="G617" s="31">
        <f>IF($A617="","",PAYMENTS!G110)</f>
        <v/>
      </c>
    </row>
    <row r="618">
      <c r="A618" s="33">
        <f>IF(PAYMENTS!A111="","",PAYMENTS!A111)</f>
        <v/>
      </c>
      <c r="B618" s="31">
        <f>IF($A618="","",PAYMENTS!B111)</f>
        <v/>
      </c>
      <c r="C618" s="31">
        <f>IF($A618="","",PAYMENTS!C111)</f>
        <v/>
      </c>
      <c r="D618" s="31">
        <f>IF($A618="","",PAYMENTS!D111)</f>
        <v/>
      </c>
      <c r="E618" s="32">
        <f>IF($A618="","",PAYMENTS!E111)</f>
        <v/>
      </c>
      <c r="F618" s="31">
        <f>IF($A618="","",PAYMENTS!F111)</f>
        <v/>
      </c>
      <c r="G618" s="31">
        <f>IF($A618="","",PAYMENTS!G111)</f>
        <v/>
      </c>
    </row>
    <row r="619">
      <c r="A619" s="33">
        <f>IF(PAYMENTS!A112="","",PAYMENTS!A112)</f>
        <v/>
      </c>
      <c r="B619" s="31">
        <f>IF($A619="","",PAYMENTS!B112)</f>
        <v/>
      </c>
      <c r="C619" s="31">
        <f>IF($A619="","",PAYMENTS!C112)</f>
        <v/>
      </c>
      <c r="D619" s="31">
        <f>IF($A619="","",PAYMENTS!D112)</f>
        <v/>
      </c>
      <c r="E619" s="32">
        <f>IF($A619="","",PAYMENTS!E112)</f>
        <v/>
      </c>
      <c r="F619" s="31">
        <f>IF($A619="","",PAYMENTS!F112)</f>
        <v/>
      </c>
      <c r="G619" s="31">
        <f>IF($A619="","",PAYMENTS!G112)</f>
        <v/>
      </c>
    </row>
    <row r="620">
      <c r="A620" s="33">
        <f>IF(PAYMENTS!A113="","",PAYMENTS!A113)</f>
        <v/>
      </c>
      <c r="B620" s="31">
        <f>IF($A620="","",PAYMENTS!B113)</f>
        <v/>
      </c>
      <c r="C620" s="31">
        <f>IF($A620="","",PAYMENTS!C113)</f>
        <v/>
      </c>
      <c r="D620" s="31">
        <f>IF($A620="","",PAYMENTS!D113)</f>
        <v/>
      </c>
      <c r="E620" s="32">
        <f>IF($A620="","",PAYMENTS!E113)</f>
        <v/>
      </c>
      <c r="F620" s="31">
        <f>IF($A620="","",PAYMENTS!F113)</f>
        <v/>
      </c>
      <c r="G620" s="31">
        <f>IF($A620="","",PAYMENTS!G113)</f>
        <v/>
      </c>
    </row>
    <row r="621">
      <c r="A621" s="33">
        <f>IF(PAYMENTS!A114="","",PAYMENTS!A114)</f>
        <v/>
      </c>
      <c r="B621" s="31">
        <f>IF($A621="","",PAYMENTS!B114)</f>
        <v/>
      </c>
      <c r="C621" s="31">
        <f>IF($A621="","",PAYMENTS!C114)</f>
        <v/>
      </c>
      <c r="D621" s="31">
        <f>IF($A621="","",PAYMENTS!D114)</f>
        <v/>
      </c>
      <c r="E621" s="32">
        <f>IF($A621="","",PAYMENTS!E114)</f>
        <v/>
      </c>
      <c r="F621" s="31">
        <f>IF($A621="","",PAYMENTS!F114)</f>
        <v/>
      </c>
      <c r="G621" s="31">
        <f>IF($A621="","",PAYMENTS!G114)</f>
        <v/>
      </c>
    </row>
    <row r="622">
      <c r="A622" s="33">
        <f>IF(PAYMENTS!A115="","",PAYMENTS!A115)</f>
        <v/>
      </c>
      <c r="B622" s="31">
        <f>IF($A622="","",PAYMENTS!B115)</f>
        <v/>
      </c>
      <c r="C622" s="31">
        <f>IF($A622="","",PAYMENTS!C115)</f>
        <v/>
      </c>
      <c r="D622" s="31">
        <f>IF($A622="","",PAYMENTS!D115)</f>
        <v/>
      </c>
      <c r="E622" s="32">
        <f>IF($A622="","",PAYMENTS!E115)</f>
        <v/>
      </c>
      <c r="F622" s="31">
        <f>IF($A622="","",PAYMENTS!F115)</f>
        <v/>
      </c>
      <c r="G622" s="31">
        <f>IF($A622="","",PAYMENTS!G115)</f>
        <v/>
      </c>
    </row>
    <row r="623">
      <c r="A623" s="33">
        <f>IF(PAYMENTS!A116="","",PAYMENTS!A116)</f>
        <v/>
      </c>
      <c r="B623" s="31">
        <f>IF($A623="","",PAYMENTS!B116)</f>
        <v/>
      </c>
      <c r="C623" s="31">
        <f>IF($A623="","",PAYMENTS!C116)</f>
        <v/>
      </c>
      <c r="D623" s="31">
        <f>IF($A623="","",PAYMENTS!D116)</f>
        <v/>
      </c>
      <c r="E623" s="32">
        <f>IF($A623="","",PAYMENTS!E116)</f>
        <v/>
      </c>
      <c r="F623" s="31">
        <f>IF($A623="","",PAYMENTS!F116)</f>
        <v/>
      </c>
      <c r="G623" s="31">
        <f>IF($A623="","",PAYMENTS!G116)</f>
        <v/>
      </c>
    </row>
    <row r="624">
      <c r="A624" s="33">
        <f>IF(PAYMENTS!A117="","",PAYMENTS!A117)</f>
        <v/>
      </c>
      <c r="B624" s="31">
        <f>IF($A624="","",PAYMENTS!B117)</f>
        <v/>
      </c>
      <c r="C624" s="31">
        <f>IF($A624="","",PAYMENTS!C117)</f>
        <v/>
      </c>
      <c r="D624" s="31">
        <f>IF($A624="","",PAYMENTS!D117)</f>
        <v/>
      </c>
      <c r="E624" s="32">
        <f>IF($A624="","",PAYMENTS!E117)</f>
        <v/>
      </c>
      <c r="F624" s="31">
        <f>IF($A624="","",PAYMENTS!F117)</f>
        <v/>
      </c>
      <c r="G624" s="31">
        <f>IF($A624="","",PAYMENTS!G117)</f>
        <v/>
      </c>
    </row>
    <row r="625">
      <c r="A625" s="33">
        <f>IF(PAYMENTS!A118="","",PAYMENTS!A118)</f>
        <v/>
      </c>
      <c r="B625" s="31">
        <f>IF($A625="","",PAYMENTS!B118)</f>
        <v/>
      </c>
      <c r="C625" s="31">
        <f>IF($A625="","",PAYMENTS!C118)</f>
        <v/>
      </c>
      <c r="D625" s="31">
        <f>IF($A625="","",PAYMENTS!D118)</f>
        <v/>
      </c>
      <c r="E625" s="32">
        <f>IF($A625="","",PAYMENTS!E118)</f>
        <v/>
      </c>
      <c r="F625" s="31">
        <f>IF($A625="","",PAYMENTS!F118)</f>
        <v/>
      </c>
      <c r="G625" s="31">
        <f>IF($A625="","",PAYMENTS!G118)</f>
        <v/>
      </c>
    </row>
    <row r="626">
      <c r="A626" s="33">
        <f>IF(PAYMENTS!A119="","",PAYMENTS!A119)</f>
        <v/>
      </c>
      <c r="B626" s="31">
        <f>IF($A626="","",PAYMENTS!B119)</f>
        <v/>
      </c>
      <c r="C626" s="31">
        <f>IF($A626="","",PAYMENTS!C119)</f>
        <v/>
      </c>
      <c r="D626" s="31">
        <f>IF($A626="","",PAYMENTS!D119)</f>
        <v/>
      </c>
      <c r="E626" s="32">
        <f>IF($A626="","",PAYMENTS!E119)</f>
        <v/>
      </c>
      <c r="F626" s="31">
        <f>IF($A626="","",PAYMENTS!F119)</f>
        <v/>
      </c>
      <c r="G626" s="31">
        <f>IF($A626="","",PAYMENTS!G119)</f>
        <v/>
      </c>
    </row>
    <row r="627">
      <c r="A627" s="33">
        <f>IF(PAYMENTS!A120="","",PAYMENTS!A120)</f>
        <v/>
      </c>
      <c r="B627" s="31">
        <f>IF($A627="","",PAYMENTS!B120)</f>
        <v/>
      </c>
      <c r="C627" s="31">
        <f>IF($A627="","",PAYMENTS!C120)</f>
        <v/>
      </c>
      <c r="D627" s="31">
        <f>IF($A627="","",PAYMENTS!D120)</f>
        <v/>
      </c>
      <c r="E627" s="32">
        <f>IF($A627="","",PAYMENTS!E120)</f>
        <v/>
      </c>
      <c r="F627" s="31">
        <f>IF($A627="","",PAYMENTS!F120)</f>
        <v/>
      </c>
      <c r="G627" s="31">
        <f>IF($A627="","",PAYMENTS!G120)</f>
        <v/>
      </c>
    </row>
    <row r="628">
      <c r="A628" s="33">
        <f>IF(PAYMENTS!A121="","",PAYMENTS!A121)</f>
        <v/>
      </c>
      <c r="B628" s="31">
        <f>IF($A628="","",PAYMENTS!B121)</f>
        <v/>
      </c>
      <c r="C628" s="31">
        <f>IF($A628="","",PAYMENTS!C121)</f>
        <v/>
      </c>
      <c r="D628" s="31">
        <f>IF($A628="","",PAYMENTS!D121)</f>
        <v/>
      </c>
      <c r="E628" s="32">
        <f>IF($A628="","",PAYMENTS!E121)</f>
        <v/>
      </c>
      <c r="F628" s="31">
        <f>IF($A628="","",PAYMENTS!F121)</f>
        <v/>
      </c>
      <c r="G628" s="31">
        <f>IF($A628="","",PAYMENTS!G121)</f>
        <v/>
      </c>
    </row>
    <row r="629">
      <c r="A629" s="33">
        <f>IF(PAYMENTS!A122="","",PAYMENTS!A122)</f>
        <v/>
      </c>
      <c r="B629" s="31">
        <f>IF($A629="","",PAYMENTS!B122)</f>
        <v/>
      </c>
      <c r="C629" s="31">
        <f>IF($A629="","",PAYMENTS!C122)</f>
        <v/>
      </c>
      <c r="D629" s="31">
        <f>IF($A629="","",PAYMENTS!D122)</f>
        <v/>
      </c>
      <c r="E629" s="32">
        <f>IF($A629="","",PAYMENTS!E122)</f>
        <v/>
      </c>
      <c r="F629" s="31">
        <f>IF($A629="","",PAYMENTS!F122)</f>
        <v/>
      </c>
      <c r="G629" s="31">
        <f>IF($A629="","",PAYMENTS!G122)</f>
        <v/>
      </c>
    </row>
    <row r="630">
      <c r="A630" s="33">
        <f>IF(PAYMENTS!A123="","",PAYMENTS!A123)</f>
        <v/>
      </c>
      <c r="B630" s="31">
        <f>IF($A630="","",PAYMENTS!B123)</f>
        <v/>
      </c>
      <c r="C630" s="31">
        <f>IF($A630="","",PAYMENTS!C123)</f>
        <v/>
      </c>
      <c r="D630" s="31">
        <f>IF($A630="","",PAYMENTS!D123)</f>
        <v/>
      </c>
      <c r="E630" s="32">
        <f>IF($A630="","",PAYMENTS!E123)</f>
        <v/>
      </c>
      <c r="F630" s="31">
        <f>IF($A630="","",PAYMENTS!F123)</f>
        <v/>
      </c>
      <c r="G630" s="31">
        <f>IF($A630="","",PAYMENTS!G123)</f>
        <v/>
      </c>
    </row>
    <row r="631">
      <c r="A631" s="33">
        <f>IF(PAYMENTS!A124="","",PAYMENTS!A124)</f>
        <v/>
      </c>
      <c r="B631" s="31">
        <f>IF($A631="","",PAYMENTS!B124)</f>
        <v/>
      </c>
      <c r="C631" s="31">
        <f>IF($A631="","",PAYMENTS!C124)</f>
        <v/>
      </c>
      <c r="D631" s="31">
        <f>IF($A631="","",PAYMENTS!D124)</f>
        <v/>
      </c>
      <c r="E631" s="32">
        <f>IF($A631="","",PAYMENTS!E124)</f>
        <v/>
      </c>
      <c r="F631" s="31">
        <f>IF($A631="","",PAYMENTS!F124)</f>
        <v/>
      </c>
      <c r="G631" s="31">
        <f>IF($A631="","",PAYMENTS!G124)</f>
        <v/>
      </c>
    </row>
    <row r="632">
      <c r="A632" s="33">
        <f>IF(PAYMENTS!A125="","",PAYMENTS!A125)</f>
        <v/>
      </c>
      <c r="B632" s="31">
        <f>IF($A632="","",PAYMENTS!B125)</f>
        <v/>
      </c>
      <c r="C632" s="31">
        <f>IF($A632="","",PAYMENTS!C125)</f>
        <v/>
      </c>
      <c r="D632" s="31">
        <f>IF($A632="","",PAYMENTS!D125)</f>
        <v/>
      </c>
      <c r="E632" s="32">
        <f>IF($A632="","",PAYMENTS!E125)</f>
        <v/>
      </c>
      <c r="F632" s="31">
        <f>IF($A632="","",PAYMENTS!F125)</f>
        <v/>
      </c>
      <c r="G632" s="31">
        <f>IF($A632="","",PAYMENTS!G125)</f>
        <v/>
      </c>
    </row>
    <row r="633">
      <c r="A633" s="33">
        <f>IF(PAYMENTS!A126="","",PAYMENTS!A126)</f>
        <v/>
      </c>
      <c r="B633" s="31">
        <f>IF($A633="","",PAYMENTS!B126)</f>
        <v/>
      </c>
      <c r="C633" s="31">
        <f>IF($A633="","",PAYMENTS!C126)</f>
        <v/>
      </c>
      <c r="D633" s="31">
        <f>IF($A633="","",PAYMENTS!D126)</f>
        <v/>
      </c>
      <c r="E633" s="32">
        <f>IF($A633="","",PAYMENTS!E126)</f>
        <v/>
      </c>
      <c r="F633" s="31">
        <f>IF($A633="","",PAYMENTS!F126)</f>
        <v/>
      </c>
      <c r="G633" s="31">
        <f>IF($A633="","",PAYMENTS!G126)</f>
        <v/>
      </c>
    </row>
    <row r="634">
      <c r="A634" s="33">
        <f>IF(PAYMENTS!A127="","",PAYMENTS!A127)</f>
        <v/>
      </c>
      <c r="B634" s="31">
        <f>IF($A634="","",PAYMENTS!B127)</f>
        <v/>
      </c>
      <c r="C634" s="31">
        <f>IF($A634="","",PAYMENTS!C127)</f>
        <v/>
      </c>
      <c r="D634" s="31">
        <f>IF($A634="","",PAYMENTS!D127)</f>
        <v/>
      </c>
      <c r="E634" s="32">
        <f>IF($A634="","",PAYMENTS!E127)</f>
        <v/>
      </c>
      <c r="F634" s="31">
        <f>IF($A634="","",PAYMENTS!F127)</f>
        <v/>
      </c>
      <c r="G634" s="31">
        <f>IF($A634="","",PAYMENTS!G127)</f>
        <v/>
      </c>
    </row>
    <row r="635">
      <c r="A635" s="33">
        <f>IF(PAYMENTS!A128="","",PAYMENTS!A128)</f>
        <v/>
      </c>
      <c r="B635" s="31">
        <f>IF($A635="","",PAYMENTS!B128)</f>
        <v/>
      </c>
      <c r="C635" s="31">
        <f>IF($A635="","",PAYMENTS!C128)</f>
        <v/>
      </c>
      <c r="D635" s="31">
        <f>IF($A635="","",PAYMENTS!D128)</f>
        <v/>
      </c>
      <c r="E635" s="32">
        <f>IF($A635="","",PAYMENTS!E128)</f>
        <v/>
      </c>
      <c r="F635" s="31">
        <f>IF($A635="","",PAYMENTS!F128)</f>
        <v/>
      </c>
      <c r="G635" s="31">
        <f>IF($A635="","",PAYMENTS!G128)</f>
        <v/>
      </c>
    </row>
    <row r="636">
      <c r="A636" s="33">
        <f>IF(PAYMENTS!A129="","",PAYMENTS!A129)</f>
        <v/>
      </c>
      <c r="B636" s="31">
        <f>IF($A636="","",PAYMENTS!B129)</f>
        <v/>
      </c>
      <c r="C636" s="31">
        <f>IF($A636="","",PAYMENTS!C129)</f>
        <v/>
      </c>
      <c r="D636" s="31">
        <f>IF($A636="","",PAYMENTS!D129)</f>
        <v/>
      </c>
      <c r="E636" s="32">
        <f>IF($A636="","",PAYMENTS!E129)</f>
        <v/>
      </c>
      <c r="F636" s="31">
        <f>IF($A636="","",PAYMENTS!F129)</f>
        <v/>
      </c>
      <c r="G636" s="31">
        <f>IF($A636="","",PAYMENTS!G129)</f>
        <v/>
      </c>
    </row>
    <row r="637">
      <c r="A637" s="33">
        <f>IF(PAYMENTS!A130="","",PAYMENTS!A130)</f>
        <v/>
      </c>
      <c r="B637" s="31">
        <f>IF($A637="","",PAYMENTS!B130)</f>
        <v/>
      </c>
      <c r="C637" s="31">
        <f>IF($A637="","",PAYMENTS!C130)</f>
        <v/>
      </c>
      <c r="D637" s="31">
        <f>IF($A637="","",PAYMENTS!D130)</f>
        <v/>
      </c>
      <c r="E637" s="32">
        <f>IF($A637="","",PAYMENTS!E130)</f>
        <v/>
      </c>
      <c r="F637" s="31">
        <f>IF($A637="","",PAYMENTS!F130)</f>
        <v/>
      </c>
      <c r="G637" s="31">
        <f>IF($A637="","",PAYMENTS!G130)</f>
        <v/>
      </c>
    </row>
    <row r="638">
      <c r="A638" s="33">
        <f>IF(PAYMENTS!A131="","",PAYMENTS!A131)</f>
        <v/>
      </c>
      <c r="B638" s="31">
        <f>IF($A638="","",PAYMENTS!B131)</f>
        <v/>
      </c>
      <c r="C638" s="31">
        <f>IF($A638="","",PAYMENTS!C131)</f>
        <v/>
      </c>
      <c r="D638" s="31">
        <f>IF($A638="","",PAYMENTS!D131)</f>
        <v/>
      </c>
      <c r="E638" s="32">
        <f>IF($A638="","",PAYMENTS!E131)</f>
        <v/>
      </c>
      <c r="F638" s="31">
        <f>IF($A638="","",PAYMENTS!F131)</f>
        <v/>
      </c>
      <c r="G638" s="31">
        <f>IF($A638="","",PAYMENTS!G131)</f>
        <v/>
      </c>
    </row>
    <row r="639">
      <c r="A639" s="33">
        <f>IF(PAYMENTS!A132="","",PAYMENTS!A132)</f>
        <v/>
      </c>
      <c r="B639" s="31">
        <f>IF($A639="","",PAYMENTS!B132)</f>
        <v/>
      </c>
      <c r="C639" s="31">
        <f>IF($A639="","",PAYMENTS!C132)</f>
        <v/>
      </c>
      <c r="D639" s="31">
        <f>IF($A639="","",PAYMENTS!D132)</f>
        <v/>
      </c>
      <c r="E639" s="32">
        <f>IF($A639="","",PAYMENTS!E132)</f>
        <v/>
      </c>
      <c r="F639" s="31">
        <f>IF($A639="","",PAYMENTS!F132)</f>
        <v/>
      </c>
      <c r="G639" s="31">
        <f>IF($A639="","",PAYMENTS!G132)</f>
        <v/>
      </c>
    </row>
    <row r="640">
      <c r="A640" s="33">
        <f>IF(PAYMENTS!A133="","",PAYMENTS!A133)</f>
        <v/>
      </c>
      <c r="B640" s="31">
        <f>IF($A640="","",PAYMENTS!B133)</f>
        <v/>
      </c>
      <c r="C640" s="31">
        <f>IF($A640="","",PAYMENTS!C133)</f>
        <v/>
      </c>
      <c r="D640" s="31">
        <f>IF($A640="","",PAYMENTS!D133)</f>
        <v/>
      </c>
      <c r="E640" s="32">
        <f>IF($A640="","",PAYMENTS!E133)</f>
        <v/>
      </c>
      <c r="F640" s="31">
        <f>IF($A640="","",PAYMENTS!F133)</f>
        <v/>
      </c>
      <c r="G640" s="31">
        <f>IF($A640="","",PAYMENTS!G133)</f>
        <v/>
      </c>
    </row>
    <row r="641">
      <c r="A641" s="33">
        <f>IF(PAYMENTS!A134="","",PAYMENTS!A134)</f>
        <v/>
      </c>
      <c r="B641" s="31">
        <f>IF($A641="","",PAYMENTS!B134)</f>
        <v/>
      </c>
      <c r="C641" s="31">
        <f>IF($A641="","",PAYMENTS!C134)</f>
        <v/>
      </c>
      <c r="D641" s="31">
        <f>IF($A641="","",PAYMENTS!D134)</f>
        <v/>
      </c>
      <c r="E641" s="32">
        <f>IF($A641="","",PAYMENTS!E134)</f>
        <v/>
      </c>
      <c r="F641" s="31">
        <f>IF($A641="","",PAYMENTS!F134)</f>
        <v/>
      </c>
      <c r="G641" s="31">
        <f>IF($A641="","",PAYMENTS!G134)</f>
        <v/>
      </c>
    </row>
    <row r="642">
      <c r="A642" s="33">
        <f>IF(PAYMENTS!A135="","",PAYMENTS!A135)</f>
        <v/>
      </c>
      <c r="B642" s="31">
        <f>IF($A642="","",PAYMENTS!B135)</f>
        <v/>
      </c>
      <c r="C642" s="31">
        <f>IF($A642="","",PAYMENTS!C135)</f>
        <v/>
      </c>
      <c r="D642" s="31">
        <f>IF($A642="","",PAYMENTS!D135)</f>
        <v/>
      </c>
      <c r="E642" s="32">
        <f>IF($A642="","",PAYMENTS!E135)</f>
        <v/>
      </c>
      <c r="F642" s="31">
        <f>IF($A642="","",PAYMENTS!F135)</f>
        <v/>
      </c>
      <c r="G642" s="31">
        <f>IF($A642="","",PAYMENTS!G135)</f>
        <v/>
      </c>
    </row>
    <row r="643">
      <c r="A643" s="33">
        <f>IF(PAYMENTS!A136="","",PAYMENTS!A136)</f>
        <v/>
      </c>
      <c r="B643" s="31">
        <f>IF($A643="","",PAYMENTS!B136)</f>
        <v/>
      </c>
      <c r="C643" s="31">
        <f>IF($A643="","",PAYMENTS!C136)</f>
        <v/>
      </c>
      <c r="D643" s="31">
        <f>IF($A643="","",PAYMENTS!D136)</f>
        <v/>
      </c>
      <c r="E643" s="32">
        <f>IF($A643="","",PAYMENTS!E136)</f>
        <v/>
      </c>
      <c r="F643" s="31">
        <f>IF($A643="","",PAYMENTS!F136)</f>
        <v/>
      </c>
      <c r="G643" s="31">
        <f>IF($A643="","",PAYMENTS!G136)</f>
        <v/>
      </c>
    </row>
    <row r="644">
      <c r="A644" s="33">
        <f>IF(PAYMENTS!A137="","",PAYMENTS!A137)</f>
        <v/>
      </c>
      <c r="B644" s="31">
        <f>IF($A644="","",PAYMENTS!B137)</f>
        <v/>
      </c>
      <c r="C644" s="31">
        <f>IF($A644="","",PAYMENTS!C137)</f>
        <v/>
      </c>
      <c r="D644" s="31">
        <f>IF($A644="","",PAYMENTS!D137)</f>
        <v/>
      </c>
      <c r="E644" s="32">
        <f>IF($A644="","",PAYMENTS!E137)</f>
        <v/>
      </c>
      <c r="F644" s="31">
        <f>IF($A644="","",PAYMENTS!F137)</f>
        <v/>
      </c>
      <c r="G644" s="31">
        <f>IF($A644="","",PAYMENTS!G137)</f>
        <v/>
      </c>
    </row>
    <row r="645">
      <c r="A645" s="33">
        <f>IF(PAYMENTS!A138="","",PAYMENTS!A138)</f>
        <v/>
      </c>
      <c r="B645" s="31">
        <f>IF($A645="","",PAYMENTS!B138)</f>
        <v/>
      </c>
      <c r="C645" s="31">
        <f>IF($A645="","",PAYMENTS!C138)</f>
        <v/>
      </c>
      <c r="D645" s="31">
        <f>IF($A645="","",PAYMENTS!D138)</f>
        <v/>
      </c>
      <c r="E645" s="32">
        <f>IF($A645="","",PAYMENTS!E138)</f>
        <v/>
      </c>
      <c r="F645" s="31">
        <f>IF($A645="","",PAYMENTS!F138)</f>
        <v/>
      </c>
      <c r="G645" s="31">
        <f>IF($A645="","",PAYMENTS!G138)</f>
        <v/>
      </c>
    </row>
    <row r="646">
      <c r="A646" s="33">
        <f>IF(PAYMENTS!A139="","",PAYMENTS!A139)</f>
        <v/>
      </c>
      <c r="B646" s="31">
        <f>IF($A646="","",PAYMENTS!B139)</f>
        <v/>
      </c>
      <c r="C646" s="31">
        <f>IF($A646="","",PAYMENTS!C139)</f>
        <v/>
      </c>
      <c r="D646" s="31">
        <f>IF($A646="","",PAYMENTS!D139)</f>
        <v/>
      </c>
      <c r="E646" s="32">
        <f>IF($A646="","",PAYMENTS!E139)</f>
        <v/>
      </c>
      <c r="F646" s="31">
        <f>IF($A646="","",PAYMENTS!F139)</f>
        <v/>
      </c>
      <c r="G646" s="31">
        <f>IF($A646="","",PAYMENTS!G139)</f>
        <v/>
      </c>
    </row>
    <row r="647">
      <c r="A647" s="33">
        <f>IF(PAYMENTS!A140="","",PAYMENTS!A140)</f>
        <v/>
      </c>
      <c r="B647" s="31">
        <f>IF($A647="","",PAYMENTS!B140)</f>
        <v/>
      </c>
      <c r="C647" s="31">
        <f>IF($A647="","",PAYMENTS!C140)</f>
        <v/>
      </c>
      <c r="D647" s="31">
        <f>IF($A647="","",PAYMENTS!D140)</f>
        <v/>
      </c>
      <c r="E647" s="32">
        <f>IF($A647="","",PAYMENTS!E140)</f>
        <v/>
      </c>
      <c r="F647" s="31">
        <f>IF($A647="","",PAYMENTS!F140)</f>
        <v/>
      </c>
      <c r="G647" s="31">
        <f>IF($A647="","",PAYMENTS!G140)</f>
        <v/>
      </c>
    </row>
    <row r="648">
      <c r="A648" s="33">
        <f>IF(PAYMENTS!A141="","",PAYMENTS!A141)</f>
        <v/>
      </c>
      <c r="B648" s="31">
        <f>IF($A648="","",PAYMENTS!B141)</f>
        <v/>
      </c>
      <c r="C648" s="31">
        <f>IF($A648="","",PAYMENTS!C141)</f>
        <v/>
      </c>
      <c r="D648" s="31">
        <f>IF($A648="","",PAYMENTS!D141)</f>
        <v/>
      </c>
      <c r="E648" s="32">
        <f>IF($A648="","",PAYMENTS!E141)</f>
        <v/>
      </c>
      <c r="F648" s="31">
        <f>IF($A648="","",PAYMENTS!F141)</f>
        <v/>
      </c>
      <c r="G648" s="31">
        <f>IF($A648="","",PAYMENTS!G141)</f>
        <v/>
      </c>
    </row>
    <row r="649">
      <c r="A649" s="33">
        <f>IF(PAYMENTS!A142="","",PAYMENTS!A142)</f>
        <v/>
      </c>
      <c r="B649" s="31">
        <f>IF($A649="","",PAYMENTS!B142)</f>
        <v/>
      </c>
      <c r="C649" s="31">
        <f>IF($A649="","",PAYMENTS!C142)</f>
        <v/>
      </c>
      <c r="D649" s="31">
        <f>IF($A649="","",PAYMENTS!D142)</f>
        <v/>
      </c>
      <c r="E649" s="32">
        <f>IF($A649="","",PAYMENTS!E142)</f>
        <v/>
      </c>
      <c r="F649" s="31">
        <f>IF($A649="","",PAYMENTS!F142)</f>
        <v/>
      </c>
      <c r="G649" s="31">
        <f>IF($A649="","",PAYMENTS!G142)</f>
        <v/>
      </c>
    </row>
    <row r="650">
      <c r="A650" s="33">
        <f>IF(PAYMENTS!A143="","",PAYMENTS!A143)</f>
        <v/>
      </c>
      <c r="B650" s="31">
        <f>IF($A650="","",PAYMENTS!B143)</f>
        <v/>
      </c>
      <c r="C650" s="31">
        <f>IF($A650="","",PAYMENTS!C143)</f>
        <v/>
      </c>
      <c r="D650" s="31">
        <f>IF($A650="","",PAYMENTS!D143)</f>
        <v/>
      </c>
      <c r="E650" s="32">
        <f>IF($A650="","",PAYMENTS!E143)</f>
        <v/>
      </c>
      <c r="F650" s="31">
        <f>IF($A650="","",PAYMENTS!F143)</f>
        <v/>
      </c>
      <c r="G650" s="31">
        <f>IF($A650="","",PAYMENTS!G143)</f>
        <v/>
      </c>
    </row>
    <row r="651">
      <c r="A651" s="33">
        <f>IF(PAYMENTS!A144="","",PAYMENTS!A144)</f>
        <v/>
      </c>
      <c r="B651" s="31">
        <f>IF($A651="","",PAYMENTS!B144)</f>
        <v/>
      </c>
      <c r="C651" s="31">
        <f>IF($A651="","",PAYMENTS!C144)</f>
        <v/>
      </c>
      <c r="D651" s="31">
        <f>IF($A651="","",PAYMENTS!D144)</f>
        <v/>
      </c>
      <c r="E651" s="32">
        <f>IF($A651="","",PAYMENTS!E144)</f>
        <v/>
      </c>
      <c r="F651" s="31">
        <f>IF($A651="","",PAYMENTS!F144)</f>
        <v/>
      </c>
      <c r="G651" s="31">
        <f>IF($A651="","",PAYMENTS!G144)</f>
        <v/>
      </c>
    </row>
    <row r="652">
      <c r="A652" s="33">
        <f>IF(PAYMENTS!A145="","",PAYMENTS!A145)</f>
        <v/>
      </c>
      <c r="B652" s="31">
        <f>IF($A652="","",PAYMENTS!B145)</f>
        <v/>
      </c>
      <c r="C652" s="31">
        <f>IF($A652="","",PAYMENTS!C145)</f>
        <v/>
      </c>
      <c r="D652" s="31">
        <f>IF($A652="","",PAYMENTS!D145)</f>
        <v/>
      </c>
      <c r="E652" s="32">
        <f>IF($A652="","",PAYMENTS!E145)</f>
        <v/>
      </c>
      <c r="F652" s="31">
        <f>IF($A652="","",PAYMENTS!F145)</f>
        <v/>
      </c>
      <c r="G652" s="31">
        <f>IF($A652="","",PAYMENTS!G145)</f>
        <v/>
      </c>
    </row>
    <row r="653">
      <c r="A653" s="33">
        <f>IF(PAYMENTS!A146="","",PAYMENTS!A146)</f>
        <v/>
      </c>
      <c r="B653" s="31">
        <f>IF($A653="","",PAYMENTS!B146)</f>
        <v/>
      </c>
      <c r="C653" s="31">
        <f>IF($A653="","",PAYMENTS!C146)</f>
        <v/>
      </c>
      <c r="D653" s="31">
        <f>IF($A653="","",PAYMENTS!D146)</f>
        <v/>
      </c>
      <c r="E653" s="32">
        <f>IF($A653="","",PAYMENTS!E146)</f>
        <v/>
      </c>
      <c r="F653" s="31">
        <f>IF($A653="","",PAYMENTS!F146)</f>
        <v/>
      </c>
      <c r="G653" s="31">
        <f>IF($A653="","",PAYMENTS!G146)</f>
        <v/>
      </c>
    </row>
    <row r="654">
      <c r="A654" s="33">
        <f>IF(PAYMENTS!A147="","",PAYMENTS!A147)</f>
        <v/>
      </c>
      <c r="B654" s="31">
        <f>IF($A654="","",PAYMENTS!B147)</f>
        <v/>
      </c>
      <c r="C654" s="31">
        <f>IF($A654="","",PAYMENTS!C147)</f>
        <v/>
      </c>
      <c r="D654" s="31">
        <f>IF($A654="","",PAYMENTS!D147)</f>
        <v/>
      </c>
      <c r="E654" s="32">
        <f>IF($A654="","",PAYMENTS!E147)</f>
        <v/>
      </c>
      <c r="F654" s="31">
        <f>IF($A654="","",PAYMENTS!F147)</f>
        <v/>
      </c>
      <c r="G654" s="31">
        <f>IF($A654="","",PAYMENTS!G147)</f>
        <v/>
      </c>
    </row>
    <row r="655">
      <c r="A655" s="33">
        <f>IF(PAYMENTS!A148="","",PAYMENTS!A148)</f>
        <v/>
      </c>
      <c r="B655" s="31">
        <f>IF($A655="","",PAYMENTS!B148)</f>
        <v/>
      </c>
      <c r="C655" s="31">
        <f>IF($A655="","",PAYMENTS!C148)</f>
        <v/>
      </c>
      <c r="D655" s="31">
        <f>IF($A655="","",PAYMENTS!D148)</f>
        <v/>
      </c>
      <c r="E655" s="32">
        <f>IF($A655="","",PAYMENTS!E148)</f>
        <v/>
      </c>
      <c r="F655" s="31">
        <f>IF($A655="","",PAYMENTS!F148)</f>
        <v/>
      </c>
      <c r="G655" s="31">
        <f>IF($A655="","",PAYMENTS!G148)</f>
        <v/>
      </c>
    </row>
    <row r="656">
      <c r="A656" s="33">
        <f>IF(PAYMENTS!A149="","",PAYMENTS!A149)</f>
        <v/>
      </c>
      <c r="B656" s="31">
        <f>IF($A656="","",PAYMENTS!B149)</f>
        <v/>
      </c>
      <c r="C656" s="31">
        <f>IF($A656="","",PAYMENTS!C149)</f>
        <v/>
      </c>
      <c r="D656" s="31">
        <f>IF($A656="","",PAYMENTS!D149)</f>
        <v/>
      </c>
      <c r="E656" s="32">
        <f>IF($A656="","",PAYMENTS!E149)</f>
        <v/>
      </c>
      <c r="F656" s="31">
        <f>IF($A656="","",PAYMENTS!F149)</f>
        <v/>
      </c>
      <c r="G656" s="31">
        <f>IF($A656="","",PAYMENTS!G149)</f>
        <v/>
      </c>
    </row>
    <row r="657">
      <c r="A657" s="33">
        <f>IF(PAYMENTS!A150="","",PAYMENTS!A150)</f>
        <v/>
      </c>
      <c r="B657" s="31">
        <f>IF($A657="","",PAYMENTS!B150)</f>
        <v/>
      </c>
      <c r="C657" s="31">
        <f>IF($A657="","",PAYMENTS!C150)</f>
        <v/>
      </c>
      <c r="D657" s="31">
        <f>IF($A657="","",PAYMENTS!D150)</f>
        <v/>
      </c>
      <c r="E657" s="32">
        <f>IF($A657="","",PAYMENTS!E150)</f>
        <v/>
      </c>
      <c r="F657" s="31">
        <f>IF($A657="","",PAYMENTS!F150)</f>
        <v/>
      </c>
      <c r="G657" s="31">
        <f>IF($A657="","",PAYMENTS!G150)</f>
        <v/>
      </c>
    </row>
    <row r="658">
      <c r="A658" s="33">
        <f>IF(PAYMENTS!A151="","",PAYMENTS!A151)</f>
        <v/>
      </c>
      <c r="B658" s="31">
        <f>IF($A658="","",PAYMENTS!B151)</f>
        <v/>
      </c>
      <c r="C658" s="31">
        <f>IF($A658="","",PAYMENTS!C151)</f>
        <v/>
      </c>
      <c r="D658" s="31">
        <f>IF($A658="","",PAYMENTS!D151)</f>
        <v/>
      </c>
      <c r="E658" s="32">
        <f>IF($A658="","",PAYMENTS!E151)</f>
        <v/>
      </c>
      <c r="F658" s="31">
        <f>IF($A658="","",PAYMENTS!F151)</f>
        <v/>
      </c>
      <c r="G658" s="31">
        <f>IF($A658="","",PAYMENTS!G151)</f>
        <v/>
      </c>
    </row>
    <row r="659">
      <c r="A659" s="33">
        <f>IF(PAYMENTS!A152="","",PAYMENTS!A152)</f>
        <v/>
      </c>
      <c r="B659" s="31">
        <f>IF($A659="","",PAYMENTS!B152)</f>
        <v/>
      </c>
      <c r="C659" s="31">
        <f>IF($A659="","",PAYMENTS!C152)</f>
        <v/>
      </c>
      <c r="D659" s="31">
        <f>IF($A659="","",PAYMENTS!D152)</f>
        <v/>
      </c>
      <c r="E659" s="32">
        <f>IF($A659="","",PAYMENTS!E152)</f>
        <v/>
      </c>
      <c r="F659" s="31">
        <f>IF($A659="","",PAYMENTS!F152)</f>
        <v/>
      </c>
      <c r="G659" s="31">
        <f>IF($A659="","",PAYMENTS!G152)</f>
        <v/>
      </c>
    </row>
    <row r="660">
      <c r="A660" s="33">
        <f>IF(PAYMENTS!A153="","",PAYMENTS!A153)</f>
        <v/>
      </c>
      <c r="B660" s="31">
        <f>IF($A660="","",PAYMENTS!B153)</f>
        <v/>
      </c>
      <c r="C660" s="31">
        <f>IF($A660="","",PAYMENTS!C153)</f>
        <v/>
      </c>
      <c r="D660" s="31">
        <f>IF($A660="","",PAYMENTS!D153)</f>
        <v/>
      </c>
      <c r="E660" s="32">
        <f>IF($A660="","",PAYMENTS!E153)</f>
        <v/>
      </c>
      <c r="F660" s="31">
        <f>IF($A660="","",PAYMENTS!F153)</f>
        <v/>
      </c>
      <c r="G660" s="31">
        <f>IF($A660="","",PAYMENTS!G153)</f>
        <v/>
      </c>
    </row>
    <row r="661">
      <c r="A661" s="33">
        <f>IF(PAYMENTS!A154="","",PAYMENTS!A154)</f>
        <v/>
      </c>
      <c r="B661" s="31">
        <f>IF($A661="","",PAYMENTS!B154)</f>
        <v/>
      </c>
      <c r="C661" s="31">
        <f>IF($A661="","",PAYMENTS!C154)</f>
        <v/>
      </c>
      <c r="D661" s="31">
        <f>IF($A661="","",PAYMENTS!D154)</f>
        <v/>
      </c>
      <c r="E661" s="32">
        <f>IF($A661="","",PAYMENTS!E154)</f>
        <v/>
      </c>
      <c r="F661" s="31">
        <f>IF($A661="","",PAYMENTS!F154)</f>
        <v/>
      </c>
      <c r="G661" s="31">
        <f>IF($A661="","",PAYMENTS!G154)</f>
        <v/>
      </c>
    </row>
    <row r="662">
      <c r="A662" s="33">
        <f>IF(PAYMENTS!A155="","",PAYMENTS!A155)</f>
        <v/>
      </c>
      <c r="B662" s="31">
        <f>IF($A662="","",PAYMENTS!B155)</f>
        <v/>
      </c>
      <c r="C662" s="31">
        <f>IF($A662="","",PAYMENTS!C155)</f>
        <v/>
      </c>
      <c r="D662" s="31">
        <f>IF($A662="","",PAYMENTS!D155)</f>
        <v/>
      </c>
      <c r="E662" s="32">
        <f>IF($A662="","",PAYMENTS!E155)</f>
        <v/>
      </c>
      <c r="F662" s="31">
        <f>IF($A662="","",PAYMENTS!F155)</f>
        <v/>
      </c>
      <c r="G662" s="31">
        <f>IF($A662="","",PAYMENTS!G155)</f>
        <v/>
      </c>
    </row>
    <row r="663">
      <c r="A663" s="33">
        <f>IF(PAYMENTS!A156="","",PAYMENTS!A156)</f>
        <v/>
      </c>
      <c r="B663" s="31">
        <f>IF($A663="","",PAYMENTS!B156)</f>
        <v/>
      </c>
      <c r="C663" s="31">
        <f>IF($A663="","",PAYMENTS!C156)</f>
        <v/>
      </c>
      <c r="D663" s="31">
        <f>IF($A663="","",PAYMENTS!D156)</f>
        <v/>
      </c>
      <c r="E663" s="32">
        <f>IF($A663="","",PAYMENTS!E156)</f>
        <v/>
      </c>
      <c r="F663" s="31">
        <f>IF($A663="","",PAYMENTS!F156)</f>
        <v/>
      </c>
      <c r="G663" s="31">
        <f>IF($A663="","",PAYMENTS!G156)</f>
        <v/>
      </c>
    </row>
    <row r="664">
      <c r="A664" s="33">
        <f>IF(PAYMENTS!A157="","",PAYMENTS!A157)</f>
        <v/>
      </c>
      <c r="B664" s="31">
        <f>IF($A664="","",PAYMENTS!B157)</f>
        <v/>
      </c>
      <c r="C664" s="31">
        <f>IF($A664="","",PAYMENTS!C157)</f>
        <v/>
      </c>
      <c r="D664" s="31">
        <f>IF($A664="","",PAYMENTS!D157)</f>
        <v/>
      </c>
      <c r="E664" s="32">
        <f>IF($A664="","",PAYMENTS!E157)</f>
        <v/>
      </c>
      <c r="F664" s="31">
        <f>IF($A664="","",PAYMENTS!F157)</f>
        <v/>
      </c>
      <c r="G664" s="31">
        <f>IF($A664="","",PAYMENTS!G157)</f>
        <v/>
      </c>
    </row>
    <row r="665">
      <c r="A665" s="33">
        <f>IF(PAYMENTS!A158="","",PAYMENTS!A158)</f>
        <v/>
      </c>
      <c r="B665" s="31">
        <f>IF($A665="","",PAYMENTS!B158)</f>
        <v/>
      </c>
      <c r="C665" s="31">
        <f>IF($A665="","",PAYMENTS!C158)</f>
        <v/>
      </c>
      <c r="D665" s="31">
        <f>IF($A665="","",PAYMENTS!D158)</f>
        <v/>
      </c>
      <c r="E665" s="32">
        <f>IF($A665="","",PAYMENTS!E158)</f>
        <v/>
      </c>
      <c r="F665" s="31">
        <f>IF($A665="","",PAYMENTS!F158)</f>
        <v/>
      </c>
      <c r="G665" s="31">
        <f>IF($A665="","",PAYMENTS!G158)</f>
        <v/>
      </c>
    </row>
    <row r="666">
      <c r="A666" s="33">
        <f>IF(PAYMENTS!A159="","",PAYMENTS!A159)</f>
        <v/>
      </c>
      <c r="B666" s="31">
        <f>IF($A666="","",PAYMENTS!B159)</f>
        <v/>
      </c>
      <c r="C666" s="31">
        <f>IF($A666="","",PAYMENTS!C159)</f>
        <v/>
      </c>
      <c r="D666" s="31">
        <f>IF($A666="","",PAYMENTS!D159)</f>
        <v/>
      </c>
      <c r="E666" s="32">
        <f>IF($A666="","",PAYMENTS!E159)</f>
        <v/>
      </c>
      <c r="F666" s="31">
        <f>IF($A666="","",PAYMENTS!F159)</f>
        <v/>
      </c>
      <c r="G666" s="31">
        <f>IF($A666="","",PAYMENTS!G159)</f>
        <v/>
      </c>
    </row>
    <row r="667">
      <c r="A667" s="33">
        <f>IF(PAYMENTS!A160="","",PAYMENTS!A160)</f>
        <v/>
      </c>
      <c r="B667" s="31">
        <f>IF($A667="","",PAYMENTS!B160)</f>
        <v/>
      </c>
      <c r="C667" s="31">
        <f>IF($A667="","",PAYMENTS!C160)</f>
        <v/>
      </c>
      <c r="D667" s="31">
        <f>IF($A667="","",PAYMENTS!D160)</f>
        <v/>
      </c>
      <c r="E667" s="32">
        <f>IF($A667="","",PAYMENTS!E160)</f>
        <v/>
      </c>
      <c r="F667" s="31">
        <f>IF($A667="","",PAYMENTS!F160)</f>
        <v/>
      </c>
      <c r="G667" s="31">
        <f>IF($A667="","",PAYMENTS!G160)</f>
        <v/>
      </c>
    </row>
    <row r="668">
      <c r="A668" s="33">
        <f>IF(PAYMENTS!A161="","",PAYMENTS!A161)</f>
        <v/>
      </c>
      <c r="B668" s="31">
        <f>IF($A668="","",PAYMENTS!B161)</f>
        <v/>
      </c>
      <c r="C668" s="31">
        <f>IF($A668="","",PAYMENTS!C161)</f>
        <v/>
      </c>
      <c r="D668" s="31">
        <f>IF($A668="","",PAYMENTS!D161)</f>
        <v/>
      </c>
      <c r="E668" s="32">
        <f>IF($A668="","",PAYMENTS!E161)</f>
        <v/>
      </c>
      <c r="F668" s="31">
        <f>IF($A668="","",PAYMENTS!F161)</f>
        <v/>
      </c>
      <c r="G668" s="31">
        <f>IF($A668="","",PAYMENTS!G161)</f>
        <v/>
      </c>
    </row>
    <row r="669">
      <c r="A669" s="33">
        <f>IF(PAYMENTS!A162="","",PAYMENTS!A162)</f>
        <v/>
      </c>
      <c r="B669" s="31">
        <f>IF($A669="","",PAYMENTS!B162)</f>
        <v/>
      </c>
      <c r="C669" s="31">
        <f>IF($A669="","",PAYMENTS!C162)</f>
        <v/>
      </c>
      <c r="D669" s="31">
        <f>IF($A669="","",PAYMENTS!D162)</f>
        <v/>
      </c>
      <c r="E669" s="32">
        <f>IF($A669="","",PAYMENTS!E162)</f>
        <v/>
      </c>
      <c r="F669" s="31">
        <f>IF($A669="","",PAYMENTS!F162)</f>
        <v/>
      </c>
      <c r="G669" s="31">
        <f>IF($A669="","",PAYMENTS!G162)</f>
        <v/>
      </c>
    </row>
    <row r="670">
      <c r="A670" s="33">
        <f>IF(PAYMENTS!A163="","",PAYMENTS!A163)</f>
        <v/>
      </c>
      <c r="B670" s="31">
        <f>IF($A670="","",PAYMENTS!B163)</f>
        <v/>
      </c>
      <c r="C670" s="31">
        <f>IF($A670="","",PAYMENTS!C163)</f>
        <v/>
      </c>
      <c r="D670" s="31">
        <f>IF($A670="","",PAYMENTS!D163)</f>
        <v/>
      </c>
      <c r="E670" s="32">
        <f>IF($A670="","",PAYMENTS!E163)</f>
        <v/>
      </c>
      <c r="F670" s="31">
        <f>IF($A670="","",PAYMENTS!F163)</f>
        <v/>
      </c>
      <c r="G670" s="31">
        <f>IF($A670="","",PAYMENTS!G163)</f>
        <v/>
      </c>
    </row>
    <row r="671">
      <c r="A671" s="33">
        <f>IF(PAYMENTS!A164="","",PAYMENTS!A164)</f>
        <v/>
      </c>
      <c r="B671" s="31">
        <f>IF($A671="","",PAYMENTS!B164)</f>
        <v/>
      </c>
      <c r="C671" s="31">
        <f>IF($A671="","",PAYMENTS!C164)</f>
        <v/>
      </c>
      <c r="D671" s="31">
        <f>IF($A671="","",PAYMENTS!D164)</f>
        <v/>
      </c>
      <c r="E671" s="32">
        <f>IF($A671="","",PAYMENTS!E164)</f>
        <v/>
      </c>
      <c r="F671" s="31">
        <f>IF($A671="","",PAYMENTS!F164)</f>
        <v/>
      </c>
      <c r="G671" s="31">
        <f>IF($A671="","",PAYMENTS!G164)</f>
        <v/>
      </c>
    </row>
    <row r="672">
      <c r="A672" s="33">
        <f>IF(PAYMENTS!A165="","",PAYMENTS!A165)</f>
        <v/>
      </c>
      <c r="B672" s="31">
        <f>IF($A672="","",PAYMENTS!B165)</f>
        <v/>
      </c>
      <c r="C672" s="31">
        <f>IF($A672="","",PAYMENTS!C165)</f>
        <v/>
      </c>
      <c r="D672" s="31">
        <f>IF($A672="","",PAYMENTS!D165)</f>
        <v/>
      </c>
      <c r="E672" s="32">
        <f>IF($A672="","",PAYMENTS!E165)</f>
        <v/>
      </c>
      <c r="F672" s="31">
        <f>IF($A672="","",PAYMENTS!F165)</f>
        <v/>
      </c>
      <c r="G672" s="31">
        <f>IF($A672="","",PAYMENTS!G165)</f>
        <v/>
      </c>
    </row>
    <row r="673">
      <c r="A673" s="33">
        <f>IF(PAYMENTS!A166="","",PAYMENTS!A166)</f>
        <v/>
      </c>
      <c r="B673" s="31">
        <f>IF($A673="","",PAYMENTS!B166)</f>
        <v/>
      </c>
      <c r="C673" s="31">
        <f>IF($A673="","",PAYMENTS!C166)</f>
        <v/>
      </c>
      <c r="D673" s="31">
        <f>IF($A673="","",PAYMENTS!D166)</f>
        <v/>
      </c>
      <c r="E673" s="32">
        <f>IF($A673="","",PAYMENTS!E166)</f>
        <v/>
      </c>
      <c r="F673" s="31">
        <f>IF($A673="","",PAYMENTS!F166)</f>
        <v/>
      </c>
      <c r="G673" s="31">
        <f>IF($A673="","",PAYMENTS!G166)</f>
        <v/>
      </c>
    </row>
    <row r="674">
      <c r="A674" s="33">
        <f>IF(PAYMENTS!A167="","",PAYMENTS!A167)</f>
        <v/>
      </c>
      <c r="B674" s="31">
        <f>IF($A674="","",PAYMENTS!B167)</f>
        <v/>
      </c>
      <c r="C674" s="31">
        <f>IF($A674="","",PAYMENTS!C167)</f>
        <v/>
      </c>
      <c r="D674" s="31">
        <f>IF($A674="","",PAYMENTS!D167)</f>
        <v/>
      </c>
      <c r="E674" s="32">
        <f>IF($A674="","",PAYMENTS!E167)</f>
        <v/>
      </c>
      <c r="F674" s="31">
        <f>IF($A674="","",PAYMENTS!F167)</f>
        <v/>
      </c>
      <c r="G674" s="31">
        <f>IF($A674="","",PAYMENTS!G167)</f>
        <v/>
      </c>
    </row>
    <row r="675">
      <c r="A675" s="33">
        <f>IF(PAYMENTS!A168="","",PAYMENTS!A168)</f>
        <v/>
      </c>
      <c r="B675" s="31">
        <f>IF($A675="","",PAYMENTS!B168)</f>
        <v/>
      </c>
      <c r="C675" s="31">
        <f>IF($A675="","",PAYMENTS!C168)</f>
        <v/>
      </c>
      <c r="D675" s="31">
        <f>IF($A675="","",PAYMENTS!D168)</f>
        <v/>
      </c>
      <c r="E675" s="32">
        <f>IF($A675="","",PAYMENTS!E168)</f>
        <v/>
      </c>
      <c r="F675" s="31">
        <f>IF($A675="","",PAYMENTS!F168)</f>
        <v/>
      </c>
      <c r="G675" s="31">
        <f>IF($A675="","",PAYMENTS!G168)</f>
        <v/>
      </c>
    </row>
    <row r="676">
      <c r="A676" s="33">
        <f>IF(PAYMENTS!A169="","",PAYMENTS!A169)</f>
        <v/>
      </c>
      <c r="B676" s="31">
        <f>IF($A676="","",PAYMENTS!B169)</f>
        <v/>
      </c>
      <c r="C676" s="31">
        <f>IF($A676="","",PAYMENTS!C169)</f>
        <v/>
      </c>
      <c r="D676" s="31">
        <f>IF($A676="","",PAYMENTS!D169)</f>
        <v/>
      </c>
      <c r="E676" s="32">
        <f>IF($A676="","",PAYMENTS!E169)</f>
        <v/>
      </c>
      <c r="F676" s="31">
        <f>IF($A676="","",PAYMENTS!F169)</f>
        <v/>
      </c>
      <c r="G676" s="31">
        <f>IF($A676="","",PAYMENTS!G169)</f>
        <v/>
      </c>
    </row>
    <row r="677">
      <c r="A677" s="33">
        <f>IF(PAYMENTS!A170="","",PAYMENTS!A170)</f>
        <v/>
      </c>
      <c r="B677" s="31">
        <f>IF($A677="","",PAYMENTS!B170)</f>
        <v/>
      </c>
      <c r="C677" s="31">
        <f>IF($A677="","",PAYMENTS!C170)</f>
        <v/>
      </c>
      <c r="D677" s="31">
        <f>IF($A677="","",PAYMENTS!D170)</f>
        <v/>
      </c>
      <c r="E677" s="32">
        <f>IF($A677="","",PAYMENTS!E170)</f>
        <v/>
      </c>
      <c r="F677" s="31">
        <f>IF($A677="","",PAYMENTS!F170)</f>
        <v/>
      </c>
      <c r="G677" s="31">
        <f>IF($A677="","",PAYMENTS!G170)</f>
        <v/>
      </c>
    </row>
    <row r="678">
      <c r="A678" s="33">
        <f>IF(PAYMENTS!A171="","",PAYMENTS!A171)</f>
        <v/>
      </c>
      <c r="B678" s="31">
        <f>IF($A678="","",PAYMENTS!B171)</f>
        <v/>
      </c>
      <c r="C678" s="31">
        <f>IF($A678="","",PAYMENTS!C171)</f>
        <v/>
      </c>
      <c r="D678" s="31">
        <f>IF($A678="","",PAYMENTS!D171)</f>
        <v/>
      </c>
      <c r="E678" s="32">
        <f>IF($A678="","",PAYMENTS!E171)</f>
        <v/>
      </c>
      <c r="F678" s="31">
        <f>IF($A678="","",PAYMENTS!F171)</f>
        <v/>
      </c>
      <c r="G678" s="31">
        <f>IF($A678="","",PAYMENTS!G171)</f>
        <v/>
      </c>
    </row>
    <row r="679">
      <c r="A679" s="33">
        <f>IF(PAYMENTS!A172="","",PAYMENTS!A172)</f>
        <v/>
      </c>
      <c r="B679" s="31">
        <f>IF($A679="","",PAYMENTS!B172)</f>
        <v/>
      </c>
      <c r="C679" s="31">
        <f>IF($A679="","",PAYMENTS!C172)</f>
        <v/>
      </c>
      <c r="D679" s="31">
        <f>IF($A679="","",PAYMENTS!D172)</f>
        <v/>
      </c>
      <c r="E679" s="32">
        <f>IF($A679="","",PAYMENTS!E172)</f>
        <v/>
      </c>
      <c r="F679" s="31">
        <f>IF($A679="","",PAYMENTS!F172)</f>
        <v/>
      </c>
      <c r="G679" s="31">
        <f>IF($A679="","",PAYMENTS!G172)</f>
        <v/>
      </c>
    </row>
    <row r="680">
      <c r="A680" s="33">
        <f>IF(PAYMENTS!A173="","",PAYMENTS!A173)</f>
        <v/>
      </c>
      <c r="B680" s="31">
        <f>IF($A680="","",PAYMENTS!B173)</f>
        <v/>
      </c>
      <c r="C680" s="31">
        <f>IF($A680="","",PAYMENTS!C173)</f>
        <v/>
      </c>
      <c r="D680" s="31">
        <f>IF($A680="","",PAYMENTS!D173)</f>
        <v/>
      </c>
      <c r="E680" s="32">
        <f>IF($A680="","",PAYMENTS!E173)</f>
        <v/>
      </c>
      <c r="F680" s="31">
        <f>IF($A680="","",PAYMENTS!F173)</f>
        <v/>
      </c>
      <c r="G680" s="31">
        <f>IF($A680="","",PAYMENTS!G173)</f>
        <v/>
      </c>
    </row>
    <row r="681">
      <c r="A681" s="33">
        <f>IF(PAYMENTS!A174="","",PAYMENTS!A174)</f>
        <v/>
      </c>
      <c r="B681" s="31">
        <f>IF($A681="","",PAYMENTS!B174)</f>
        <v/>
      </c>
      <c r="C681" s="31">
        <f>IF($A681="","",PAYMENTS!C174)</f>
        <v/>
      </c>
      <c r="D681" s="31">
        <f>IF($A681="","",PAYMENTS!D174)</f>
        <v/>
      </c>
      <c r="E681" s="32">
        <f>IF($A681="","",PAYMENTS!E174)</f>
        <v/>
      </c>
      <c r="F681" s="31">
        <f>IF($A681="","",PAYMENTS!F174)</f>
        <v/>
      </c>
      <c r="G681" s="31">
        <f>IF($A681="","",PAYMENTS!G174)</f>
        <v/>
      </c>
    </row>
    <row r="682">
      <c r="A682" s="33">
        <f>IF(PAYMENTS!A175="","",PAYMENTS!A175)</f>
        <v/>
      </c>
      <c r="B682" s="31">
        <f>IF($A682="","",PAYMENTS!B175)</f>
        <v/>
      </c>
      <c r="C682" s="31">
        <f>IF($A682="","",PAYMENTS!C175)</f>
        <v/>
      </c>
      <c r="D682" s="31">
        <f>IF($A682="","",PAYMENTS!D175)</f>
        <v/>
      </c>
      <c r="E682" s="32">
        <f>IF($A682="","",PAYMENTS!E175)</f>
        <v/>
      </c>
      <c r="F682" s="31">
        <f>IF($A682="","",PAYMENTS!F175)</f>
        <v/>
      </c>
      <c r="G682" s="31">
        <f>IF($A682="","",PAYMENTS!G175)</f>
        <v/>
      </c>
    </row>
    <row r="683">
      <c r="A683" s="33">
        <f>IF(PAYMENTS!A176="","",PAYMENTS!A176)</f>
        <v/>
      </c>
      <c r="B683" s="31">
        <f>IF($A683="","",PAYMENTS!B176)</f>
        <v/>
      </c>
      <c r="C683" s="31">
        <f>IF($A683="","",PAYMENTS!C176)</f>
        <v/>
      </c>
      <c r="D683" s="31">
        <f>IF($A683="","",PAYMENTS!D176)</f>
        <v/>
      </c>
      <c r="E683" s="32">
        <f>IF($A683="","",PAYMENTS!E176)</f>
        <v/>
      </c>
      <c r="F683" s="31">
        <f>IF($A683="","",PAYMENTS!F176)</f>
        <v/>
      </c>
      <c r="G683" s="31">
        <f>IF($A683="","",PAYMENTS!G176)</f>
        <v/>
      </c>
    </row>
    <row r="684">
      <c r="A684" s="33">
        <f>IF(PAYMENTS!A177="","",PAYMENTS!A177)</f>
        <v/>
      </c>
      <c r="B684" s="31">
        <f>IF($A684="","",PAYMENTS!B177)</f>
        <v/>
      </c>
      <c r="C684" s="31">
        <f>IF($A684="","",PAYMENTS!C177)</f>
        <v/>
      </c>
      <c r="D684" s="31">
        <f>IF($A684="","",PAYMENTS!D177)</f>
        <v/>
      </c>
      <c r="E684" s="32">
        <f>IF($A684="","",PAYMENTS!E177)</f>
        <v/>
      </c>
      <c r="F684" s="31">
        <f>IF($A684="","",PAYMENTS!F177)</f>
        <v/>
      </c>
      <c r="G684" s="31">
        <f>IF($A684="","",PAYMENTS!G177)</f>
        <v/>
      </c>
    </row>
    <row r="685">
      <c r="A685" s="33">
        <f>IF(PAYMENTS!A178="","",PAYMENTS!A178)</f>
        <v/>
      </c>
      <c r="B685" s="31">
        <f>IF($A685="","",PAYMENTS!B178)</f>
        <v/>
      </c>
      <c r="C685" s="31">
        <f>IF($A685="","",PAYMENTS!C178)</f>
        <v/>
      </c>
      <c r="D685" s="31">
        <f>IF($A685="","",PAYMENTS!D178)</f>
        <v/>
      </c>
      <c r="E685" s="32">
        <f>IF($A685="","",PAYMENTS!E178)</f>
        <v/>
      </c>
      <c r="F685" s="31">
        <f>IF($A685="","",PAYMENTS!F178)</f>
        <v/>
      </c>
      <c r="G685" s="31">
        <f>IF($A685="","",PAYMENTS!G178)</f>
        <v/>
      </c>
    </row>
    <row r="686">
      <c r="A686" s="33">
        <f>IF(PAYMENTS!A179="","",PAYMENTS!A179)</f>
        <v/>
      </c>
      <c r="B686" s="31">
        <f>IF($A686="","",PAYMENTS!B179)</f>
        <v/>
      </c>
      <c r="C686" s="31">
        <f>IF($A686="","",PAYMENTS!C179)</f>
        <v/>
      </c>
      <c r="D686" s="31">
        <f>IF($A686="","",PAYMENTS!D179)</f>
        <v/>
      </c>
      <c r="E686" s="32">
        <f>IF($A686="","",PAYMENTS!E179)</f>
        <v/>
      </c>
      <c r="F686" s="31">
        <f>IF($A686="","",PAYMENTS!F179)</f>
        <v/>
      </c>
      <c r="G686" s="31">
        <f>IF($A686="","",PAYMENTS!G179)</f>
        <v/>
      </c>
    </row>
    <row r="687">
      <c r="A687" s="33">
        <f>IF(PAYMENTS!A180="","",PAYMENTS!A180)</f>
        <v/>
      </c>
      <c r="B687" s="31">
        <f>IF($A687="","",PAYMENTS!B180)</f>
        <v/>
      </c>
      <c r="C687" s="31">
        <f>IF($A687="","",PAYMENTS!C180)</f>
        <v/>
      </c>
      <c r="D687" s="31">
        <f>IF($A687="","",PAYMENTS!D180)</f>
        <v/>
      </c>
      <c r="E687" s="32">
        <f>IF($A687="","",PAYMENTS!E180)</f>
        <v/>
      </c>
      <c r="F687" s="31">
        <f>IF($A687="","",PAYMENTS!F180)</f>
        <v/>
      </c>
      <c r="G687" s="31">
        <f>IF($A687="","",PAYMENTS!G180)</f>
        <v/>
      </c>
    </row>
    <row r="688">
      <c r="A688" s="33">
        <f>IF(PAYMENTS!A181="","",PAYMENTS!A181)</f>
        <v/>
      </c>
      <c r="B688" s="31">
        <f>IF($A688="","",PAYMENTS!B181)</f>
        <v/>
      </c>
      <c r="C688" s="31">
        <f>IF($A688="","",PAYMENTS!C181)</f>
        <v/>
      </c>
      <c r="D688" s="31">
        <f>IF($A688="","",PAYMENTS!D181)</f>
        <v/>
      </c>
      <c r="E688" s="32">
        <f>IF($A688="","",PAYMENTS!E181)</f>
        <v/>
      </c>
      <c r="F688" s="31">
        <f>IF($A688="","",PAYMENTS!F181)</f>
        <v/>
      </c>
      <c r="G688" s="31">
        <f>IF($A688="","",PAYMENTS!G181)</f>
        <v/>
      </c>
    </row>
    <row r="689">
      <c r="A689" s="33">
        <f>IF(PAYMENTS!A182="","",PAYMENTS!A182)</f>
        <v/>
      </c>
      <c r="B689" s="31">
        <f>IF($A689="","",PAYMENTS!B182)</f>
        <v/>
      </c>
      <c r="C689" s="31">
        <f>IF($A689="","",PAYMENTS!C182)</f>
        <v/>
      </c>
      <c r="D689" s="31">
        <f>IF($A689="","",PAYMENTS!D182)</f>
        <v/>
      </c>
      <c r="E689" s="32">
        <f>IF($A689="","",PAYMENTS!E182)</f>
        <v/>
      </c>
      <c r="F689" s="31">
        <f>IF($A689="","",PAYMENTS!F182)</f>
        <v/>
      </c>
      <c r="G689" s="31">
        <f>IF($A689="","",PAYMENTS!G182)</f>
        <v/>
      </c>
    </row>
    <row r="690">
      <c r="A690" s="33">
        <f>IF(PAYMENTS!A183="","",PAYMENTS!A183)</f>
        <v/>
      </c>
      <c r="B690" s="31">
        <f>IF($A690="","",PAYMENTS!B183)</f>
        <v/>
      </c>
      <c r="C690" s="31">
        <f>IF($A690="","",PAYMENTS!C183)</f>
        <v/>
      </c>
      <c r="D690" s="31">
        <f>IF($A690="","",PAYMENTS!D183)</f>
        <v/>
      </c>
      <c r="E690" s="32">
        <f>IF($A690="","",PAYMENTS!E183)</f>
        <v/>
      </c>
      <c r="F690" s="31">
        <f>IF($A690="","",PAYMENTS!F183)</f>
        <v/>
      </c>
      <c r="G690" s="31">
        <f>IF($A690="","",PAYMENTS!G183)</f>
        <v/>
      </c>
    </row>
    <row r="691">
      <c r="A691" s="33">
        <f>IF(PAYMENTS!A184="","",PAYMENTS!A184)</f>
        <v/>
      </c>
      <c r="B691" s="31">
        <f>IF($A691="","",PAYMENTS!B184)</f>
        <v/>
      </c>
      <c r="C691" s="31">
        <f>IF($A691="","",PAYMENTS!C184)</f>
        <v/>
      </c>
      <c r="D691" s="31">
        <f>IF($A691="","",PAYMENTS!D184)</f>
        <v/>
      </c>
      <c r="E691" s="32">
        <f>IF($A691="","",PAYMENTS!E184)</f>
        <v/>
      </c>
      <c r="F691" s="31">
        <f>IF($A691="","",PAYMENTS!F184)</f>
        <v/>
      </c>
      <c r="G691" s="31">
        <f>IF($A691="","",PAYMENTS!G184)</f>
        <v/>
      </c>
    </row>
    <row r="692">
      <c r="A692" s="33">
        <f>IF(PAYMENTS!A185="","",PAYMENTS!A185)</f>
        <v/>
      </c>
      <c r="B692" s="31">
        <f>IF($A692="","",PAYMENTS!B185)</f>
        <v/>
      </c>
      <c r="C692" s="31">
        <f>IF($A692="","",PAYMENTS!C185)</f>
        <v/>
      </c>
      <c r="D692" s="31">
        <f>IF($A692="","",PAYMENTS!D185)</f>
        <v/>
      </c>
      <c r="E692" s="32">
        <f>IF($A692="","",PAYMENTS!E185)</f>
        <v/>
      </c>
      <c r="F692" s="31">
        <f>IF($A692="","",PAYMENTS!F185)</f>
        <v/>
      </c>
      <c r="G692" s="31">
        <f>IF($A692="","",PAYMENTS!G185)</f>
        <v/>
      </c>
    </row>
    <row r="693">
      <c r="A693" s="33">
        <f>IF(PAYMENTS!A186="","",PAYMENTS!A186)</f>
        <v/>
      </c>
      <c r="B693" s="31">
        <f>IF($A693="","",PAYMENTS!B186)</f>
        <v/>
      </c>
      <c r="C693" s="31">
        <f>IF($A693="","",PAYMENTS!C186)</f>
        <v/>
      </c>
      <c r="D693" s="31">
        <f>IF($A693="","",PAYMENTS!D186)</f>
        <v/>
      </c>
      <c r="E693" s="32">
        <f>IF($A693="","",PAYMENTS!E186)</f>
        <v/>
      </c>
      <c r="F693" s="31">
        <f>IF($A693="","",PAYMENTS!F186)</f>
        <v/>
      </c>
      <c r="G693" s="31">
        <f>IF($A693="","",PAYMENTS!G186)</f>
        <v/>
      </c>
    </row>
    <row r="694">
      <c r="A694" s="33">
        <f>IF(PAYMENTS!A187="","",PAYMENTS!A187)</f>
        <v/>
      </c>
      <c r="B694" s="31">
        <f>IF($A694="","",PAYMENTS!B187)</f>
        <v/>
      </c>
      <c r="C694" s="31">
        <f>IF($A694="","",PAYMENTS!C187)</f>
        <v/>
      </c>
      <c r="D694" s="31">
        <f>IF($A694="","",PAYMENTS!D187)</f>
        <v/>
      </c>
      <c r="E694" s="32">
        <f>IF($A694="","",PAYMENTS!E187)</f>
        <v/>
      </c>
      <c r="F694" s="31">
        <f>IF($A694="","",PAYMENTS!F187)</f>
        <v/>
      </c>
      <c r="G694" s="31">
        <f>IF($A694="","",PAYMENTS!G187)</f>
        <v/>
      </c>
    </row>
    <row r="695">
      <c r="A695" s="33">
        <f>IF(PAYMENTS!A188="","",PAYMENTS!A188)</f>
        <v/>
      </c>
      <c r="B695" s="31">
        <f>IF($A695="","",PAYMENTS!B188)</f>
        <v/>
      </c>
      <c r="C695" s="31">
        <f>IF($A695="","",PAYMENTS!C188)</f>
        <v/>
      </c>
      <c r="D695" s="31">
        <f>IF($A695="","",PAYMENTS!D188)</f>
        <v/>
      </c>
      <c r="E695" s="32">
        <f>IF($A695="","",PAYMENTS!E188)</f>
        <v/>
      </c>
      <c r="F695" s="31">
        <f>IF($A695="","",PAYMENTS!F188)</f>
        <v/>
      </c>
      <c r="G695" s="31">
        <f>IF($A695="","",PAYMENTS!G188)</f>
        <v/>
      </c>
    </row>
    <row r="696">
      <c r="A696" s="33">
        <f>IF(PAYMENTS!A189="","",PAYMENTS!A189)</f>
        <v/>
      </c>
      <c r="B696" s="31">
        <f>IF($A696="","",PAYMENTS!B189)</f>
        <v/>
      </c>
      <c r="C696" s="31">
        <f>IF($A696="","",PAYMENTS!C189)</f>
        <v/>
      </c>
      <c r="D696" s="31">
        <f>IF($A696="","",PAYMENTS!D189)</f>
        <v/>
      </c>
      <c r="E696" s="32">
        <f>IF($A696="","",PAYMENTS!E189)</f>
        <v/>
      </c>
      <c r="F696" s="31">
        <f>IF($A696="","",PAYMENTS!F189)</f>
        <v/>
      </c>
      <c r="G696" s="31">
        <f>IF($A696="","",PAYMENTS!G189)</f>
        <v/>
      </c>
    </row>
    <row r="697">
      <c r="A697" s="33">
        <f>IF(PAYMENTS!A190="","",PAYMENTS!A190)</f>
        <v/>
      </c>
      <c r="B697" s="31">
        <f>IF($A697="","",PAYMENTS!B190)</f>
        <v/>
      </c>
      <c r="C697" s="31">
        <f>IF($A697="","",PAYMENTS!C190)</f>
        <v/>
      </c>
      <c r="D697" s="31">
        <f>IF($A697="","",PAYMENTS!D190)</f>
        <v/>
      </c>
      <c r="E697" s="32">
        <f>IF($A697="","",PAYMENTS!E190)</f>
        <v/>
      </c>
      <c r="F697" s="31">
        <f>IF($A697="","",PAYMENTS!F190)</f>
        <v/>
      </c>
      <c r="G697" s="31">
        <f>IF($A697="","",PAYMENTS!G190)</f>
        <v/>
      </c>
    </row>
    <row r="698">
      <c r="A698" s="33">
        <f>IF(PAYMENTS!A191="","",PAYMENTS!A191)</f>
        <v/>
      </c>
      <c r="B698" s="31">
        <f>IF($A698="","",PAYMENTS!B191)</f>
        <v/>
      </c>
      <c r="C698" s="31">
        <f>IF($A698="","",PAYMENTS!C191)</f>
        <v/>
      </c>
      <c r="D698" s="31">
        <f>IF($A698="","",PAYMENTS!D191)</f>
        <v/>
      </c>
      <c r="E698" s="32">
        <f>IF($A698="","",PAYMENTS!E191)</f>
        <v/>
      </c>
      <c r="F698" s="31">
        <f>IF($A698="","",PAYMENTS!F191)</f>
        <v/>
      </c>
      <c r="G698" s="31">
        <f>IF($A698="","",PAYMENTS!G191)</f>
        <v/>
      </c>
    </row>
    <row r="699">
      <c r="A699" s="33">
        <f>IF(PAYMENTS!A192="","",PAYMENTS!A192)</f>
        <v/>
      </c>
      <c r="B699" s="31">
        <f>IF($A699="","",PAYMENTS!B192)</f>
        <v/>
      </c>
      <c r="C699" s="31">
        <f>IF($A699="","",PAYMENTS!C192)</f>
        <v/>
      </c>
      <c r="D699" s="31">
        <f>IF($A699="","",PAYMENTS!D192)</f>
        <v/>
      </c>
      <c r="E699" s="32">
        <f>IF($A699="","",PAYMENTS!E192)</f>
        <v/>
      </c>
      <c r="F699" s="31">
        <f>IF($A699="","",PAYMENTS!F192)</f>
        <v/>
      </c>
      <c r="G699" s="31">
        <f>IF($A699="","",PAYMENTS!G192)</f>
        <v/>
      </c>
    </row>
    <row r="700">
      <c r="A700" s="33">
        <f>IF(PAYMENTS!A193="","",PAYMENTS!A193)</f>
        <v/>
      </c>
      <c r="B700" s="31">
        <f>IF($A700="","",PAYMENTS!B193)</f>
        <v/>
      </c>
      <c r="C700" s="31">
        <f>IF($A700="","",PAYMENTS!C193)</f>
        <v/>
      </c>
      <c r="D700" s="31">
        <f>IF($A700="","",PAYMENTS!D193)</f>
        <v/>
      </c>
      <c r="E700" s="32">
        <f>IF($A700="","",PAYMENTS!E193)</f>
        <v/>
      </c>
      <c r="F700" s="31">
        <f>IF($A700="","",PAYMENTS!F193)</f>
        <v/>
      </c>
      <c r="G700" s="31">
        <f>IF($A700="","",PAYMENTS!G193)</f>
        <v/>
      </c>
    </row>
    <row r="701">
      <c r="A701" s="33">
        <f>IF(PAYMENTS!A194="","",PAYMENTS!A194)</f>
        <v/>
      </c>
      <c r="B701" s="31">
        <f>IF($A701="","",PAYMENTS!B194)</f>
        <v/>
      </c>
      <c r="C701" s="31">
        <f>IF($A701="","",PAYMENTS!C194)</f>
        <v/>
      </c>
      <c r="D701" s="31">
        <f>IF($A701="","",PAYMENTS!D194)</f>
        <v/>
      </c>
      <c r="E701" s="32">
        <f>IF($A701="","",PAYMENTS!E194)</f>
        <v/>
      </c>
      <c r="F701" s="31">
        <f>IF($A701="","",PAYMENTS!F194)</f>
        <v/>
      </c>
      <c r="G701" s="31">
        <f>IF($A701="","",PAYMENTS!G194)</f>
        <v/>
      </c>
    </row>
    <row r="702">
      <c r="A702" s="33">
        <f>IF(PAYMENTS!A195="","",PAYMENTS!A195)</f>
        <v/>
      </c>
      <c r="B702" s="31">
        <f>IF($A702="","",PAYMENTS!B195)</f>
        <v/>
      </c>
      <c r="C702" s="31">
        <f>IF($A702="","",PAYMENTS!C195)</f>
        <v/>
      </c>
      <c r="D702" s="31">
        <f>IF($A702="","",PAYMENTS!D195)</f>
        <v/>
      </c>
      <c r="E702" s="32">
        <f>IF($A702="","",PAYMENTS!E195)</f>
        <v/>
      </c>
      <c r="F702" s="31">
        <f>IF($A702="","",PAYMENTS!F195)</f>
        <v/>
      </c>
      <c r="G702" s="31">
        <f>IF($A702="","",PAYMENTS!G195)</f>
        <v/>
      </c>
    </row>
    <row r="703">
      <c r="A703" s="33">
        <f>IF(PAYMENTS!A196="","",PAYMENTS!A196)</f>
        <v/>
      </c>
      <c r="B703" s="31">
        <f>IF($A703="","",PAYMENTS!B196)</f>
        <v/>
      </c>
      <c r="C703" s="31">
        <f>IF($A703="","",PAYMENTS!C196)</f>
        <v/>
      </c>
      <c r="D703" s="31">
        <f>IF($A703="","",PAYMENTS!D196)</f>
        <v/>
      </c>
      <c r="E703" s="32">
        <f>IF($A703="","",PAYMENTS!E196)</f>
        <v/>
      </c>
      <c r="F703" s="31">
        <f>IF($A703="","",PAYMENTS!F196)</f>
        <v/>
      </c>
      <c r="G703" s="31">
        <f>IF($A703="","",PAYMENTS!G196)</f>
        <v/>
      </c>
    </row>
    <row r="704">
      <c r="A704" s="33">
        <f>IF(PAYMENTS!A197="","",PAYMENTS!A197)</f>
        <v/>
      </c>
      <c r="B704" s="31">
        <f>IF($A704="","",PAYMENTS!B197)</f>
        <v/>
      </c>
      <c r="C704" s="31">
        <f>IF($A704="","",PAYMENTS!C197)</f>
        <v/>
      </c>
      <c r="D704" s="31">
        <f>IF($A704="","",PAYMENTS!D197)</f>
        <v/>
      </c>
      <c r="E704" s="32">
        <f>IF($A704="","",PAYMENTS!E197)</f>
        <v/>
      </c>
      <c r="F704" s="31">
        <f>IF($A704="","",PAYMENTS!F197)</f>
        <v/>
      </c>
      <c r="G704" s="31">
        <f>IF($A704="","",PAYMENTS!G197)</f>
        <v/>
      </c>
    </row>
    <row r="705">
      <c r="A705" s="33">
        <f>IF(PAYMENTS!A198="","",PAYMENTS!A198)</f>
        <v/>
      </c>
      <c r="B705" s="31">
        <f>IF($A705="","",PAYMENTS!B198)</f>
        <v/>
      </c>
      <c r="C705" s="31">
        <f>IF($A705="","",PAYMENTS!C198)</f>
        <v/>
      </c>
      <c r="D705" s="31">
        <f>IF($A705="","",PAYMENTS!D198)</f>
        <v/>
      </c>
      <c r="E705" s="32">
        <f>IF($A705="","",PAYMENTS!E198)</f>
        <v/>
      </c>
      <c r="F705" s="31">
        <f>IF($A705="","",PAYMENTS!F198)</f>
        <v/>
      </c>
      <c r="G705" s="31">
        <f>IF($A705="","",PAYMENTS!G198)</f>
        <v/>
      </c>
    </row>
    <row r="706">
      <c r="A706" s="33">
        <f>IF(PAYMENTS!A199="","",PAYMENTS!A199)</f>
        <v/>
      </c>
      <c r="B706" s="31">
        <f>IF($A706="","",PAYMENTS!B199)</f>
        <v/>
      </c>
      <c r="C706" s="31">
        <f>IF($A706="","",PAYMENTS!C199)</f>
        <v/>
      </c>
      <c r="D706" s="31">
        <f>IF($A706="","",PAYMENTS!D199)</f>
        <v/>
      </c>
      <c r="E706" s="32">
        <f>IF($A706="","",PAYMENTS!E199)</f>
        <v/>
      </c>
      <c r="F706" s="31">
        <f>IF($A706="","",PAYMENTS!F199)</f>
        <v/>
      </c>
      <c r="G706" s="31">
        <f>IF($A706="","",PAYMENTS!G199)</f>
        <v/>
      </c>
    </row>
    <row r="707">
      <c r="A707" s="33">
        <f>IF(PAYMENTS!A200="","",PAYMENTS!A200)</f>
        <v/>
      </c>
      <c r="B707" s="31">
        <f>IF($A707="","",PAYMENTS!B200)</f>
        <v/>
      </c>
      <c r="C707" s="31">
        <f>IF($A707="","",PAYMENTS!C200)</f>
        <v/>
      </c>
      <c r="D707" s="31">
        <f>IF($A707="","",PAYMENTS!D200)</f>
        <v/>
      </c>
      <c r="E707" s="32">
        <f>IF($A707="","",PAYMENTS!E200)</f>
        <v/>
      </c>
      <c r="F707" s="31">
        <f>IF($A707="","",PAYMENTS!F200)</f>
        <v/>
      </c>
      <c r="G707" s="31">
        <f>IF($A707="","",PAYMENTS!G200)</f>
        <v/>
      </c>
    </row>
    <row r="708">
      <c r="A708" s="33">
        <f>IF(PAYMENTS!A201="","",PAYMENTS!A201)</f>
        <v/>
      </c>
      <c r="B708" s="31">
        <f>IF($A708="","",PAYMENTS!B201)</f>
        <v/>
      </c>
      <c r="C708" s="31">
        <f>IF($A708="","",PAYMENTS!C201)</f>
        <v/>
      </c>
      <c r="D708" s="31">
        <f>IF($A708="","",PAYMENTS!D201)</f>
        <v/>
      </c>
      <c r="E708" s="32">
        <f>IF($A708="","",PAYMENTS!E201)</f>
        <v/>
      </c>
      <c r="F708" s="31">
        <f>IF($A708="","",PAYMENTS!F201)</f>
        <v/>
      </c>
      <c r="G708" s="31">
        <f>IF($A708="","",PAYMENTS!G201)</f>
        <v/>
      </c>
    </row>
    <row r="709">
      <c r="A709" s="33">
        <f>IF(PAYMENTS!A202="","",PAYMENTS!A202)</f>
        <v/>
      </c>
      <c r="B709" s="31">
        <f>IF($A709="","",PAYMENTS!B202)</f>
        <v/>
      </c>
      <c r="C709" s="31">
        <f>IF($A709="","",PAYMENTS!C202)</f>
        <v/>
      </c>
      <c r="D709" s="31">
        <f>IF($A709="","",PAYMENTS!D202)</f>
        <v/>
      </c>
      <c r="E709" s="32">
        <f>IF($A709="","",PAYMENTS!E202)</f>
        <v/>
      </c>
      <c r="F709" s="31">
        <f>IF($A709="","",PAYMENTS!F202)</f>
        <v/>
      </c>
      <c r="G709" s="31">
        <f>IF($A709="","",PAYMENTS!G202)</f>
        <v/>
      </c>
    </row>
    <row r="710">
      <c r="A710" s="33">
        <f>IF(PAYMENTS!A203="","",PAYMENTS!A203)</f>
        <v/>
      </c>
      <c r="B710" s="31">
        <f>IF($A710="","",PAYMENTS!B203)</f>
        <v/>
      </c>
      <c r="C710" s="31">
        <f>IF($A710="","",PAYMENTS!C203)</f>
        <v/>
      </c>
      <c r="D710" s="31">
        <f>IF($A710="","",PAYMENTS!D203)</f>
        <v/>
      </c>
      <c r="E710" s="32">
        <f>IF($A710="","",PAYMENTS!E203)</f>
        <v/>
      </c>
      <c r="F710" s="31">
        <f>IF($A710="","",PAYMENTS!F203)</f>
        <v/>
      </c>
      <c r="G710" s="31">
        <f>IF($A710="","",PAYMENTS!G203)</f>
        <v/>
      </c>
    </row>
    <row r="711">
      <c r="A711" s="33">
        <f>IF(PAYMENTS!A204="","",PAYMENTS!A204)</f>
        <v/>
      </c>
      <c r="B711" s="31">
        <f>IF($A711="","",PAYMENTS!B204)</f>
        <v/>
      </c>
      <c r="C711" s="31">
        <f>IF($A711="","",PAYMENTS!C204)</f>
        <v/>
      </c>
      <c r="D711" s="31">
        <f>IF($A711="","",PAYMENTS!D204)</f>
        <v/>
      </c>
      <c r="E711" s="32">
        <f>IF($A711="","",PAYMENTS!E204)</f>
        <v/>
      </c>
      <c r="F711" s="31">
        <f>IF($A711="","",PAYMENTS!F204)</f>
        <v/>
      </c>
      <c r="G711" s="31">
        <f>IF($A711="","",PAYMENTS!G204)</f>
        <v/>
      </c>
    </row>
    <row r="712">
      <c r="A712" s="33">
        <f>IF(PAYMENTS!A205="","",PAYMENTS!A205)</f>
        <v/>
      </c>
      <c r="B712" s="31">
        <f>IF($A712="","",PAYMENTS!B205)</f>
        <v/>
      </c>
      <c r="C712" s="31">
        <f>IF($A712="","",PAYMENTS!C205)</f>
        <v/>
      </c>
      <c r="D712" s="31">
        <f>IF($A712="","",PAYMENTS!D205)</f>
        <v/>
      </c>
      <c r="E712" s="32">
        <f>IF($A712="","",PAYMENTS!E205)</f>
        <v/>
      </c>
      <c r="F712" s="31">
        <f>IF($A712="","",PAYMENTS!F205)</f>
        <v/>
      </c>
      <c r="G712" s="31">
        <f>IF($A712="","",PAYMENTS!G205)</f>
        <v/>
      </c>
    </row>
    <row r="713">
      <c r="A713" s="33">
        <f>IF(PAYMENTS!A206="","",PAYMENTS!A206)</f>
        <v/>
      </c>
      <c r="B713" s="31">
        <f>IF($A713="","",PAYMENTS!B206)</f>
        <v/>
      </c>
      <c r="C713" s="31">
        <f>IF($A713="","",PAYMENTS!C206)</f>
        <v/>
      </c>
      <c r="D713" s="31">
        <f>IF($A713="","",PAYMENTS!D206)</f>
        <v/>
      </c>
      <c r="E713" s="32">
        <f>IF($A713="","",PAYMENTS!E206)</f>
        <v/>
      </c>
      <c r="F713" s="31">
        <f>IF($A713="","",PAYMENTS!F206)</f>
        <v/>
      </c>
      <c r="G713" s="31">
        <f>IF($A713="","",PAYMENTS!G206)</f>
        <v/>
      </c>
    </row>
    <row r="714">
      <c r="A714" s="33">
        <f>IF(PAYMENTS!A207="","",PAYMENTS!A207)</f>
        <v/>
      </c>
      <c r="B714" s="31">
        <f>IF($A714="","",PAYMENTS!B207)</f>
        <v/>
      </c>
      <c r="C714" s="31">
        <f>IF($A714="","",PAYMENTS!C207)</f>
        <v/>
      </c>
      <c r="D714" s="31">
        <f>IF($A714="","",PAYMENTS!D207)</f>
        <v/>
      </c>
      <c r="E714" s="32">
        <f>IF($A714="","",PAYMENTS!E207)</f>
        <v/>
      </c>
      <c r="F714" s="31">
        <f>IF($A714="","",PAYMENTS!F207)</f>
        <v/>
      </c>
      <c r="G714" s="31">
        <f>IF($A714="","",PAYMENTS!G207)</f>
        <v/>
      </c>
    </row>
    <row r="715">
      <c r="A715" s="33">
        <f>IF(PAYMENTS!A208="","",PAYMENTS!A208)</f>
        <v/>
      </c>
      <c r="B715" s="31">
        <f>IF($A715="","",PAYMENTS!B208)</f>
        <v/>
      </c>
      <c r="C715" s="31">
        <f>IF($A715="","",PAYMENTS!C208)</f>
        <v/>
      </c>
      <c r="D715" s="31">
        <f>IF($A715="","",PAYMENTS!D208)</f>
        <v/>
      </c>
      <c r="E715" s="32">
        <f>IF($A715="","",PAYMENTS!E208)</f>
        <v/>
      </c>
      <c r="F715" s="31">
        <f>IF($A715="","",PAYMENTS!F208)</f>
        <v/>
      </c>
      <c r="G715" s="31">
        <f>IF($A715="","",PAYMENTS!G208)</f>
        <v/>
      </c>
    </row>
    <row r="716">
      <c r="A716" s="33">
        <f>IF(PAYMENTS!A209="","",PAYMENTS!A209)</f>
        <v/>
      </c>
      <c r="B716" s="31">
        <f>IF($A716="","",PAYMENTS!B209)</f>
        <v/>
      </c>
      <c r="C716" s="31">
        <f>IF($A716="","",PAYMENTS!C209)</f>
        <v/>
      </c>
      <c r="D716" s="31">
        <f>IF($A716="","",PAYMENTS!D209)</f>
        <v/>
      </c>
      <c r="E716" s="32">
        <f>IF($A716="","",PAYMENTS!E209)</f>
        <v/>
      </c>
      <c r="F716" s="31">
        <f>IF($A716="","",PAYMENTS!F209)</f>
        <v/>
      </c>
      <c r="G716" s="31">
        <f>IF($A716="","",PAYMENTS!G209)</f>
        <v/>
      </c>
    </row>
    <row r="717">
      <c r="A717" s="33">
        <f>IF(PAYMENTS!A210="","",PAYMENTS!A210)</f>
        <v/>
      </c>
      <c r="B717" s="31">
        <f>IF($A717="","",PAYMENTS!B210)</f>
        <v/>
      </c>
      <c r="C717" s="31">
        <f>IF($A717="","",PAYMENTS!C210)</f>
        <v/>
      </c>
      <c r="D717" s="31">
        <f>IF($A717="","",PAYMENTS!D210)</f>
        <v/>
      </c>
      <c r="E717" s="32">
        <f>IF($A717="","",PAYMENTS!E210)</f>
        <v/>
      </c>
      <c r="F717" s="31">
        <f>IF($A717="","",PAYMENTS!F210)</f>
        <v/>
      </c>
      <c r="G717" s="31">
        <f>IF($A717="","",PAYMENTS!G210)</f>
        <v/>
      </c>
    </row>
    <row r="718">
      <c r="A718" s="33">
        <f>IF(PAYMENTS!A211="","",PAYMENTS!A211)</f>
        <v/>
      </c>
      <c r="B718" s="31">
        <f>IF($A718="","",PAYMENTS!B211)</f>
        <v/>
      </c>
      <c r="C718" s="31">
        <f>IF($A718="","",PAYMENTS!C211)</f>
        <v/>
      </c>
      <c r="D718" s="31">
        <f>IF($A718="","",PAYMENTS!D211)</f>
        <v/>
      </c>
      <c r="E718" s="32">
        <f>IF($A718="","",PAYMENTS!E211)</f>
        <v/>
      </c>
      <c r="F718" s="31">
        <f>IF($A718="","",PAYMENTS!F211)</f>
        <v/>
      </c>
      <c r="G718" s="31">
        <f>IF($A718="","",PAYMENTS!G211)</f>
        <v/>
      </c>
    </row>
    <row r="719">
      <c r="A719" s="33">
        <f>IF(PAYMENTS!A212="","",PAYMENTS!A212)</f>
        <v/>
      </c>
      <c r="B719" s="31">
        <f>IF($A719="","",PAYMENTS!B212)</f>
        <v/>
      </c>
      <c r="C719" s="31">
        <f>IF($A719="","",PAYMENTS!C212)</f>
        <v/>
      </c>
      <c r="D719" s="31">
        <f>IF($A719="","",PAYMENTS!D212)</f>
        <v/>
      </c>
      <c r="E719" s="32">
        <f>IF($A719="","",PAYMENTS!E212)</f>
        <v/>
      </c>
      <c r="F719" s="31">
        <f>IF($A719="","",PAYMENTS!F212)</f>
        <v/>
      </c>
      <c r="G719" s="31">
        <f>IF($A719="","",PAYMENTS!G212)</f>
        <v/>
      </c>
    </row>
    <row r="720">
      <c r="A720" s="33">
        <f>IF(PAYMENTS!A213="","",PAYMENTS!A213)</f>
        <v/>
      </c>
      <c r="B720" s="31">
        <f>IF($A720="","",PAYMENTS!B213)</f>
        <v/>
      </c>
      <c r="C720" s="31">
        <f>IF($A720="","",PAYMENTS!C213)</f>
        <v/>
      </c>
      <c r="D720" s="31">
        <f>IF($A720="","",PAYMENTS!D213)</f>
        <v/>
      </c>
      <c r="E720" s="32">
        <f>IF($A720="","",PAYMENTS!E213)</f>
        <v/>
      </c>
      <c r="F720" s="31">
        <f>IF($A720="","",PAYMENTS!F213)</f>
        <v/>
      </c>
      <c r="G720" s="31">
        <f>IF($A720="","",PAYMENTS!G213)</f>
        <v/>
      </c>
    </row>
    <row r="721">
      <c r="A721" s="33">
        <f>IF(PAYMENTS!A214="","",PAYMENTS!A214)</f>
        <v/>
      </c>
      <c r="B721" s="31">
        <f>IF($A721="","",PAYMENTS!B214)</f>
        <v/>
      </c>
      <c r="C721" s="31">
        <f>IF($A721="","",PAYMENTS!C214)</f>
        <v/>
      </c>
      <c r="D721" s="31">
        <f>IF($A721="","",PAYMENTS!D214)</f>
        <v/>
      </c>
      <c r="E721" s="32">
        <f>IF($A721="","",PAYMENTS!E214)</f>
        <v/>
      </c>
      <c r="F721" s="31">
        <f>IF($A721="","",PAYMENTS!F214)</f>
        <v/>
      </c>
      <c r="G721" s="31">
        <f>IF($A721="","",PAYMENTS!G214)</f>
        <v/>
      </c>
    </row>
    <row r="722">
      <c r="A722" s="33">
        <f>IF(PAYMENTS!A215="","",PAYMENTS!A215)</f>
        <v/>
      </c>
      <c r="B722" s="31">
        <f>IF($A722="","",PAYMENTS!B215)</f>
        <v/>
      </c>
      <c r="C722" s="31">
        <f>IF($A722="","",PAYMENTS!C215)</f>
        <v/>
      </c>
      <c r="D722" s="31">
        <f>IF($A722="","",PAYMENTS!D215)</f>
        <v/>
      </c>
      <c r="E722" s="32">
        <f>IF($A722="","",PAYMENTS!E215)</f>
        <v/>
      </c>
      <c r="F722" s="31">
        <f>IF($A722="","",PAYMENTS!F215)</f>
        <v/>
      </c>
      <c r="G722" s="31">
        <f>IF($A722="","",PAYMENTS!G215)</f>
        <v/>
      </c>
    </row>
    <row r="723">
      <c r="A723" s="33">
        <f>IF(PAYMENTS!A216="","",PAYMENTS!A216)</f>
        <v/>
      </c>
      <c r="B723" s="31">
        <f>IF($A723="","",PAYMENTS!B216)</f>
        <v/>
      </c>
      <c r="C723" s="31">
        <f>IF($A723="","",PAYMENTS!C216)</f>
        <v/>
      </c>
      <c r="D723" s="31">
        <f>IF($A723="","",PAYMENTS!D216)</f>
        <v/>
      </c>
      <c r="E723" s="32">
        <f>IF($A723="","",PAYMENTS!E216)</f>
        <v/>
      </c>
      <c r="F723" s="31">
        <f>IF($A723="","",PAYMENTS!F216)</f>
        <v/>
      </c>
      <c r="G723" s="31">
        <f>IF($A723="","",PAYMENTS!G216)</f>
        <v/>
      </c>
    </row>
    <row r="724">
      <c r="A724" s="33">
        <f>IF(PAYMENTS!A217="","",PAYMENTS!A217)</f>
        <v/>
      </c>
      <c r="B724" s="31">
        <f>IF($A724="","",PAYMENTS!B217)</f>
        <v/>
      </c>
      <c r="C724" s="31">
        <f>IF($A724="","",PAYMENTS!C217)</f>
        <v/>
      </c>
      <c r="D724" s="31">
        <f>IF($A724="","",PAYMENTS!D217)</f>
        <v/>
      </c>
      <c r="E724" s="32">
        <f>IF($A724="","",PAYMENTS!E217)</f>
        <v/>
      </c>
      <c r="F724" s="31">
        <f>IF($A724="","",PAYMENTS!F217)</f>
        <v/>
      </c>
      <c r="G724" s="31">
        <f>IF($A724="","",PAYMENTS!G217)</f>
        <v/>
      </c>
    </row>
    <row r="725">
      <c r="A725" s="33">
        <f>IF(PAYMENTS!A218="","",PAYMENTS!A218)</f>
        <v/>
      </c>
      <c r="B725" s="31">
        <f>IF($A725="","",PAYMENTS!B218)</f>
        <v/>
      </c>
      <c r="C725" s="31">
        <f>IF($A725="","",PAYMENTS!C218)</f>
        <v/>
      </c>
      <c r="D725" s="31">
        <f>IF($A725="","",PAYMENTS!D218)</f>
        <v/>
      </c>
      <c r="E725" s="32">
        <f>IF($A725="","",PAYMENTS!E218)</f>
        <v/>
      </c>
      <c r="F725" s="31">
        <f>IF($A725="","",PAYMENTS!F218)</f>
        <v/>
      </c>
      <c r="G725" s="31">
        <f>IF($A725="","",PAYMENTS!G218)</f>
        <v/>
      </c>
    </row>
    <row r="726">
      <c r="A726" s="33">
        <f>IF(PAYMENTS!A219="","",PAYMENTS!A219)</f>
        <v/>
      </c>
      <c r="B726" s="31">
        <f>IF($A726="","",PAYMENTS!B219)</f>
        <v/>
      </c>
      <c r="C726" s="31">
        <f>IF($A726="","",PAYMENTS!C219)</f>
        <v/>
      </c>
      <c r="D726" s="31">
        <f>IF($A726="","",PAYMENTS!D219)</f>
        <v/>
      </c>
      <c r="E726" s="32">
        <f>IF($A726="","",PAYMENTS!E219)</f>
        <v/>
      </c>
      <c r="F726" s="31">
        <f>IF($A726="","",PAYMENTS!F219)</f>
        <v/>
      </c>
      <c r="G726" s="31">
        <f>IF($A726="","",PAYMENTS!G219)</f>
        <v/>
      </c>
    </row>
    <row r="727">
      <c r="A727" s="33">
        <f>IF(PAYMENTS!A220="","",PAYMENTS!A220)</f>
        <v/>
      </c>
      <c r="B727" s="31">
        <f>IF($A727="","",PAYMENTS!B220)</f>
        <v/>
      </c>
      <c r="C727" s="31">
        <f>IF($A727="","",PAYMENTS!C220)</f>
        <v/>
      </c>
      <c r="D727" s="31">
        <f>IF($A727="","",PAYMENTS!D220)</f>
        <v/>
      </c>
      <c r="E727" s="32">
        <f>IF($A727="","",PAYMENTS!E220)</f>
        <v/>
      </c>
      <c r="F727" s="31">
        <f>IF($A727="","",PAYMENTS!F220)</f>
        <v/>
      </c>
      <c r="G727" s="31">
        <f>IF($A727="","",PAYMENTS!G220)</f>
        <v/>
      </c>
    </row>
    <row r="728">
      <c r="A728" s="33">
        <f>IF(PAYMENTS!A221="","",PAYMENTS!A221)</f>
        <v/>
      </c>
      <c r="B728" s="31">
        <f>IF($A728="","",PAYMENTS!B221)</f>
        <v/>
      </c>
      <c r="C728" s="31">
        <f>IF($A728="","",PAYMENTS!C221)</f>
        <v/>
      </c>
      <c r="D728" s="31">
        <f>IF($A728="","",PAYMENTS!D221)</f>
        <v/>
      </c>
      <c r="E728" s="32">
        <f>IF($A728="","",PAYMENTS!E221)</f>
        <v/>
      </c>
      <c r="F728" s="31">
        <f>IF($A728="","",PAYMENTS!F221)</f>
        <v/>
      </c>
      <c r="G728" s="31">
        <f>IF($A728="","",PAYMENTS!G221)</f>
        <v/>
      </c>
    </row>
    <row r="729">
      <c r="A729" s="33">
        <f>IF(PAYMENTS!A222="","",PAYMENTS!A222)</f>
        <v/>
      </c>
      <c r="B729" s="31">
        <f>IF($A729="","",PAYMENTS!B222)</f>
        <v/>
      </c>
      <c r="C729" s="31">
        <f>IF($A729="","",PAYMENTS!C222)</f>
        <v/>
      </c>
      <c r="D729" s="31">
        <f>IF($A729="","",PAYMENTS!D222)</f>
        <v/>
      </c>
      <c r="E729" s="32">
        <f>IF($A729="","",PAYMENTS!E222)</f>
        <v/>
      </c>
      <c r="F729" s="31">
        <f>IF($A729="","",PAYMENTS!F222)</f>
        <v/>
      </c>
      <c r="G729" s="31">
        <f>IF($A729="","",PAYMENTS!G222)</f>
        <v/>
      </c>
    </row>
    <row r="730">
      <c r="A730" s="33">
        <f>IF(PAYMENTS!A223="","",PAYMENTS!A223)</f>
        <v/>
      </c>
      <c r="B730" s="31">
        <f>IF($A730="","",PAYMENTS!B223)</f>
        <v/>
      </c>
      <c r="C730" s="31">
        <f>IF($A730="","",PAYMENTS!C223)</f>
        <v/>
      </c>
      <c r="D730" s="31">
        <f>IF($A730="","",PAYMENTS!D223)</f>
        <v/>
      </c>
      <c r="E730" s="32">
        <f>IF($A730="","",PAYMENTS!E223)</f>
        <v/>
      </c>
      <c r="F730" s="31">
        <f>IF($A730="","",PAYMENTS!F223)</f>
        <v/>
      </c>
      <c r="G730" s="31">
        <f>IF($A730="","",PAYMENTS!G223)</f>
        <v/>
      </c>
    </row>
    <row r="731">
      <c r="A731" s="33">
        <f>IF(PAYMENTS!A224="","",PAYMENTS!A224)</f>
        <v/>
      </c>
      <c r="B731" s="31">
        <f>IF($A731="","",PAYMENTS!B224)</f>
        <v/>
      </c>
      <c r="C731" s="31">
        <f>IF($A731="","",PAYMENTS!C224)</f>
        <v/>
      </c>
      <c r="D731" s="31">
        <f>IF($A731="","",PAYMENTS!D224)</f>
        <v/>
      </c>
      <c r="E731" s="32">
        <f>IF($A731="","",PAYMENTS!E224)</f>
        <v/>
      </c>
      <c r="F731" s="31">
        <f>IF($A731="","",PAYMENTS!F224)</f>
        <v/>
      </c>
      <c r="G731" s="31">
        <f>IF($A731="","",PAYMENTS!G224)</f>
        <v/>
      </c>
    </row>
    <row r="732">
      <c r="A732" s="33">
        <f>IF(PAYMENTS!A225="","",PAYMENTS!A225)</f>
        <v/>
      </c>
      <c r="B732" s="31">
        <f>IF($A732="","",PAYMENTS!B225)</f>
        <v/>
      </c>
      <c r="C732" s="31">
        <f>IF($A732="","",PAYMENTS!C225)</f>
        <v/>
      </c>
      <c r="D732" s="31">
        <f>IF($A732="","",PAYMENTS!D225)</f>
        <v/>
      </c>
      <c r="E732" s="32">
        <f>IF($A732="","",PAYMENTS!E225)</f>
        <v/>
      </c>
      <c r="F732" s="31">
        <f>IF($A732="","",PAYMENTS!F225)</f>
        <v/>
      </c>
      <c r="G732" s="31">
        <f>IF($A732="","",PAYMENTS!G225)</f>
        <v/>
      </c>
    </row>
    <row r="733">
      <c r="A733" s="33">
        <f>IF(PAYMENTS!A226="","",PAYMENTS!A226)</f>
        <v/>
      </c>
      <c r="B733" s="31">
        <f>IF($A733="","",PAYMENTS!B226)</f>
        <v/>
      </c>
      <c r="C733" s="31">
        <f>IF($A733="","",PAYMENTS!C226)</f>
        <v/>
      </c>
      <c r="D733" s="31">
        <f>IF($A733="","",PAYMENTS!D226)</f>
        <v/>
      </c>
      <c r="E733" s="32">
        <f>IF($A733="","",PAYMENTS!E226)</f>
        <v/>
      </c>
      <c r="F733" s="31">
        <f>IF($A733="","",PAYMENTS!F226)</f>
        <v/>
      </c>
      <c r="G733" s="31">
        <f>IF($A733="","",PAYMENTS!G226)</f>
        <v/>
      </c>
    </row>
    <row r="734">
      <c r="A734" s="33">
        <f>IF(PAYMENTS!A227="","",PAYMENTS!A227)</f>
        <v/>
      </c>
      <c r="B734" s="31">
        <f>IF($A734="","",PAYMENTS!B227)</f>
        <v/>
      </c>
      <c r="C734" s="31">
        <f>IF($A734="","",PAYMENTS!C227)</f>
        <v/>
      </c>
      <c r="D734" s="31">
        <f>IF($A734="","",PAYMENTS!D227)</f>
        <v/>
      </c>
      <c r="E734" s="32">
        <f>IF($A734="","",PAYMENTS!E227)</f>
        <v/>
      </c>
      <c r="F734" s="31">
        <f>IF($A734="","",PAYMENTS!F227)</f>
        <v/>
      </c>
      <c r="G734" s="31">
        <f>IF($A734="","",PAYMENTS!G227)</f>
        <v/>
      </c>
    </row>
    <row r="735">
      <c r="A735" s="33">
        <f>IF(PAYMENTS!A228="","",PAYMENTS!A228)</f>
        <v/>
      </c>
      <c r="B735" s="31">
        <f>IF($A735="","",PAYMENTS!B228)</f>
        <v/>
      </c>
      <c r="C735" s="31">
        <f>IF($A735="","",PAYMENTS!C228)</f>
        <v/>
      </c>
      <c r="D735" s="31">
        <f>IF($A735="","",PAYMENTS!D228)</f>
        <v/>
      </c>
      <c r="E735" s="32">
        <f>IF($A735="","",PAYMENTS!E228)</f>
        <v/>
      </c>
      <c r="F735" s="31">
        <f>IF($A735="","",PAYMENTS!F228)</f>
        <v/>
      </c>
      <c r="G735" s="31">
        <f>IF($A735="","",PAYMENTS!G228)</f>
        <v/>
      </c>
    </row>
    <row r="736">
      <c r="A736" s="33">
        <f>IF(PAYMENTS!A229="","",PAYMENTS!A229)</f>
        <v/>
      </c>
      <c r="B736" s="31">
        <f>IF($A736="","",PAYMENTS!B229)</f>
        <v/>
      </c>
      <c r="C736" s="31">
        <f>IF($A736="","",PAYMENTS!C229)</f>
        <v/>
      </c>
      <c r="D736" s="31">
        <f>IF($A736="","",PAYMENTS!D229)</f>
        <v/>
      </c>
      <c r="E736" s="32">
        <f>IF($A736="","",PAYMENTS!E229)</f>
        <v/>
      </c>
      <c r="F736" s="31">
        <f>IF($A736="","",PAYMENTS!F229)</f>
        <v/>
      </c>
      <c r="G736" s="31">
        <f>IF($A736="","",PAYMENTS!G229)</f>
        <v/>
      </c>
    </row>
    <row r="737">
      <c r="A737" s="33">
        <f>IF(PAYMENTS!A230="","",PAYMENTS!A230)</f>
        <v/>
      </c>
      <c r="B737" s="31">
        <f>IF($A737="","",PAYMENTS!B230)</f>
        <v/>
      </c>
      <c r="C737" s="31">
        <f>IF($A737="","",PAYMENTS!C230)</f>
        <v/>
      </c>
      <c r="D737" s="31">
        <f>IF($A737="","",PAYMENTS!D230)</f>
        <v/>
      </c>
      <c r="E737" s="32">
        <f>IF($A737="","",PAYMENTS!E230)</f>
        <v/>
      </c>
      <c r="F737" s="31">
        <f>IF($A737="","",PAYMENTS!F230)</f>
        <v/>
      </c>
      <c r="G737" s="31">
        <f>IF($A737="","",PAYMENTS!G230)</f>
        <v/>
      </c>
    </row>
    <row r="738">
      <c r="A738" s="33">
        <f>IF(PAYMENTS!A231="","",PAYMENTS!A231)</f>
        <v/>
      </c>
      <c r="B738" s="31">
        <f>IF($A738="","",PAYMENTS!B231)</f>
        <v/>
      </c>
      <c r="C738" s="31">
        <f>IF($A738="","",PAYMENTS!C231)</f>
        <v/>
      </c>
      <c r="D738" s="31">
        <f>IF($A738="","",PAYMENTS!D231)</f>
        <v/>
      </c>
      <c r="E738" s="32">
        <f>IF($A738="","",PAYMENTS!E231)</f>
        <v/>
      </c>
      <c r="F738" s="31">
        <f>IF($A738="","",PAYMENTS!F231)</f>
        <v/>
      </c>
      <c r="G738" s="31">
        <f>IF($A738="","",PAYMENTS!G231)</f>
        <v/>
      </c>
    </row>
    <row r="739">
      <c r="A739" s="33">
        <f>IF(PAYMENTS!A232="","",PAYMENTS!A232)</f>
        <v/>
      </c>
      <c r="B739" s="31">
        <f>IF($A739="","",PAYMENTS!B232)</f>
        <v/>
      </c>
      <c r="C739" s="31">
        <f>IF($A739="","",PAYMENTS!C232)</f>
        <v/>
      </c>
      <c r="D739" s="31">
        <f>IF($A739="","",PAYMENTS!D232)</f>
        <v/>
      </c>
      <c r="E739" s="32">
        <f>IF($A739="","",PAYMENTS!E232)</f>
        <v/>
      </c>
      <c r="F739" s="31">
        <f>IF($A739="","",PAYMENTS!F232)</f>
        <v/>
      </c>
      <c r="G739" s="31">
        <f>IF($A739="","",PAYMENTS!G232)</f>
        <v/>
      </c>
    </row>
    <row r="740">
      <c r="A740" s="33">
        <f>IF(PAYMENTS!A233="","",PAYMENTS!A233)</f>
        <v/>
      </c>
      <c r="B740" s="31">
        <f>IF($A740="","",PAYMENTS!B233)</f>
        <v/>
      </c>
      <c r="C740" s="31">
        <f>IF($A740="","",PAYMENTS!C233)</f>
        <v/>
      </c>
      <c r="D740" s="31">
        <f>IF($A740="","",PAYMENTS!D233)</f>
        <v/>
      </c>
      <c r="E740" s="32">
        <f>IF($A740="","",PAYMENTS!E233)</f>
        <v/>
      </c>
      <c r="F740" s="31">
        <f>IF($A740="","",PAYMENTS!F233)</f>
        <v/>
      </c>
      <c r="G740" s="31">
        <f>IF($A740="","",PAYMENTS!G233)</f>
        <v/>
      </c>
    </row>
    <row r="741">
      <c r="A741" s="33">
        <f>IF(PAYMENTS!A234="","",PAYMENTS!A234)</f>
        <v/>
      </c>
      <c r="B741" s="31">
        <f>IF($A741="","",PAYMENTS!B234)</f>
        <v/>
      </c>
      <c r="C741" s="31">
        <f>IF($A741="","",PAYMENTS!C234)</f>
        <v/>
      </c>
      <c r="D741" s="31">
        <f>IF($A741="","",PAYMENTS!D234)</f>
        <v/>
      </c>
      <c r="E741" s="32">
        <f>IF($A741="","",PAYMENTS!E234)</f>
        <v/>
      </c>
      <c r="F741" s="31">
        <f>IF($A741="","",PAYMENTS!F234)</f>
        <v/>
      </c>
      <c r="G741" s="31">
        <f>IF($A741="","",PAYMENTS!G234)</f>
        <v/>
      </c>
    </row>
    <row r="742">
      <c r="A742" s="33">
        <f>IF(PAYMENTS!A235="","",PAYMENTS!A235)</f>
        <v/>
      </c>
      <c r="B742" s="31">
        <f>IF($A742="","",PAYMENTS!B235)</f>
        <v/>
      </c>
      <c r="C742" s="31">
        <f>IF($A742="","",PAYMENTS!C235)</f>
        <v/>
      </c>
      <c r="D742" s="31">
        <f>IF($A742="","",PAYMENTS!D235)</f>
        <v/>
      </c>
      <c r="E742" s="32">
        <f>IF($A742="","",PAYMENTS!E235)</f>
        <v/>
      </c>
      <c r="F742" s="31">
        <f>IF($A742="","",PAYMENTS!F235)</f>
        <v/>
      </c>
      <c r="G742" s="31">
        <f>IF($A742="","",PAYMENTS!G235)</f>
        <v/>
      </c>
    </row>
    <row r="743">
      <c r="A743" s="33">
        <f>IF(PAYMENTS!A236="","",PAYMENTS!A236)</f>
        <v/>
      </c>
      <c r="B743" s="31">
        <f>IF($A743="","",PAYMENTS!B236)</f>
        <v/>
      </c>
      <c r="C743" s="31">
        <f>IF($A743="","",PAYMENTS!C236)</f>
        <v/>
      </c>
      <c r="D743" s="31">
        <f>IF($A743="","",PAYMENTS!D236)</f>
        <v/>
      </c>
      <c r="E743" s="32">
        <f>IF($A743="","",PAYMENTS!E236)</f>
        <v/>
      </c>
      <c r="F743" s="31">
        <f>IF($A743="","",PAYMENTS!F236)</f>
        <v/>
      </c>
      <c r="G743" s="31">
        <f>IF($A743="","",PAYMENTS!G236)</f>
        <v/>
      </c>
    </row>
    <row r="744">
      <c r="A744" s="33">
        <f>IF(PAYMENTS!A237="","",PAYMENTS!A237)</f>
        <v/>
      </c>
      <c r="B744" s="31">
        <f>IF($A744="","",PAYMENTS!B237)</f>
        <v/>
      </c>
      <c r="C744" s="31">
        <f>IF($A744="","",PAYMENTS!C237)</f>
        <v/>
      </c>
      <c r="D744" s="31">
        <f>IF($A744="","",PAYMENTS!D237)</f>
        <v/>
      </c>
      <c r="E744" s="32">
        <f>IF($A744="","",PAYMENTS!E237)</f>
        <v/>
      </c>
      <c r="F744" s="31">
        <f>IF($A744="","",PAYMENTS!F237)</f>
        <v/>
      </c>
      <c r="G744" s="31">
        <f>IF($A744="","",PAYMENTS!G237)</f>
        <v/>
      </c>
    </row>
    <row r="745">
      <c r="A745" s="33">
        <f>IF(PAYMENTS!A238="","",PAYMENTS!A238)</f>
        <v/>
      </c>
      <c r="B745" s="31">
        <f>IF($A745="","",PAYMENTS!B238)</f>
        <v/>
      </c>
      <c r="C745" s="31">
        <f>IF($A745="","",PAYMENTS!C238)</f>
        <v/>
      </c>
      <c r="D745" s="31">
        <f>IF($A745="","",PAYMENTS!D238)</f>
        <v/>
      </c>
      <c r="E745" s="32">
        <f>IF($A745="","",PAYMENTS!E238)</f>
        <v/>
      </c>
      <c r="F745" s="31">
        <f>IF($A745="","",PAYMENTS!F238)</f>
        <v/>
      </c>
      <c r="G745" s="31">
        <f>IF($A745="","",PAYMENTS!G238)</f>
        <v/>
      </c>
    </row>
    <row r="746">
      <c r="A746" s="33">
        <f>IF(PAYMENTS!A239="","",PAYMENTS!A239)</f>
        <v/>
      </c>
      <c r="B746" s="31">
        <f>IF($A746="","",PAYMENTS!B239)</f>
        <v/>
      </c>
      <c r="C746" s="31">
        <f>IF($A746="","",PAYMENTS!C239)</f>
        <v/>
      </c>
      <c r="D746" s="31">
        <f>IF($A746="","",PAYMENTS!D239)</f>
        <v/>
      </c>
      <c r="E746" s="32">
        <f>IF($A746="","",PAYMENTS!E239)</f>
        <v/>
      </c>
      <c r="F746" s="31">
        <f>IF($A746="","",PAYMENTS!F239)</f>
        <v/>
      </c>
      <c r="G746" s="31">
        <f>IF($A746="","",PAYMENTS!G239)</f>
        <v/>
      </c>
    </row>
    <row r="747">
      <c r="A747" s="33">
        <f>IF(PAYMENTS!A240="","",PAYMENTS!A240)</f>
        <v/>
      </c>
      <c r="B747" s="31">
        <f>IF($A747="","",PAYMENTS!B240)</f>
        <v/>
      </c>
      <c r="C747" s="31">
        <f>IF($A747="","",PAYMENTS!C240)</f>
        <v/>
      </c>
      <c r="D747" s="31">
        <f>IF($A747="","",PAYMENTS!D240)</f>
        <v/>
      </c>
      <c r="E747" s="32">
        <f>IF($A747="","",PAYMENTS!E240)</f>
        <v/>
      </c>
      <c r="F747" s="31">
        <f>IF($A747="","",PAYMENTS!F240)</f>
        <v/>
      </c>
      <c r="G747" s="31">
        <f>IF($A747="","",PAYMENTS!G240)</f>
        <v/>
      </c>
    </row>
    <row r="748">
      <c r="A748" s="33">
        <f>IF(PAYMENTS!A241="","",PAYMENTS!A241)</f>
        <v/>
      </c>
      <c r="B748" s="31">
        <f>IF($A748="","",PAYMENTS!B241)</f>
        <v/>
      </c>
      <c r="C748" s="31">
        <f>IF($A748="","",PAYMENTS!C241)</f>
        <v/>
      </c>
      <c r="D748" s="31">
        <f>IF($A748="","",PAYMENTS!D241)</f>
        <v/>
      </c>
      <c r="E748" s="32">
        <f>IF($A748="","",PAYMENTS!E241)</f>
        <v/>
      </c>
      <c r="F748" s="31">
        <f>IF($A748="","",PAYMENTS!F241)</f>
        <v/>
      </c>
      <c r="G748" s="31">
        <f>IF($A748="","",PAYMENTS!G241)</f>
        <v/>
      </c>
    </row>
    <row r="749">
      <c r="A749" s="33">
        <f>IF(PAYMENTS!A242="","",PAYMENTS!A242)</f>
        <v/>
      </c>
      <c r="B749" s="31">
        <f>IF($A749="","",PAYMENTS!B242)</f>
        <v/>
      </c>
      <c r="C749" s="31">
        <f>IF($A749="","",PAYMENTS!C242)</f>
        <v/>
      </c>
      <c r="D749" s="31">
        <f>IF($A749="","",PAYMENTS!D242)</f>
        <v/>
      </c>
      <c r="E749" s="32">
        <f>IF($A749="","",PAYMENTS!E242)</f>
        <v/>
      </c>
      <c r="F749" s="31">
        <f>IF($A749="","",PAYMENTS!F242)</f>
        <v/>
      </c>
      <c r="G749" s="31">
        <f>IF($A749="","",PAYMENTS!G242)</f>
        <v/>
      </c>
    </row>
    <row r="750">
      <c r="A750" s="33">
        <f>IF(PAYMENTS!A243="","",PAYMENTS!A243)</f>
        <v/>
      </c>
      <c r="B750" s="31">
        <f>IF($A750="","",PAYMENTS!B243)</f>
        <v/>
      </c>
      <c r="C750" s="31">
        <f>IF($A750="","",PAYMENTS!C243)</f>
        <v/>
      </c>
      <c r="D750" s="31">
        <f>IF($A750="","",PAYMENTS!D243)</f>
        <v/>
      </c>
      <c r="E750" s="32">
        <f>IF($A750="","",PAYMENTS!E243)</f>
        <v/>
      </c>
      <c r="F750" s="31">
        <f>IF($A750="","",PAYMENTS!F243)</f>
        <v/>
      </c>
      <c r="G750" s="31">
        <f>IF($A750="","",PAYMENTS!G243)</f>
        <v/>
      </c>
    </row>
    <row r="751">
      <c r="A751" s="33">
        <f>IF(PAYMENTS!A244="","",PAYMENTS!A244)</f>
        <v/>
      </c>
      <c r="B751" s="31">
        <f>IF($A751="","",PAYMENTS!B244)</f>
        <v/>
      </c>
      <c r="C751" s="31">
        <f>IF($A751="","",PAYMENTS!C244)</f>
        <v/>
      </c>
      <c r="D751" s="31">
        <f>IF($A751="","",PAYMENTS!D244)</f>
        <v/>
      </c>
      <c r="E751" s="32">
        <f>IF($A751="","",PAYMENTS!E244)</f>
        <v/>
      </c>
      <c r="F751" s="31">
        <f>IF($A751="","",PAYMENTS!F244)</f>
        <v/>
      </c>
      <c r="G751" s="31">
        <f>IF($A751="","",PAYMENTS!G244)</f>
        <v/>
      </c>
    </row>
    <row r="752">
      <c r="A752" s="33">
        <f>IF(PAYMENTS!A245="","",PAYMENTS!A245)</f>
        <v/>
      </c>
      <c r="B752" s="31">
        <f>IF($A752="","",PAYMENTS!B245)</f>
        <v/>
      </c>
      <c r="C752" s="31">
        <f>IF($A752="","",PAYMENTS!C245)</f>
        <v/>
      </c>
      <c r="D752" s="31">
        <f>IF($A752="","",PAYMENTS!D245)</f>
        <v/>
      </c>
      <c r="E752" s="32">
        <f>IF($A752="","",PAYMENTS!E245)</f>
        <v/>
      </c>
      <c r="F752" s="31">
        <f>IF($A752="","",PAYMENTS!F245)</f>
        <v/>
      </c>
      <c r="G752" s="31">
        <f>IF($A752="","",PAYMENTS!G245)</f>
        <v/>
      </c>
    </row>
    <row r="753">
      <c r="A753" s="33">
        <f>IF(PAYMENTS!A246="","",PAYMENTS!A246)</f>
        <v/>
      </c>
      <c r="B753" s="31">
        <f>IF($A753="","",PAYMENTS!B246)</f>
        <v/>
      </c>
      <c r="C753" s="31">
        <f>IF($A753="","",PAYMENTS!C246)</f>
        <v/>
      </c>
      <c r="D753" s="31">
        <f>IF($A753="","",PAYMENTS!D246)</f>
        <v/>
      </c>
      <c r="E753" s="32">
        <f>IF($A753="","",PAYMENTS!E246)</f>
        <v/>
      </c>
      <c r="F753" s="31">
        <f>IF($A753="","",PAYMENTS!F246)</f>
        <v/>
      </c>
      <c r="G753" s="31">
        <f>IF($A753="","",PAYMENTS!G246)</f>
        <v/>
      </c>
    </row>
    <row r="754">
      <c r="A754" s="33">
        <f>IF(PAYMENTS!A247="","",PAYMENTS!A247)</f>
        <v/>
      </c>
      <c r="B754" s="31">
        <f>IF($A754="","",PAYMENTS!B247)</f>
        <v/>
      </c>
      <c r="C754" s="31">
        <f>IF($A754="","",PAYMENTS!C247)</f>
        <v/>
      </c>
      <c r="D754" s="31">
        <f>IF($A754="","",PAYMENTS!D247)</f>
        <v/>
      </c>
      <c r="E754" s="32">
        <f>IF($A754="","",PAYMENTS!E247)</f>
        <v/>
      </c>
      <c r="F754" s="31">
        <f>IF($A754="","",PAYMENTS!F247)</f>
        <v/>
      </c>
      <c r="G754" s="31">
        <f>IF($A754="","",PAYMENTS!G247)</f>
        <v/>
      </c>
    </row>
    <row r="755">
      <c r="A755" s="33">
        <f>IF(PAYMENTS!A248="","",PAYMENTS!A248)</f>
        <v/>
      </c>
      <c r="B755" s="31">
        <f>IF($A755="","",PAYMENTS!B248)</f>
        <v/>
      </c>
      <c r="C755" s="31">
        <f>IF($A755="","",PAYMENTS!C248)</f>
        <v/>
      </c>
      <c r="D755" s="31">
        <f>IF($A755="","",PAYMENTS!D248)</f>
        <v/>
      </c>
      <c r="E755" s="32">
        <f>IF($A755="","",PAYMENTS!E248)</f>
        <v/>
      </c>
      <c r="F755" s="31">
        <f>IF($A755="","",PAYMENTS!F248)</f>
        <v/>
      </c>
      <c r="G755" s="31">
        <f>IF($A755="","",PAYMENTS!G248)</f>
        <v/>
      </c>
    </row>
    <row r="756">
      <c r="A756" s="33">
        <f>IF(PAYMENTS!A249="","",PAYMENTS!A249)</f>
        <v/>
      </c>
      <c r="B756" s="31">
        <f>IF($A756="","",PAYMENTS!B249)</f>
        <v/>
      </c>
      <c r="C756" s="31">
        <f>IF($A756="","",PAYMENTS!C249)</f>
        <v/>
      </c>
      <c r="D756" s="31">
        <f>IF($A756="","",PAYMENTS!D249)</f>
        <v/>
      </c>
      <c r="E756" s="32">
        <f>IF($A756="","",PAYMENTS!E249)</f>
        <v/>
      </c>
      <c r="F756" s="31">
        <f>IF($A756="","",PAYMENTS!F249)</f>
        <v/>
      </c>
      <c r="G756" s="31">
        <f>IF($A756="","",PAYMENTS!G249)</f>
        <v/>
      </c>
    </row>
    <row r="757">
      <c r="A757" s="33">
        <f>IF(PAYMENTS!A250="","",PAYMENTS!A250)</f>
        <v/>
      </c>
      <c r="B757" s="31">
        <f>IF($A757="","",PAYMENTS!B250)</f>
        <v/>
      </c>
      <c r="C757" s="31">
        <f>IF($A757="","",PAYMENTS!C250)</f>
        <v/>
      </c>
      <c r="D757" s="31">
        <f>IF($A757="","",PAYMENTS!D250)</f>
        <v/>
      </c>
      <c r="E757" s="32">
        <f>IF($A757="","",PAYMENTS!E250)</f>
        <v/>
      </c>
      <c r="F757" s="31">
        <f>IF($A757="","",PAYMENTS!F250)</f>
        <v/>
      </c>
      <c r="G757" s="31">
        <f>IF($A757="","",PAYMENTS!G250)</f>
        <v/>
      </c>
    </row>
    <row r="758">
      <c r="A758" s="33">
        <f>IF(PAYMENTS!A251="","",PAYMENTS!A251)</f>
        <v/>
      </c>
      <c r="B758" s="31">
        <f>IF($A758="","",PAYMENTS!B251)</f>
        <v/>
      </c>
      <c r="C758" s="31">
        <f>IF($A758="","",PAYMENTS!C251)</f>
        <v/>
      </c>
      <c r="D758" s="31">
        <f>IF($A758="","",PAYMENTS!D251)</f>
        <v/>
      </c>
      <c r="E758" s="32">
        <f>IF($A758="","",PAYMENTS!E251)</f>
        <v/>
      </c>
      <c r="F758" s="31">
        <f>IF($A758="","",PAYMENTS!F251)</f>
        <v/>
      </c>
      <c r="G758" s="31">
        <f>IF($A758="","",PAYMENTS!G251)</f>
        <v/>
      </c>
    </row>
    <row r="759">
      <c r="A759" s="33">
        <f>IF(PAYMENTS!A252="","",PAYMENTS!A252)</f>
        <v/>
      </c>
      <c r="B759" s="31">
        <f>IF($A759="","",PAYMENTS!B252)</f>
        <v/>
      </c>
      <c r="C759" s="31">
        <f>IF($A759="","",PAYMENTS!C252)</f>
        <v/>
      </c>
      <c r="D759" s="31">
        <f>IF($A759="","",PAYMENTS!D252)</f>
        <v/>
      </c>
      <c r="E759" s="32">
        <f>IF($A759="","",PAYMENTS!E252)</f>
        <v/>
      </c>
      <c r="F759" s="31">
        <f>IF($A759="","",PAYMENTS!F252)</f>
        <v/>
      </c>
      <c r="G759" s="31">
        <f>IF($A759="","",PAYMENTS!G252)</f>
        <v/>
      </c>
    </row>
    <row r="760">
      <c r="A760" s="33">
        <f>IF(PAYMENTS!A253="","",PAYMENTS!A253)</f>
        <v/>
      </c>
      <c r="B760" s="31">
        <f>IF($A760="","",PAYMENTS!B253)</f>
        <v/>
      </c>
      <c r="C760" s="31">
        <f>IF($A760="","",PAYMENTS!C253)</f>
        <v/>
      </c>
      <c r="D760" s="31">
        <f>IF($A760="","",PAYMENTS!D253)</f>
        <v/>
      </c>
      <c r="E760" s="32">
        <f>IF($A760="","",PAYMENTS!E253)</f>
        <v/>
      </c>
      <c r="F760" s="31">
        <f>IF($A760="","",PAYMENTS!F253)</f>
        <v/>
      </c>
      <c r="G760" s="31">
        <f>IF($A760="","",PAYMENTS!G253)</f>
        <v/>
      </c>
    </row>
    <row r="761">
      <c r="A761" s="33">
        <f>IF(PAYMENTS!A254="","",PAYMENTS!A254)</f>
        <v/>
      </c>
      <c r="B761" s="31">
        <f>IF($A761="","",PAYMENTS!B254)</f>
        <v/>
      </c>
      <c r="C761" s="31">
        <f>IF($A761="","",PAYMENTS!C254)</f>
        <v/>
      </c>
      <c r="D761" s="31">
        <f>IF($A761="","",PAYMENTS!D254)</f>
        <v/>
      </c>
      <c r="E761" s="32">
        <f>IF($A761="","",PAYMENTS!E254)</f>
        <v/>
      </c>
      <c r="F761" s="31">
        <f>IF($A761="","",PAYMENTS!F254)</f>
        <v/>
      </c>
      <c r="G761" s="31">
        <f>IF($A761="","",PAYMENTS!G254)</f>
        <v/>
      </c>
    </row>
    <row r="762">
      <c r="A762" s="33">
        <f>IF(PAYMENTS!A255="","",PAYMENTS!A255)</f>
        <v/>
      </c>
      <c r="B762" s="31">
        <f>IF($A762="","",PAYMENTS!B255)</f>
        <v/>
      </c>
      <c r="C762" s="31">
        <f>IF($A762="","",PAYMENTS!C255)</f>
        <v/>
      </c>
      <c r="D762" s="31">
        <f>IF($A762="","",PAYMENTS!D255)</f>
        <v/>
      </c>
      <c r="E762" s="32">
        <f>IF($A762="","",PAYMENTS!E255)</f>
        <v/>
      </c>
      <c r="F762" s="31">
        <f>IF($A762="","",PAYMENTS!F255)</f>
        <v/>
      </c>
      <c r="G762" s="31">
        <f>IF($A762="","",PAYMENTS!G255)</f>
        <v/>
      </c>
    </row>
    <row r="763">
      <c r="A763" s="33">
        <f>IF(PAYMENTS!A256="","",PAYMENTS!A256)</f>
        <v/>
      </c>
      <c r="B763" s="31">
        <f>IF($A763="","",PAYMENTS!B256)</f>
        <v/>
      </c>
      <c r="C763" s="31">
        <f>IF($A763="","",PAYMENTS!C256)</f>
        <v/>
      </c>
      <c r="D763" s="31">
        <f>IF($A763="","",PAYMENTS!D256)</f>
        <v/>
      </c>
      <c r="E763" s="32">
        <f>IF($A763="","",PAYMENTS!E256)</f>
        <v/>
      </c>
      <c r="F763" s="31">
        <f>IF($A763="","",PAYMENTS!F256)</f>
        <v/>
      </c>
      <c r="G763" s="31">
        <f>IF($A763="","",PAYMENTS!G256)</f>
        <v/>
      </c>
    </row>
    <row r="764">
      <c r="A764" s="33">
        <f>IF(PAYMENTS!A257="","",PAYMENTS!A257)</f>
        <v/>
      </c>
      <c r="B764" s="31">
        <f>IF($A764="","",PAYMENTS!B257)</f>
        <v/>
      </c>
      <c r="C764" s="31">
        <f>IF($A764="","",PAYMENTS!C257)</f>
        <v/>
      </c>
      <c r="D764" s="31">
        <f>IF($A764="","",PAYMENTS!D257)</f>
        <v/>
      </c>
      <c r="E764" s="32">
        <f>IF($A764="","",PAYMENTS!E257)</f>
        <v/>
      </c>
      <c r="F764" s="31">
        <f>IF($A764="","",PAYMENTS!F257)</f>
        <v/>
      </c>
      <c r="G764" s="31">
        <f>IF($A764="","",PAYMENTS!G257)</f>
        <v/>
      </c>
    </row>
    <row r="765">
      <c r="A765" s="33">
        <f>IF(PAYMENTS!A258="","",PAYMENTS!A258)</f>
        <v/>
      </c>
      <c r="B765" s="31">
        <f>IF($A765="","",PAYMENTS!B258)</f>
        <v/>
      </c>
      <c r="C765" s="31">
        <f>IF($A765="","",PAYMENTS!C258)</f>
        <v/>
      </c>
      <c r="D765" s="31">
        <f>IF($A765="","",PAYMENTS!D258)</f>
        <v/>
      </c>
      <c r="E765" s="32">
        <f>IF($A765="","",PAYMENTS!E258)</f>
        <v/>
      </c>
      <c r="F765" s="31">
        <f>IF($A765="","",PAYMENTS!F258)</f>
        <v/>
      </c>
      <c r="G765" s="31">
        <f>IF($A765="","",PAYMENTS!G258)</f>
        <v/>
      </c>
    </row>
    <row r="766">
      <c r="A766" s="33">
        <f>IF(PAYMENTS!A259="","",PAYMENTS!A259)</f>
        <v/>
      </c>
      <c r="B766" s="31">
        <f>IF($A766="","",PAYMENTS!B259)</f>
        <v/>
      </c>
      <c r="C766" s="31">
        <f>IF($A766="","",PAYMENTS!C259)</f>
        <v/>
      </c>
      <c r="D766" s="31">
        <f>IF($A766="","",PAYMENTS!D259)</f>
        <v/>
      </c>
      <c r="E766" s="32">
        <f>IF($A766="","",PAYMENTS!E259)</f>
        <v/>
      </c>
      <c r="F766" s="31">
        <f>IF($A766="","",PAYMENTS!F259)</f>
        <v/>
      </c>
      <c r="G766" s="31">
        <f>IF($A766="","",PAYMENTS!G259)</f>
        <v/>
      </c>
    </row>
    <row r="767">
      <c r="A767" s="33">
        <f>IF(PAYMENTS!A260="","",PAYMENTS!A260)</f>
        <v/>
      </c>
      <c r="B767" s="31">
        <f>IF($A767="","",PAYMENTS!B260)</f>
        <v/>
      </c>
      <c r="C767" s="31">
        <f>IF($A767="","",PAYMENTS!C260)</f>
        <v/>
      </c>
      <c r="D767" s="31">
        <f>IF($A767="","",PAYMENTS!D260)</f>
        <v/>
      </c>
      <c r="E767" s="32">
        <f>IF($A767="","",PAYMENTS!E260)</f>
        <v/>
      </c>
      <c r="F767" s="31">
        <f>IF($A767="","",PAYMENTS!F260)</f>
        <v/>
      </c>
      <c r="G767" s="31">
        <f>IF($A767="","",PAYMENTS!G260)</f>
        <v/>
      </c>
    </row>
    <row r="768">
      <c r="A768" s="33">
        <f>IF(PAYMENTS!A261="","",PAYMENTS!A261)</f>
        <v/>
      </c>
      <c r="B768" s="31">
        <f>IF($A768="","",PAYMENTS!B261)</f>
        <v/>
      </c>
      <c r="C768" s="31">
        <f>IF($A768="","",PAYMENTS!C261)</f>
        <v/>
      </c>
      <c r="D768" s="31">
        <f>IF($A768="","",PAYMENTS!D261)</f>
        <v/>
      </c>
      <c r="E768" s="32">
        <f>IF($A768="","",PAYMENTS!E261)</f>
        <v/>
      </c>
      <c r="F768" s="31">
        <f>IF($A768="","",PAYMENTS!F261)</f>
        <v/>
      </c>
      <c r="G768" s="31">
        <f>IF($A768="","",PAYMENTS!G261)</f>
        <v/>
      </c>
    </row>
    <row r="769">
      <c r="A769" s="33">
        <f>IF(PAYMENTS!A262="","",PAYMENTS!A262)</f>
        <v/>
      </c>
      <c r="B769" s="31">
        <f>IF($A769="","",PAYMENTS!B262)</f>
        <v/>
      </c>
      <c r="C769" s="31">
        <f>IF($A769="","",PAYMENTS!C262)</f>
        <v/>
      </c>
      <c r="D769" s="31">
        <f>IF($A769="","",PAYMENTS!D262)</f>
        <v/>
      </c>
      <c r="E769" s="32">
        <f>IF($A769="","",PAYMENTS!E262)</f>
        <v/>
      </c>
      <c r="F769" s="31">
        <f>IF($A769="","",PAYMENTS!F262)</f>
        <v/>
      </c>
      <c r="G769" s="31">
        <f>IF($A769="","",PAYMENTS!G262)</f>
        <v/>
      </c>
    </row>
    <row r="770">
      <c r="A770" s="33">
        <f>IF(PAYMENTS!A263="","",PAYMENTS!A263)</f>
        <v/>
      </c>
      <c r="B770" s="31">
        <f>IF($A770="","",PAYMENTS!B263)</f>
        <v/>
      </c>
      <c r="C770" s="31">
        <f>IF($A770="","",PAYMENTS!C263)</f>
        <v/>
      </c>
      <c r="D770" s="31">
        <f>IF($A770="","",PAYMENTS!D263)</f>
        <v/>
      </c>
      <c r="E770" s="32">
        <f>IF($A770="","",PAYMENTS!E263)</f>
        <v/>
      </c>
      <c r="F770" s="31">
        <f>IF($A770="","",PAYMENTS!F263)</f>
        <v/>
      </c>
      <c r="G770" s="31">
        <f>IF($A770="","",PAYMENTS!G263)</f>
        <v/>
      </c>
    </row>
    <row r="771">
      <c r="A771" s="33">
        <f>IF(PAYMENTS!A264="","",PAYMENTS!A264)</f>
        <v/>
      </c>
      <c r="B771" s="31">
        <f>IF($A771="","",PAYMENTS!B264)</f>
        <v/>
      </c>
      <c r="C771" s="31">
        <f>IF($A771="","",PAYMENTS!C264)</f>
        <v/>
      </c>
      <c r="D771" s="31">
        <f>IF($A771="","",PAYMENTS!D264)</f>
        <v/>
      </c>
      <c r="E771" s="32">
        <f>IF($A771="","",PAYMENTS!E264)</f>
        <v/>
      </c>
      <c r="F771" s="31">
        <f>IF($A771="","",PAYMENTS!F264)</f>
        <v/>
      </c>
      <c r="G771" s="31">
        <f>IF($A771="","",PAYMENTS!G264)</f>
        <v/>
      </c>
    </row>
    <row r="772">
      <c r="A772" s="33">
        <f>IF(PAYMENTS!A265="","",PAYMENTS!A265)</f>
        <v/>
      </c>
      <c r="B772" s="31">
        <f>IF($A772="","",PAYMENTS!B265)</f>
        <v/>
      </c>
      <c r="C772" s="31">
        <f>IF($A772="","",PAYMENTS!C265)</f>
        <v/>
      </c>
      <c r="D772" s="31">
        <f>IF($A772="","",PAYMENTS!D265)</f>
        <v/>
      </c>
      <c r="E772" s="32">
        <f>IF($A772="","",PAYMENTS!E265)</f>
        <v/>
      </c>
      <c r="F772" s="31">
        <f>IF($A772="","",PAYMENTS!F265)</f>
        <v/>
      </c>
      <c r="G772" s="31">
        <f>IF($A772="","",PAYMENTS!G265)</f>
        <v/>
      </c>
    </row>
    <row r="773">
      <c r="A773" s="33">
        <f>IF(PAYMENTS!A266="","",PAYMENTS!A266)</f>
        <v/>
      </c>
      <c r="B773" s="31">
        <f>IF($A773="","",PAYMENTS!B266)</f>
        <v/>
      </c>
      <c r="C773" s="31">
        <f>IF($A773="","",PAYMENTS!C266)</f>
        <v/>
      </c>
      <c r="D773" s="31">
        <f>IF($A773="","",PAYMENTS!D266)</f>
        <v/>
      </c>
      <c r="E773" s="32">
        <f>IF($A773="","",PAYMENTS!E266)</f>
        <v/>
      </c>
      <c r="F773" s="31">
        <f>IF($A773="","",PAYMENTS!F266)</f>
        <v/>
      </c>
      <c r="G773" s="31">
        <f>IF($A773="","",PAYMENTS!G266)</f>
        <v/>
      </c>
    </row>
    <row r="774">
      <c r="A774" s="33">
        <f>IF(PAYMENTS!A267="","",PAYMENTS!A267)</f>
        <v/>
      </c>
      <c r="B774" s="31">
        <f>IF($A774="","",PAYMENTS!B267)</f>
        <v/>
      </c>
      <c r="C774" s="31">
        <f>IF($A774="","",PAYMENTS!C267)</f>
        <v/>
      </c>
      <c r="D774" s="31">
        <f>IF($A774="","",PAYMENTS!D267)</f>
        <v/>
      </c>
      <c r="E774" s="32">
        <f>IF($A774="","",PAYMENTS!E267)</f>
        <v/>
      </c>
      <c r="F774" s="31">
        <f>IF($A774="","",PAYMENTS!F267)</f>
        <v/>
      </c>
      <c r="G774" s="31">
        <f>IF($A774="","",PAYMENTS!G267)</f>
        <v/>
      </c>
    </row>
    <row r="775">
      <c r="A775" s="33">
        <f>IF(PAYMENTS!A268="","",PAYMENTS!A268)</f>
        <v/>
      </c>
      <c r="B775" s="31">
        <f>IF($A775="","",PAYMENTS!B268)</f>
        <v/>
      </c>
      <c r="C775" s="31">
        <f>IF($A775="","",PAYMENTS!C268)</f>
        <v/>
      </c>
      <c r="D775" s="31">
        <f>IF($A775="","",PAYMENTS!D268)</f>
        <v/>
      </c>
      <c r="E775" s="32">
        <f>IF($A775="","",PAYMENTS!E268)</f>
        <v/>
      </c>
      <c r="F775" s="31">
        <f>IF($A775="","",PAYMENTS!F268)</f>
        <v/>
      </c>
      <c r="G775" s="31">
        <f>IF($A775="","",PAYMENTS!G268)</f>
        <v/>
      </c>
    </row>
    <row r="776">
      <c r="A776" s="33">
        <f>IF(PAYMENTS!A269="","",PAYMENTS!A269)</f>
        <v/>
      </c>
      <c r="B776" s="31">
        <f>IF($A776="","",PAYMENTS!B269)</f>
        <v/>
      </c>
      <c r="C776" s="31">
        <f>IF($A776="","",PAYMENTS!C269)</f>
        <v/>
      </c>
      <c r="D776" s="31">
        <f>IF($A776="","",PAYMENTS!D269)</f>
        <v/>
      </c>
      <c r="E776" s="32">
        <f>IF($A776="","",PAYMENTS!E269)</f>
        <v/>
      </c>
      <c r="F776" s="31">
        <f>IF($A776="","",PAYMENTS!F269)</f>
        <v/>
      </c>
      <c r="G776" s="31">
        <f>IF($A776="","",PAYMENTS!G269)</f>
        <v/>
      </c>
    </row>
    <row r="777">
      <c r="A777" s="33">
        <f>IF(PAYMENTS!A270="","",PAYMENTS!A270)</f>
        <v/>
      </c>
      <c r="B777" s="31">
        <f>IF($A777="","",PAYMENTS!B270)</f>
        <v/>
      </c>
      <c r="C777" s="31">
        <f>IF($A777="","",PAYMENTS!C270)</f>
        <v/>
      </c>
      <c r="D777" s="31">
        <f>IF($A777="","",PAYMENTS!D270)</f>
        <v/>
      </c>
      <c r="E777" s="32">
        <f>IF($A777="","",PAYMENTS!E270)</f>
        <v/>
      </c>
      <c r="F777" s="31">
        <f>IF($A777="","",PAYMENTS!F270)</f>
        <v/>
      </c>
      <c r="G777" s="31">
        <f>IF($A777="","",PAYMENTS!G270)</f>
        <v/>
      </c>
    </row>
    <row r="778">
      <c r="A778" s="33">
        <f>IF(PAYMENTS!A271="","",PAYMENTS!A271)</f>
        <v/>
      </c>
      <c r="B778" s="31">
        <f>IF($A778="","",PAYMENTS!B271)</f>
        <v/>
      </c>
      <c r="C778" s="31">
        <f>IF($A778="","",PAYMENTS!C271)</f>
        <v/>
      </c>
      <c r="D778" s="31">
        <f>IF($A778="","",PAYMENTS!D271)</f>
        <v/>
      </c>
      <c r="E778" s="32">
        <f>IF($A778="","",PAYMENTS!E271)</f>
        <v/>
      </c>
      <c r="F778" s="31">
        <f>IF($A778="","",PAYMENTS!F271)</f>
        <v/>
      </c>
      <c r="G778" s="31">
        <f>IF($A778="","",PAYMENTS!G271)</f>
        <v/>
      </c>
    </row>
    <row r="779">
      <c r="A779" s="33">
        <f>IF(PAYMENTS!A272="","",PAYMENTS!A272)</f>
        <v/>
      </c>
      <c r="B779" s="31">
        <f>IF($A779="","",PAYMENTS!B272)</f>
        <v/>
      </c>
      <c r="C779" s="31">
        <f>IF($A779="","",PAYMENTS!C272)</f>
        <v/>
      </c>
      <c r="D779" s="31">
        <f>IF($A779="","",PAYMENTS!D272)</f>
        <v/>
      </c>
      <c r="E779" s="32">
        <f>IF($A779="","",PAYMENTS!E272)</f>
        <v/>
      </c>
      <c r="F779" s="31">
        <f>IF($A779="","",PAYMENTS!F272)</f>
        <v/>
      </c>
      <c r="G779" s="31">
        <f>IF($A779="","",PAYMENTS!G272)</f>
        <v/>
      </c>
    </row>
    <row r="780">
      <c r="A780" s="33">
        <f>IF(PAYMENTS!A273="","",PAYMENTS!A273)</f>
        <v/>
      </c>
      <c r="B780" s="31">
        <f>IF($A780="","",PAYMENTS!B273)</f>
        <v/>
      </c>
      <c r="C780" s="31">
        <f>IF($A780="","",PAYMENTS!C273)</f>
        <v/>
      </c>
      <c r="D780" s="31">
        <f>IF($A780="","",PAYMENTS!D273)</f>
        <v/>
      </c>
      <c r="E780" s="32">
        <f>IF($A780="","",PAYMENTS!E273)</f>
        <v/>
      </c>
      <c r="F780" s="31">
        <f>IF($A780="","",PAYMENTS!F273)</f>
        <v/>
      </c>
      <c r="G780" s="31">
        <f>IF($A780="","",PAYMENTS!G273)</f>
        <v/>
      </c>
    </row>
    <row r="781">
      <c r="A781" s="33">
        <f>IF(PAYMENTS!A274="","",PAYMENTS!A274)</f>
        <v/>
      </c>
      <c r="B781" s="31">
        <f>IF($A781="","",PAYMENTS!B274)</f>
        <v/>
      </c>
      <c r="C781" s="31">
        <f>IF($A781="","",PAYMENTS!C274)</f>
        <v/>
      </c>
      <c r="D781" s="31">
        <f>IF($A781="","",PAYMENTS!D274)</f>
        <v/>
      </c>
      <c r="E781" s="32">
        <f>IF($A781="","",PAYMENTS!E274)</f>
        <v/>
      </c>
      <c r="F781" s="31">
        <f>IF($A781="","",PAYMENTS!F274)</f>
        <v/>
      </c>
      <c r="G781" s="31">
        <f>IF($A781="","",PAYMENTS!G274)</f>
        <v/>
      </c>
    </row>
    <row r="782">
      <c r="A782" s="33">
        <f>IF(PAYMENTS!A275="","",PAYMENTS!A275)</f>
        <v/>
      </c>
      <c r="B782" s="31">
        <f>IF($A782="","",PAYMENTS!B275)</f>
        <v/>
      </c>
      <c r="C782" s="31">
        <f>IF($A782="","",PAYMENTS!C275)</f>
        <v/>
      </c>
      <c r="D782" s="31">
        <f>IF($A782="","",PAYMENTS!D275)</f>
        <v/>
      </c>
      <c r="E782" s="32">
        <f>IF($A782="","",PAYMENTS!E275)</f>
        <v/>
      </c>
      <c r="F782" s="31">
        <f>IF($A782="","",PAYMENTS!F275)</f>
        <v/>
      </c>
      <c r="G782" s="31">
        <f>IF($A782="","",PAYMENTS!G275)</f>
        <v/>
      </c>
    </row>
    <row r="783">
      <c r="A783" s="33">
        <f>IF(PAYMENTS!A276="","",PAYMENTS!A276)</f>
        <v/>
      </c>
      <c r="B783" s="31">
        <f>IF($A783="","",PAYMENTS!B276)</f>
        <v/>
      </c>
      <c r="C783" s="31">
        <f>IF($A783="","",PAYMENTS!C276)</f>
        <v/>
      </c>
      <c r="D783" s="31">
        <f>IF($A783="","",PAYMENTS!D276)</f>
        <v/>
      </c>
      <c r="E783" s="32">
        <f>IF($A783="","",PAYMENTS!E276)</f>
        <v/>
      </c>
      <c r="F783" s="31">
        <f>IF($A783="","",PAYMENTS!F276)</f>
        <v/>
      </c>
      <c r="G783" s="31">
        <f>IF($A783="","",PAYMENTS!G276)</f>
        <v/>
      </c>
    </row>
    <row r="784">
      <c r="A784" s="33">
        <f>IF(PAYMENTS!A277="","",PAYMENTS!A277)</f>
        <v/>
      </c>
      <c r="B784" s="31">
        <f>IF($A784="","",PAYMENTS!B277)</f>
        <v/>
      </c>
      <c r="C784" s="31">
        <f>IF($A784="","",PAYMENTS!C277)</f>
        <v/>
      </c>
      <c r="D784" s="31">
        <f>IF($A784="","",PAYMENTS!D277)</f>
        <v/>
      </c>
      <c r="E784" s="32">
        <f>IF($A784="","",PAYMENTS!E277)</f>
        <v/>
      </c>
      <c r="F784" s="31">
        <f>IF($A784="","",PAYMENTS!F277)</f>
        <v/>
      </c>
      <c r="G784" s="31">
        <f>IF($A784="","",PAYMENTS!G277)</f>
        <v/>
      </c>
    </row>
    <row r="785">
      <c r="A785" s="33">
        <f>IF(PAYMENTS!A278="","",PAYMENTS!A278)</f>
        <v/>
      </c>
      <c r="B785" s="31">
        <f>IF($A785="","",PAYMENTS!B278)</f>
        <v/>
      </c>
      <c r="C785" s="31">
        <f>IF($A785="","",PAYMENTS!C278)</f>
        <v/>
      </c>
      <c r="D785" s="31">
        <f>IF($A785="","",PAYMENTS!D278)</f>
        <v/>
      </c>
      <c r="E785" s="32">
        <f>IF($A785="","",PAYMENTS!E278)</f>
        <v/>
      </c>
      <c r="F785" s="31">
        <f>IF($A785="","",PAYMENTS!F278)</f>
        <v/>
      </c>
      <c r="G785" s="31">
        <f>IF($A785="","",PAYMENTS!G278)</f>
        <v/>
      </c>
    </row>
    <row r="786">
      <c r="A786" s="33">
        <f>IF(PAYMENTS!A279="","",PAYMENTS!A279)</f>
        <v/>
      </c>
      <c r="B786" s="31">
        <f>IF($A786="","",PAYMENTS!B279)</f>
        <v/>
      </c>
      <c r="C786" s="31">
        <f>IF($A786="","",PAYMENTS!C279)</f>
        <v/>
      </c>
      <c r="D786" s="31">
        <f>IF($A786="","",PAYMENTS!D279)</f>
        <v/>
      </c>
      <c r="E786" s="32">
        <f>IF($A786="","",PAYMENTS!E279)</f>
        <v/>
      </c>
      <c r="F786" s="31">
        <f>IF($A786="","",PAYMENTS!F279)</f>
        <v/>
      </c>
      <c r="G786" s="31">
        <f>IF($A786="","",PAYMENTS!G279)</f>
        <v/>
      </c>
    </row>
    <row r="787">
      <c r="A787" s="33">
        <f>IF(PAYMENTS!A280="","",PAYMENTS!A280)</f>
        <v/>
      </c>
      <c r="B787" s="31">
        <f>IF($A787="","",PAYMENTS!B280)</f>
        <v/>
      </c>
      <c r="C787" s="31">
        <f>IF($A787="","",PAYMENTS!C280)</f>
        <v/>
      </c>
      <c r="D787" s="31">
        <f>IF($A787="","",PAYMENTS!D280)</f>
        <v/>
      </c>
      <c r="E787" s="32">
        <f>IF($A787="","",PAYMENTS!E280)</f>
        <v/>
      </c>
      <c r="F787" s="31">
        <f>IF($A787="","",PAYMENTS!F280)</f>
        <v/>
      </c>
      <c r="G787" s="31">
        <f>IF($A787="","",PAYMENTS!G280)</f>
        <v/>
      </c>
    </row>
    <row r="788">
      <c r="A788" s="33">
        <f>IF(PAYMENTS!A281="","",PAYMENTS!A281)</f>
        <v/>
      </c>
      <c r="B788" s="31">
        <f>IF($A788="","",PAYMENTS!B281)</f>
        <v/>
      </c>
      <c r="C788" s="31">
        <f>IF($A788="","",PAYMENTS!C281)</f>
        <v/>
      </c>
      <c r="D788" s="31">
        <f>IF($A788="","",PAYMENTS!D281)</f>
        <v/>
      </c>
      <c r="E788" s="32">
        <f>IF($A788="","",PAYMENTS!E281)</f>
        <v/>
      </c>
      <c r="F788" s="31">
        <f>IF($A788="","",PAYMENTS!F281)</f>
        <v/>
      </c>
      <c r="G788" s="31">
        <f>IF($A788="","",PAYMENTS!G281)</f>
        <v/>
      </c>
    </row>
    <row r="789">
      <c r="A789" s="33">
        <f>IF(PAYMENTS!A282="","",PAYMENTS!A282)</f>
        <v/>
      </c>
      <c r="B789" s="31">
        <f>IF($A789="","",PAYMENTS!B282)</f>
        <v/>
      </c>
      <c r="C789" s="31">
        <f>IF($A789="","",PAYMENTS!C282)</f>
        <v/>
      </c>
      <c r="D789" s="31">
        <f>IF($A789="","",PAYMENTS!D282)</f>
        <v/>
      </c>
      <c r="E789" s="32">
        <f>IF($A789="","",PAYMENTS!E282)</f>
        <v/>
      </c>
      <c r="F789" s="31">
        <f>IF($A789="","",PAYMENTS!F282)</f>
        <v/>
      </c>
      <c r="G789" s="31">
        <f>IF($A789="","",PAYMENTS!G282)</f>
        <v/>
      </c>
    </row>
    <row r="790">
      <c r="A790" s="33">
        <f>IF(PAYMENTS!A283="","",PAYMENTS!A283)</f>
        <v/>
      </c>
      <c r="B790" s="31">
        <f>IF($A790="","",PAYMENTS!B283)</f>
        <v/>
      </c>
      <c r="C790" s="31">
        <f>IF($A790="","",PAYMENTS!C283)</f>
        <v/>
      </c>
      <c r="D790" s="31">
        <f>IF($A790="","",PAYMENTS!D283)</f>
        <v/>
      </c>
      <c r="E790" s="32">
        <f>IF($A790="","",PAYMENTS!E283)</f>
        <v/>
      </c>
      <c r="F790" s="31">
        <f>IF($A790="","",PAYMENTS!F283)</f>
        <v/>
      </c>
      <c r="G790" s="31">
        <f>IF($A790="","",PAYMENTS!G283)</f>
        <v/>
      </c>
    </row>
    <row r="791">
      <c r="A791" s="33">
        <f>IF(PAYMENTS!A284="","",PAYMENTS!A284)</f>
        <v/>
      </c>
      <c r="B791" s="31">
        <f>IF($A791="","",PAYMENTS!B284)</f>
        <v/>
      </c>
      <c r="C791" s="31">
        <f>IF($A791="","",PAYMENTS!C284)</f>
        <v/>
      </c>
      <c r="D791" s="31">
        <f>IF($A791="","",PAYMENTS!D284)</f>
        <v/>
      </c>
      <c r="E791" s="32">
        <f>IF($A791="","",PAYMENTS!E284)</f>
        <v/>
      </c>
      <c r="F791" s="31">
        <f>IF($A791="","",PAYMENTS!F284)</f>
        <v/>
      </c>
      <c r="G791" s="31">
        <f>IF($A791="","",PAYMENTS!G284)</f>
        <v/>
      </c>
    </row>
    <row r="792">
      <c r="A792" s="33">
        <f>IF(PAYMENTS!A285="","",PAYMENTS!A285)</f>
        <v/>
      </c>
      <c r="B792" s="31">
        <f>IF($A792="","",PAYMENTS!B285)</f>
        <v/>
      </c>
      <c r="C792" s="31">
        <f>IF($A792="","",PAYMENTS!C285)</f>
        <v/>
      </c>
      <c r="D792" s="31">
        <f>IF($A792="","",PAYMENTS!D285)</f>
        <v/>
      </c>
      <c r="E792" s="32">
        <f>IF($A792="","",PAYMENTS!E285)</f>
        <v/>
      </c>
      <c r="F792" s="31">
        <f>IF($A792="","",PAYMENTS!F285)</f>
        <v/>
      </c>
      <c r="G792" s="31">
        <f>IF($A792="","",PAYMENTS!G285)</f>
        <v/>
      </c>
    </row>
    <row r="793">
      <c r="A793" s="33">
        <f>IF(PAYMENTS!A286="","",PAYMENTS!A286)</f>
        <v/>
      </c>
      <c r="B793" s="31">
        <f>IF($A793="","",PAYMENTS!B286)</f>
        <v/>
      </c>
      <c r="C793" s="31">
        <f>IF($A793="","",PAYMENTS!C286)</f>
        <v/>
      </c>
      <c r="D793" s="31">
        <f>IF($A793="","",PAYMENTS!D286)</f>
        <v/>
      </c>
      <c r="E793" s="32">
        <f>IF($A793="","",PAYMENTS!E286)</f>
        <v/>
      </c>
      <c r="F793" s="31">
        <f>IF($A793="","",PAYMENTS!F286)</f>
        <v/>
      </c>
      <c r="G793" s="31">
        <f>IF($A793="","",PAYMENTS!G286)</f>
        <v/>
      </c>
    </row>
    <row r="794">
      <c r="A794" s="33">
        <f>IF(PAYMENTS!A287="","",PAYMENTS!A287)</f>
        <v/>
      </c>
      <c r="B794" s="31">
        <f>IF($A794="","",PAYMENTS!B287)</f>
        <v/>
      </c>
      <c r="C794" s="31">
        <f>IF($A794="","",PAYMENTS!C287)</f>
        <v/>
      </c>
      <c r="D794" s="31">
        <f>IF($A794="","",PAYMENTS!D287)</f>
        <v/>
      </c>
      <c r="E794" s="32">
        <f>IF($A794="","",PAYMENTS!E287)</f>
        <v/>
      </c>
      <c r="F794" s="31">
        <f>IF($A794="","",PAYMENTS!F287)</f>
        <v/>
      </c>
      <c r="G794" s="31">
        <f>IF($A794="","",PAYMENTS!G287)</f>
        <v/>
      </c>
    </row>
    <row r="795">
      <c r="A795" s="33">
        <f>IF(PAYMENTS!A288="","",PAYMENTS!A288)</f>
        <v/>
      </c>
      <c r="B795" s="31">
        <f>IF($A795="","",PAYMENTS!B288)</f>
        <v/>
      </c>
      <c r="C795" s="31">
        <f>IF($A795="","",PAYMENTS!C288)</f>
        <v/>
      </c>
      <c r="D795" s="31">
        <f>IF($A795="","",PAYMENTS!D288)</f>
        <v/>
      </c>
      <c r="E795" s="32">
        <f>IF($A795="","",PAYMENTS!E288)</f>
        <v/>
      </c>
      <c r="F795" s="31">
        <f>IF($A795="","",PAYMENTS!F288)</f>
        <v/>
      </c>
      <c r="G795" s="31">
        <f>IF($A795="","",PAYMENTS!G288)</f>
        <v/>
      </c>
    </row>
    <row r="796">
      <c r="A796" s="33">
        <f>IF(PAYMENTS!A289="","",PAYMENTS!A289)</f>
        <v/>
      </c>
      <c r="B796" s="31">
        <f>IF($A796="","",PAYMENTS!B289)</f>
        <v/>
      </c>
      <c r="C796" s="31">
        <f>IF($A796="","",PAYMENTS!C289)</f>
        <v/>
      </c>
      <c r="D796" s="31">
        <f>IF($A796="","",PAYMENTS!D289)</f>
        <v/>
      </c>
      <c r="E796" s="32">
        <f>IF($A796="","",PAYMENTS!E289)</f>
        <v/>
      </c>
      <c r="F796" s="31">
        <f>IF($A796="","",PAYMENTS!F289)</f>
        <v/>
      </c>
      <c r="G796" s="31">
        <f>IF($A796="","",PAYMENTS!G289)</f>
        <v/>
      </c>
    </row>
    <row r="797">
      <c r="A797" s="33">
        <f>IF(PAYMENTS!A290="","",PAYMENTS!A290)</f>
        <v/>
      </c>
      <c r="B797" s="31">
        <f>IF($A797="","",PAYMENTS!B290)</f>
        <v/>
      </c>
      <c r="C797" s="31">
        <f>IF($A797="","",PAYMENTS!C290)</f>
        <v/>
      </c>
      <c r="D797" s="31">
        <f>IF($A797="","",PAYMENTS!D290)</f>
        <v/>
      </c>
      <c r="E797" s="32">
        <f>IF($A797="","",PAYMENTS!E290)</f>
        <v/>
      </c>
      <c r="F797" s="31">
        <f>IF($A797="","",PAYMENTS!F290)</f>
        <v/>
      </c>
      <c r="G797" s="31">
        <f>IF($A797="","",PAYMENTS!G290)</f>
        <v/>
      </c>
    </row>
    <row r="798">
      <c r="A798" s="33">
        <f>IF(PAYMENTS!A291="","",PAYMENTS!A291)</f>
        <v/>
      </c>
      <c r="B798" s="31">
        <f>IF($A798="","",PAYMENTS!B291)</f>
        <v/>
      </c>
      <c r="C798" s="31">
        <f>IF($A798="","",PAYMENTS!C291)</f>
        <v/>
      </c>
      <c r="D798" s="31">
        <f>IF($A798="","",PAYMENTS!D291)</f>
        <v/>
      </c>
      <c r="E798" s="32">
        <f>IF($A798="","",PAYMENTS!E291)</f>
        <v/>
      </c>
      <c r="F798" s="31">
        <f>IF($A798="","",PAYMENTS!F291)</f>
        <v/>
      </c>
      <c r="G798" s="31">
        <f>IF($A798="","",PAYMENTS!G291)</f>
        <v/>
      </c>
    </row>
    <row r="799">
      <c r="A799" s="33">
        <f>IF(PAYMENTS!A292="","",PAYMENTS!A292)</f>
        <v/>
      </c>
      <c r="B799" s="31">
        <f>IF($A799="","",PAYMENTS!B292)</f>
        <v/>
      </c>
      <c r="C799" s="31">
        <f>IF($A799="","",PAYMENTS!C292)</f>
        <v/>
      </c>
      <c r="D799" s="31">
        <f>IF($A799="","",PAYMENTS!D292)</f>
        <v/>
      </c>
      <c r="E799" s="32">
        <f>IF($A799="","",PAYMENTS!E292)</f>
        <v/>
      </c>
      <c r="F799" s="31">
        <f>IF($A799="","",PAYMENTS!F292)</f>
        <v/>
      </c>
      <c r="G799" s="31">
        <f>IF($A799="","",PAYMENTS!G292)</f>
        <v/>
      </c>
    </row>
    <row r="800">
      <c r="A800" s="33">
        <f>IF(PAYMENTS!A293="","",PAYMENTS!A293)</f>
        <v/>
      </c>
      <c r="B800" s="31">
        <f>IF($A800="","",PAYMENTS!B293)</f>
        <v/>
      </c>
      <c r="C800" s="31">
        <f>IF($A800="","",PAYMENTS!C293)</f>
        <v/>
      </c>
      <c r="D800" s="31">
        <f>IF($A800="","",PAYMENTS!D293)</f>
        <v/>
      </c>
      <c r="E800" s="32">
        <f>IF($A800="","",PAYMENTS!E293)</f>
        <v/>
      </c>
      <c r="F800" s="31">
        <f>IF($A800="","",PAYMENTS!F293)</f>
        <v/>
      </c>
      <c r="G800" s="31">
        <f>IF($A800="","",PAYMENTS!G293)</f>
        <v/>
      </c>
    </row>
    <row r="801">
      <c r="A801" s="33">
        <f>IF(PAYMENTS!A294="","",PAYMENTS!A294)</f>
        <v/>
      </c>
      <c r="B801" s="31">
        <f>IF($A801="","",PAYMENTS!B294)</f>
        <v/>
      </c>
      <c r="C801" s="31">
        <f>IF($A801="","",PAYMENTS!C294)</f>
        <v/>
      </c>
      <c r="D801" s="31">
        <f>IF($A801="","",PAYMENTS!D294)</f>
        <v/>
      </c>
      <c r="E801" s="32">
        <f>IF($A801="","",PAYMENTS!E294)</f>
        <v/>
      </c>
      <c r="F801" s="31">
        <f>IF($A801="","",PAYMENTS!F294)</f>
        <v/>
      </c>
      <c r="G801" s="31">
        <f>IF($A801="","",PAYMENTS!G294)</f>
        <v/>
      </c>
    </row>
    <row r="802">
      <c r="A802" s="33">
        <f>IF(PAYMENTS!A295="","",PAYMENTS!A295)</f>
        <v/>
      </c>
      <c r="B802" s="31">
        <f>IF($A802="","",PAYMENTS!B295)</f>
        <v/>
      </c>
      <c r="C802" s="31">
        <f>IF($A802="","",PAYMENTS!C295)</f>
        <v/>
      </c>
      <c r="D802" s="31">
        <f>IF($A802="","",PAYMENTS!D295)</f>
        <v/>
      </c>
      <c r="E802" s="32">
        <f>IF($A802="","",PAYMENTS!E295)</f>
        <v/>
      </c>
      <c r="F802" s="31">
        <f>IF($A802="","",PAYMENTS!F295)</f>
        <v/>
      </c>
      <c r="G802" s="31">
        <f>IF($A802="","",PAYMENTS!G295)</f>
        <v/>
      </c>
    </row>
    <row r="803">
      <c r="A803" s="33">
        <f>IF(PAYMENTS!A296="","",PAYMENTS!A296)</f>
        <v/>
      </c>
      <c r="B803" s="31">
        <f>IF($A803="","",PAYMENTS!B296)</f>
        <v/>
      </c>
      <c r="C803" s="31">
        <f>IF($A803="","",PAYMENTS!C296)</f>
        <v/>
      </c>
      <c r="D803" s="31">
        <f>IF($A803="","",PAYMENTS!D296)</f>
        <v/>
      </c>
      <c r="E803" s="32">
        <f>IF($A803="","",PAYMENTS!E296)</f>
        <v/>
      </c>
      <c r="F803" s="31">
        <f>IF($A803="","",PAYMENTS!F296)</f>
        <v/>
      </c>
      <c r="G803" s="31">
        <f>IF($A803="","",PAYMENTS!G296)</f>
        <v/>
      </c>
    </row>
    <row r="804">
      <c r="A804" s="33">
        <f>IF(PAYMENTS!A297="","",PAYMENTS!A297)</f>
        <v/>
      </c>
      <c r="B804" s="31">
        <f>IF($A804="","",PAYMENTS!B297)</f>
        <v/>
      </c>
      <c r="C804" s="31">
        <f>IF($A804="","",PAYMENTS!C297)</f>
        <v/>
      </c>
      <c r="D804" s="31">
        <f>IF($A804="","",PAYMENTS!D297)</f>
        <v/>
      </c>
      <c r="E804" s="32">
        <f>IF($A804="","",PAYMENTS!E297)</f>
        <v/>
      </c>
      <c r="F804" s="31">
        <f>IF($A804="","",PAYMENTS!F297)</f>
        <v/>
      </c>
      <c r="G804" s="31">
        <f>IF($A804="","",PAYMENTS!G297)</f>
        <v/>
      </c>
    </row>
    <row r="805">
      <c r="A805" s="33">
        <f>IF(PAYMENTS!A298="","",PAYMENTS!A298)</f>
        <v/>
      </c>
      <c r="B805" s="31">
        <f>IF($A805="","",PAYMENTS!B298)</f>
        <v/>
      </c>
      <c r="C805" s="31">
        <f>IF($A805="","",PAYMENTS!C298)</f>
        <v/>
      </c>
      <c r="D805" s="31">
        <f>IF($A805="","",PAYMENTS!D298)</f>
        <v/>
      </c>
      <c r="E805" s="32">
        <f>IF($A805="","",PAYMENTS!E298)</f>
        <v/>
      </c>
      <c r="F805" s="31">
        <f>IF($A805="","",PAYMENTS!F298)</f>
        <v/>
      </c>
      <c r="G805" s="31">
        <f>IF($A805="","",PAYMENTS!G298)</f>
        <v/>
      </c>
    </row>
    <row r="806">
      <c r="A806" s="33">
        <f>IF(PAYMENTS!A299="","",PAYMENTS!A299)</f>
        <v/>
      </c>
      <c r="B806" s="31">
        <f>IF($A806="","",PAYMENTS!B299)</f>
        <v/>
      </c>
      <c r="C806" s="31">
        <f>IF($A806="","",PAYMENTS!C299)</f>
        <v/>
      </c>
      <c r="D806" s="31">
        <f>IF($A806="","",PAYMENTS!D299)</f>
        <v/>
      </c>
      <c r="E806" s="32">
        <f>IF($A806="","",PAYMENTS!E299)</f>
        <v/>
      </c>
      <c r="F806" s="31">
        <f>IF($A806="","",PAYMENTS!F299)</f>
        <v/>
      </c>
      <c r="G806" s="31">
        <f>IF($A806="","",PAYMENTS!G299)</f>
        <v/>
      </c>
    </row>
    <row r="807">
      <c r="A807" s="33">
        <f>IF(PAYMENTS!A300="","",PAYMENTS!A300)</f>
        <v/>
      </c>
      <c r="B807" s="31">
        <f>IF($A807="","",PAYMENTS!B300)</f>
        <v/>
      </c>
      <c r="C807" s="31">
        <f>IF($A807="","",PAYMENTS!C300)</f>
        <v/>
      </c>
      <c r="D807" s="31">
        <f>IF($A807="","",PAYMENTS!D300)</f>
        <v/>
      </c>
      <c r="E807" s="32">
        <f>IF($A807="","",PAYMENTS!E300)</f>
        <v/>
      </c>
      <c r="F807" s="31">
        <f>IF($A807="","",PAYMENTS!F300)</f>
        <v/>
      </c>
      <c r="G807" s="31">
        <f>IF($A807="","",PAYMENTS!G300)</f>
        <v/>
      </c>
    </row>
    <row r="808">
      <c r="A808" s="33">
        <f>IF(PAYMENTS!A301="","",PAYMENTS!A301)</f>
        <v/>
      </c>
      <c r="B808" s="31">
        <f>IF($A808="","",PAYMENTS!B301)</f>
        <v/>
      </c>
      <c r="C808" s="31">
        <f>IF($A808="","",PAYMENTS!C301)</f>
        <v/>
      </c>
      <c r="D808" s="31">
        <f>IF($A808="","",PAYMENTS!D301)</f>
        <v/>
      </c>
      <c r="E808" s="32">
        <f>IF($A808="","",PAYMENTS!E301)</f>
        <v/>
      </c>
      <c r="F808" s="31">
        <f>IF($A808="","",PAYMENTS!F301)</f>
        <v/>
      </c>
      <c r="G808" s="31">
        <f>IF($A808="","",PAYMENTS!G301)</f>
        <v/>
      </c>
    </row>
    <row r="809">
      <c r="A809" s="33">
        <f>IF(PAYMENTS!A302="","",PAYMENTS!A302)</f>
        <v/>
      </c>
      <c r="B809" s="31">
        <f>IF($A809="","",PAYMENTS!B302)</f>
        <v/>
      </c>
      <c r="C809" s="31">
        <f>IF($A809="","",PAYMENTS!C302)</f>
        <v/>
      </c>
      <c r="D809" s="31">
        <f>IF($A809="","",PAYMENTS!D302)</f>
        <v/>
      </c>
      <c r="E809" s="32">
        <f>IF($A809="","",PAYMENTS!E302)</f>
        <v/>
      </c>
      <c r="F809" s="31">
        <f>IF($A809="","",PAYMENTS!F302)</f>
        <v/>
      </c>
      <c r="G809" s="31">
        <f>IF($A809="","",PAYMENTS!G302)</f>
        <v/>
      </c>
    </row>
    <row r="810">
      <c r="A810" s="33">
        <f>IF(PAYMENTS!A303="","",PAYMENTS!A303)</f>
        <v/>
      </c>
      <c r="B810" s="31">
        <f>IF($A810="","",PAYMENTS!B303)</f>
        <v/>
      </c>
      <c r="C810" s="31">
        <f>IF($A810="","",PAYMENTS!C303)</f>
        <v/>
      </c>
      <c r="D810" s="31">
        <f>IF($A810="","",PAYMENTS!D303)</f>
        <v/>
      </c>
      <c r="E810" s="32">
        <f>IF($A810="","",PAYMENTS!E303)</f>
        <v/>
      </c>
      <c r="F810" s="31">
        <f>IF($A810="","",PAYMENTS!F303)</f>
        <v/>
      </c>
      <c r="G810" s="31">
        <f>IF($A810="","",PAYMENTS!G303)</f>
        <v/>
      </c>
    </row>
    <row r="811">
      <c r="A811" s="33">
        <f>IF(PAYMENTS!A304="","",PAYMENTS!A304)</f>
        <v/>
      </c>
      <c r="B811" s="31">
        <f>IF($A811="","",PAYMENTS!B304)</f>
        <v/>
      </c>
      <c r="C811" s="31">
        <f>IF($A811="","",PAYMENTS!C304)</f>
        <v/>
      </c>
      <c r="D811" s="31">
        <f>IF($A811="","",PAYMENTS!D304)</f>
        <v/>
      </c>
      <c r="E811" s="32">
        <f>IF($A811="","",PAYMENTS!E304)</f>
        <v/>
      </c>
      <c r="F811" s="31">
        <f>IF($A811="","",PAYMENTS!F304)</f>
        <v/>
      </c>
      <c r="G811" s="31">
        <f>IF($A811="","",PAYMENTS!G304)</f>
        <v/>
      </c>
    </row>
    <row r="812">
      <c r="A812" s="33">
        <f>IF(PAYMENTS!A305="","",PAYMENTS!A305)</f>
        <v/>
      </c>
      <c r="B812" s="31">
        <f>IF($A812="","",PAYMENTS!B305)</f>
        <v/>
      </c>
      <c r="C812" s="31">
        <f>IF($A812="","",PAYMENTS!C305)</f>
        <v/>
      </c>
      <c r="D812" s="31">
        <f>IF($A812="","",PAYMENTS!D305)</f>
        <v/>
      </c>
      <c r="E812" s="32">
        <f>IF($A812="","",PAYMENTS!E305)</f>
        <v/>
      </c>
      <c r="F812" s="31">
        <f>IF($A812="","",PAYMENTS!F305)</f>
        <v/>
      </c>
      <c r="G812" s="31">
        <f>IF($A812="","",PAYMENTS!G305)</f>
        <v/>
      </c>
    </row>
    <row r="813">
      <c r="A813" s="33">
        <f>IF(PAYMENTS!A306="","",PAYMENTS!A306)</f>
        <v/>
      </c>
      <c r="B813" s="31">
        <f>IF($A813="","",PAYMENTS!B306)</f>
        <v/>
      </c>
      <c r="C813" s="31">
        <f>IF($A813="","",PAYMENTS!C306)</f>
        <v/>
      </c>
      <c r="D813" s="31">
        <f>IF($A813="","",PAYMENTS!D306)</f>
        <v/>
      </c>
      <c r="E813" s="32">
        <f>IF($A813="","",PAYMENTS!E306)</f>
        <v/>
      </c>
      <c r="F813" s="31">
        <f>IF($A813="","",PAYMENTS!F306)</f>
        <v/>
      </c>
      <c r="G813" s="31">
        <f>IF($A813="","",PAYMENTS!G306)</f>
        <v/>
      </c>
    </row>
    <row r="814">
      <c r="A814" s="33">
        <f>IF(PAYMENTS!A307="","",PAYMENTS!A307)</f>
        <v/>
      </c>
      <c r="B814" s="31">
        <f>IF($A814="","",PAYMENTS!B307)</f>
        <v/>
      </c>
      <c r="C814" s="31">
        <f>IF($A814="","",PAYMENTS!C307)</f>
        <v/>
      </c>
      <c r="D814" s="31">
        <f>IF($A814="","",PAYMENTS!D307)</f>
        <v/>
      </c>
      <c r="E814" s="32">
        <f>IF($A814="","",PAYMENTS!E307)</f>
        <v/>
      </c>
      <c r="F814" s="31">
        <f>IF($A814="","",PAYMENTS!F307)</f>
        <v/>
      </c>
      <c r="G814" s="31">
        <f>IF($A814="","",PAYMENTS!G307)</f>
        <v/>
      </c>
    </row>
    <row r="815">
      <c r="A815" s="33">
        <f>IF(PAYMENTS!A308="","",PAYMENTS!A308)</f>
        <v/>
      </c>
      <c r="B815" s="31">
        <f>IF($A815="","",PAYMENTS!B308)</f>
        <v/>
      </c>
      <c r="C815" s="31">
        <f>IF($A815="","",PAYMENTS!C308)</f>
        <v/>
      </c>
      <c r="D815" s="31">
        <f>IF($A815="","",PAYMENTS!D308)</f>
        <v/>
      </c>
      <c r="E815" s="32">
        <f>IF($A815="","",PAYMENTS!E308)</f>
        <v/>
      </c>
      <c r="F815" s="31">
        <f>IF($A815="","",PAYMENTS!F308)</f>
        <v/>
      </c>
      <c r="G815" s="31">
        <f>IF($A815="","",PAYMENTS!G308)</f>
        <v/>
      </c>
    </row>
    <row r="816">
      <c r="A816" s="33">
        <f>IF(PAYMENTS!A309="","",PAYMENTS!A309)</f>
        <v/>
      </c>
      <c r="B816" s="31">
        <f>IF($A816="","",PAYMENTS!B309)</f>
        <v/>
      </c>
      <c r="C816" s="31">
        <f>IF($A816="","",PAYMENTS!C309)</f>
        <v/>
      </c>
      <c r="D816" s="31">
        <f>IF($A816="","",PAYMENTS!D309)</f>
        <v/>
      </c>
      <c r="E816" s="32">
        <f>IF($A816="","",PAYMENTS!E309)</f>
        <v/>
      </c>
      <c r="F816" s="31">
        <f>IF($A816="","",PAYMENTS!F309)</f>
        <v/>
      </c>
      <c r="G816" s="31">
        <f>IF($A816="","",PAYMENTS!G309)</f>
        <v/>
      </c>
    </row>
    <row r="817">
      <c r="A817" s="33">
        <f>IF(PAYMENTS!A310="","",PAYMENTS!A310)</f>
        <v/>
      </c>
      <c r="B817" s="31">
        <f>IF($A817="","",PAYMENTS!B310)</f>
        <v/>
      </c>
      <c r="C817" s="31">
        <f>IF($A817="","",PAYMENTS!C310)</f>
        <v/>
      </c>
      <c r="D817" s="31">
        <f>IF($A817="","",PAYMENTS!D310)</f>
        <v/>
      </c>
      <c r="E817" s="32">
        <f>IF($A817="","",PAYMENTS!E310)</f>
        <v/>
      </c>
      <c r="F817" s="31">
        <f>IF($A817="","",PAYMENTS!F310)</f>
        <v/>
      </c>
      <c r="G817" s="31">
        <f>IF($A817="","",PAYMENTS!G310)</f>
        <v/>
      </c>
    </row>
    <row r="818">
      <c r="A818" s="33">
        <f>IF(PAYMENTS!A311="","",PAYMENTS!A311)</f>
        <v/>
      </c>
      <c r="B818" s="31">
        <f>IF($A818="","",PAYMENTS!B311)</f>
        <v/>
      </c>
      <c r="C818" s="31">
        <f>IF($A818="","",PAYMENTS!C311)</f>
        <v/>
      </c>
      <c r="D818" s="31">
        <f>IF($A818="","",PAYMENTS!D311)</f>
        <v/>
      </c>
      <c r="E818" s="32">
        <f>IF($A818="","",PAYMENTS!E311)</f>
        <v/>
      </c>
      <c r="F818" s="31">
        <f>IF($A818="","",PAYMENTS!F311)</f>
        <v/>
      </c>
      <c r="G818" s="31">
        <f>IF($A818="","",PAYMENTS!G311)</f>
        <v/>
      </c>
    </row>
    <row r="819">
      <c r="A819" s="33">
        <f>IF(PAYMENTS!A312="","",PAYMENTS!A312)</f>
        <v/>
      </c>
      <c r="B819" s="31">
        <f>IF($A819="","",PAYMENTS!B312)</f>
        <v/>
      </c>
      <c r="C819" s="31">
        <f>IF($A819="","",PAYMENTS!C312)</f>
        <v/>
      </c>
      <c r="D819" s="31">
        <f>IF($A819="","",PAYMENTS!D312)</f>
        <v/>
      </c>
      <c r="E819" s="32">
        <f>IF($A819="","",PAYMENTS!E312)</f>
        <v/>
      </c>
      <c r="F819" s="31">
        <f>IF($A819="","",PAYMENTS!F312)</f>
        <v/>
      </c>
      <c r="G819" s="31">
        <f>IF($A819="","",PAYMENTS!G312)</f>
        <v/>
      </c>
    </row>
    <row r="820">
      <c r="A820" s="33">
        <f>IF(PAYMENTS!A313="","",PAYMENTS!A313)</f>
        <v/>
      </c>
      <c r="B820" s="31">
        <f>IF($A820="","",PAYMENTS!B313)</f>
        <v/>
      </c>
      <c r="C820" s="31">
        <f>IF($A820="","",PAYMENTS!C313)</f>
        <v/>
      </c>
      <c r="D820" s="31">
        <f>IF($A820="","",PAYMENTS!D313)</f>
        <v/>
      </c>
      <c r="E820" s="32">
        <f>IF($A820="","",PAYMENTS!E313)</f>
        <v/>
      </c>
      <c r="F820" s="31">
        <f>IF($A820="","",PAYMENTS!F313)</f>
        <v/>
      </c>
      <c r="G820" s="31">
        <f>IF($A820="","",PAYMENTS!G313)</f>
        <v/>
      </c>
    </row>
    <row r="821">
      <c r="A821" s="33">
        <f>IF(PAYMENTS!A314="","",PAYMENTS!A314)</f>
        <v/>
      </c>
      <c r="B821" s="31">
        <f>IF($A821="","",PAYMENTS!B314)</f>
        <v/>
      </c>
      <c r="C821" s="31">
        <f>IF($A821="","",PAYMENTS!C314)</f>
        <v/>
      </c>
      <c r="D821" s="31">
        <f>IF($A821="","",PAYMENTS!D314)</f>
        <v/>
      </c>
      <c r="E821" s="32">
        <f>IF($A821="","",PAYMENTS!E314)</f>
        <v/>
      </c>
      <c r="F821" s="31">
        <f>IF($A821="","",PAYMENTS!F314)</f>
        <v/>
      </c>
      <c r="G821" s="31">
        <f>IF($A821="","",PAYMENTS!G314)</f>
        <v/>
      </c>
    </row>
    <row r="822">
      <c r="A822" s="33">
        <f>IF(PAYMENTS!A315="","",PAYMENTS!A315)</f>
        <v/>
      </c>
      <c r="B822" s="31">
        <f>IF($A822="","",PAYMENTS!B315)</f>
        <v/>
      </c>
      <c r="C822" s="31">
        <f>IF($A822="","",PAYMENTS!C315)</f>
        <v/>
      </c>
      <c r="D822" s="31">
        <f>IF($A822="","",PAYMENTS!D315)</f>
        <v/>
      </c>
      <c r="E822" s="32">
        <f>IF($A822="","",PAYMENTS!E315)</f>
        <v/>
      </c>
      <c r="F822" s="31">
        <f>IF($A822="","",PAYMENTS!F315)</f>
        <v/>
      </c>
      <c r="G822" s="31">
        <f>IF($A822="","",PAYMENTS!G315)</f>
        <v/>
      </c>
    </row>
    <row r="823">
      <c r="A823" s="33">
        <f>IF(PAYMENTS!A316="","",PAYMENTS!A316)</f>
        <v/>
      </c>
      <c r="B823" s="31">
        <f>IF($A823="","",PAYMENTS!B316)</f>
        <v/>
      </c>
      <c r="C823" s="31">
        <f>IF($A823="","",PAYMENTS!C316)</f>
        <v/>
      </c>
      <c r="D823" s="31">
        <f>IF($A823="","",PAYMENTS!D316)</f>
        <v/>
      </c>
      <c r="E823" s="32">
        <f>IF($A823="","",PAYMENTS!E316)</f>
        <v/>
      </c>
      <c r="F823" s="31">
        <f>IF($A823="","",PAYMENTS!F316)</f>
        <v/>
      </c>
      <c r="G823" s="31">
        <f>IF($A823="","",PAYMENTS!G316)</f>
        <v/>
      </c>
    </row>
    <row r="824">
      <c r="A824" s="33">
        <f>IF(PAYMENTS!A317="","",PAYMENTS!A317)</f>
        <v/>
      </c>
      <c r="B824" s="31">
        <f>IF($A824="","",PAYMENTS!B317)</f>
        <v/>
      </c>
      <c r="C824" s="31">
        <f>IF($A824="","",PAYMENTS!C317)</f>
        <v/>
      </c>
      <c r="D824" s="31">
        <f>IF($A824="","",PAYMENTS!D317)</f>
        <v/>
      </c>
      <c r="E824" s="32">
        <f>IF($A824="","",PAYMENTS!E317)</f>
        <v/>
      </c>
      <c r="F824" s="31">
        <f>IF($A824="","",PAYMENTS!F317)</f>
        <v/>
      </c>
      <c r="G824" s="31">
        <f>IF($A824="","",PAYMENTS!G317)</f>
        <v/>
      </c>
    </row>
    <row r="825">
      <c r="A825" s="33">
        <f>IF(PAYMENTS!A318="","",PAYMENTS!A318)</f>
        <v/>
      </c>
      <c r="B825" s="31">
        <f>IF($A825="","",PAYMENTS!B318)</f>
        <v/>
      </c>
      <c r="C825" s="31">
        <f>IF($A825="","",PAYMENTS!C318)</f>
        <v/>
      </c>
      <c r="D825" s="31">
        <f>IF($A825="","",PAYMENTS!D318)</f>
        <v/>
      </c>
      <c r="E825" s="32">
        <f>IF($A825="","",PAYMENTS!E318)</f>
        <v/>
      </c>
      <c r="F825" s="31">
        <f>IF($A825="","",PAYMENTS!F318)</f>
        <v/>
      </c>
      <c r="G825" s="31">
        <f>IF($A825="","",PAYMENTS!G318)</f>
        <v/>
      </c>
    </row>
    <row r="826">
      <c r="A826" s="33">
        <f>IF(PAYMENTS!A319="","",PAYMENTS!A319)</f>
        <v/>
      </c>
      <c r="B826" s="31">
        <f>IF($A826="","",PAYMENTS!B319)</f>
        <v/>
      </c>
      <c r="C826" s="31">
        <f>IF($A826="","",PAYMENTS!C319)</f>
        <v/>
      </c>
      <c r="D826" s="31">
        <f>IF($A826="","",PAYMENTS!D319)</f>
        <v/>
      </c>
      <c r="E826" s="32">
        <f>IF($A826="","",PAYMENTS!E319)</f>
        <v/>
      </c>
      <c r="F826" s="31">
        <f>IF($A826="","",PAYMENTS!F319)</f>
        <v/>
      </c>
      <c r="G826" s="31">
        <f>IF($A826="","",PAYMENTS!G319)</f>
        <v/>
      </c>
    </row>
    <row r="827">
      <c r="A827" s="33">
        <f>IF(PAYMENTS!A320="","",PAYMENTS!A320)</f>
        <v/>
      </c>
      <c r="B827" s="31">
        <f>IF($A827="","",PAYMENTS!B320)</f>
        <v/>
      </c>
      <c r="C827" s="31">
        <f>IF($A827="","",PAYMENTS!C320)</f>
        <v/>
      </c>
      <c r="D827" s="31">
        <f>IF($A827="","",PAYMENTS!D320)</f>
        <v/>
      </c>
      <c r="E827" s="32">
        <f>IF($A827="","",PAYMENTS!E320)</f>
        <v/>
      </c>
      <c r="F827" s="31">
        <f>IF($A827="","",PAYMENTS!F320)</f>
        <v/>
      </c>
      <c r="G827" s="31">
        <f>IF($A827="","",PAYMENTS!G320)</f>
        <v/>
      </c>
    </row>
    <row r="828">
      <c r="A828" s="33">
        <f>IF(PAYMENTS!A321="","",PAYMENTS!A321)</f>
        <v/>
      </c>
      <c r="B828" s="31">
        <f>IF($A828="","",PAYMENTS!B321)</f>
        <v/>
      </c>
      <c r="C828" s="31">
        <f>IF($A828="","",PAYMENTS!C321)</f>
        <v/>
      </c>
      <c r="D828" s="31">
        <f>IF($A828="","",PAYMENTS!D321)</f>
        <v/>
      </c>
      <c r="E828" s="32">
        <f>IF($A828="","",PAYMENTS!E321)</f>
        <v/>
      </c>
      <c r="F828" s="31">
        <f>IF($A828="","",PAYMENTS!F321)</f>
        <v/>
      </c>
      <c r="G828" s="31">
        <f>IF($A828="","",PAYMENTS!G321)</f>
        <v/>
      </c>
    </row>
    <row r="829">
      <c r="A829" s="33">
        <f>IF(PAYMENTS!A322="","",PAYMENTS!A322)</f>
        <v/>
      </c>
      <c r="B829" s="31">
        <f>IF($A829="","",PAYMENTS!B322)</f>
        <v/>
      </c>
      <c r="C829" s="31">
        <f>IF($A829="","",PAYMENTS!C322)</f>
        <v/>
      </c>
      <c r="D829" s="31">
        <f>IF($A829="","",PAYMENTS!D322)</f>
        <v/>
      </c>
      <c r="E829" s="32">
        <f>IF($A829="","",PAYMENTS!E322)</f>
        <v/>
      </c>
      <c r="F829" s="31">
        <f>IF($A829="","",PAYMENTS!F322)</f>
        <v/>
      </c>
      <c r="G829" s="31">
        <f>IF($A829="","",PAYMENTS!G322)</f>
        <v/>
      </c>
    </row>
    <row r="830">
      <c r="A830" s="33">
        <f>IF(PAYMENTS!A323="","",PAYMENTS!A323)</f>
        <v/>
      </c>
      <c r="B830" s="31">
        <f>IF($A830="","",PAYMENTS!B323)</f>
        <v/>
      </c>
      <c r="C830" s="31">
        <f>IF($A830="","",PAYMENTS!C323)</f>
        <v/>
      </c>
      <c r="D830" s="31">
        <f>IF($A830="","",PAYMENTS!D323)</f>
        <v/>
      </c>
      <c r="E830" s="32">
        <f>IF($A830="","",PAYMENTS!E323)</f>
        <v/>
      </c>
      <c r="F830" s="31">
        <f>IF($A830="","",PAYMENTS!F323)</f>
        <v/>
      </c>
      <c r="G830" s="31">
        <f>IF($A830="","",PAYMENTS!G323)</f>
        <v/>
      </c>
    </row>
    <row r="831">
      <c r="A831" s="33">
        <f>IF(PAYMENTS!A324="","",PAYMENTS!A324)</f>
        <v/>
      </c>
      <c r="B831" s="31">
        <f>IF($A831="","",PAYMENTS!B324)</f>
        <v/>
      </c>
      <c r="C831" s="31">
        <f>IF($A831="","",PAYMENTS!C324)</f>
        <v/>
      </c>
      <c r="D831" s="31">
        <f>IF($A831="","",PAYMENTS!D324)</f>
        <v/>
      </c>
      <c r="E831" s="32">
        <f>IF($A831="","",PAYMENTS!E324)</f>
        <v/>
      </c>
      <c r="F831" s="31">
        <f>IF($A831="","",PAYMENTS!F324)</f>
        <v/>
      </c>
      <c r="G831" s="31">
        <f>IF($A831="","",PAYMENTS!G324)</f>
        <v/>
      </c>
    </row>
    <row r="832">
      <c r="A832" s="33">
        <f>IF(PAYMENTS!A325="","",PAYMENTS!A325)</f>
        <v/>
      </c>
      <c r="B832" s="31">
        <f>IF($A832="","",PAYMENTS!B325)</f>
        <v/>
      </c>
      <c r="C832" s="31">
        <f>IF($A832="","",PAYMENTS!C325)</f>
        <v/>
      </c>
      <c r="D832" s="31">
        <f>IF($A832="","",PAYMENTS!D325)</f>
        <v/>
      </c>
      <c r="E832" s="32">
        <f>IF($A832="","",PAYMENTS!E325)</f>
        <v/>
      </c>
      <c r="F832" s="31">
        <f>IF($A832="","",PAYMENTS!F325)</f>
        <v/>
      </c>
      <c r="G832" s="31">
        <f>IF($A832="","",PAYMENTS!G325)</f>
        <v/>
      </c>
    </row>
    <row r="833">
      <c r="A833" s="33">
        <f>IF(PAYMENTS!A326="","",PAYMENTS!A326)</f>
        <v/>
      </c>
      <c r="B833" s="31">
        <f>IF($A833="","",PAYMENTS!B326)</f>
        <v/>
      </c>
      <c r="C833" s="31">
        <f>IF($A833="","",PAYMENTS!C326)</f>
        <v/>
      </c>
      <c r="D833" s="31">
        <f>IF($A833="","",PAYMENTS!D326)</f>
        <v/>
      </c>
      <c r="E833" s="32">
        <f>IF($A833="","",PAYMENTS!E326)</f>
        <v/>
      </c>
      <c r="F833" s="31">
        <f>IF($A833="","",PAYMENTS!F326)</f>
        <v/>
      </c>
      <c r="G833" s="31">
        <f>IF($A833="","",PAYMENTS!G326)</f>
        <v/>
      </c>
    </row>
    <row r="834">
      <c r="A834" s="33">
        <f>IF(PAYMENTS!A327="","",PAYMENTS!A327)</f>
        <v/>
      </c>
      <c r="B834" s="31">
        <f>IF($A834="","",PAYMENTS!B327)</f>
        <v/>
      </c>
      <c r="C834" s="31">
        <f>IF($A834="","",PAYMENTS!C327)</f>
        <v/>
      </c>
      <c r="D834" s="31">
        <f>IF($A834="","",PAYMENTS!D327)</f>
        <v/>
      </c>
      <c r="E834" s="32">
        <f>IF($A834="","",PAYMENTS!E327)</f>
        <v/>
      </c>
      <c r="F834" s="31">
        <f>IF($A834="","",PAYMENTS!F327)</f>
        <v/>
      </c>
      <c r="G834" s="31">
        <f>IF($A834="","",PAYMENTS!G327)</f>
        <v/>
      </c>
    </row>
    <row r="835">
      <c r="A835" s="33">
        <f>IF(PAYMENTS!A328="","",PAYMENTS!A328)</f>
        <v/>
      </c>
      <c r="B835" s="31">
        <f>IF($A835="","",PAYMENTS!B328)</f>
        <v/>
      </c>
      <c r="C835" s="31">
        <f>IF($A835="","",PAYMENTS!C328)</f>
        <v/>
      </c>
      <c r="D835" s="31">
        <f>IF($A835="","",PAYMENTS!D328)</f>
        <v/>
      </c>
      <c r="E835" s="32">
        <f>IF($A835="","",PAYMENTS!E328)</f>
        <v/>
      </c>
      <c r="F835" s="31">
        <f>IF($A835="","",PAYMENTS!F328)</f>
        <v/>
      </c>
      <c r="G835" s="31">
        <f>IF($A835="","",PAYMENTS!G328)</f>
        <v/>
      </c>
    </row>
    <row r="836">
      <c r="A836" s="33">
        <f>IF(PAYMENTS!A329="","",PAYMENTS!A329)</f>
        <v/>
      </c>
      <c r="B836" s="31">
        <f>IF($A836="","",PAYMENTS!B329)</f>
        <v/>
      </c>
      <c r="C836" s="31">
        <f>IF($A836="","",PAYMENTS!C329)</f>
        <v/>
      </c>
      <c r="D836" s="31">
        <f>IF($A836="","",PAYMENTS!D329)</f>
        <v/>
      </c>
      <c r="E836" s="32">
        <f>IF($A836="","",PAYMENTS!E329)</f>
        <v/>
      </c>
      <c r="F836" s="31">
        <f>IF($A836="","",PAYMENTS!F329)</f>
        <v/>
      </c>
      <c r="G836" s="31">
        <f>IF($A836="","",PAYMENTS!G329)</f>
        <v/>
      </c>
    </row>
    <row r="837">
      <c r="A837" s="33">
        <f>IF(PAYMENTS!A330="","",PAYMENTS!A330)</f>
        <v/>
      </c>
      <c r="B837" s="31">
        <f>IF($A837="","",PAYMENTS!B330)</f>
        <v/>
      </c>
      <c r="C837" s="31">
        <f>IF($A837="","",PAYMENTS!C330)</f>
        <v/>
      </c>
      <c r="D837" s="31">
        <f>IF($A837="","",PAYMENTS!D330)</f>
        <v/>
      </c>
      <c r="E837" s="32">
        <f>IF($A837="","",PAYMENTS!E330)</f>
        <v/>
      </c>
      <c r="F837" s="31">
        <f>IF($A837="","",PAYMENTS!F330)</f>
        <v/>
      </c>
      <c r="G837" s="31">
        <f>IF($A837="","",PAYMENTS!G330)</f>
        <v/>
      </c>
    </row>
    <row r="838">
      <c r="A838" s="33">
        <f>IF(PAYMENTS!A331="","",PAYMENTS!A331)</f>
        <v/>
      </c>
      <c r="B838" s="31">
        <f>IF($A838="","",PAYMENTS!B331)</f>
        <v/>
      </c>
      <c r="C838" s="31">
        <f>IF($A838="","",PAYMENTS!C331)</f>
        <v/>
      </c>
      <c r="D838" s="31">
        <f>IF($A838="","",PAYMENTS!D331)</f>
        <v/>
      </c>
      <c r="E838" s="32">
        <f>IF($A838="","",PAYMENTS!E331)</f>
        <v/>
      </c>
      <c r="F838" s="31">
        <f>IF($A838="","",PAYMENTS!F331)</f>
        <v/>
      </c>
      <c r="G838" s="31">
        <f>IF($A838="","",PAYMENTS!G331)</f>
        <v/>
      </c>
    </row>
    <row r="839">
      <c r="A839" s="33">
        <f>IF(PAYMENTS!A332="","",PAYMENTS!A332)</f>
        <v/>
      </c>
      <c r="B839" s="31">
        <f>IF($A839="","",PAYMENTS!B332)</f>
        <v/>
      </c>
      <c r="C839" s="31">
        <f>IF($A839="","",PAYMENTS!C332)</f>
        <v/>
      </c>
      <c r="D839" s="31">
        <f>IF($A839="","",PAYMENTS!D332)</f>
        <v/>
      </c>
      <c r="E839" s="32">
        <f>IF($A839="","",PAYMENTS!E332)</f>
        <v/>
      </c>
      <c r="F839" s="31">
        <f>IF($A839="","",PAYMENTS!F332)</f>
        <v/>
      </c>
      <c r="G839" s="31">
        <f>IF($A839="","",PAYMENTS!G332)</f>
        <v/>
      </c>
    </row>
    <row r="840">
      <c r="A840" s="33">
        <f>IF(PAYMENTS!A333="","",PAYMENTS!A333)</f>
        <v/>
      </c>
      <c r="B840" s="31">
        <f>IF($A840="","",PAYMENTS!B333)</f>
        <v/>
      </c>
      <c r="C840" s="31">
        <f>IF($A840="","",PAYMENTS!C333)</f>
        <v/>
      </c>
      <c r="D840" s="31">
        <f>IF($A840="","",PAYMENTS!D333)</f>
        <v/>
      </c>
      <c r="E840" s="32">
        <f>IF($A840="","",PAYMENTS!E333)</f>
        <v/>
      </c>
      <c r="F840" s="31">
        <f>IF($A840="","",PAYMENTS!F333)</f>
        <v/>
      </c>
      <c r="G840" s="31">
        <f>IF($A840="","",PAYMENTS!G333)</f>
        <v/>
      </c>
    </row>
    <row r="841">
      <c r="A841" s="33">
        <f>IF(PAYMENTS!A334="","",PAYMENTS!A334)</f>
        <v/>
      </c>
      <c r="B841" s="31">
        <f>IF($A841="","",PAYMENTS!B334)</f>
        <v/>
      </c>
      <c r="C841" s="31">
        <f>IF($A841="","",PAYMENTS!C334)</f>
        <v/>
      </c>
      <c r="D841" s="31">
        <f>IF($A841="","",PAYMENTS!D334)</f>
        <v/>
      </c>
      <c r="E841" s="32">
        <f>IF($A841="","",PAYMENTS!E334)</f>
        <v/>
      </c>
      <c r="F841" s="31">
        <f>IF($A841="","",PAYMENTS!F334)</f>
        <v/>
      </c>
      <c r="G841" s="31">
        <f>IF($A841="","",PAYMENTS!G334)</f>
        <v/>
      </c>
    </row>
    <row r="842">
      <c r="A842" s="33">
        <f>IF(PAYMENTS!A335="","",PAYMENTS!A335)</f>
        <v/>
      </c>
      <c r="B842" s="31">
        <f>IF($A842="","",PAYMENTS!B335)</f>
        <v/>
      </c>
      <c r="C842" s="31">
        <f>IF($A842="","",PAYMENTS!C335)</f>
        <v/>
      </c>
      <c r="D842" s="31">
        <f>IF($A842="","",PAYMENTS!D335)</f>
        <v/>
      </c>
      <c r="E842" s="32">
        <f>IF($A842="","",PAYMENTS!E335)</f>
        <v/>
      </c>
      <c r="F842" s="31">
        <f>IF($A842="","",PAYMENTS!F335)</f>
        <v/>
      </c>
      <c r="G842" s="31">
        <f>IF($A842="","",PAYMENTS!G335)</f>
        <v/>
      </c>
    </row>
    <row r="843">
      <c r="A843" s="33">
        <f>IF(PAYMENTS!A336="","",PAYMENTS!A336)</f>
        <v/>
      </c>
      <c r="B843" s="31">
        <f>IF($A843="","",PAYMENTS!B336)</f>
        <v/>
      </c>
      <c r="C843" s="31">
        <f>IF($A843="","",PAYMENTS!C336)</f>
        <v/>
      </c>
      <c r="D843" s="31">
        <f>IF($A843="","",PAYMENTS!D336)</f>
        <v/>
      </c>
      <c r="E843" s="32">
        <f>IF($A843="","",PAYMENTS!E336)</f>
        <v/>
      </c>
      <c r="F843" s="31">
        <f>IF($A843="","",PAYMENTS!F336)</f>
        <v/>
      </c>
      <c r="G843" s="31">
        <f>IF($A843="","",PAYMENTS!G336)</f>
        <v/>
      </c>
    </row>
    <row r="844">
      <c r="A844" s="33">
        <f>IF(PAYMENTS!A337="","",PAYMENTS!A337)</f>
        <v/>
      </c>
      <c r="B844" s="31">
        <f>IF($A844="","",PAYMENTS!B337)</f>
        <v/>
      </c>
      <c r="C844" s="31">
        <f>IF($A844="","",PAYMENTS!C337)</f>
        <v/>
      </c>
      <c r="D844" s="31">
        <f>IF($A844="","",PAYMENTS!D337)</f>
        <v/>
      </c>
      <c r="E844" s="32">
        <f>IF($A844="","",PAYMENTS!E337)</f>
        <v/>
      </c>
      <c r="F844" s="31">
        <f>IF($A844="","",PAYMENTS!F337)</f>
        <v/>
      </c>
      <c r="G844" s="31">
        <f>IF($A844="","",PAYMENTS!G337)</f>
        <v/>
      </c>
    </row>
    <row r="845">
      <c r="A845" s="33">
        <f>IF(PAYMENTS!A338="","",PAYMENTS!A338)</f>
        <v/>
      </c>
      <c r="B845" s="31">
        <f>IF($A845="","",PAYMENTS!B338)</f>
        <v/>
      </c>
      <c r="C845" s="31">
        <f>IF($A845="","",PAYMENTS!C338)</f>
        <v/>
      </c>
      <c r="D845" s="31">
        <f>IF($A845="","",PAYMENTS!D338)</f>
        <v/>
      </c>
      <c r="E845" s="32">
        <f>IF($A845="","",PAYMENTS!E338)</f>
        <v/>
      </c>
      <c r="F845" s="31">
        <f>IF($A845="","",PAYMENTS!F338)</f>
        <v/>
      </c>
      <c r="G845" s="31">
        <f>IF($A845="","",PAYMENTS!G338)</f>
        <v/>
      </c>
    </row>
    <row r="846">
      <c r="A846" s="33">
        <f>IF(PAYMENTS!A339="","",PAYMENTS!A339)</f>
        <v/>
      </c>
      <c r="B846" s="31">
        <f>IF($A846="","",PAYMENTS!B339)</f>
        <v/>
      </c>
      <c r="C846" s="31">
        <f>IF($A846="","",PAYMENTS!C339)</f>
        <v/>
      </c>
      <c r="D846" s="31">
        <f>IF($A846="","",PAYMENTS!D339)</f>
        <v/>
      </c>
      <c r="E846" s="32">
        <f>IF($A846="","",PAYMENTS!E339)</f>
        <v/>
      </c>
      <c r="F846" s="31">
        <f>IF($A846="","",PAYMENTS!F339)</f>
        <v/>
      </c>
      <c r="G846" s="31">
        <f>IF($A846="","",PAYMENTS!G339)</f>
        <v/>
      </c>
    </row>
    <row r="847">
      <c r="A847" s="33">
        <f>IF(PAYMENTS!A340="","",PAYMENTS!A340)</f>
        <v/>
      </c>
      <c r="B847" s="31">
        <f>IF($A847="","",PAYMENTS!B340)</f>
        <v/>
      </c>
      <c r="C847" s="31">
        <f>IF($A847="","",PAYMENTS!C340)</f>
        <v/>
      </c>
      <c r="D847" s="31">
        <f>IF($A847="","",PAYMENTS!D340)</f>
        <v/>
      </c>
      <c r="E847" s="32">
        <f>IF($A847="","",PAYMENTS!E340)</f>
        <v/>
      </c>
      <c r="F847" s="31">
        <f>IF($A847="","",PAYMENTS!F340)</f>
        <v/>
      </c>
      <c r="G847" s="31">
        <f>IF($A847="","",PAYMENTS!G340)</f>
        <v/>
      </c>
    </row>
    <row r="848">
      <c r="A848" s="33">
        <f>IF(PAYMENTS!A341="","",PAYMENTS!A341)</f>
        <v/>
      </c>
      <c r="B848" s="31">
        <f>IF($A848="","",PAYMENTS!B341)</f>
        <v/>
      </c>
      <c r="C848" s="31">
        <f>IF($A848="","",PAYMENTS!C341)</f>
        <v/>
      </c>
      <c r="D848" s="31">
        <f>IF($A848="","",PAYMENTS!D341)</f>
        <v/>
      </c>
      <c r="E848" s="32">
        <f>IF($A848="","",PAYMENTS!E341)</f>
        <v/>
      </c>
      <c r="F848" s="31">
        <f>IF($A848="","",PAYMENTS!F341)</f>
        <v/>
      </c>
      <c r="G848" s="31">
        <f>IF($A848="","",PAYMENTS!G341)</f>
        <v/>
      </c>
    </row>
    <row r="849">
      <c r="A849" s="33">
        <f>IF(PAYMENTS!A342="","",PAYMENTS!A342)</f>
        <v/>
      </c>
      <c r="B849" s="31">
        <f>IF($A849="","",PAYMENTS!B342)</f>
        <v/>
      </c>
      <c r="C849" s="31">
        <f>IF($A849="","",PAYMENTS!C342)</f>
        <v/>
      </c>
      <c r="D849" s="31">
        <f>IF($A849="","",PAYMENTS!D342)</f>
        <v/>
      </c>
      <c r="E849" s="32">
        <f>IF($A849="","",PAYMENTS!E342)</f>
        <v/>
      </c>
      <c r="F849" s="31">
        <f>IF($A849="","",PAYMENTS!F342)</f>
        <v/>
      </c>
      <c r="G849" s="31">
        <f>IF($A849="","",PAYMENTS!G342)</f>
        <v/>
      </c>
    </row>
    <row r="850">
      <c r="A850" s="33">
        <f>IF(PAYMENTS!A343="","",PAYMENTS!A343)</f>
        <v/>
      </c>
      <c r="B850" s="31">
        <f>IF($A850="","",PAYMENTS!B343)</f>
        <v/>
      </c>
      <c r="C850" s="31">
        <f>IF($A850="","",PAYMENTS!C343)</f>
        <v/>
      </c>
      <c r="D850" s="31">
        <f>IF($A850="","",PAYMENTS!D343)</f>
        <v/>
      </c>
      <c r="E850" s="32">
        <f>IF($A850="","",PAYMENTS!E343)</f>
        <v/>
      </c>
      <c r="F850" s="31">
        <f>IF($A850="","",PAYMENTS!F343)</f>
        <v/>
      </c>
      <c r="G850" s="31">
        <f>IF($A850="","",PAYMENTS!G343)</f>
        <v/>
      </c>
    </row>
    <row r="851">
      <c r="A851" s="33">
        <f>IF(PAYMENTS!A344="","",PAYMENTS!A344)</f>
        <v/>
      </c>
      <c r="B851" s="31">
        <f>IF($A851="","",PAYMENTS!B344)</f>
        <v/>
      </c>
      <c r="C851" s="31">
        <f>IF($A851="","",PAYMENTS!C344)</f>
        <v/>
      </c>
      <c r="D851" s="31">
        <f>IF($A851="","",PAYMENTS!D344)</f>
        <v/>
      </c>
      <c r="E851" s="32">
        <f>IF($A851="","",PAYMENTS!E344)</f>
        <v/>
      </c>
      <c r="F851" s="31">
        <f>IF($A851="","",PAYMENTS!F344)</f>
        <v/>
      </c>
      <c r="G851" s="31">
        <f>IF($A851="","",PAYMENTS!G344)</f>
        <v/>
      </c>
    </row>
    <row r="852">
      <c r="A852" s="33">
        <f>IF(PAYMENTS!A345="","",PAYMENTS!A345)</f>
        <v/>
      </c>
      <c r="B852" s="31">
        <f>IF($A852="","",PAYMENTS!B345)</f>
        <v/>
      </c>
      <c r="C852" s="31">
        <f>IF($A852="","",PAYMENTS!C345)</f>
        <v/>
      </c>
      <c r="D852" s="31">
        <f>IF($A852="","",PAYMENTS!D345)</f>
        <v/>
      </c>
      <c r="E852" s="32">
        <f>IF($A852="","",PAYMENTS!E345)</f>
        <v/>
      </c>
      <c r="F852" s="31">
        <f>IF($A852="","",PAYMENTS!F345)</f>
        <v/>
      </c>
      <c r="G852" s="31">
        <f>IF($A852="","",PAYMENTS!G345)</f>
        <v/>
      </c>
    </row>
    <row r="853">
      <c r="A853" s="33">
        <f>IF(PAYMENTS!A346="","",PAYMENTS!A346)</f>
        <v/>
      </c>
      <c r="B853" s="31">
        <f>IF($A853="","",PAYMENTS!B346)</f>
        <v/>
      </c>
      <c r="C853" s="31">
        <f>IF($A853="","",PAYMENTS!C346)</f>
        <v/>
      </c>
      <c r="D853" s="31">
        <f>IF($A853="","",PAYMENTS!D346)</f>
        <v/>
      </c>
      <c r="E853" s="32">
        <f>IF($A853="","",PAYMENTS!E346)</f>
        <v/>
      </c>
      <c r="F853" s="31">
        <f>IF($A853="","",PAYMENTS!F346)</f>
        <v/>
      </c>
      <c r="G853" s="31">
        <f>IF($A853="","",PAYMENTS!G346)</f>
        <v/>
      </c>
    </row>
    <row r="854">
      <c r="A854" s="33">
        <f>IF(PAYMENTS!A347="","",PAYMENTS!A347)</f>
        <v/>
      </c>
      <c r="B854" s="31">
        <f>IF($A854="","",PAYMENTS!B347)</f>
        <v/>
      </c>
      <c r="C854" s="31">
        <f>IF($A854="","",PAYMENTS!C347)</f>
        <v/>
      </c>
      <c r="D854" s="31">
        <f>IF($A854="","",PAYMENTS!D347)</f>
        <v/>
      </c>
      <c r="E854" s="32">
        <f>IF($A854="","",PAYMENTS!E347)</f>
        <v/>
      </c>
      <c r="F854" s="31">
        <f>IF($A854="","",PAYMENTS!F347)</f>
        <v/>
      </c>
      <c r="G854" s="31">
        <f>IF($A854="","",PAYMENTS!G347)</f>
        <v/>
      </c>
    </row>
    <row r="855">
      <c r="A855" s="33">
        <f>IF(PAYMENTS!A348="","",PAYMENTS!A348)</f>
        <v/>
      </c>
      <c r="B855" s="31">
        <f>IF($A855="","",PAYMENTS!B348)</f>
        <v/>
      </c>
      <c r="C855" s="31">
        <f>IF($A855="","",PAYMENTS!C348)</f>
        <v/>
      </c>
      <c r="D855" s="31">
        <f>IF($A855="","",PAYMENTS!D348)</f>
        <v/>
      </c>
      <c r="E855" s="32">
        <f>IF($A855="","",PAYMENTS!E348)</f>
        <v/>
      </c>
      <c r="F855" s="31">
        <f>IF($A855="","",PAYMENTS!F348)</f>
        <v/>
      </c>
      <c r="G855" s="31">
        <f>IF($A855="","",PAYMENTS!G348)</f>
        <v/>
      </c>
    </row>
    <row r="856">
      <c r="A856" s="33">
        <f>IF(PAYMENTS!A349="","",PAYMENTS!A349)</f>
        <v/>
      </c>
      <c r="B856" s="31">
        <f>IF($A856="","",PAYMENTS!B349)</f>
        <v/>
      </c>
      <c r="C856" s="31">
        <f>IF($A856="","",PAYMENTS!C349)</f>
        <v/>
      </c>
      <c r="D856" s="31">
        <f>IF($A856="","",PAYMENTS!D349)</f>
        <v/>
      </c>
      <c r="E856" s="32">
        <f>IF($A856="","",PAYMENTS!E349)</f>
        <v/>
      </c>
      <c r="F856" s="31">
        <f>IF($A856="","",PAYMENTS!F349)</f>
        <v/>
      </c>
      <c r="G856" s="31">
        <f>IF($A856="","",PAYMENTS!G349)</f>
        <v/>
      </c>
    </row>
    <row r="857">
      <c r="A857" s="33">
        <f>IF(PAYMENTS!A350="","",PAYMENTS!A350)</f>
        <v/>
      </c>
      <c r="B857" s="31">
        <f>IF($A857="","",PAYMENTS!B350)</f>
        <v/>
      </c>
      <c r="C857" s="31">
        <f>IF($A857="","",PAYMENTS!C350)</f>
        <v/>
      </c>
      <c r="D857" s="31">
        <f>IF($A857="","",PAYMENTS!D350)</f>
        <v/>
      </c>
      <c r="E857" s="32">
        <f>IF($A857="","",PAYMENTS!E350)</f>
        <v/>
      </c>
      <c r="F857" s="31">
        <f>IF($A857="","",PAYMENTS!F350)</f>
        <v/>
      </c>
      <c r="G857" s="31">
        <f>IF($A857="","",PAYMENTS!G350)</f>
        <v/>
      </c>
    </row>
    <row r="858">
      <c r="A858" s="33">
        <f>IF(PAYMENTS!A351="","",PAYMENTS!A351)</f>
        <v/>
      </c>
      <c r="B858" s="31">
        <f>IF($A858="","",PAYMENTS!B351)</f>
        <v/>
      </c>
      <c r="C858" s="31">
        <f>IF($A858="","",PAYMENTS!C351)</f>
        <v/>
      </c>
      <c r="D858" s="31">
        <f>IF($A858="","",PAYMENTS!D351)</f>
        <v/>
      </c>
      <c r="E858" s="32">
        <f>IF($A858="","",PAYMENTS!E351)</f>
        <v/>
      </c>
      <c r="F858" s="31">
        <f>IF($A858="","",PAYMENTS!F351)</f>
        <v/>
      </c>
      <c r="G858" s="31">
        <f>IF($A858="","",PAYMENTS!G351)</f>
        <v/>
      </c>
    </row>
    <row r="859">
      <c r="A859" s="33">
        <f>IF(PAYMENTS!A352="","",PAYMENTS!A352)</f>
        <v/>
      </c>
      <c r="B859" s="31">
        <f>IF($A859="","",PAYMENTS!B352)</f>
        <v/>
      </c>
      <c r="C859" s="31">
        <f>IF($A859="","",PAYMENTS!C352)</f>
        <v/>
      </c>
      <c r="D859" s="31">
        <f>IF($A859="","",PAYMENTS!D352)</f>
        <v/>
      </c>
      <c r="E859" s="32">
        <f>IF($A859="","",PAYMENTS!E352)</f>
        <v/>
      </c>
      <c r="F859" s="31">
        <f>IF($A859="","",PAYMENTS!F352)</f>
        <v/>
      </c>
      <c r="G859" s="31">
        <f>IF($A859="","",PAYMENTS!G352)</f>
        <v/>
      </c>
    </row>
    <row r="860">
      <c r="A860" s="33">
        <f>IF(PAYMENTS!A353="","",PAYMENTS!A353)</f>
        <v/>
      </c>
      <c r="B860" s="31">
        <f>IF($A860="","",PAYMENTS!B353)</f>
        <v/>
      </c>
      <c r="C860" s="31">
        <f>IF($A860="","",PAYMENTS!C353)</f>
        <v/>
      </c>
      <c r="D860" s="31">
        <f>IF($A860="","",PAYMENTS!D353)</f>
        <v/>
      </c>
      <c r="E860" s="32">
        <f>IF($A860="","",PAYMENTS!E353)</f>
        <v/>
      </c>
      <c r="F860" s="31">
        <f>IF($A860="","",PAYMENTS!F353)</f>
        <v/>
      </c>
      <c r="G860" s="31">
        <f>IF($A860="","",PAYMENTS!G353)</f>
        <v/>
      </c>
    </row>
    <row r="861">
      <c r="A861" s="33">
        <f>IF(PAYMENTS!A354="","",PAYMENTS!A354)</f>
        <v/>
      </c>
      <c r="B861" s="31">
        <f>IF($A861="","",PAYMENTS!B354)</f>
        <v/>
      </c>
      <c r="C861" s="31">
        <f>IF($A861="","",PAYMENTS!C354)</f>
        <v/>
      </c>
      <c r="D861" s="31">
        <f>IF($A861="","",PAYMENTS!D354)</f>
        <v/>
      </c>
      <c r="E861" s="32">
        <f>IF($A861="","",PAYMENTS!E354)</f>
        <v/>
      </c>
      <c r="F861" s="31">
        <f>IF($A861="","",PAYMENTS!F354)</f>
        <v/>
      </c>
      <c r="G861" s="31">
        <f>IF($A861="","",PAYMENTS!G354)</f>
        <v/>
      </c>
    </row>
    <row r="862">
      <c r="A862" s="33">
        <f>IF(PAYMENTS!A355="","",PAYMENTS!A355)</f>
        <v/>
      </c>
      <c r="B862" s="31">
        <f>IF($A862="","",PAYMENTS!B355)</f>
        <v/>
      </c>
      <c r="C862" s="31">
        <f>IF($A862="","",PAYMENTS!C355)</f>
        <v/>
      </c>
      <c r="D862" s="31">
        <f>IF($A862="","",PAYMENTS!D355)</f>
        <v/>
      </c>
      <c r="E862" s="32">
        <f>IF($A862="","",PAYMENTS!E355)</f>
        <v/>
      </c>
      <c r="F862" s="31">
        <f>IF($A862="","",PAYMENTS!F355)</f>
        <v/>
      </c>
      <c r="G862" s="31">
        <f>IF($A862="","",PAYMENTS!G355)</f>
        <v/>
      </c>
    </row>
    <row r="863">
      <c r="A863" s="33">
        <f>IF(PAYMENTS!A356="","",PAYMENTS!A356)</f>
        <v/>
      </c>
      <c r="B863" s="31">
        <f>IF($A863="","",PAYMENTS!B356)</f>
        <v/>
      </c>
      <c r="C863" s="31">
        <f>IF($A863="","",PAYMENTS!C356)</f>
        <v/>
      </c>
      <c r="D863" s="31">
        <f>IF($A863="","",PAYMENTS!D356)</f>
        <v/>
      </c>
      <c r="E863" s="32">
        <f>IF($A863="","",PAYMENTS!E356)</f>
        <v/>
      </c>
      <c r="F863" s="31">
        <f>IF($A863="","",PAYMENTS!F356)</f>
        <v/>
      </c>
      <c r="G863" s="31">
        <f>IF($A863="","",PAYMENTS!G356)</f>
        <v/>
      </c>
    </row>
    <row r="864">
      <c r="A864" s="33">
        <f>IF(PAYMENTS!A357="","",PAYMENTS!A357)</f>
        <v/>
      </c>
      <c r="B864" s="31">
        <f>IF($A864="","",PAYMENTS!B357)</f>
        <v/>
      </c>
      <c r="C864" s="31">
        <f>IF($A864="","",PAYMENTS!C357)</f>
        <v/>
      </c>
      <c r="D864" s="31">
        <f>IF($A864="","",PAYMENTS!D357)</f>
        <v/>
      </c>
      <c r="E864" s="32">
        <f>IF($A864="","",PAYMENTS!E357)</f>
        <v/>
      </c>
      <c r="F864" s="31">
        <f>IF($A864="","",PAYMENTS!F357)</f>
        <v/>
      </c>
      <c r="G864" s="31">
        <f>IF($A864="","",PAYMENTS!G357)</f>
        <v/>
      </c>
    </row>
    <row r="865">
      <c r="A865" s="33">
        <f>IF(PAYMENTS!A358="","",PAYMENTS!A358)</f>
        <v/>
      </c>
      <c r="B865" s="31">
        <f>IF($A865="","",PAYMENTS!B358)</f>
        <v/>
      </c>
      <c r="C865" s="31">
        <f>IF($A865="","",PAYMENTS!C358)</f>
        <v/>
      </c>
      <c r="D865" s="31">
        <f>IF($A865="","",PAYMENTS!D358)</f>
        <v/>
      </c>
      <c r="E865" s="32">
        <f>IF($A865="","",PAYMENTS!E358)</f>
        <v/>
      </c>
      <c r="F865" s="31">
        <f>IF($A865="","",PAYMENTS!F358)</f>
        <v/>
      </c>
      <c r="G865" s="31">
        <f>IF($A865="","",PAYMENTS!G358)</f>
        <v/>
      </c>
    </row>
    <row r="866">
      <c r="A866" s="33">
        <f>IF(PAYMENTS!A359="","",PAYMENTS!A359)</f>
        <v/>
      </c>
      <c r="B866" s="31">
        <f>IF($A866="","",PAYMENTS!B359)</f>
        <v/>
      </c>
      <c r="C866" s="31">
        <f>IF($A866="","",PAYMENTS!C359)</f>
        <v/>
      </c>
      <c r="D866" s="31">
        <f>IF($A866="","",PAYMENTS!D359)</f>
        <v/>
      </c>
      <c r="E866" s="32">
        <f>IF($A866="","",PAYMENTS!E359)</f>
        <v/>
      </c>
      <c r="F866" s="31">
        <f>IF($A866="","",PAYMENTS!F359)</f>
        <v/>
      </c>
      <c r="G866" s="31">
        <f>IF($A866="","",PAYMENTS!G359)</f>
        <v/>
      </c>
    </row>
    <row r="867">
      <c r="A867" s="33">
        <f>IF(PAYMENTS!A360="","",PAYMENTS!A360)</f>
        <v/>
      </c>
      <c r="B867" s="31">
        <f>IF($A867="","",PAYMENTS!B360)</f>
        <v/>
      </c>
      <c r="C867" s="31">
        <f>IF($A867="","",PAYMENTS!C360)</f>
        <v/>
      </c>
      <c r="D867" s="31">
        <f>IF($A867="","",PAYMENTS!D360)</f>
        <v/>
      </c>
      <c r="E867" s="32">
        <f>IF($A867="","",PAYMENTS!E360)</f>
        <v/>
      </c>
      <c r="F867" s="31">
        <f>IF($A867="","",PAYMENTS!F360)</f>
        <v/>
      </c>
      <c r="G867" s="31">
        <f>IF($A867="","",PAYMENTS!G360)</f>
        <v/>
      </c>
    </row>
    <row r="868">
      <c r="A868" s="33">
        <f>IF(PAYMENTS!A361="","",PAYMENTS!A361)</f>
        <v/>
      </c>
      <c r="B868" s="31">
        <f>IF($A868="","",PAYMENTS!B361)</f>
        <v/>
      </c>
      <c r="C868" s="31">
        <f>IF($A868="","",PAYMENTS!C361)</f>
        <v/>
      </c>
      <c r="D868" s="31">
        <f>IF($A868="","",PAYMENTS!D361)</f>
        <v/>
      </c>
      <c r="E868" s="32">
        <f>IF($A868="","",PAYMENTS!E361)</f>
        <v/>
      </c>
      <c r="F868" s="31">
        <f>IF($A868="","",PAYMENTS!F361)</f>
        <v/>
      </c>
      <c r="G868" s="31">
        <f>IF($A868="","",PAYMENTS!G361)</f>
        <v/>
      </c>
    </row>
    <row r="869">
      <c r="A869" s="33">
        <f>IF(PAYMENTS!A362="","",PAYMENTS!A362)</f>
        <v/>
      </c>
      <c r="B869" s="31">
        <f>IF($A869="","",PAYMENTS!B362)</f>
        <v/>
      </c>
      <c r="C869" s="31">
        <f>IF($A869="","",PAYMENTS!C362)</f>
        <v/>
      </c>
      <c r="D869" s="31">
        <f>IF($A869="","",PAYMENTS!D362)</f>
        <v/>
      </c>
      <c r="E869" s="32">
        <f>IF($A869="","",PAYMENTS!E362)</f>
        <v/>
      </c>
      <c r="F869" s="31">
        <f>IF($A869="","",PAYMENTS!F362)</f>
        <v/>
      </c>
      <c r="G869" s="31">
        <f>IF($A869="","",PAYMENTS!G362)</f>
        <v/>
      </c>
    </row>
    <row r="870">
      <c r="A870" s="33">
        <f>IF(PAYMENTS!A363="","",PAYMENTS!A363)</f>
        <v/>
      </c>
      <c r="B870" s="31">
        <f>IF($A870="","",PAYMENTS!B363)</f>
        <v/>
      </c>
      <c r="C870" s="31">
        <f>IF($A870="","",PAYMENTS!C363)</f>
        <v/>
      </c>
      <c r="D870" s="31">
        <f>IF($A870="","",PAYMENTS!D363)</f>
        <v/>
      </c>
      <c r="E870" s="32">
        <f>IF($A870="","",PAYMENTS!E363)</f>
        <v/>
      </c>
      <c r="F870" s="31">
        <f>IF($A870="","",PAYMENTS!F363)</f>
        <v/>
      </c>
      <c r="G870" s="31">
        <f>IF($A870="","",PAYMENTS!G363)</f>
        <v/>
      </c>
    </row>
    <row r="871">
      <c r="A871" s="33">
        <f>IF(PAYMENTS!A364="","",PAYMENTS!A364)</f>
        <v/>
      </c>
      <c r="B871" s="31">
        <f>IF($A871="","",PAYMENTS!B364)</f>
        <v/>
      </c>
      <c r="C871" s="31">
        <f>IF($A871="","",PAYMENTS!C364)</f>
        <v/>
      </c>
      <c r="D871" s="31">
        <f>IF($A871="","",PAYMENTS!D364)</f>
        <v/>
      </c>
      <c r="E871" s="32">
        <f>IF($A871="","",PAYMENTS!E364)</f>
        <v/>
      </c>
      <c r="F871" s="31">
        <f>IF($A871="","",PAYMENTS!F364)</f>
        <v/>
      </c>
      <c r="G871" s="31">
        <f>IF($A871="","",PAYMENTS!G364)</f>
        <v/>
      </c>
    </row>
    <row r="872">
      <c r="A872" s="33">
        <f>IF(PAYMENTS!A365="","",PAYMENTS!A365)</f>
        <v/>
      </c>
      <c r="B872" s="31">
        <f>IF($A872="","",PAYMENTS!B365)</f>
        <v/>
      </c>
      <c r="C872" s="31">
        <f>IF($A872="","",PAYMENTS!C365)</f>
        <v/>
      </c>
      <c r="D872" s="31">
        <f>IF($A872="","",PAYMENTS!D365)</f>
        <v/>
      </c>
      <c r="E872" s="32">
        <f>IF($A872="","",PAYMENTS!E365)</f>
        <v/>
      </c>
      <c r="F872" s="31">
        <f>IF($A872="","",PAYMENTS!F365)</f>
        <v/>
      </c>
      <c r="G872" s="31">
        <f>IF($A872="","",PAYMENTS!G365)</f>
        <v/>
      </c>
    </row>
    <row r="873">
      <c r="A873" s="33">
        <f>IF(PAYMENTS!A366="","",PAYMENTS!A366)</f>
        <v/>
      </c>
      <c r="B873" s="31">
        <f>IF($A873="","",PAYMENTS!B366)</f>
        <v/>
      </c>
      <c r="C873" s="31">
        <f>IF($A873="","",PAYMENTS!C366)</f>
        <v/>
      </c>
      <c r="D873" s="31">
        <f>IF($A873="","",PAYMENTS!D366)</f>
        <v/>
      </c>
      <c r="E873" s="32">
        <f>IF($A873="","",PAYMENTS!E366)</f>
        <v/>
      </c>
      <c r="F873" s="31">
        <f>IF($A873="","",PAYMENTS!F366)</f>
        <v/>
      </c>
      <c r="G873" s="31">
        <f>IF($A873="","",PAYMENTS!G366)</f>
        <v/>
      </c>
    </row>
    <row r="874">
      <c r="A874" s="33">
        <f>IF(PAYMENTS!A367="","",PAYMENTS!A367)</f>
        <v/>
      </c>
      <c r="B874" s="31">
        <f>IF($A874="","",PAYMENTS!B367)</f>
        <v/>
      </c>
      <c r="C874" s="31">
        <f>IF($A874="","",PAYMENTS!C367)</f>
        <v/>
      </c>
      <c r="D874" s="31">
        <f>IF($A874="","",PAYMENTS!D367)</f>
        <v/>
      </c>
      <c r="E874" s="32">
        <f>IF($A874="","",PAYMENTS!E367)</f>
        <v/>
      </c>
      <c r="F874" s="31">
        <f>IF($A874="","",PAYMENTS!F367)</f>
        <v/>
      </c>
      <c r="G874" s="31">
        <f>IF($A874="","",PAYMENTS!G367)</f>
        <v/>
      </c>
    </row>
    <row r="875">
      <c r="A875" s="33">
        <f>IF(PAYMENTS!A368="","",PAYMENTS!A368)</f>
        <v/>
      </c>
      <c r="B875" s="31">
        <f>IF($A875="","",PAYMENTS!B368)</f>
        <v/>
      </c>
      <c r="C875" s="31">
        <f>IF($A875="","",PAYMENTS!C368)</f>
        <v/>
      </c>
      <c r="D875" s="31">
        <f>IF($A875="","",PAYMENTS!D368)</f>
        <v/>
      </c>
      <c r="E875" s="32">
        <f>IF($A875="","",PAYMENTS!E368)</f>
        <v/>
      </c>
      <c r="F875" s="31">
        <f>IF($A875="","",PAYMENTS!F368)</f>
        <v/>
      </c>
      <c r="G875" s="31">
        <f>IF($A875="","",PAYMENTS!G368)</f>
        <v/>
      </c>
    </row>
    <row r="876">
      <c r="A876" s="33">
        <f>IF(PAYMENTS!A369="","",PAYMENTS!A369)</f>
        <v/>
      </c>
      <c r="B876" s="31">
        <f>IF($A876="","",PAYMENTS!B369)</f>
        <v/>
      </c>
      <c r="C876" s="31">
        <f>IF($A876="","",PAYMENTS!C369)</f>
        <v/>
      </c>
      <c r="D876" s="31">
        <f>IF($A876="","",PAYMENTS!D369)</f>
        <v/>
      </c>
      <c r="E876" s="32">
        <f>IF($A876="","",PAYMENTS!E369)</f>
        <v/>
      </c>
      <c r="F876" s="31">
        <f>IF($A876="","",PAYMENTS!F369)</f>
        <v/>
      </c>
      <c r="G876" s="31">
        <f>IF($A876="","",PAYMENTS!G369)</f>
        <v/>
      </c>
    </row>
    <row r="877">
      <c r="A877" s="33">
        <f>IF(PAYMENTS!A370="","",PAYMENTS!A370)</f>
        <v/>
      </c>
      <c r="B877" s="31">
        <f>IF($A877="","",PAYMENTS!B370)</f>
        <v/>
      </c>
      <c r="C877" s="31">
        <f>IF($A877="","",PAYMENTS!C370)</f>
        <v/>
      </c>
      <c r="D877" s="31">
        <f>IF($A877="","",PAYMENTS!D370)</f>
        <v/>
      </c>
      <c r="E877" s="32">
        <f>IF($A877="","",PAYMENTS!E370)</f>
        <v/>
      </c>
      <c r="F877" s="31">
        <f>IF($A877="","",PAYMENTS!F370)</f>
        <v/>
      </c>
      <c r="G877" s="31">
        <f>IF($A877="","",PAYMENTS!G370)</f>
        <v/>
      </c>
    </row>
    <row r="878">
      <c r="A878" s="33">
        <f>IF(PAYMENTS!A371="","",PAYMENTS!A371)</f>
        <v/>
      </c>
      <c r="B878" s="31">
        <f>IF($A878="","",PAYMENTS!B371)</f>
        <v/>
      </c>
      <c r="C878" s="31">
        <f>IF($A878="","",PAYMENTS!C371)</f>
        <v/>
      </c>
      <c r="D878" s="31">
        <f>IF($A878="","",PAYMENTS!D371)</f>
        <v/>
      </c>
      <c r="E878" s="32">
        <f>IF($A878="","",PAYMENTS!E371)</f>
        <v/>
      </c>
      <c r="F878" s="31">
        <f>IF($A878="","",PAYMENTS!F371)</f>
        <v/>
      </c>
      <c r="G878" s="31">
        <f>IF($A878="","",PAYMENTS!G371)</f>
        <v/>
      </c>
    </row>
    <row r="879">
      <c r="A879" s="33">
        <f>IF(PAYMENTS!A372="","",PAYMENTS!A372)</f>
        <v/>
      </c>
      <c r="B879" s="31">
        <f>IF($A879="","",PAYMENTS!B372)</f>
        <v/>
      </c>
      <c r="C879" s="31">
        <f>IF($A879="","",PAYMENTS!C372)</f>
        <v/>
      </c>
      <c r="D879" s="31">
        <f>IF($A879="","",PAYMENTS!D372)</f>
        <v/>
      </c>
      <c r="E879" s="32">
        <f>IF($A879="","",PAYMENTS!E372)</f>
        <v/>
      </c>
      <c r="F879" s="31">
        <f>IF($A879="","",PAYMENTS!F372)</f>
        <v/>
      </c>
      <c r="G879" s="31">
        <f>IF($A879="","",PAYMENTS!G372)</f>
        <v/>
      </c>
    </row>
    <row r="880">
      <c r="A880" s="33">
        <f>IF(PAYMENTS!A373="","",PAYMENTS!A373)</f>
        <v/>
      </c>
      <c r="B880" s="31">
        <f>IF($A880="","",PAYMENTS!B373)</f>
        <v/>
      </c>
      <c r="C880" s="31">
        <f>IF($A880="","",PAYMENTS!C373)</f>
        <v/>
      </c>
      <c r="D880" s="31">
        <f>IF($A880="","",PAYMENTS!D373)</f>
        <v/>
      </c>
      <c r="E880" s="32">
        <f>IF($A880="","",PAYMENTS!E373)</f>
        <v/>
      </c>
      <c r="F880" s="31">
        <f>IF($A880="","",PAYMENTS!F373)</f>
        <v/>
      </c>
      <c r="G880" s="31">
        <f>IF($A880="","",PAYMENTS!G373)</f>
        <v/>
      </c>
    </row>
    <row r="881">
      <c r="A881" s="33">
        <f>IF(PAYMENTS!A374="","",PAYMENTS!A374)</f>
        <v/>
      </c>
      <c r="B881" s="31">
        <f>IF($A881="","",PAYMENTS!B374)</f>
        <v/>
      </c>
      <c r="C881" s="31">
        <f>IF($A881="","",PAYMENTS!C374)</f>
        <v/>
      </c>
      <c r="D881" s="31">
        <f>IF($A881="","",PAYMENTS!D374)</f>
        <v/>
      </c>
      <c r="E881" s="32">
        <f>IF($A881="","",PAYMENTS!E374)</f>
        <v/>
      </c>
      <c r="F881" s="31">
        <f>IF($A881="","",PAYMENTS!F374)</f>
        <v/>
      </c>
      <c r="G881" s="31">
        <f>IF($A881="","",PAYMENTS!G374)</f>
        <v/>
      </c>
    </row>
    <row r="882">
      <c r="A882" s="33">
        <f>IF(PAYMENTS!A375="","",PAYMENTS!A375)</f>
        <v/>
      </c>
      <c r="B882" s="31">
        <f>IF($A882="","",PAYMENTS!B375)</f>
        <v/>
      </c>
      <c r="C882" s="31">
        <f>IF($A882="","",PAYMENTS!C375)</f>
        <v/>
      </c>
      <c r="D882" s="31">
        <f>IF($A882="","",PAYMENTS!D375)</f>
        <v/>
      </c>
      <c r="E882" s="32">
        <f>IF($A882="","",PAYMENTS!E375)</f>
        <v/>
      </c>
      <c r="F882" s="31">
        <f>IF($A882="","",PAYMENTS!F375)</f>
        <v/>
      </c>
      <c r="G882" s="31">
        <f>IF($A882="","",PAYMENTS!G375)</f>
        <v/>
      </c>
    </row>
    <row r="883">
      <c r="A883" s="33">
        <f>IF(PAYMENTS!A376="","",PAYMENTS!A376)</f>
        <v/>
      </c>
      <c r="B883" s="31">
        <f>IF($A883="","",PAYMENTS!B376)</f>
        <v/>
      </c>
      <c r="C883" s="31">
        <f>IF($A883="","",PAYMENTS!C376)</f>
        <v/>
      </c>
      <c r="D883" s="31">
        <f>IF($A883="","",PAYMENTS!D376)</f>
        <v/>
      </c>
      <c r="E883" s="32">
        <f>IF($A883="","",PAYMENTS!E376)</f>
        <v/>
      </c>
      <c r="F883" s="31">
        <f>IF($A883="","",PAYMENTS!F376)</f>
        <v/>
      </c>
      <c r="G883" s="31">
        <f>IF($A883="","",PAYMENTS!G376)</f>
        <v/>
      </c>
    </row>
    <row r="884">
      <c r="A884" s="33">
        <f>IF(PAYMENTS!A377="","",PAYMENTS!A377)</f>
        <v/>
      </c>
      <c r="B884" s="31">
        <f>IF($A884="","",PAYMENTS!B377)</f>
        <v/>
      </c>
      <c r="C884" s="31">
        <f>IF($A884="","",PAYMENTS!C377)</f>
        <v/>
      </c>
      <c r="D884" s="31">
        <f>IF($A884="","",PAYMENTS!D377)</f>
        <v/>
      </c>
      <c r="E884" s="32">
        <f>IF($A884="","",PAYMENTS!E377)</f>
        <v/>
      </c>
      <c r="F884" s="31">
        <f>IF($A884="","",PAYMENTS!F377)</f>
        <v/>
      </c>
      <c r="G884" s="31">
        <f>IF($A884="","",PAYMENTS!G377)</f>
        <v/>
      </c>
    </row>
    <row r="885">
      <c r="A885" s="33">
        <f>IF(PAYMENTS!A378="","",PAYMENTS!A378)</f>
        <v/>
      </c>
      <c r="B885" s="31">
        <f>IF($A885="","",PAYMENTS!B378)</f>
        <v/>
      </c>
      <c r="C885" s="31">
        <f>IF($A885="","",PAYMENTS!C378)</f>
        <v/>
      </c>
      <c r="D885" s="31">
        <f>IF($A885="","",PAYMENTS!D378)</f>
        <v/>
      </c>
      <c r="E885" s="32">
        <f>IF($A885="","",PAYMENTS!E378)</f>
        <v/>
      </c>
      <c r="F885" s="31">
        <f>IF($A885="","",PAYMENTS!F378)</f>
        <v/>
      </c>
      <c r="G885" s="31">
        <f>IF($A885="","",PAYMENTS!G378)</f>
        <v/>
      </c>
    </row>
    <row r="886">
      <c r="A886" s="33">
        <f>IF(PAYMENTS!A379="","",PAYMENTS!A379)</f>
        <v/>
      </c>
      <c r="B886" s="31">
        <f>IF($A886="","",PAYMENTS!B379)</f>
        <v/>
      </c>
      <c r="C886" s="31">
        <f>IF($A886="","",PAYMENTS!C379)</f>
        <v/>
      </c>
      <c r="D886" s="31">
        <f>IF($A886="","",PAYMENTS!D379)</f>
        <v/>
      </c>
      <c r="E886" s="32">
        <f>IF($A886="","",PAYMENTS!E379)</f>
        <v/>
      </c>
      <c r="F886" s="31">
        <f>IF($A886="","",PAYMENTS!F379)</f>
        <v/>
      </c>
      <c r="G886" s="31">
        <f>IF($A886="","",PAYMENTS!G379)</f>
        <v/>
      </c>
    </row>
    <row r="887">
      <c r="A887" s="33">
        <f>IF(PAYMENTS!A380="","",PAYMENTS!A380)</f>
        <v/>
      </c>
      <c r="B887" s="31">
        <f>IF($A887="","",PAYMENTS!B380)</f>
        <v/>
      </c>
      <c r="C887" s="31">
        <f>IF($A887="","",PAYMENTS!C380)</f>
        <v/>
      </c>
      <c r="D887" s="31">
        <f>IF($A887="","",PAYMENTS!D380)</f>
        <v/>
      </c>
      <c r="E887" s="32">
        <f>IF($A887="","",PAYMENTS!E380)</f>
        <v/>
      </c>
      <c r="F887" s="31">
        <f>IF($A887="","",PAYMENTS!F380)</f>
        <v/>
      </c>
      <c r="G887" s="31">
        <f>IF($A887="","",PAYMENTS!G380)</f>
        <v/>
      </c>
    </row>
    <row r="888">
      <c r="A888" s="33">
        <f>IF(PAYMENTS!A381="","",PAYMENTS!A381)</f>
        <v/>
      </c>
      <c r="B888" s="31">
        <f>IF($A888="","",PAYMENTS!B381)</f>
        <v/>
      </c>
      <c r="C888" s="31">
        <f>IF($A888="","",PAYMENTS!C381)</f>
        <v/>
      </c>
      <c r="D888" s="31">
        <f>IF($A888="","",PAYMENTS!D381)</f>
        <v/>
      </c>
      <c r="E888" s="32">
        <f>IF($A888="","",PAYMENTS!E381)</f>
        <v/>
      </c>
      <c r="F888" s="31">
        <f>IF($A888="","",PAYMENTS!F381)</f>
        <v/>
      </c>
      <c r="G888" s="31">
        <f>IF($A888="","",PAYMENTS!G381)</f>
        <v/>
      </c>
    </row>
    <row r="889">
      <c r="A889" s="33">
        <f>IF(PAYMENTS!A382="","",PAYMENTS!A382)</f>
        <v/>
      </c>
      <c r="B889" s="31">
        <f>IF($A889="","",PAYMENTS!B382)</f>
        <v/>
      </c>
      <c r="C889" s="31">
        <f>IF($A889="","",PAYMENTS!C382)</f>
        <v/>
      </c>
      <c r="D889" s="31">
        <f>IF($A889="","",PAYMENTS!D382)</f>
        <v/>
      </c>
      <c r="E889" s="32">
        <f>IF($A889="","",PAYMENTS!E382)</f>
        <v/>
      </c>
      <c r="F889" s="31">
        <f>IF($A889="","",PAYMENTS!F382)</f>
        <v/>
      </c>
      <c r="G889" s="31">
        <f>IF($A889="","",PAYMENTS!G382)</f>
        <v/>
      </c>
    </row>
    <row r="890">
      <c r="A890" s="33">
        <f>IF(PAYMENTS!A383="","",PAYMENTS!A383)</f>
        <v/>
      </c>
      <c r="B890" s="31">
        <f>IF($A890="","",PAYMENTS!B383)</f>
        <v/>
      </c>
      <c r="C890" s="31">
        <f>IF($A890="","",PAYMENTS!C383)</f>
        <v/>
      </c>
      <c r="D890" s="31">
        <f>IF($A890="","",PAYMENTS!D383)</f>
        <v/>
      </c>
      <c r="E890" s="32">
        <f>IF($A890="","",PAYMENTS!E383)</f>
        <v/>
      </c>
      <c r="F890" s="31">
        <f>IF($A890="","",PAYMENTS!F383)</f>
        <v/>
      </c>
      <c r="G890" s="31">
        <f>IF($A890="","",PAYMENTS!G383)</f>
        <v/>
      </c>
    </row>
    <row r="891">
      <c r="A891" s="33">
        <f>IF(PAYMENTS!A384="","",PAYMENTS!A384)</f>
        <v/>
      </c>
      <c r="B891" s="31">
        <f>IF($A891="","",PAYMENTS!B384)</f>
        <v/>
      </c>
      <c r="C891" s="31">
        <f>IF($A891="","",PAYMENTS!C384)</f>
        <v/>
      </c>
      <c r="D891" s="31">
        <f>IF($A891="","",PAYMENTS!D384)</f>
        <v/>
      </c>
      <c r="E891" s="32">
        <f>IF($A891="","",PAYMENTS!E384)</f>
        <v/>
      </c>
      <c r="F891" s="31">
        <f>IF($A891="","",PAYMENTS!F384)</f>
        <v/>
      </c>
      <c r="G891" s="31">
        <f>IF($A891="","",PAYMENTS!G384)</f>
        <v/>
      </c>
    </row>
    <row r="892">
      <c r="A892" s="33">
        <f>IF(PAYMENTS!A385="","",PAYMENTS!A385)</f>
        <v/>
      </c>
      <c r="B892" s="31">
        <f>IF($A892="","",PAYMENTS!B385)</f>
        <v/>
      </c>
      <c r="C892" s="31">
        <f>IF($A892="","",PAYMENTS!C385)</f>
        <v/>
      </c>
      <c r="D892" s="31">
        <f>IF($A892="","",PAYMENTS!D385)</f>
        <v/>
      </c>
      <c r="E892" s="32">
        <f>IF($A892="","",PAYMENTS!E385)</f>
        <v/>
      </c>
      <c r="F892" s="31">
        <f>IF($A892="","",PAYMENTS!F385)</f>
        <v/>
      </c>
      <c r="G892" s="31">
        <f>IF($A892="","",PAYMENTS!G385)</f>
        <v/>
      </c>
    </row>
    <row r="893">
      <c r="A893" s="33">
        <f>IF(PAYMENTS!A386="","",PAYMENTS!A386)</f>
        <v/>
      </c>
      <c r="B893" s="31">
        <f>IF($A893="","",PAYMENTS!B386)</f>
        <v/>
      </c>
      <c r="C893" s="31">
        <f>IF($A893="","",PAYMENTS!C386)</f>
        <v/>
      </c>
      <c r="D893" s="31">
        <f>IF($A893="","",PAYMENTS!D386)</f>
        <v/>
      </c>
      <c r="E893" s="32">
        <f>IF($A893="","",PAYMENTS!E386)</f>
        <v/>
      </c>
      <c r="F893" s="31">
        <f>IF($A893="","",PAYMENTS!F386)</f>
        <v/>
      </c>
      <c r="G893" s="31">
        <f>IF($A893="","",PAYMENTS!G386)</f>
        <v/>
      </c>
    </row>
    <row r="894">
      <c r="A894" s="33">
        <f>IF(PAYMENTS!A387="","",PAYMENTS!A387)</f>
        <v/>
      </c>
      <c r="B894" s="31">
        <f>IF($A894="","",PAYMENTS!B387)</f>
        <v/>
      </c>
      <c r="C894" s="31">
        <f>IF($A894="","",PAYMENTS!C387)</f>
        <v/>
      </c>
      <c r="D894" s="31">
        <f>IF($A894="","",PAYMENTS!D387)</f>
        <v/>
      </c>
      <c r="E894" s="32">
        <f>IF($A894="","",PAYMENTS!E387)</f>
        <v/>
      </c>
      <c r="F894" s="31">
        <f>IF($A894="","",PAYMENTS!F387)</f>
        <v/>
      </c>
      <c r="G894" s="31">
        <f>IF($A894="","",PAYMENTS!G387)</f>
        <v/>
      </c>
    </row>
    <row r="895">
      <c r="A895" s="33">
        <f>IF(PAYMENTS!A388="","",PAYMENTS!A388)</f>
        <v/>
      </c>
      <c r="B895" s="31">
        <f>IF($A895="","",PAYMENTS!B388)</f>
        <v/>
      </c>
      <c r="C895" s="31">
        <f>IF($A895="","",PAYMENTS!C388)</f>
        <v/>
      </c>
      <c r="D895" s="31">
        <f>IF($A895="","",PAYMENTS!D388)</f>
        <v/>
      </c>
      <c r="E895" s="32">
        <f>IF($A895="","",PAYMENTS!E388)</f>
        <v/>
      </c>
      <c r="F895" s="31">
        <f>IF($A895="","",PAYMENTS!F388)</f>
        <v/>
      </c>
      <c r="G895" s="31">
        <f>IF($A895="","",PAYMENTS!G388)</f>
        <v/>
      </c>
    </row>
    <row r="896">
      <c r="A896" s="33">
        <f>IF(PAYMENTS!A389="","",PAYMENTS!A389)</f>
        <v/>
      </c>
      <c r="B896" s="31">
        <f>IF($A896="","",PAYMENTS!B389)</f>
        <v/>
      </c>
      <c r="C896" s="31">
        <f>IF($A896="","",PAYMENTS!C389)</f>
        <v/>
      </c>
      <c r="D896" s="31">
        <f>IF($A896="","",PAYMENTS!D389)</f>
        <v/>
      </c>
      <c r="E896" s="32">
        <f>IF($A896="","",PAYMENTS!E389)</f>
        <v/>
      </c>
      <c r="F896" s="31">
        <f>IF($A896="","",PAYMENTS!F389)</f>
        <v/>
      </c>
      <c r="G896" s="31">
        <f>IF($A896="","",PAYMENTS!G389)</f>
        <v/>
      </c>
    </row>
    <row r="897">
      <c r="A897" s="33">
        <f>IF(PAYMENTS!A390="","",PAYMENTS!A390)</f>
        <v/>
      </c>
      <c r="B897" s="31">
        <f>IF($A897="","",PAYMENTS!B390)</f>
        <v/>
      </c>
      <c r="C897" s="31">
        <f>IF($A897="","",PAYMENTS!C390)</f>
        <v/>
      </c>
      <c r="D897" s="31">
        <f>IF($A897="","",PAYMENTS!D390)</f>
        <v/>
      </c>
      <c r="E897" s="32">
        <f>IF($A897="","",PAYMENTS!E390)</f>
        <v/>
      </c>
      <c r="F897" s="31">
        <f>IF($A897="","",PAYMENTS!F390)</f>
        <v/>
      </c>
      <c r="G897" s="31">
        <f>IF($A897="","",PAYMENTS!G390)</f>
        <v/>
      </c>
    </row>
    <row r="898">
      <c r="A898" s="33">
        <f>IF(PAYMENTS!A391="","",PAYMENTS!A391)</f>
        <v/>
      </c>
      <c r="B898" s="31">
        <f>IF($A898="","",PAYMENTS!B391)</f>
        <v/>
      </c>
      <c r="C898" s="31">
        <f>IF($A898="","",PAYMENTS!C391)</f>
        <v/>
      </c>
      <c r="D898" s="31">
        <f>IF($A898="","",PAYMENTS!D391)</f>
        <v/>
      </c>
      <c r="E898" s="32">
        <f>IF($A898="","",PAYMENTS!E391)</f>
        <v/>
      </c>
      <c r="F898" s="31">
        <f>IF($A898="","",PAYMENTS!F391)</f>
        <v/>
      </c>
      <c r="G898" s="31">
        <f>IF($A898="","",PAYMENTS!G391)</f>
        <v/>
      </c>
    </row>
    <row r="899">
      <c r="A899" s="33">
        <f>IF(PAYMENTS!A392="","",PAYMENTS!A392)</f>
        <v/>
      </c>
      <c r="B899" s="31">
        <f>IF($A899="","",PAYMENTS!B392)</f>
        <v/>
      </c>
      <c r="C899" s="31">
        <f>IF($A899="","",PAYMENTS!C392)</f>
        <v/>
      </c>
      <c r="D899" s="31">
        <f>IF($A899="","",PAYMENTS!D392)</f>
        <v/>
      </c>
      <c r="E899" s="32">
        <f>IF($A899="","",PAYMENTS!E392)</f>
        <v/>
      </c>
      <c r="F899" s="31">
        <f>IF($A899="","",PAYMENTS!F392)</f>
        <v/>
      </c>
      <c r="G899" s="31">
        <f>IF($A899="","",PAYMENTS!G392)</f>
        <v/>
      </c>
    </row>
    <row r="900">
      <c r="A900" s="33">
        <f>IF(PAYMENTS!A393="","",PAYMENTS!A393)</f>
        <v/>
      </c>
      <c r="B900" s="31">
        <f>IF($A900="","",PAYMENTS!B393)</f>
        <v/>
      </c>
      <c r="C900" s="31">
        <f>IF($A900="","",PAYMENTS!C393)</f>
        <v/>
      </c>
      <c r="D900" s="31">
        <f>IF($A900="","",PAYMENTS!D393)</f>
        <v/>
      </c>
      <c r="E900" s="32">
        <f>IF($A900="","",PAYMENTS!E393)</f>
        <v/>
      </c>
      <c r="F900" s="31">
        <f>IF($A900="","",PAYMENTS!F393)</f>
        <v/>
      </c>
      <c r="G900" s="31">
        <f>IF($A900="","",PAYMENTS!G393)</f>
        <v/>
      </c>
    </row>
    <row r="901">
      <c r="A901" s="33">
        <f>IF(PAYMENTS!A394="","",PAYMENTS!A394)</f>
        <v/>
      </c>
      <c r="B901" s="31">
        <f>IF($A901="","",PAYMENTS!B394)</f>
        <v/>
      </c>
      <c r="C901" s="31">
        <f>IF($A901="","",PAYMENTS!C394)</f>
        <v/>
      </c>
      <c r="D901" s="31">
        <f>IF($A901="","",PAYMENTS!D394)</f>
        <v/>
      </c>
      <c r="E901" s="32">
        <f>IF($A901="","",PAYMENTS!E394)</f>
        <v/>
      </c>
      <c r="F901" s="31">
        <f>IF($A901="","",PAYMENTS!F394)</f>
        <v/>
      </c>
      <c r="G901" s="31">
        <f>IF($A901="","",PAYMENTS!G394)</f>
        <v/>
      </c>
    </row>
    <row r="902">
      <c r="A902" s="33">
        <f>IF(PAYMENTS!A395="","",PAYMENTS!A395)</f>
        <v/>
      </c>
      <c r="B902" s="31">
        <f>IF($A902="","",PAYMENTS!B395)</f>
        <v/>
      </c>
      <c r="C902" s="31">
        <f>IF($A902="","",PAYMENTS!C395)</f>
        <v/>
      </c>
      <c r="D902" s="31">
        <f>IF($A902="","",PAYMENTS!D395)</f>
        <v/>
      </c>
      <c r="E902" s="32">
        <f>IF($A902="","",PAYMENTS!E395)</f>
        <v/>
      </c>
      <c r="F902" s="31">
        <f>IF($A902="","",PAYMENTS!F395)</f>
        <v/>
      </c>
      <c r="G902" s="31">
        <f>IF($A902="","",PAYMENTS!G395)</f>
        <v/>
      </c>
    </row>
    <row r="903">
      <c r="A903" s="33">
        <f>IF(PAYMENTS!A396="","",PAYMENTS!A396)</f>
        <v/>
      </c>
      <c r="B903" s="31">
        <f>IF($A903="","",PAYMENTS!B396)</f>
        <v/>
      </c>
      <c r="C903" s="31">
        <f>IF($A903="","",PAYMENTS!C396)</f>
        <v/>
      </c>
      <c r="D903" s="31">
        <f>IF($A903="","",PAYMENTS!D396)</f>
        <v/>
      </c>
      <c r="E903" s="32">
        <f>IF($A903="","",PAYMENTS!E396)</f>
        <v/>
      </c>
      <c r="F903" s="31">
        <f>IF($A903="","",PAYMENTS!F396)</f>
        <v/>
      </c>
      <c r="G903" s="31">
        <f>IF($A903="","",PAYMENTS!G396)</f>
        <v/>
      </c>
    </row>
    <row r="904">
      <c r="A904" s="33">
        <f>IF(PAYMENTS!A397="","",PAYMENTS!A397)</f>
        <v/>
      </c>
      <c r="B904" s="31">
        <f>IF($A904="","",PAYMENTS!B397)</f>
        <v/>
      </c>
      <c r="C904" s="31">
        <f>IF($A904="","",PAYMENTS!C397)</f>
        <v/>
      </c>
      <c r="D904" s="31">
        <f>IF($A904="","",PAYMENTS!D397)</f>
        <v/>
      </c>
      <c r="E904" s="32">
        <f>IF($A904="","",PAYMENTS!E397)</f>
        <v/>
      </c>
      <c r="F904" s="31">
        <f>IF($A904="","",PAYMENTS!F397)</f>
        <v/>
      </c>
      <c r="G904" s="31">
        <f>IF($A904="","",PAYMENTS!G397)</f>
        <v/>
      </c>
    </row>
    <row r="905">
      <c r="A905" s="33">
        <f>IF(PAYMENTS!A398="","",PAYMENTS!A398)</f>
        <v/>
      </c>
      <c r="B905" s="31">
        <f>IF($A905="","",PAYMENTS!B398)</f>
        <v/>
      </c>
      <c r="C905" s="31">
        <f>IF($A905="","",PAYMENTS!C398)</f>
        <v/>
      </c>
      <c r="D905" s="31">
        <f>IF($A905="","",PAYMENTS!D398)</f>
        <v/>
      </c>
      <c r="E905" s="32">
        <f>IF($A905="","",PAYMENTS!E398)</f>
        <v/>
      </c>
      <c r="F905" s="31">
        <f>IF($A905="","",PAYMENTS!F398)</f>
        <v/>
      </c>
      <c r="G905" s="31">
        <f>IF($A905="","",PAYMENTS!G398)</f>
        <v/>
      </c>
    </row>
    <row r="906">
      <c r="A906" s="33">
        <f>IF(PAYMENTS!A399="","",PAYMENTS!A399)</f>
        <v/>
      </c>
      <c r="B906" s="31">
        <f>IF($A906="","",PAYMENTS!B399)</f>
        <v/>
      </c>
      <c r="C906" s="31">
        <f>IF($A906="","",PAYMENTS!C399)</f>
        <v/>
      </c>
      <c r="D906" s="31">
        <f>IF($A906="","",PAYMENTS!D399)</f>
        <v/>
      </c>
      <c r="E906" s="32">
        <f>IF($A906="","",PAYMENTS!E399)</f>
        <v/>
      </c>
      <c r="F906" s="31">
        <f>IF($A906="","",PAYMENTS!F399)</f>
        <v/>
      </c>
      <c r="G906" s="31">
        <f>IF($A906="","",PAYMENTS!G399)</f>
        <v/>
      </c>
    </row>
    <row r="907">
      <c r="A907" s="33">
        <f>IF(PAYMENTS!A400="","",PAYMENTS!A400)</f>
        <v/>
      </c>
      <c r="B907" s="31">
        <f>IF($A907="","",PAYMENTS!B400)</f>
        <v/>
      </c>
      <c r="C907" s="31">
        <f>IF($A907="","",PAYMENTS!C400)</f>
        <v/>
      </c>
      <c r="D907" s="31">
        <f>IF($A907="","",PAYMENTS!D400)</f>
        <v/>
      </c>
      <c r="E907" s="32">
        <f>IF($A907="","",PAYMENTS!E400)</f>
        <v/>
      </c>
      <c r="F907" s="31">
        <f>IF($A907="","",PAYMENTS!F400)</f>
        <v/>
      </c>
      <c r="G907" s="31">
        <f>IF($A907="","",PAYMENTS!G400)</f>
        <v/>
      </c>
    </row>
    <row r="908">
      <c r="A908" s="33">
        <f>IF(PAYMENTS!A401="","",PAYMENTS!A401)</f>
        <v/>
      </c>
      <c r="B908" s="31">
        <f>IF($A908="","",PAYMENTS!B401)</f>
        <v/>
      </c>
      <c r="C908" s="31">
        <f>IF($A908="","",PAYMENTS!C401)</f>
        <v/>
      </c>
      <c r="D908" s="31">
        <f>IF($A908="","",PAYMENTS!D401)</f>
        <v/>
      </c>
      <c r="E908" s="32">
        <f>IF($A908="","",PAYMENTS!E401)</f>
        <v/>
      </c>
      <c r="F908" s="31">
        <f>IF($A908="","",PAYMENTS!F401)</f>
        <v/>
      </c>
      <c r="G908" s="31">
        <f>IF($A908="","",PAYMENTS!G401)</f>
        <v/>
      </c>
    </row>
    <row r="909">
      <c r="A909" s="33">
        <f>IF(PAYMENTS!A402="","",PAYMENTS!A402)</f>
        <v/>
      </c>
      <c r="B909" s="31">
        <f>IF($A909="","",PAYMENTS!B402)</f>
        <v/>
      </c>
      <c r="C909" s="31">
        <f>IF($A909="","",PAYMENTS!C402)</f>
        <v/>
      </c>
      <c r="D909" s="31">
        <f>IF($A909="","",PAYMENTS!D402)</f>
        <v/>
      </c>
      <c r="E909" s="32">
        <f>IF($A909="","",PAYMENTS!E402)</f>
        <v/>
      </c>
      <c r="F909" s="31">
        <f>IF($A909="","",PAYMENTS!F402)</f>
        <v/>
      </c>
      <c r="G909" s="31">
        <f>IF($A909="","",PAYMENTS!G402)</f>
        <v/>
      </c>
    </row>
    <row r="910">
      <c r="A910" s="33">
        <f>IF(PAYMENTS!A403="","",PAYMENTS!A403)</f>
        <v/>
      </c>
      <c r="B910" s="31">
        <f>IF($A910="","",PAYMENTS!B403)</f>
        <v/>
      </c>
      <c r="C910" s="31">
        <f>IF($A910="","",PAYMENTS!C403)</f>
        <v/>
      </c>
      <c r="D910" s="31">
        <f>IF($A910="","",PAYMENTS!D403)</f>
        <v/>
      </c>
      <c r="E910" s="32">
        <f>IF($A910="","",PAYMENTS!E403)</f>
        <v/>
      </c>
      <c r="F910" s="31">
        <f>IF($A910="","",PAYMENTS!F403)</f>
        <v/>
      </c>
      <c r="G910" s="31">
        <f>IF($A910="","",PAYMENTS!G403)</f>
        <v/>
      </c>
    </row>
    <row r="911">
      <c r="A911" s="33">
        <f>IF(PAYMENTS!A404="","",PAYMENTS!A404)</f>
        <v/>
      </c>
      <c r="B911" s="31">
        <f>IF($A911="","",PAYMENTS!B404)</f>
        <v/>
      </c>
      <c r="C911" s="31">
        <f>IF($A911="","",PAYMENTS!C404)</f>
        <v/>
      </c>
      <c r="D911" s="31">
        <f>IF($A911="","",PAYMENTS!D404)</f>
        <v/>
      </c>
      <c r="E911" s="32">
        <f>IF($A911="","",PAYMENTS!E404)</f>
        <v/>
      </c>
      <c r="F911" s="31">
        <f>IF($A911="","",PAYMENTS!F404)</f>
        <v/>
      </c>
      <c r="G911" s="31">
        <f>IF($A911="","",PAYMENTS!G404)</f>
        <v/>
      </c>
    </row>
    <row r="912">
      <c r="A912" s="33">
        <f>IF(PAYMENTS!A405="","",PAYMENTS!A405)</f>
        <v/>
      </c>
      <c r="B912" s="31">
        <f>IF($A912="","",PAYMENTS!B405)</f>
        <v/>
      </c>
      <c r="C912" s="31">
        <f>IF($A912="","",PAYMENTS!C405)</f>
        <v/>
      </c>
      <c r="D912" s="31">
        <f>IF($A912="","",PAYMENTS!D405)</f>
        <v/>
      </c>
      <c r="E912" s="32">
        <f>IF($A912="","",PAYMENTS!E405)</f>
        <v/>
      </c>
      <c r="F912" s="31">
        <f>IF($A912="","",PAYMENTS!F405)</f>
        <v/>
      </c>
      <c r="G912" s="31">
        <f>IF($A912="","",PAYMENTS!G405)</f>
        <v/>
      </c>
    </row>
    <row r="913">
      <c r="A913" s="33">
        <f>IF(PAYMENTS!A406="","",PAYMENTS!A406)</f>
        <v/>
      </c>
      <c r="B913" s="31">
        <f>IF($A913="","",PAYMENTS!B406)</f>
        <v/>
      </c>
      <c r="C913" s="31">
        <f>IF($A913="","",PAYMENTS!C406)</f>
        <v/>
      </c>
      <c r="D913" s="31">
        <f>IF($A913="","",PAYMENTS!D406)</f>
        <v/>
      </c>
      <c r="E913" s="32">
        <f>IF($A913="","",PAYMENTS!E406)</f>
        <v/>
      </c>
      <c r="F913" s="31">
        <f>IF($A913="","",PAYMENTS!F406)</f>
        <v/>
      </c>
      <c r="G913" s="31">
        <f>IF($A913="","",PAYMENTS!G406)</f>
        <v/>
      </c>
    </row>
    <row r="914">
      <c r="A914" s="33">
        <f>IF(PAYMENTS!A407="","",PAYMENTS!A407)</f>
        <v/>
      </c>
      <c r="B914" s="31">
        <f>IF($A914="","",PAYMENTS!B407)</f>
        <v/>
      </c>
      <c r="C914" s="31">
        <f>IF($A914="","",PAYMENTS!C407)</f>
        <v/>
      </c>
      <c r="D914" s="31">
        <f>IF($A914="","",PAYMENTS!D407)</f>
        <v/>
      </c>
      <c r="E914" s="32">
        <f>IF($A914="","",PAYMENTS!E407)</f>
        <v/>
      </c>
      <c r="F914" s="31">
        <f>IF($A914="","",PAYMENTS!F407)</f>
        <v/>
      </c>
      <c r="G914" s="31">
        <f>IF($A914="","",PAYMENTS!G407)</f>
        <v/>
      </c>
    </row>
    <row r="915">
      <c r="A915" s="33">
        <f>IF(PAYMENTS!A408="","",PAYMENTS!A408)</f>
        <v/>
      </c>
      <c r="B915" s="31">
        <f>IF($A915="","",PAYMENTS!B408)</f>
        <v/>
      </c>
      <c r="C915" s="31">
        <f>IF($A915="","",PAYMENTS!C408)</f>
        <v/>
      </c>
      <c r="D915" s="31">
        <f>IF($A915="","",PAYMENTS!D408)</f>
        <v/>
      </c>
      <c r="E915" s="32">
        <f>IF($A915="","",PAYMENTS!E408)</f>
        <v/>
      </c>
      <c r="F915" s="31">
        <f>IF($A915="","",PAYMENTS!F408)</f>
        <v/>
      </c>
      <c r="G915" s="31">
        <f>IF($A915="","",PAYMENTS!G408)</f>
        <v/>
      </c>
    </row>
    <row r="916">
      <c r="A916" s="33">
        <f>IF(PAYMENTS!A409="","",PAYMENTS!A409)</f>
        <v/>
      </c>
      <c r="B916" s="31">
        <f>IF($A916="","",PAYMENTS!B409)</f>
        <v/>
      </c>
      <c r="C916" s="31">
        <f>IF($A916="","",PAYMENTS!C409)</f>
        <v/>
      </c>
      <c r="D916" s="31">
        <f>IF($A916="","",PAYMENTS!D409)</f>
        <v/>
      </c>
      <c r="E916" s="32">
        <f>IF($A916="","",PAYMENTS!E409)</f>
        <v/>
      </c>
      <c r="F916" s="31">
        <f>IF($A916="","",PAYMENTS!F409)</f>
        <v/>
      </c>
      <c r="G916" s="31">
        <f>IF($A916="","",PAYMENTS!G409)</f>
        <v/>
      </c>
    </row>
    <row r="917">
      <c r="A917" s="33">
        <f>IF(PAYMENTS!A410="","",PAYMENTS!A410)</f>
        <v/>
      </c>
      <c r="B917" s="31">
        <f>IF($A917="","",PAYMENTS!B410)</f>
        <v/>
      </c>
      <c r="C917" s="31">
        <f>IF($A917="","",PAYMENTS!C410)</f>
        <v/>
      </c>
      <c r="D917" s="31">
        <f>IF($A917="","",PAYMENTS!D410)</f>
        <v/>
      </c>
      <c r="E917" s="32">
        <f>IF($A917="","",PAYMENTS!E410)</f>
        <v/>
      </c>
      <c r="F917" s="31">
        <f>IF($A917="","",PAYMENTS!F410)</f>
        <v/>
      </c>
      <c r="G917" s="31">
        <f>IF($A917="","",PAYMENTS!G410)</f>
        <v/>
      </c>
    </row>
    <row r="918">
      <c r="A918" s="33">
        <f>IF(PAYMENTS!A411="","",PAYMENTS!A411)</f>
        <v/>
      </c>
      <c r="B918" s="31">
        <f>IF($A918="","",PAYMENTS!B411)</f>
        <v/>
      </c>
      <c r="C918" s="31">
        <f>IF($A918="","",PAYMENTS!C411)</f>
        <v/>
      </c>
      <c r="D918" s="31">
        <f>IF($A918="","",PAYMENTS!D411)</f>
        <v/>
      </c>
      <c r="E918" s="32">
        <f>IF($A918="","",PAYMENTS!E411)</f>
        <v/>
      </c>
      <c r="F918" s="31">
        <f>IF($A918="","",PAYMENTS!F411)</f>
        <v/>
      </c>
      <c r="G918" s="31">
        <f>IF($A918="","",PAYMENTS!G411)</f>
        <v/>
      </c>
    </row>
    <row r="919">
      <c r="A919" s="33">
        <f>IF(PAYMENTS!A412="","",PAYMENTS!A412)</f>
        <v/>
      </c>
      <c r="B919" s="31">
        <f>IF($A919="","",PAYMENTS!B412)</f>
        <v/>
      </c>
      <c r="C919" s="31">
        <f>IF($A919="","",PAYMENTS!C412)</f>
        <v/>
      </c>
      <c r="D919" s="31">
        <f>IF($A919="","",PAYMENTS!D412)</f>
        <v/>
      </c>
      <c r="E919" s="32">
        <f>IF($A919="","",PAYMENTS!E412)</f>
        <v/>
      </c>
      <c r="F919" s="31">
        <f>IF($A919="","",PAYMENTS!F412)</f>
        <v/>
      </c>
      <c r="G919" s="31">
        <f>IF($A919="","",PAYMENTS!G412)</f>
        <v/>
      </c>
    </row>
    <row r="920">
      <c r="A920" s="33">
        <f>IF(PAYMENTS!A413="","",PAYMENTS!A413)</f>
        <v/>
      </c>
      <c r="B920" s="31">
        <f>IF($A920="","",PAYMENTS!B413)</f>
        <v/>
      </c>
      <c r="C920" s="31">
        <f>IF($A920="","",PAYMENTS!C413)</f>
        <v/>
      </c>
      <c r="D920" s="31">
        <f>IF($A920="","",PAYMENTS!D413)</f>
        <v/>
      </c>
      <c r="E920" s="32">
        <f>IF($A920="","",PAYMENTS!E413)</f>
        <v/>
      </c>
      <c r="F920" s="31">
        <f>IF($A920="","",PAYMENTS!F413)</f>
        <v/>
      </c>
      <c r="G920" s="31">
        <f>IF($A920="","",PAYMENTS!G413)</f>
        <v/>
      </c>
    </row>
    <row r="921">
      <c r="A921" s="33">
        <f>IF(PAYMENTS!A414="","",PAYMENTS!A414)</f>
        <v/>
      </c>
      <c r="B921" s="31">
        <f>IF($A921="","",PAYMENTS!B414)</f>
        <v/>
      </c>
      <c r="C921" s="31">
        <f>IF($A921="","",PAYMENTS!C414)</f>
        <v/>
      </c>
      <c r="D921" s="31">
        <f>IF($A921="","",PAYMENTS!D414)</f>
        <v/>
      </c>
      <c r="E921" s="32">
        <f>IF($A921="","",PAYMENTS!E414)</f>
        <v/>
      </c>
      <c r="F921" s="31">
        <f>IF($A921="","",PAYMENTS!F414)</f>
        <v/>
      </c>
      <c r="G921" s="31">
        <f>IF($A921="","",PAYMENTS!G414)</f>
        <v/>
      </c>
    </row>
    <row r="922">
      <c r="A922" s="33">
        <f>IF(PAYMENTS!A415="","",PAYMENTS!A415)</f>
        <v/>
      </c>
      <c r="B922" s="31">
        <f>IF($A922="","",PAYMENTS!B415)</f>
        <v/>
      </c>
      <c r="C922" s="31">
        <f>IF($A922="","",PAYMENTS!C415)</f>
        <v/>
      </c>
      <c r="D922" s="31">
        <f>IF($A922="","",PAYMENTS!D415)</f>
        <v/>
      </c>
      <c r="E922" s="32">
        <f>IF($A922="","",PAYMENTS!E415)</f>
        <v/>
      </c>
      <c r="F922" s="31">
        <f>IF($A922="","",PAYMENTS!F415)</f>
        <v/>
      </c>
      <c r="G922" s="31">
        <f>IF($A922="","",PAYMENTS!G415)</f>
        <v/>
      </c>
    </row>
    <row r="923">
      <c r="A923" s="33">
        <f>IF(PAYMENTS!A416="","",PAYMENTS!A416)</f>
        <v/>
      </c>
      <c r="B923" s="31">
        <f>IF($A923="","",PAYMENTS!B416)</f>
        <v/>
      </c>
      <c r="C923" s="31">
        <f>IF($A923="","",PAYMENTS!C416)</f>
        <v/>
      </c>
      <c r="D923" s="31">
        <f>IF($A923="","",PAYMENTS!D416)</f>
        <v/>
      </c>
      <c r="E923" s="32">
        <f>IF($A923="","",PAYMENTS!E416)</f>
        <v/>
      </c>
      <c r="F923" s="31">
        <f>IF($A923="","",PAYMENTS!F416)</f>
        <v/>
      </c>
      <c r="G923" s="31">
        <f>IF($A923="","",PAYMENTS!G416)</f>
        <v/>
      </c>
    </row>
    <row r="924">
      <c r="A924" s="33">
        <f>IF(PAYMENTS!A417="","",PAYMENTS!A417)</f>
        <v/>
      </c>
      <c r="B924" s="31">
        <f>IF($A924="","",PAYMENTS!B417)</f>
        <v/>
      </c>
      <c r="C924" s="31">
        <f>IF($A924="","",PAYMENTS!C417)</f>
        <v/>
      </c>
      <c r="D924" s="31">
        <f>IF($A924="","",PAYMENTS!D417)</f>
        <v/>
      </c>
      <c r="E924" s="32">
        <f>IF($A924="","",PAYMENTS!E417)</f>
        <v/>
      </c>
      <c r="F924" s="31">
        <f>IF($A924="","",PAYMENTS!F417)</f>
        <v/>
      </c>
      <c r="G924" s="31">
        <f>IF($A924="","",PAYMENTS!G417)</f>
        <v/>
      </c>
    </row>
    <row r="925">
      <c r="A925" s="33">
        <f>IF(PAYMENTS!A418="","",PAYMENTS!A418)</f>
        <v/>
      </c>
      <c r="B925" s="31">
        <f>IF($A925="","",PAYMENTS!B418)</f>
        <v/>
      </c>
      <c r="C925" s="31">
        <f>IF($A925="","",PAYMENTS!C418)</f>
        <v/>
      </c>
      <c r="D925" s="31">
        <f>IF($A925="","",PAYMENTS!D418)</f>
        <v/>
      </c>
      <c r="E925" s="32">
        <f>IF($A925="","",PAYMENTS!E418)</f>
        <v/>
      </c>
      <c r="F925" s="31">
        <f>IF($A925="","",PAYMENTS!F418)</f>
        <v/>
      </c>
      <c r="G925" s="31">
        <f>IF($A925="","",PAYMENTS!G418)</f>
        <v/>
      </c>
    </row>
    <row r="926">
      <c r="A926" s="33">
        <f>IF(PAYMENTS!A419="","",PAYMENTS!A419)</f>
        <v/>
      </c>
      <c r="B926" s="31">
        <f>IF($A926="","",PAYMENTS!B419)</f>
        <v/>
      </c>
      <c r="C926" s="31">
        <f>IF($A926="","",PAYMENTS!C419)</f>
        <v/>
      </c>
      <c r="D926" s="31">
        <f>IF($A926="","",PAYMENTS!D419)</f>
        <v/>
      </c>
      <c r="E926" s="32">
        <f>IF($A926="","",PAYMENTS!E419)</f>
        <v/>
      </c>
      <c r="F926" s="31">
        <f>IF($A926="","",PAYMENTS!F419)</f>
        <v/>
      </c>
      <c r="G926" s="31">
        <f>IF($A926="","",PAYMENTS!G419)</f>
        <v/>
      </c>
    </row>
    <row r="927">
      <c r="A927" s="33">
        <f>IF(PAYMENTS!A420="","",PAYMENTS!A420)</f>
        <v/>
      </c>
      <c r="B927" s="31">
        <f>IF($A927="","",PAYMENTS!B420)</f>
        <v/>
      </c>
      <c r="C927" s="31">
        <f>IF($A927="","",PAYMENTS!C420)</f>
        <v/>
      </c>
      <c r="D927" s="31">
        <f>IF($A927="","",PAYMENTS!D420)</f>
        <v/>
      </c>
      <c r="E927" s="32">
        <f>IF($A927="","",PAYMENTS!E420)</f>
        <v/>
      </c>
      <c r="F927" s="31">
        <f>IF($A927="","",PAYMENTS!F420)</f>
        <v/>
      </c>
      <c r="G927" s="31">
        <f>IF($A927="","",PAYMENTS!G420)</f>
        <v/>
      </c>
    </row>
    <row r="928">
      <c r="A928" s="33">
        <f>IF(PAYMENTS!A421="","",PAYMENTS!A421)</f>
        <v/>
      </c>
      <c r="B928" s="31">
        <f>IF($A928="","",PAYMENTS!B421)</f>
        <v/>
      </c>
      <c r="C928" s="31">
        <f>IF($A928="","",PAYMENTS!C421)</f>
        <v/>
      </c>
      <c r="D928" s="31">
        <f>IF($A928="","",PAYMENTS!D421)</f>
        <v/>
      </c>
      <c r="E928" s="32">
        <f>IF($A928="","",PAYMENTS!E421)</f>
        <v/>
      </c>
      <c r="F928" s="31">
        <f>IF($A928="","",PAYMENTS!F421)</f>
        <v/>
      </c>
      <c r="G928" s="31">
        <f>IF($A928="","",PAYMENTS!G421)</f>
        <v/>
      </c>
    </row>
    <row r="929">
      <c r="A929" s="33">
        <f>IF(PAYMENTS!A422="","",PAYMENTS!A422)</f>
        <v/>
      </c>
      <c r="B929" s="31">
        <f>IF($A929="","",PAYMENTS!B422)</f>
        <v/>
      </c>
      <c r="C929" s="31">
        <f>IF($A929="","",PAYMENTS!C422)</f>
        <v/>
      </c>
      <c r="D929" s="31">
        <f>IF($A929="","",PAYMENTS!D422)</f>
        <v/>
      </c>
      <c r="E929" s="32">
        <f>IF($A929="","",PAYMENTS!E422)</f>
        <v/>
      </c>
      <c r="F929" s="31">
        <f>IF($A929="","",PAYMENTS!F422)</f>
        <v/>
      </c>
      <c r="G929" s="31">
        <f>IF($A929="","",PAYMENTS!G422)</f>
        <v/>
      </c>
    </row>
    <row r="930">
      <c r="A930" s="33">
        <f>IF(PAYMENTS!A423="","",PAYMENTS!A423)</f>
        <v/>
      </c>
      <c r="B930" s="31">
        <f>IF($A930="","",PAYMENTS!B423)</f>
        <v/>
      </c>
      <c r="C930" s="31">
        <f>IF($A930="","",PAYMENTS!C423)</f>
        <v/>
      </c>
      <c r="D930" s="31">
        <f>IF($A930="","",PAYMENTS!D423)</f>
        <v/>
      </c>
      <c r="E930" s="32">
        <f>IF($A930="","",PAYMENTS!E423)</f>
        <v/>
      </c>
      <c r="F930" s="31">
        <f>IF($A930="","",PAYMENTS!F423)</f>
        <v/>
      </c>
      <c r="G930" s="31">
        <f>IF($A930="","",PAYMENTS!G423)</f>
        <v/>
      </c>
    </row>
    <row r="931">
      <c r="A931" s="33">
        <f>IF(PAYMENTS!A424="","",PAYMENTS!A424)</f>
        <v/>
      </c>
      <c r="B931" s="31">
        <f>IF($A931="","",PAYMENTS!B424)</f>
        <v/>
      </c>
      <c r="C931" s="31">
        <f>IF($A931="","",PAYMENTS!C424)</f>
        <v/>
      </c>
      <c r="D931" s="31">
        <f>IF($A931="","",PAYMENTS!D424)</f>
        <v/>
      </c>
      <c r="E931" s="32">
        <f>IF($A931="","",PAYMENTS!E424)</f>
        <v/>
      </c>
      <c r="F931" s="31">
        <f>IF($A931="","",PAYMENTS!F424)</f>
        <v/>
      </c>
      <c r="G931" s="31">
        <f>IF($A931="","",PAYMENTS!G424)</f>
        <v/>
      </c>
    </row>
    <row r="932">
      <c r="A932" s="33">
        <f>IF(PAYMENTS!A425="","",PAYMENTS!A425)</f>
        <v/>
      </c>
      <c r="B932" s="31">
        <f>IF($A932="","",PAYMENTS!B425)</f>
        <v/>
      </c>
      <c r="C932" s="31">
        <f>IF($A932="","",PAYMENTS!C425)</f>
        <v/>
      </c>
      <c r="D932" s="31">
        <f>IF($A932="","",PAYMENTS!D425)</f>
        <v/>
      </c>
      <c r="E932" s="32">
        <f>IF($A932="","",PAYMENTS!E425)</f>
        <v/>
      </c>
      <c r="F932" s="31">
        <f>IF($A932="","",PAYMENTS!F425)</f>
        <v/>
      </c>
      <c r="G932" s="31">
        <f>IF($A932="","",PAYMENTS!G425)</f>
        <v/>
      </c>
    </row>
    <row r="933">
      <c r="A933" s="33">
        <f>IF(PAYMENTS!A426="","",PAYMENTS!A426)</f>
        <v/>
      </c>
      <c r="B933" s="31">
        <f>IF($A933="","",PAYMENTS!B426)</f>
        <v/>
      </c>
      <c r="C933" s="31">
        <f>IF($A933="","",PAYMENTS!C426)</f>
        <v/>
      </c>
      <c r="D933" s="31">
        <f>IF($A933="","",PAYMENTS!D426)</f>
        <v/>
      </c>
      <c r="E933" s="32">
        <f>IF($A933="","",PAYMENTS!E426)</f>
        <v/>
      </c>
      <c r="F933" s="31">
        <f>IF($A933="","",PAYMENTS!F426)</f>
        <v/>
      </c>
      <c r="G933" s="31">
        <f>IF($A933="","",PAYMENTS!G426)</f>
        <v/>
      </c>
    </row>
    <row r="934">
      <c r="A934" s="33">
        <f>IF(PAYMENTS!A427="","",PAYMENTS!A427)</f>
        <v/>
      </c>
      <c r="B934" s="31">
        <f>IF($A934="","",PAYMENTS!B427)</f>
        <v/>
      </c>
      <c r="C934" s="31">
        <f>IF($A934="","",PAYMENTS!C427)</f>
        <v/>
      </c>
      <c r="D934" s="31">
        <f>IF($A934="","",PAYMENTS!D427)</f>
        <v/>
      </c>
      <c r="E934" s="32">
        <f>IF($A934="","",PAYMENTS!E427)</f>
        <v/>
      </c>
      <c r="F934" s="31">
        <f>IF($A934="","",PAYMENTS!F427)</f>
        <v/>
      </c>
      <c r="G934" s="31">
        <f>IF($A934="","",PAYMENTS!G427)</f>
        <v/>
      </c>
    </row>
    <row r="935">
      <c r="A935" s="33">
        <f>IF(PAYMENTS!A428="","",PAYMENTS!A428)</f>
        <v/>
      </c>
      <c r="B935" s="31">
        <f>IF($A935="","",PAYMENTS!B428)</f>
        <v/>
      </c>
      <c r="C935" s="31">
        <f>IF($A935="","",PAYMENTS!C428)</f>
        <v/>
      </c>
      <c r="D935" s="31">
        <f>IF($A935="","",PAYMENTS!D428)</f>
        <v/>
      </c>
      <c r="E935" s="32">
        <f>IF($A935="","",PAYMENTS!E428)</f>
        <v/>
      </c>
      <c r="F935" s="31">
        <f>IF($A935="","",PAYMENTS!F428)</f>
        <v/>
      </c>
      <c r="G935" s="31">
        <f>IF($A935="","",PAYMENTS!G428)</f>
        <v/>
      </c>
    </row>
    <row r="936">
      <c r="A936" s="33">
        <f>IF(PAYMENTS!A429="","",PAYMENTS!A429)</f>
        <v/>
      </c>
      <c r="B936" s="31">
        <f>IF($A936="","",PAYMENTS!B429)</f>
        <v/>
      </c>
      <c r="C936" s="31">
        <f>IF($A936="","",PAYMENTS!C429)</f>
        <v/>
      </c>
      <c r="D936" s="31">
        <f>IF($A936="","",PAYMENTS!D429)</f>
        <v/>
      </c>
      <c r="E936" s="32">
        <f>IF($A936="","",PAYMENTS!E429)</f>
        <v/>
      </c>
      <c r="F936" s="31">
        <f>IF($A936="","",PAYMENTS!F429)</f>
        <v/>
      </c>
      <c r="G936" s="31">
        <f>IF($A936="","",PAYMENTS!G429)</f>
        <v/>
      </c>
    </row>
    <row r="937">
      <c r="A937" s="33">
        <f>IF(PAYMENTS!A430="","",PAYMENTS!A430)</f>
        <v/>
      </c>
      <c r="B937" s="31">
        <f>IF($A937="","",PAYMENTS!B430)</f>
        <v/>
      </c>
      <c r="C937" s="31">
        <f>IF($A937="","",PAYMENTS!C430)</f>
        <v/>
      </c>
      <c r="D937" s="31">
        <f>IF($A937="","",PAYMENTS!D430)</f>
        <v/>
      </c>
      <c r="E937" s="32">
        <f>IF($A937="","",PAYMENTS!E430)</f>
        <v/>
      </c>
      <c r="F937" s="31">
        <f>IF($A937="","",PAYMENTS!F430)</f>
        <v/>
      </c>
      <c r="G937" s="31">
        <f>IF($A937="","",PAYMENTS!G430)</f>
        <v/>
      </c>
    </row>
    <row r="938">
      <c r="A938" s="33">
        <f>IF(PAYMENTS!A431="","",PAYMENTS!A431)</f>
        <v/>
      </c>
      <c r="B938" s="31">
        <f>IF($A938="","",PAYMENTS!B431)</f>
        <v/>
      </c>
      <c r="C938" s="31">
        <f>IF($A938="","",PAYMENTS!C431)</f>
        <v/>
      </c>
      <c r="D938" s="31">
        <f>IF($A938="","",PAYMENTS!D431)</f>
        <v/>
      </c>
      <c r="E938" s="32">
        <f>IF($A938="","",PAYMENTS!E431)</f>
        <v/>
      </c>
      <c r="F938" s="31">
        <f>IF($A938="","",PAYMENTS!F431)</f>
        <v/>
      </c>
      <c r="G938" s="31">
        <f>IF($A938="","",PAYMENTS!G431)</f>
        <v/>
      </c>
    </row>
    <row r="939">
      <c r="A939" s="33">
        <f>IF(PAYMENTS!A432="","",PAYMENTS!A432)</f>
        <v/>
      </c>
      <c r="B939" s="31">
        <f>IF($A939="","",PAYMENTS!B432)</f>
        <v/>
      </c>
      <c r="C939" s="31">
        <f>IF($A939="","",PAYMENTS!C432)</f>
        <v/>
      </c>
      <c r="D939" s="31">
        <f>IF($A939="","",PAYMENTS!D432)</f>
        <v/>
      </c>
      <c r="E939" s="32">
        <f>IF($A939="","",PAYMENTS!E432)</f>
        <v/>
      </c>
      <c r="F939" s="31">
        <f>IF($A939="","",PAYMENTS!F432)</f>
        <v/>
      </c>
      <c r="G939" s="31">
        <f>IF($A939="","",PAYMENTS!G432)</f>
        <v/>
      </c>
    </row>
    <row r="940">
      <c r="A940" s="33">
        <f>IF(PAYMENTS!A433="","",PAYMENTS!A433)</f>
        <v/>
      </c>
      <c r="B940" s="31">
        <f>IF($A940="","",PAYMENTS!B433)</f>
        <v/>
      </c>
      <c r="C940" s="31">
        <f>IF($A940="","",PAYMENTS!C433)</f>
        <v/>
      </c>
      <c r="D940" s="31">
        <f>IF($A940="","",PAYMENTS!D433)</f>
        <v/>
      </c>
      <c r="E940" s="32">
        <f>IF($A940="","",PAYMENTS!E433)</f>
        <v/>
      </c>
      <c r="F940" s="31">
        <f>IF($A940="","",PAYMENTS!F433)</f>
        <v/>
      </c>
      <c r="G940" s="31">
        <f>IF($A940="","",PAYMENTS!G433)</f>
        <v/>
      </c>
    </row>
    <row r="941">
      <c r="A941" s="33">
        <f>IF(PAYMENTS!A434="","",PAYMENTS!A434)</f>
        <v/>
      </c>
      <c r="B941" s="31">
        <f>IF($A941="","",PAYMENTS!B434)</f>
        <v/>
      </c>
      <c r="C941" s="31">
        <f>IF($A941="","",PAYMENTS!C434)</f>
        <v/>
      </c>
      <c r="D941" s="31">
        <f>IF($A941="","",PAYMENTS!D434)</f>
        <v/>
      </c>
      <c r="E941" s="32">
        <f>IF($A941="","",PAYMENTS!E434)</f>
        <v/>
      </c>
      <c r="F941" s="31">
        <f>IF($A941="","",PAYMENTS!F434)</f>
        <v/>
      </c>
      <c r="G941" s="31">
        <f>IF($A941="","",PAYMENTS!G434)</f>
        <v/>
      </c>
    </row>
    <row r="942">
      <c r="A942" s="33">
        <f>IF(PAYMENTS!A435="","",PAYMENTS!A435)</f>
        <v/>
      </c>
      <c r="B942" s="31">
        <f>IF($A942="","",PAYMENTS!B435)</f>
        <v/>
      </c>
      <c r="C942" s="31">
        <f>IF($A942="","",PAYMENTS!C435)</f>
        <v/>
      </c>
      <c r="D942" s="31">
        <f>IF($A942="","",PAYMENTS!D435)</f>
        <v/>
      </c>
      <c r="E942" s="32">
        <f>IF($A942="","",PAYMENTS!E435)</f>
        <v/>
      </c>
      <c r="F942" s="31">
        <f>IF($A942="","",PAYMENTS!F435)</f>
        <v/>
      </c>
      <c r="G942" s="31">
        <f>IF($A942="","",PAYMENTS!G435)</f>
        <v/>
      </c>
    </row>
    <row r="943">
      <c r="A943" s="33">
        <f>IF(PAYMENTS!A436="","",PAYMENTS!A436)</f>
        <v/>
      </c>
      <c r="B943" s="31">
        <f>IF($A943="","",PAYMENTS!B436)</f>
        <v/>
      </c>
      <c r="C943" s="31">
        <f>IF($A943="","",PAYMENTS!C436)</f>
        <v/>
      </c>
      <c r="D943" s="31">
        <f>IF($A943="","",PAYMENTS!D436)</f>
        <v/>
      </c>
      <c r="E943" s="32">
        <f>IF($A943="","",PAYMENTS!E436)</f>
        <v/>
      </c>
      <c r="F943" s="31">
        <f>IF($A943="","",PAYMENTS!F436)</f>
        <v/>
      </c>
      <c r="G943" s="31">
        <f>IF($A943="","",PAYMENTS!G436)</f>
        <v/>
      </c>
    </row>
    <row r="944">
      <c r="A944" s="33">
        <f>IF(PAYMENTS!A437="","",PAYMENTS!A437)</f>
        <v/>
      </c>
      <c r="B944" s="31">
        <f>IF($A944="","",PAYMENTS!B437)</f>
        <v/>
      </c>
      <c r="C944" s="31">
        <f>IF($A944="","",PAYMENTS!C437)</f>
        <v/>
      </c>
      <c r="D944" s="31">
        <f>IF($A944="","",PAYMENTS!D437)</f>
        <v/>
      </c>
      <c r="E944" s="32">
        <f>IF($A944="","",PAYMENTS!E437)</f>
        <v/>
      </c>
      <c r="F944" s="31">
        <f>IF($A944="","",PAYMENTS!F437)</f>
        <v/>
      </c>
      <c r="G944" s="31">
        <f>IF($A944="","",PAYMENTS!G437)</f>
        <v/>
      </c>
    </row>
    <row r="945">
      <c r="A945" s="33">
        <f>IF(PAYMENTS!A438="","",PAYMENTS!A438)</f>
        <v/>
      </c>
      <c r="B945" s="31">
        <f>IF($A945="","",PAYMENTS!B438)</f>
        <v/>
      </c>
      <c r="C945" s="31">
        <f>IF($A945="","",PAYMENTS!C438)</f>
        <v/>
      </c>
      <c r="D945" s="31">
        <f>IF($A945="","",PAYMENTS!D438)</f>
        <v/>
      </c>
      <c r="E945" s="32">
        <f>IF($A945="","",PAYMENTS!E438)</f>
        <v/>
      </c>
      <c r="F945" s="31">
        <f>IF($A945="","",PAYMENTS!F438)</f>
        <v/>
      </c>
      <c r="G945" s="31">
        <f>IF($A945="","",PAYMENTS!G438)</f>
        <v/>
      </c>
    </row>
    <row r="946">
      <c r="A946" s="33">
        <f>IF(PAYMENTS!A439="","",PAYMENTS!A439)</f>
        <v/>
      </c>
      <c r="B946" s="31">
        <f>IF($A946="","",PAYMENTS!B439)</f>
        <v/>
      </c>
      <c r="C946" s="31">
        <f>IF($A946="","",PAYMENTS!C439)</f>
        <v/>
      </c>
      <c r="D946" s="31">
        <f>IF($A946="","",PAYMENTS!D439)</f>
        <v/>
      </c>
      <c r="E946" s="32">
        <f>IF($A946="","",PAYMENTS!E439)</f>
        <v/>
      </c>
      <c r="F946" s="31">
        <f>IF($A946="","",PAYMENTS!F439)</f>
        <v/>
      </c>
      <c r="G946" s="31">
        <f>IF($A946="","",PAYMENTS!G439)</f>
        <v/>
      </c>
    </row>
    <row r="947">
      <c r="A947" s="33">
        <f>IF(PAYMENTS!A440="","",PAYMENTS!A440)</f>
        <v/>
      </c>
      <c r="B947" s="31">
        <f>IF($A947="","",PAYMENTS!B440)</f>
        <v/>
      </c>
      <c r="C947" s="31">
        <f>IF($A947="","",PAYMENTS!C440)</f>
        <v/>
      </c>
      <c r="D947" s="31">
        <f>IF($A947="","",PAYMENTS!D440)</f>
        <v/>
      </c>
      <c r="E947" s="32">
        <f>IF($A947="","",PAYMENTS!E440)</f>
        <v/>
      </c>
      <c r="F947" s="31">
        <f>IF($A947="","",PAYMENTS!F440)</f>
        <v/>
      </c>
      <c r="G947" s="31">
        <f>IF($A947="","",PAYMENTS!G440)</f>
        <v/>
      </c>
    </row>
    <row r="948">
      <c r="A948" s="33">
        <f>IF(PAYMENTS!A441="","",PAYMENTS!A441)</f>
        <v/>
      </c>
      <c r="B948" s="31">
        <f>IF($A948="","",PAYMENTS!B441)</f>
        <v/>
      </c>
      <c r="C948" s="31">
        <f>IF($A948="","",PAYMENTS!C441)</f>
        <v/>
      </c>
      <c r="D948" s="31">
        <f>IF($A948="","",PAYMENTS!D441)</f>
        <v/>
      </c>
      <c r="E948" s="32">
        <f>IF($A948="","",PAYMENTS!E441)</f>
        <v/>
      </c>
      <c r="F948" s="31">
        <f>IF($A948="","",PAYMENTS!F441)</f>
        <v/>
      </c>
      <c r="G948" s="31">
        <f>IF($A948="","",PAYMENTS!G441)</f>
        <v/>
      </c>
    </row>
    <row r="949">
      <c r="A949" s="33">
        <f>IF(PAYMENTS!A442="","",PAYMENTS!A442)</f>
        <v/>
      </c>
      <c r="B949" s="31">
        <f>IF($A949="","",PAYMENTS!B442)</f>
        <v/>
      </c>
      <c r="C949" s="31">
        <f>IF($A949="","",PAYMENTS!C442)</f>
        <v/>
      </c>
      <c r="D949" s="31">
        <f>IF($A949="","",PAYMENTS!D442)</f>
        <v/>
      </c>
      <c r="E949" s="32">
        <f>IF($A949="","",PAYMENTS!E442)</f>
        <v/>
      </c>
      <c r="F949" s="31">
        <f>IF($A949="","",PAYMENTS!F442)</f>
        <v/>
      </c>
      <c r="G949" s="31">
        <f>IF($A949="","",PAYMENTS!G442)</f>
        <v/>
      </c>
    </row>
    <row r="950">
      <c r="A950" s="33">
        <f>IF(PAYMENTS!A443="","",PAYMENTS!A443)</f>
        <v/>
      </c>
      <c r="B950" s="31">
        <f>IF($A950="","",PAYMENTS!B443)</f>
        <v/>
      </c>
      <c r="C950" s="31">
        <f>IF($A950="","",PAYMENTS!C443)</f>
        <v/>
      </c>
      <c r="D950" s="31">
        <f>IF($A950="","",PAYMENTS!D443)</f>
        <v/>
      </c>
      <c r="E950" s="32">
        <f>IF($A950="","",PAYMENTS!E443)</f>
        <v/>
      </c>
      <c r="F950" s="31">
        <f>IF($A950="","",PAYMENTS!F443)</f>
        <v/>
      </c>
      <c r="G950" s="31">
        <f>IF($A950="","",PAYMENTS!G443)</f>
        <v/>
      </c>
    </row>
    <row r="951">
      <c r="A951" s="33">
        <f>IF(PAYMENTS!A444="","",PAYMENTS!A444)</f>
        <v/>
      </c>
      <c r="B951" s="31">
        <f>IF($A951="","",PAYMENTS!B444)</f>
        <v/>
      </c>
      <c r="C951" s="31">
        <f>IF($A951="","",PAYMENTS!C444)</f>
        <v/>
      </c>
      <c r="D951" s="31">
        <f>IF($A951="","",PAYMENTS!D444)</f>
        <v/>
      </c>
      <c r="E951" s="32">
        <f>IF($A951="","",PAYMENTS!E444)</f>
        <v/>
      </c>
      <c r="F951" s="31">
        <f>IF($A951="","",PAYMENTS!F444)</f>
        <v/>
      </c>
      <c r="G951" s="31">
        <f>IF($A951="","",PAYMENTS!G444)</f>
        <v/>
      </c>
    </row>
    <row r="952">
      <c r="A952" s="33">
        <f>IF(PAYMENTS!A445="","",PAYMENTS!A445)</f>
        <v/>
      </c>
      <c r="B952" s="31">
        <f>IF($A952="","",PAYMENTS!B445)</f>
        <v/>
      </c>
      <c r="C952" s="31">
        <f>IF($A952="","",PAYMENTS!C445)</f>
        <v/>
      </c>
      <c r="D952" s="31">
        <f>IF($A952="","",PAYMENTS!D445)</f>
        <v/>
      </c>
      <c r="E952" s="32">
        <f>IF($A952="","",PAYMENTS!E445)</f>
        <v/>
      </c>
      <c r="F952" s="31">
        <f>IF($A952="","",PAYMENTS!F445)</f>
        <v/>
      </c>
      <c r="G952" s="31">
        <f>IF($A952="","",PAYMENTS!G445)</f>
        <v/>
      </c>
    </row>
    <row r="953">
      <c r="A953" s="33">
        <f>IF(PAYMENTS!A446="","",PAYMENTS!A446)</f>
        <v/>
      </c>
      <c r="B953" s="31">
        <f>IF($A953="","",PAYMENTS!B446)</f>
        <v/>
      </c>
      <c r="C953" s="31">
        <f>IF($A953="","",PAYMENTS!C446)</f>
        <v/>
      </c>
      <c r="D953" s="31">
        <f>IF($A953="","",PAYMENTS!D446)</f>
        <v/>
      </c>
      <c r="E953" s="32">
        <f>IF($A953="","",PAYMENTS!E446)</f>
        <v/>
      </c>
      <c r="F953" s="31">
        <f>IF($A953="","",PAYMENTS!F446)</f>
        <v/>
      </c>
      <c r="G953" s="31">
        <f>IF($A953="","",PAYMENTS!G446)</f>
        <v/>
      </c>
    </row>
    <row r="954">
      <c r="A954" s="33">
        <f>IF(PAYMENTS!A447="","",PAYMENTS!A447)</f>
        <v/>
      </c>
      <c r="B954" s="31">
        <f>IF($A954="","",PAYMENTS!B447)</f>
        <v/>
      </c>
      <c r="C954" s="31">
        <f>IF($A954="","",PAYMENTS!C447)</f>
        <v/>
      </c>
      <c r="D954" s="31">
        <f>IF($A954="","",PAYMENTS!D447)</f>
        <v/>
      </c>
      <c r="E954" s="32">
        <f>IF($A954="","",PAYMENTS!E447)</f>
        <v/>
      </c>
      <c r="F954" s="31">
        <f>IF($A954="","",PAYMENTS!F447)</f>
        <v/>
      </c>
      <c r="G954" s="31">
        <f>IF($A954="","",PAYMENTS!G447)</f>
        <v/>
      </c>
    </row>
    <row r="955">
      <c r="A955" s="33">
        <f>IF(PAYMENTS!A448="","",PAYMENTS!A448)</f>
        <v/>
      </c>
      <c r="B955" s="31">
        <f>IF($A955="","",PAYMENTS!B448)</f>
        <v/>
      </c>
      <c r="C955" s="31">
        <f>IF($A955="","",PAYMENTS!C448)</f>
        <v/>
      </c>
      <c r="D955" s="31">
        <f>IF($A955="","",PAYMENTS!D448)</f>
        <v/>
      </c>
      <c r="E955" s="32">
        <f>IF($A955="","",PAYMENTS!E448)</f>
        <v/>
      </c>
      <c r="F955" s="31">
        <f>IF($A955="","",PAYMENTS!F448)</f>
        <v/>
      </c>
      <c r="G955" s="31">
        <f>IF($A955="","",PAYMENTS!G448)</f>
        <v/>
      </c>
    </row>
    <row r="956">
      <c r="A956" s="33">
        <f>IF(PAYMENTS!A449="","",PAYMENTS!A449)</f>
        <v/>
      </c>
      <c r="B956" s="31">
        <f>IF($A956="","",PAYMENTS!B449)</f>
        <v/>
      </c>
      <c r="C956" s="31">
        <f>IF($A956="","",PAYMENTS!C449)</f>
        <v/>
      </c>
      <c r="D956" s="31">
        <f>IF($A956="","",PAYMENTS!D449)</f>
        <v/>
      </c>
      <c r="E956" s="32">
        <f>IF($A956="","",PAYMENTS!E449)</f>
        <v/>
      </c>
      <c r="F956" s="31">
        <f>IF($A956="","",PAYMENTS!F449)</f>
        <v/>
      </c>
      <c r="G956" s="31">
        <f>IF($A956="","",PAYMENTS!G449)</f>
        <v/>
      </c>
    </row>
    <row r="957">
      <c r="A957" s="33">
        <f>IF(PAYMENTS!A450="","",PAYMENTS!A450)</f>
        <v/>
      </c>
      <c r="B957" s="31">
        <f>IF($A957="","",PAYMENTS!B450)</f>
        <v/>
      </c>
      <c r="C957" s="31">
        <f>IF($A957="","",PAYMENTS!C450)</f>
        <v/>
      </c>
      <c r="D957" s="31">
        <f>IF($A957="","",PAYMENTS!D450)</f>
        <v/>
      </c>
      <c r="E957" s="32">
        <f>IF($A957="","",PAYMENTS!E450)</f>
        <v/>
      </c>
      <c r="F957" s="31">
        <f>IF($A957="","",PAYMENTS!F450)</f>
        <v/>
      </c>
      <c r="G957" s="31">
        <f>IF($A957="","",PAYMENTS!G450)</f>
        <v/>
      </c>
    </row>
    <row r="958">
      <c r="A958" s="33">
        <f>IF(PAYMENTS!A451="","",PAYMENTS!A451)</f>
        <v/>
      </c>
      <c r="B958" s="31">
        <f>IF($A958="","",PAYMENTS!B451)</f>
        <v/>
      </c>
      <c r="C958" s="31">
        <f>IF($A958="","",PAYMENTS!C451)</f>
        <v/>
      </c>
      <c r="D958" s="31">
        <f>IF($A958="","",PAYMENTS!D451)</f>
        <v/>
      </c>
      <c r="E958" s="32">
        <f>IF($A958="","",PAYMENTS!E451)</f>
        <v/>
      </c>
      <c r="F958" s="31">
        <f>IF($A958="","",PAYMENTS!F451)</f>
        <v/>
      </c>
      <c r="G958" s="31">
        <f>IF($A958="","",PAYMENTS!G451)</f>
        <v/>
      </c>
    </row>
    <row r="959">
      <c r="A959" s="33">
        <f>IF(PAYMENTS!A452="","",PAYMENTS!A452)</f>
        <v/>
      </c>
      <c r="B959" s="31">
        <f>IF($A959="","",PAYMENTS!B452)</f>
        <v/>
      </c>
      <c r="C959" s="31">
        <f>IF($A959="","",PAYMENTS!C452)</f>
        <v/>
      </c>
      <c r="D959" s="31">
        <f>IF($A959="","",PAYMENTS!D452)</f>
        <v/>
      </c>
      <c r="E959" s="32">
        <f>IF($A959="","",PAYMENTS!E452)</f>
        <v/>
      </c>
      <c r="F959" s="31">
        <f>IF($A959="","",PAYMENTS!F452)</f>
        <v/>
      </c>
      <c r="G959" s="31">
        <f>IF($A959="","",PAYMENTS!G452)</f>
        <v/>
      </c>
    </row>
    <row r="960">
      <c r="A960" s="33">
        <f>IF(PAYMENTS!A453="","",PAYMENTS!A453)</f>
        <v/>
      </c>
      <c r="B960" s="31">
        <f>IF($A960="","",PAYMENTS!B453)</f>
        <v/>
      </c>
      <c r="C960" s="31">
        <f>IF($A960="","",PAYMENTS!C453)</f>
        <v/>
      </c>
      <c r="D960" s="31">
        <f>IF($A960="","",PAYMENTS!D453)</f>
        <v/>
      </c>
      <c r="E960" s="32">
        <f>IF($A960="","",PAYMENTS!E453)</f>
        <v/>
      </c>
      <c r="F960" s="31">
        <f>IF($A960="","",PAYMENTS!F453)</f>
        <v/>
      </c>
      <c r="G960" s="31">
        <f>IF($A960="","",PAYMENTS!G453)</f>
        <v/>
      </c>
    </row>
    <row r="961">
      <c r="A961" s="33">
        <f>IF(PAYMENTS!A454="","",PAYMENTS!A454)</f>
        <v/>
      </c>
      <c r="B961" s="31">
        <f>IF($A961="","",PAYMENTS!B454)</f>
        <v/>
      </c>
      <c r="C961" s="31">
        <f>IF($A961="","",PAYMENTS!C454)</f>
        <v/>
      </c>
      <c r="D961" s="31">
        <f>IF($A961="","",PAYMENTS!D454)</f>
        <v/>
      </c>
      <c r="E961" s="32">
        <f>IF($A961="","",PAYMENTS!E454)</f>
        <v/>
      </c>
      <c r="F961" s="31">
        <f>IF($A961="","",PAYMENTS!F454)</f>
        <v/>
      </c>
      <c r="G961" s="31">
        <f>IF($A961="","",PAYMENTS!G454)</f>
        <v/>
      </c>
    </row>
    <row r="962">
      <c r="A962" s="33">
        <f>IF(PAYMENTS!A455="","",PAYMENTS!A455)</f>
        <v/>
      </c>
      <c r="B962" s="31">
        <f>IF($A962="","",PAYMENTS!B455)</f>
        <v/>
      </c>
      <c r="C962" s="31">
        <f>IF($A962="","",PAYMENTS!C455)</f>
        <v/>
      </c>
      <c r="D962" s="31">
        <f>IF($A962="","",PAYMENTS!D455)</f>
        <v/>
      </c>
      <c r="E962" s="32">
        <f>IF($A962="","",PAYMENTS!E455)</f>
        <v/>
      </c>
      <c r="F962" s="31">
        <f>IF($A962="","",PAYMENTS!F455)</f>
        <v/>
      </c>
      <c r="G962" s="31">
        <f>IF($A962="","",PAYMENTS!G455)</f>
        <v/>
      </c>
    </row>
    <row r="963">
      <c r="A963" s="33">
        <f>IF(PAYMENTS!A456="","",PAYMENTS!A456)</f>
        <v/>
      </c>
      <c r="B963" s="31">
        <f>IF($A963="","",PAYMENTS!B456)</f>
        <v/>
      </c>
      <c r="C963" s="31">
        <f>IF($A963="","",PAYMENTS!C456)</f>
        <v/>
      </c>
      <c r="D963" s="31">
        <f>IF($A963="","",PAYMENTS!D456)</f>
        <v/>
      </c>
      <c r="E963" s="32">
        <f>IF($A963="","",PAYMENTS!E456)</f>
        <v/>
      </c>
      <c r="F963" s="31">
        <f>IF($A963="","",PAYMENTS!F456)</f>
        <v/>
      </c>
      <c r="G963" s="31">
        <f>IF($A963="","",PAYMENTS!G456)</f>
        <v/>
      </c>
    </row>
    <row r="964">
      <c r="A964" s="33">
        <f>IF(PAYMENTS!A457="","",PAYMENTS!A457)</f>
        <v/>
      </c>
      <c r="B964" s="31">
        <f>IF($A964="","",PAYMENTS!B457)</f>
        <v/>
      </c>
      <c r="C964" s="31">
        <f>IF($A964="","",PAYMENTS!C457)</f>
        <v/>
      </c>
      <c r="D964" s="31">
        <f>IF($A964="","",PAYMENTS!D457)</f>
        <v/>
      </c>
      <c r="E964" s="32">
        <f>IF($A964="","",PAYMENTS!E457)</f>
        <v/>
      </c>
      <c r="F964" s="31">
        <f>IF($A964="","",PAYMENTS!F457)</f>
        <v/>
      </c>
      <c r="G964" s="31">
        <f>IF($A964="","",PAYMENTS!G457)</f>
        <v/>
      </c>
    </row>
    <row r="965">
      <c r="A965" s="33">
        <f>IF(PAYMENTS!A458="","",PAYMENTS!A458)</f>
        <v/>
      </c>
      <c r="B965" s="31">
        <f>IF($A965="","",PAYMENTS!B458)</f>
        <v/>
      </c>
      <c r="C965" s="31">
        <f>IF($A965="","",PAYMENTS!C458)</f>
        <v/>
      </c>
      <c r="D965" s="31">
        <f>IF($A965="","",PAYMENTS!D458)</f>
        <v/>
      </c>
      <c r="E965" s="32">
        <f>IF($A965="","",PAYMENTS!E458)</f>
        <v/>
      </c>
      <c r="F965" s="31">
        <f>IF($A965="","",PAYMENTS!F458)</f>
        <v/>
      </c>
      <c r="G965" s="31">
        <f>IF($A965="","",PAYMENTS!G458)</f>
        <v/>
      </c>
    </row>
    <row r="966">
      <c r="A966" s="33">
        <f>IF(PAYMENTS!A459="","",PAYMENTS!A459)</f>
        <v/>
      </c>
      <c r="B966" s="31">
        <f>IF($A966="","",PAYMENTS!B459)</f>
        <v/>
      </c>
      <c r="C966" s="31">
        <f>IF($A966="","",PAYMENTS!C459)</f>
        <v/>
      </c>
      <c r="D966" s="31">
        <f>IF($A966="","",PAYMENTS!D459)</f>
        <v/>
      </c>
      <c r="E966" s="32">
        <f>IF($A966="","",PAYMENTS!E459)</f>
        <v/>
      </c>
      <c r="F966" s="31">
        <f>IF($A966="","",PAYMENTS!F459)</f>
        <v/>
      </c>
      <c r="G966" s="31">
        <f>IF($A966="","",PAYMENTS!G459)</f>
        <v/>
      </c>
    </row>
    <row r="967">
      <c r="A967" s="33">
        <f>IF(PAYMENTS!A460="","",PAYMENTS!A460)</f>
        <v/>
      </c>
      <c r="B967" s="31">
        <f>IF($A967="","",PAYMENTS!B460)</f>
        <v/>
      </c>
      <c r="C967" s="31">
        <f>IF($A967="","",PAYMENTS!C460)</f>
        <v/>
      </c>
      <c r="D967" s="31">
        <f>IF($A967="","",PAYMENTS!D460)</f>
        <v/>
      </c>
      <c r="E967" s="32">
        <f>IF($A967="","",PAYMENTS!E460)</f>
        <v/>
      </c>
      <c r="F967" s="31">
        <f>IF($A967="","",PAYMENTS!F460)</f>
        <v/>
      </c>
      <c r="G967" s="31">
        <f>IF($A967="","",PAYMENTS!G460)</f>
        <v/>
      </c>
    </row>
    <row r="968">
      <c r="A968" s="33">
        <f>IF(PAYMENTS!A461="","",PAYMENTS!A461)</f>
        <v/>
      </c>
      <c r="B968" s="31">
        <f>IF($A968="","",PAYMENTS!B461)</f>
        <v/>
      </c>
      <c r="C968" s="31">
        <f>IF($A968="","",PAYMENTS!C461)</f>
        <v/>
      </c>
      <c r="D968" s="31">
        <f>IF($A968="","",PAYMENTS!D461)</f>
        <v/>
      </c>
      <c r="E968" s="32">
        <f>IF($A968="","",PAYMENTS!E461)</f>
        <v/>
      </c>
      <c r="F968" s="31">
        <f>IF($A968="","",PAYMENTS!F461)</f>
        <v/>
      </c>
      <c r="G968" s="31">
        <f>IF($A968="","",PAYMENTS!G461)</f>
        <v/>
      </c>
    </row>
    <row r="969">
      <c r="A969" s="33">
        <f>IF(PAYMENTS!A462="","",PAYMENTS!A462)</f>
        <v/>
      </c>
      <c r="B969" s="31">
        <f>IF($A969="","",PAYMENTS!B462)</f>
        <v/>
      </c>
      <c r="C969" s="31">
        <f>IF($A969="","",PAYMENTS!C462)</f>
        <v/>
      </c>
      <c r="D969" s="31">
        <f>IF($A969="","",PAYMENTS!D462)</f>
        <v/>
      </c>
      <c r="E969" s="32">
        <f>IF($A969="","",PAYMENTS!E462)</f>
        <v/>
      </c>
      <c r="F969" s="31">
        <f>IF($A969="","",PAYMENTS!F462)</f>
        <v/>
      </c>
      <c r="G969" s="31">
        <f>IF($A969="","",PAYMENTS!G462)</f>
        <v/>
      </c>
    </row>
    <row r="970">
      <c r="A970" s="33">
        <f>IF(PAYMENTS!A463="","",PAYMENTS!A463)</f>
        <v/>
      </c>
      <c r="B970" s="31">
        <f>IF($A970="","",PAYMENTS!B463)</f>
        <v/>
      </c>
      <c r="C970" s="31">
        <f>IF($A970="","",PAYMENTS!C463)</f>
        <v/>
      </c>
      <c r="D970" s="31">
        <f>IF($A970="","",PAYMENTS!D463)</f>
        <v/>
      </c>
      <c r="E970" s="32">
        <f>IF($A970="","",PAYMENTS!E463)</f>
        <v/>
      </c>
      <c r="F970" s="31">
        <f>IF($A970="","",PAYMENTS!F463)</f>
        <v/>
      </c>
      <c r="G970" s="31">
        <f>IF($A970="","",PAYMENTS!G463)</f>
        <v/>
      </c>
    </row>
    <row r="971">
      <c r="A971" s="33">
        <f>IF(PAYMENTS!A464="","",PAYMENTS!A464)</f>
        <v/>
      </c>
      <c r="B971" s="31">
        <f>IF($A971="","",PAYMENTS!B464)</f>
        <v/>
      </c>
      <c r="C971" s="31">
        <f>IF($A971="","",PAYMENTS!C464)</f>
        <v/>
      </c>
      <c r="D971" s="31">
        <f>IF($A971="","",PAYMENTS!D464)</f>
        <v/>
      </c>
      <c r="E971" s="32">
        <f>IF($A971="","",PAYMENTS!E464)</f>
        <v/>
      </c>
      <c r="F971" s="31">
        <f>IF($A971="","",PAYMENTS!F464)</f>
        <v/>
      </c>
      <c r="G971" s="31">
        <f>IF($A971="","",PAYMENTS!G464)</f>
        <v/>
      </c>
    </row>
    <row r="972">
      <c r="A972" s="33">
        <f>IF(PAYMENTS!A465="","",PAYMENTS!A465)</f>
        <v/>
      </c>
      <c r="B972" s="31">
        <f>IF($A972="","",PAYMENTS!B465)</f>
        <v/>
      </c>
      <c r="C972" s="31">
        <f>IF($A972="","",PAYMENTS!C465)</f>
        <v/>
      </c>
      <c r="D972" s="31">
        <f>IF($A972="","",PAYMENTS!D465)</f>
        <v/>
      </c>
      <c r="E972" s="32">
        <f>IF($A972="","",PAYMENTS!E465)</f>
        <v/>
      </c>
      <c r="F972" s="31">
        <f>IF($A972="","",PAYMENTS!F465)</f>
        <v/>
      </c>
      <c r="G972" s="31">
        <f>IF($A972="","",PAYMENTS!G465)</f>
        <v/>
      </c>
    </row>
    <row r="973">
      <c r="A973" s="33">
        <f>IF(PAYMENTS!A466="","",PAYMENTS!A466)</f>
        <v/>
      </c>
      <c r="B973" s="31">
        <f>IF($A973="","",PAYMENTS!B466)</f>
        <v/>
      </c>
      <c r="C973" s="31">
        <f>IF($A973="","",PAYMENTS!C466)</f>
        <v/>
      </c>
      <c r="D973" s="31">
        <f>IF($A973="","",PAYMENTS!D466)</f>
        <v/>
      </c>
      <c r="E973" s="32">
        <f>IF($A973="","",PAYMENTS!E466)</f>
        <v/>
      </c>
      <c r="F973" s="31">
        <f>IF($A973="","",PAYMENTS!F466)</f>
        <v/>
      </c>
      <c r="G973" s="31">
        <f>IF($A973="","",PAYMENTS!G466)</f>
        <v/>
      </c>
    </row>
    <row r="974">
      <c r="A974" s="33">
        <f>IF(PAYMENTS!A467="","",PAYMENTS!A467)</f>
        <v/>
      </c>
      <c r="B974" s="31">
        <f>IF($A974="","",PAYMENTS!B467)</f>
        <v/>
      </c>
      <c r="C974" s="31">
        <f>IF($A974="","",PAYMENTS!C467)</f>
        <v/>
      </c>
      <c r="D974" s="31">
        <f>IF($A974="","",PAYMENTS!D467)</f>
        <v/>
      </c>
      <c r="E974" s="32">
        <f>IF($A974="","",PAYMENTS!E467)</f>
        <v/>
      </c>
      <c r="F974" s="31">
        <f>IF($A974="","",PAYMENTS!F467)</f>
        <v/>
      </c>
      <c r="G974" s="31">
        <f>IF($A974="","",PAYMENTS!G467)</f>
        <v/>
      </c>
    </row>
    <row r="975">
      <c r="A975" s="33">
        <f>IF(PAYMENTS!A468="","",PAYMENTS!A468)</f>
        <v/>
      </c>
      <c r="B975" s="31">
        <f>IF($A975="","",PAYMENTS!B468)</f>
        <v/>
      </c>
      <c r="C975" s="31">
        <f>IF($A975="","",PAYMENTS!C468)</f>
        <v/>
      </c>
      <c r="D975" s="31">
        <f>IF($A975="","",PAYMENTS!D468)</f>
        <v/>
      </c>
      <c r="E975" s="32">
        <f>IF($A975="","",PAYMENTS!E468)</f>
        <v/>
      </c>
      <c r="F975" s="31">
        <f>IF($A975="","",PAYMENTS!F468)</f>
        <v/>
      </c>
      <c r="G975" s="31">
        <f>IF($A975="","",PAYMENTS!G468)</f>
        <v/>
      </c>
    </row>
    <row r="976">
      <c r="A976" s="33">
        <f>IF(PAYMENTS!A469="","",PAYMENTS!A469)</f>
        <v/>
      </c>
      <c r="B976" s="31">
        <f>IF($A976="","",PAYMENTS!B469)</f>
        <v/>
      </c>
      <c r="C976" s="31">
        <f>IF($A976="","",PAYMENTS!C469)</f>
        <v/>
      </c>
      <c r="D976" s="31">
        <f>IF($A976="","",PAYMENTS!D469)</f>
        <v/>
      </c>
      <c r="E976" s="32">
        <f>IF($A976="","",PAYMENTS!E469)</f>
        <v/>
      </c>
      <c r="F976" s="31">
        <f>IF($A976="","",PAYMENTS!F469)</f>
        <v/>
      </c>
      <c r="G976" s="31">
        <f>IF($A976="","",PAYMENTS!G469)</f>
        <v/>
      </c>
    </row>
    <row r="977">
      <c r="A977" s="33">
        <f>IF(PAYMENTS!A470="","",PAYMENTS!A470)</f>
        <v/>
      </c>
      <c r="B977" s="31">
        <f>IF($A977="","",PAYMENTS!B470)</f>
        <v/>
      </c>
      <c r="C977" s="31">
        <f>IF($A977="","",PAYMENTS!C470)</f>
        <v/>
      </c>
      <c r="D977" s="31">
        <f>IF($A977="","",PAYMENTS!D470)</f>
        <v/>
      </c>
      <c r="E977" s="32">
        <f>IF($A977="","",PAYMENTS!E470)</f>
        <v/>
      </c>
      <c r="F977" s="31">
        <f>IF($A977="","",PAYMENTS!F470)</f>
        <v/>
      </c>
      <c r="G977" s="31">
        <f>IF($A977="","",PAYMENTS!G470)</f>
        <v/>
      </c>
    </row>
    <row r="978">
      <c r="A978" s="33">
        <f>IF(PAYMENTS!A471="","",PAYMENTS!A471)</f>
        <v/>
      </c>
      <c r="B978" s="31">
        <f>IF($A978="","",PAYMENTS!B471)</f>
        <v/>
      </c>
      <c r="C978" s="31">
        <f>IF($A978="","",PAYMENTS!C471)</f>
        <v/>
      </c>
      <c r="D978" s="31">
        <f>IF($A978="","",PAYMENTS!D471)</f>
        <v/>
      </c>
      <c r="E978" s="32">
        <f>IF($A978="","",PAYMENTS!E471)</f>
        <v/>
      </c>
      <c r="F978" s="31">
        <f>IF($A978="","",PAYMENTS!F471)</f>
        <v/>
      </c>
      <c r="G978" s="31">
        <f>IF($A978="","",PAYMENTS!G471)</f>
        <v/>
      </c>
    </row>
    <row r="979">
      <c r="A979" s="33">
        <f>IF(PAYMENTS!A472="","",PAYMENTS!A472)</f>
        <v/>
      </c>
      <c r="B979" s="31">
        <f>IF($A979="","",PAYMENTS!B472)</f>
        <v/>
      </c>
      <c r="C979" s="31">
        <f>IF($A979="","",PAYMENTS!C472)</f>
        <v/>
      </c>
      <c r="D979" s="31">
        <f>IF($A979="","",PAYMENTS!D472)</f>
        <v/>
      </c>
      <c r="E979" s="32">
        <f>IF($A979="","",PAYMENTS!E472)</f>
        <v/>
      </c>
      <c r="F979" s="31">
        <f>IF($A979="","",PAYMENTS!F472)</f>
        <v/>
      </c>
      <c r="G979" s="31">
        <f>IF($A979="","",PAYMENTS!G472)</f>
        <v/>
      </c>
    </row>
    <row r="980">
      <c r="A980" s="33">
        <f>IF(PAYMENTS!A473="","",PAYMENTS!A473)</f>
        <v/>
      </c>
      <c r="B980" s="31">
        <f>IF($A980="","",PAYMENTS!B473)</f>
        <v/>
      </c>
      <c r="C980" s="31">
        <f>IF($A980="","",PAYMENTS!C473)</f>
        <v/>
      </c>
      <c r="D980" s="31">
        <f>IF($A980="","",PAYMENTS!D473)</f>
        <v/>
      </c>
      <c r="E980" s="32">
        <f>IF($A980="","",PAYMENTS!E473)</f>
        <v/>
      </c>
      <c r="F980" s="31">
        <f>IF($A980="","",PAYMENTS!F473)</f>
        <v/>
      </c>
      <c r="G980" s="31">
        <f>IF($A980="","",PAYMENTS!G473)</f>
        <v/>
      </c>
    </row>
    <row r="981">
      <c r="A981" s="33">
        <f>IF(PAYMENTS!A474="","",PAYMENTS!A474)</f>
        <v/>
      </c>
      <c r="B981" s="31">
        <f>IF($A981="","",PAYMENTS!B474)</f>
        <v/>
      </c>
      <c r="C981" s="31">
        <f>IF($A981="","",PAYMENTS!C474)</f>
        <v/>
      </c>
      <c r="D981" s="31">
        <f>IF($A981="","",PAYMENTS!D474)</f>
        <v/>
      </c>
      <c r="E981" s="32">
        <f>IF($A981="","",PAYMENTS!E474)</f>
        <v/>
      </c>
      <c r="F981" s="31">
        <f>IF($A981="","",PAYMENTS!F474)</f>
        <v/>
      </c>
      <c r="G981" s="31">
        <f>IF($A981="","",PAYMENTS!G474)</f>
        <v/>
      </c>
    </row>
    <row r="982">
      <c r="A982" s="33">
        <f>IF(PAYMENTS!A475="","",PAYMENTS!A475)</f>
        <v/>
      </c>
      <c r="B982" s="31">
        <f>IF($A982="","",PAYMENTS!B475)</f>
        <v/>
      </c>
      <c r="C982" s="31">
        <f>IF($A982="","",PAYMENTS!C475)</f>
        <v/>
      </c>
      <c r="D982" s="31">
        <f>IF($A982="","",PAYMENTS!D475)</f>
        <v/>
      </c>
      <c r="E982" s="32">
        <f>IF($A982="","",PAYMENTS!E475)</f>
        <v/>
      </c>
      <c r="F982" s="31">
        <f>IF($A982="","",PAYMENTS!F475)</f>
        <v/>
      </c>
      <c r="G982" s="31">
        <f>IF($A982="","",PAYMENTS!G475)</f>
        <v/>
      </c>
    </row>
    <row r="983">
      <c r="A983" s="33">
        <f>IF(PAYMENTS!A476="","",PAYMENTS!A476)</f>
        <v/>
      </c>
      <c r="B983" s="31">
        <f>IF($A983="","",PAYMENTS!B476)</f>
        <v/>
      </c>
      <c r="C983" s="31">
        <f>IF($A983="","",PAYMENTS!C476)</f>
        <v/>
      </c>
      <c r="D983" s="31">
        <f>IF($A983="","",PAYMENTS!D476)</f>
        <v/>
      </c>
      <c r="E983" s="32">
        <f>IF($A983="","",PAYMENTS!E476)</f>
        <v/>
      </c>
      <c r="F983" s="31">
        <f>IF($A983="","",PAYMENTS!F476)</f>
        <v/>
      </c>
      <c r="G983" s="31">
        <f>IF($A983="","",PAYMENTS!G476)</f>
        <v/>
      </c>
    </row>
    <row r="984">
      <c r="A984" s="33">
        <f>IF(PAYMENTS!A477="","",PAYMENTS!A477)</f>
        <v/>
      </c>
      <c r="B984" s="31">
        <f>IF($A984="","",PAYMENTS!B477)</f>
        <v/>
      </c>
      <c r="C984" s="31">
        <f>IF($A984="","",PAYMENTS!C477)</f>
        <v/>
      </c>
      <c r="D984" s="31">
        <f>IF($A984="","",PAYMENTS!D477)</f>
        <v/>
      </c>
      <c r="E984" s="32">
        <f>IF($A984="","",PAYMENTS!E477)</f>
        <v/>
      </c>
      <c r="F984" s="31">
        <f>IF($A984="","",PAYMENTS!F477)</f>
        <v/>
      </c>
      <c r="G984" s="31">
        <f>IF($A984="","",PAYMENTS!G477)</f>
        <v/>
      </c>
    </row>
    <row r="985">
      <c r="A985" s="33">
        <f>IF(PAYMENTS!A478="","",PAYMENTS!A478)</f>
        <v/>
      </c>
      <c r="B985" s="31">
        <f>IF($A985="","",PAYMENTS!B478)</f>
        <v/>
      </c>
      <c r="C985" s="31">
        <f>IF($A985="","",PAYMENTS!C478)</f>
        <v/>
      </c>
      <c r="D985" s="31">
        <f>IF($A985="","",PAYMENTS!D478)</f>
        <v/>
      </c>
      <c r="E985" s="32">
        <f>IF($A985="","",PAYMENTS!E478)</f>
        <v/>
      </c>
      <c r="F985" s="31">
        <f>IF($A985="","",PAYMENTS!F478)</f>
        <v/>
      </c>
      <c r="G985" s="31">
        <f>IF($A985="","",PAYMENTS!G478)</f>
        <v/>
      </c>
    </row>
    <row r="986">
      <c r="A986" s="33">
        <f>IF(PAYMENTS!A479="","",PAYMENTS!A479)</f>
        <v/>
      </c>
      <c r="B986" s="31">
        <f>IF($A986="","",PAYMENTS!B479)</f>
        <v/>
      </c>
      <c r="C986" s="31">
        <f>IF($A986="","",PAYMENTS!C479)</f>
        <v/>
      </c>
      <c r="D986" s="31">
        <f>IF($A986="","",PAYMENTS!D479)</f>
        <v/>
      </c>
      <c r="E986" s="32">
        <f>IF($A986="","",PAYMENTS!E479)</f>
        <v/>
      </c>
      <c r="F986" s="31">
        <f>IF($A986="","",PAYMENTS!F479)</f>
        <v/>
      </c>
      <c r="G986" s="31">
        <f>IF($A986="","",PAYMENTS!G479)</f>
        <v/>
      </c>
    </row>
    <row r="987">
      <c r="A987" s="33">
        <f>IF(PAYMENTS!A480="","",PAYMENTS!A480)</f>
        <v/>
      </c>
      <c r="B987" s="31">
        <f>IF($A987="","",PAYMENTS!B480)</f>
        <v/>
      </c>
      <c r="C987" s="31">
        <f>IF($A987="","",PAYMENTS!C480)</f>
        <v/>
      </c>
      <c r="D987" s="31">
        <f>IF($A987="","",PAYMENTS!D480)</f>
        <v/>
      </c>
      <c r="E987" s="32">
        <f>IF($A987="","",PAYMENTS!E480)</f>
        <v/>
      </c>
      <c r="F987" s="31">
        <f>IF($A987="","",PAYMENTS!F480)</f>
        <v/>
      </c>
      <c r="G987" s="31">
        <f>IF($A987="","",PAYMENTS!G480)</f>
        <v/>
      </c>
    </row>
    <row r="988">
      <c r="A988" s="33">
        <f>IF(PAYMENTS!A481="","",PAYMENTS!A481)</f>
        <v/>
      </c>
      <c r="B988" s="31">
        <f>IF($A988="","",PAYMENTS!B481)</f>
        <v/>
      </c>
      <c r="C988" s="31">
        <f>IF($A988="","",PAYMENTS!C481)</f>
        <v/>
      </c>
      <c r="D988" s="31">
        <f>IF($A988="","",PAYMENTS!D481)</f>
        <v/>
      </c>
      <c r="E988" s="32">
        <f>IF($A988="","",PAYMENTS!E481)</f>
        <v/>
      </c>
      <c r="F988" s="31">
        <f>IF($A988="","",PAYMENTS!F481)</f>
        <v/>
      </c>
      <c r="G988" s="31">
        <f>IF($A988="","",PAYMENTS!G481)</f>
        <v/>
      </c>
    </row>
    <row r="989">
      <c r="A989" s="33">
        <f>IF(PAYMENTS!A482="","",PAYMENTS!A482)</f>
        <v/>
      </c>
      <c r="B989" s="31">
        <f>IF($A989="","",PAYMENTS!B482)</f>
        <v/>
      </c>
      <c r="C989" s="31">
        <f>IF($A989="","",PAYMENTS!C482)</f>
        <v/>
      </c>
      <c r="D989" s="31">
        <f>IF($A989="","",PAYMENTS!D482)</f>
        <v/>
      </c>
      <c r="E989" s="32">
        <f>IF($A989="","",PAYMENTS!E482)</f>
        <v/>
      </c>
      <c r="F989" s="31">
        <f>IF($A989="","",PAYMENTS!F482)</f>
        <v/>
      </c>
      <c r="G989" s="31">
        <f>IF($A989="","",PAYMENTS!G482)</f>
        <v/>
      </c>
    </row>
    <row r="990">
      <c r="A990" s="33">
        <f>IF(PAYMENTS!A483="","",PAYMENTS!A483)</f>
        <v/>
      </c>
      <c r="B990" s="31">
        <f>IF($A990="","",PAYMENTS!B483)</f>
        <v/>
      </c>
      <c r="C990" s="31">
        <f>IF($A990="","",PAYMENTS!C483)</f>
        <v/>
      </c>
      <c r="D990" s="31">
        <f>IF($A990="","",PAYMENTS!D483)</f>
        <v/>
      </c>
      <c r="E990" s="32">
        <f>IF($A990="","",PAYMENTS!E483)</f>
        <v/>
      </c>
      <c r="F990" s="31">
        <f>IF($A990="","",PAYMENTS!F483)</f>
        <v/>
      </c>
      <c r="G990" s="31">
        <f>IF($A990="","",PAYMENTS!G483)</f>
        <v/>
      </c>
    </row>
    <row r="991">
      <c r="A991" s="33">
        <f>IF(PAYMENTS!A484="","",PAYMENTS!A484)</f>
        <v/>
      </c>
      <c r="B991" s="31">
        <f>IF($A991="","",PAYMENTS!B484)</f>
        <v/>
      </c>
      <c r="C991" s="31">
        <f>IF($A991="","",PAYMENTS!C484)</f>
        <v/>
      </c>
      <c r="D991" s="31">
        <f>IF($A991="","",PAYMENTS!D484)</f>
        <v/>
      </c>
      <c r="E991" s="32">
        <f>IF($A991="","",PAYMENTS!E484)</f>
        <v/>
      </c>
      <c r="F991" s="31">
        <f>IF($A991="","",PAYMENTS!F484)</f>
        <v/>
      </c>
      <c r="G991" s="31">
        <f>IF($A991="","",PAYMENTS!G484)</f>
        <v/>
      </c>
    </row>
    <row r="992">
      <c r="A992" s="33">
        <f>IF(PAYMENTS!A485="","",PAYMENTS!A485)</f>
        <v/>
      </c>
      <c r="B992" s="31">
        <f>IF($A992="","",PAYMENTS!B485)</f>
        <v/>
      </c>
      <c r="C992" s="31">
        <f>IF($A992="","",PAYMENTS!C485)</f>
        <v/>
      </c>
      <c r="D992" s="31">
        <f>IF($A992="","",PAYMENTS!D485)</f>
        <v/>
      </c>
      <c r="E992" s="32">
        <f>IF($A992="","",PAYMENTS!E485)</f>
        <v/>
      </c>
      <c r="F992" s="31">
        <f>IF($A992="","",PAYMENTS!F485)</f>
        <v/>
      </c>
      <c r="G992" s="31">
        <f>IF($A992="","",PAYMENTS!G485)</f>
        <v/>
      </c>
    </row>
    <row r="993">
      <c r="A993" s="33">
        <f>IF(PAYMENTS!A486="","",PAYMENTS!A486)</f>
        <v/>
      </c>
      <c r="B993" s="31">
        <f>IF($A993="","",PAYMENTS!B486)</f>
        <v/>
      </c>
      <c r="C993" s="31">
        <f>IF($A993="","",PAYMENTS!C486)</f>
        <v/>
      </c>
      <c r="D993" s="31">
        <f>IF($A993="","",PAYMENTS!D486)</f>
        <v/>
      </c>
      <c r="E993" s="32">
        <f>IF($A993="","",PAYMENTS!E486)</f>
        <v/>
      </c>
      <c r="F993" s="31">
        <f>IF($A993="","",PAYMENTS!F486)</f>
        <v/>
      </c>
      <c r="G993" s="31">
        <f>IF($A993="","",PAYMENTS!G486)</f>
        <v/>
      </c>
    </row>
    <row r="994">
      <c r="A994" s="33">
        <f>IF(PAYMENTS!A487="","",PAYMENTS!A487)</f>
        <v/>
      </c>
      <c r="B994" s="31">
        <f>IF($A994="","",PAYMENTS!B487)</f>
        <v/>
      </c>
      <c r="C994" s="31">
        <f>IF($A994="","",PAYMENTS!C487)</f>
        <v/>
      </c>
      <c r="D994" s="31">
        <f>IF($A994="","",PAYMENTS!D487)</f>
        <v/>
      </c>
      <c r="E994" s="32">
        <f>IF($A994="","",PAYMENTS!E487)</f>
        <v/>
      </c>
      <c r="F994" s="31">
        <f>IF($A994="","",PAYMENTS!F487)</f>
        <v/>
      </c>
      <c r="G994" s="31">
        <f>IF($A994="","",PAYMENTS!G487)</f>
        <v/>
      </c>
    </row>
    <row r="995">
      <c r="A995" s="33">
        <f>IF(PAYMENTS!A488="","",PAYMENTS!A488)</f>
        <v/>
      </c>
      <c r="B995" s="31">
        <f>IF($A995="","",PAYMENTS!B488)</f>
        <v/>
      </c>
      <c r="C995" s="31">
        <f>IF($A995="","",PAYMENTS!C488)</f>
        <v/>
      </c>
      <c r="D995" s="31">
        <f>IF($A995="","",PAYMENTS!D488)</f>
        <v/>
      </c>
      <c r="E995" s="32">
        <f>IF($A995="","",PAYMENTS!E488)</f>
        <v/>
      </c>
      <c r="F995" s="31">
        <f>IF($A995="","",PAYMENTS!F488)</f>
        <v/>
      </c>
      <c r="G995" s="31">
        <f>IF($A995="","",PAYMENTS!G488)</f>
        <v/>
      </c>
    </row>
    <row r="996">
      <c r="A996" s="33">
        <f>IF(PAYMENTS!A489="","",PAYMENTS!A489)</f>
        <v/>
      </c>
      <c r="B996" s="31">
        <f>IF($A996="","",PAYMENTS!B489)</f>
        <v/>
      </c>
      <c r="C996" s="31">
        <f>IF($A996="","",PAYMENTS!C489)</f>
        <v/>
      </c>
      <c r="D996" s="31">
        <f>IF($A996="","",PAYMENTS!D489)</f>
        <v/>
      </c>
      <c r="E996" s="32">
        <f>IF($A996="","",PAYMENTS!E489)</f>
        <v/>
      </c>
      <c r="F996" s="31">
        <f>IF($A996="","",PAYMENTS!F489)</f>
        <v/>
      </c>
      <c r="G996" s="31">
        <f>IF($A996="","",PAYMENTS!G489)</f>
        <v/>
      </c>
    </row>
    <row r="997">
      <c r="A997" s="33">
        <f>IF(PAYMENTS!A490="","",PAYMENTS!A490)</f>
        <v/>
      </c>
      <c r="B997" s="31">
        <f>IF($A997="","",PAYMENTS!B490)</f>
        <v/>
      </c>
      <c r="C997" s="31">
        <f>IF($A997="","",PAYMENTS!C490)</f>
        <v/>
      </c>
      <c r="D997" s="31">
        <f>IF($A997="","",PAYMENTS!D490)</f>
        <v/>
      </c>
      <c r="E997" s="32">
        <f>IF($A997="","",PAYMENTS!E490)</f>
        <v/>
      </c>
      <c r="F997" s="31">
        <f>IF($A997="","",PAYMENTS!F490)</f>
        <v/>
      </c>
      <c r="G997" s="31">
        <f>IF($A997="","",PAYMENTS!G490)</f>
        <v/>
      </c>
    </row>
    <row r="998">
      <c r="A998" s="33">
        <f>IF(PAYMENTS!A491="","",PAYMENTS!A491)</f>
        <v/>
      </c>
      <c r="B998" s="31">
        <f>IF($A998="","",PAYMENTS!B491)</f>
        <v/>
      </c>
      <c r="C998" s="31">
        <f>IF($A998="","",PAYMENTS!C491)</f>
        <v/>
      </c>
      <c r="D998" s="31">
        <f>IF($A998="","",PAYMENTS!D491)</f>
        <v/>
      </c>
      <c r="E998" s="32">
        <f>IF($A998="","",PAYMENTS!E491)</f>
        <v/>
      </c>
      <c r="F998" s="31">
        <f>IF($A998="","",PAYMENTS!F491)</f>
        <v/>
      </c>
      <c r="G998" s="31">
        <f>IF($A998="","",PAYMENTS!G491)</f>
        <v/>
      </c>
    </row>
    <row r="999">
      <c r="A999" s="33">
        <f>IF(PAYMENTS!A492="","",PAYMENTS!A492)</f>
        <v/>
      </c>
      <c r="B999" s="31">
        <f>IF($A999="","",PAYMENTS!B492)</f>
        <v/>
      </c>
      <c r="C999" s="31">
        <f>IF($A999="","",PAYMENTS!C492)</f>
        <v/>
      </c>
      <c r="D999" s="31">
        <f>IF($A999="","",PAYMENTS!D492)</f>
        <v/>
      </c>
      <c r="E999" s="32">
        <f>IF($A999="","",PAYMENTS!E492)</f>
        <v/>
      </c>
      <c r="F999" s="31">
        <f>IF($A999="","",PAYMENTS!F492)</f>
        <v/>
      </c>
      <c r="G999" s="31">
        <f>IF($A999="","",PAYMENTS!G492)</f>
        <v/>
      </c>
    </row>
    <row r="1000">
      <c r="A1000" s="33">
        <f>IF(PAYMENTS!A493="","",PAYMENTS!A493)</f>
        <v/>
      </c>
      <c r="B1000" s="31">
        <f>IF($A1000="","",PAYMENTS!B493)</f>
        <v/>
      </c>
      <c r="C1000" s="31">
        <f>IF($A1000="","",PAYMENTS!C493)</f>
        <v/>
      </c>
      <c r="D1000" s="31">
        <f>IF($A1000="","",PAYMENTS!D493)</f>
        <v/>
      </c>
      <c r="E1000" s="32">
        <f>IF($A1000="","",PAYMENTS!E493)</f>
        <v/>
      </c>
      <c r="F1000" s="31">
        <f>IF($A1000="","",PAYMENTS!F493)</f>
        <v/>
      </c>
      <c r="G1000" s="31">
        <f>IF($A1000="","",PAYMENTS!G493)</f>
        <v/>
      </c>
    </row>
    <row r="1001">
      <c r="A1001" s="33">
        <f>IF(PAYMENTS!A494="","",PAYMENTS!A494)</f>
        <v/>
      </c>
      <c r="B1001" s="31">
        <f>IF($A1001="","",PAYMENTS!B494)</f>
        <v/>
      </c>
      <c r="C1001" s="31">
        <f>IF($A1001="","",PAYMENTS!C494)</f>
        <v/>
      </c>
      <c r="D1001" s="31">
        <f>IF($A1001="","",PAYMENTS!D494)</f>
        <v/>
      </c>
      <c r="E1001" s="32">
        <f>IF($A1001="","",PAYMENTS!E494)</f>
        <v/>
      </c>
      <c r="F1001" s="31">
        <f>IF($A1001="","",PAYMENTS!F494)</f>
        <v/>
      </c>
      <c r="G1001" s="31">
        <f>IF($A1001="","",PAYMENTS!G494)</f>
        <v/>
      </c>
    </row>
    <row r="1002">
      <c r="A1002" s="33">
        <f>IF(PAYMENTS!A495="","",PAYMENTS!A495)</f>
        <v/>
      </c>
      <c r="B1002" s="31">
        <f>IF($A1002="","",PAYMENTS!B495)</f>
        <v/>
      </c>
      <c r="C1002" s="31">
        <f>IF($A1002="","",PAYMENTS!C495)</f>
        <v/>
      </c>
      <c r="D1002" s="31">
        <f>IF($A1002="","",PAYMENTS!D495)</f>
        <v/>
      </c>
      <c r="E1002" s="32">
        <f>IF($A1002="","",PAYMENTS!E495)</f>
        <v/>
      </c>
      <c r="F1002" s="31">
        <f>IF($A1002="","",PAYMENTS!F495)</f>
        <v/>
      </c>
      <c r="G1002" s="31">
        <f>IF($A1002="","",PAYMENTS!G495)</f>
        <v/>
      </c>
    </row>
    <row r="1003">
      <c r="A1003" s="33">
        <f>IF(PAYMENTS!A496="","",PAYMENTS!A496)</f>
        <v/>
      </c>
      <c r="B1003" s="31">
        <f>IF($A1003="","",PAYMENTS!B496)</f>
        <v/>
      </c>
      <c r="C1003" s="31">
        <f>IF($A1003="","",PAYMENTS!C496)</f>
        <v/>
      </c>
      <c r="D1003" s="31">
        <f>IF($A1003="","",PAYMENTS!D496)</f>
        <v/>
      </c>
      <c r="E1003" s="32">
        <f>IF($A1003="","",PAYMENTS!E496)</f>
        <v/>
      </c>
      <c r="F1003" s="31">
        <f>IF($A1003="","",PAYMENTS!F496)</f>
        <v/>
      </c>
      <c r="G1003" s="31">
        <f>IF($A1003="","",PAYMENTS!G496)</f>
        <v/>
      </c>
    </row>
    <row r="1004">
      <c r="A1004" s="33">
        <f>IF(PAYMENTS!A497="","",PAYMENTS!A497)</f>
        <v/>
      </c>
      <c r="B1004" s="31">
        <f>IF($A1004="","",PAYMENTS!B497)</f>
        <v/>
      </c>
      <c r="C1004" s="31">
        <f>IF($A1004="","",PAYMENTS!C497)</f>
        <v/>
      </c>
      <c r="D1004" s="31">
        <f>IF($A1004="","",PAYMENTS!D497)</f>
        <v/>
      </c>
      <c r="E1004" s="32">
        <f>IF($A1004="","",PAYMENTS!E497)</f>
        <v/>
      </c>
      <c r="F1004" s="31">
        <f>IF($A1004="","",PAYMENTS!F497)</f>
        <v/>
      </c>
      <c r="G1004" s="31">
        <f>IF($A1004="","",PAYMENTS!G497)</f>
        <v/>
      </c>
    </row>
    <row r="1005">
      <c r="A1005" s="33">
        <f>IF(PAYMENTS!A498="","",PAYMENTS!A498)</f>
        <v/>
      </c>
      <c r="B1005" s="31">
        <f>IF($A1005="","",PAYMENTS!B498)</f>
        <v/>
      </c>
      <c r="C1005" s="31">
        <f>IF($A1005="","",PAYMENTS!C498)</f>
        <v/>
      </c>
      <c r="D1005" s="31">
        <f>IF($A1005="","",PAYMENTS!D498)</f>
        <v/>
      </c>
      <c r="E1005" s="32">
        <f>IF($A1005="","",PAYMENTS!E498)</f>
        <v/>
      </c>
      <c r="F1005" s="31">
        <f>IF($A1005="","",PAYMENTS!F498)</f>
        <v/>
      </c>
      <c r="G1005" s="31">
        <f>IF($A1005="","",PAYMENTS!G498)</f>
        <v/>
      </c>
    </row>
    <row r="1006">
      <c r="A1006" s="33">
        <f>IF(PAYMENTS!A499="","",PAYMENTS!A499)</f>
        <v/>
      </c>
      <c r="B1006" s="31">
        <f>IF($A1006="","",PAYMENTS!B499)</f>
        <v/>
      </c>
      <c r="C1006" s="31">
        <f>IF($A1006="","",PAYMENTS!C499)</f>
        <v/>
      </c>
      <c r="D1006" s="31">
        <f>IF($A1006="","",PAYMENTS!D499)</f>
        <v/>
      </c>
      <c r="E1006" s="32">
        <f>IF($A1006="","",PAYMENTS!E499)</f>
        <v/>
      </c>
      <c r="F1006" s="31">
        <f>IF($A1006="","",PAYMENTS!F499)</f>
        <v/>
      </c>
      <c r="G1006" s="31">
        <f>IF($A1006="","",PAYMENTS!G499)</f>
        <v/>
      </c>
    </row>
    <row r="1007">
      <c r="A1007" s="33">
        <f>IF(PAYMENTS!A500="","",PAYMENTS!A500)</f>
        <v/>
      </c>
      <c r="B1007" s="31">
        <f>IF($A1007="","",PAYMENTS!B500)</f>
        <v/>
      </c>
      <c r="C1007" s="31">
        <f>IF($A1007="","",PAYMENTS!C500)</f>
        <v/>
      </c>
      <c r="D1007" s="31">
        <f>IF($A1007="","",PAYMENTS!D500)</f>
        <v/>
      </c>
      <c r="E1007" s="32">
        <f>IF($A1007="","",PAYMENTS!E500)</f>
        <v/>
      </c>
      <c r="F1007" s="31">
        <f>IF($A1007="","",PAYMENTS!F500)</f>
        <v/>
      </c>
      <c r="G1007" s="31">
        <f>IF($A1007="","",PAYMENTS!G500)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tabSelected="1" workbookViewId="0">
      <selection activeCell="D5" sqref="D5"/>
    </sheetView>
  </sheetViews>
  <sheetFormatPr baseColWidth="8" defaultRowHeight="14.4"/>
  <cols>
    <col width="18" customWidth="1" style="10" min="12" max="15"/>
  </cols>
  <sheetData>
    <row r="1">
      <c r="A1" s="1" t="inlineStr">
        <is>
          <t>Registration Date</t>
        </is>
      </c>
      <c r="B1" s="1" t="inlineStr">
        <is>
          <t>Year</t>
        </is>
      </c>
      <c r="C1" s="1" t="inlineStr">
        <is>
          <t>Grade</t>
        </is>
      </c>
      <c r="D1" s="1" t="inlineStr">
        <is>
          <t>Applicant Sequence</t>
        </is>
      </c>
      <c r="E1" s="1" t="inlineStr">
        <is>
          <t>Student Number</t>
        </is>
      </c>
      <c r="F1" s="1" t="inlineStr">
        <is>
          <t>Full 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Package Name</t>
        </is>
      </c>
      <c r="J1" s="1" t="inlineStr">
        <is>
          <t>Total Fee</t>
        </is>
      </c>
      <c r="K1" s="1" t="inlineStr">
        <is>
          <t>Status</t>
        </is>
      </c>
      <c r="L1" s="1" t="inlineStr">
        <is>
          <t>Amount Paid (R)</t>
        </is>
      </c>
      <c r="M1" s="1" t="inlineStr">
        <is>
          <t>Balance (R)</t>
        </is>
      </c>
      <c r="N1" s="1" t="inlineStr">
        <is>
          <t>Payment Status</t>
        </is>
      </c>
      <c r="O1" s="1" t="inlineStr">
        <is>
          <t>Last Payment Date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>
        <f>IF(E2="","",SUMIF(PAYMENTS!C:C,E2,PAYMENTS!E:E))</f>
        <v/>
      </c>
      <c r="M2">
        <f>IF(E2="","",J2-L2)</f>
        <v/>
      </c>
      <c r="N2">
        <f>IF(E2="","",IF(M2&lt;=0,"Paid",IF(L2&gt;0,"Part Paid","Unpaid")))</f>
        <v/>
      </c>
      <c r="O2">
        <f>IF(E2="","",IFERROR(MAXIFS(PAYMENTS!A:A,PAYMENTS!C:C,E2),""))</f>
        <v/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>
        <f>IF(E3="","",SUMIF(PAYMENTS!C:C,E3,PAYMENTS!E:E))</f>
        <v/>
      </c>
      <c r="M3">
        <f>IF(E3="","",J3-L3)</f>
        <v/>
      </c>
      <c r="N3">
        <f>IF(E3="","",IF(M3&lt;=0,"Paid",IF(L3&gt;0,"Part Paid","Unpaid")))</f>
        <v/>
      </c>
      <c r="O3">
        <f>IF(E3="","",IFERROR(MAXIFS(PAYMENTS!A:A,PAYMENTS!C:C,E3),""))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>
        <f>IF(E4="","",SUMIF(PAYMENTS!C:C,E4,PAYMENTS!E:E))</f>
        <v/>
      </c>
      <c r="M4">
        <f>IF(E4="","",J4-L4)</f>
        <v/>
      </c>
      <c r="N4">
        <f>IF(E4="","",IF(M4&lt;=0,"Paid",IF(L4&gt;0,"Part Paid","Unpaid")))</f>
        <v/>
      </c>
      <c r="O4">
        <f>IF(E4="","",IFERROR(MAXIFS(PAYMENTS!A:A,PAYMENTS!C:C,E4),""))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>
        <f>IF(E5="","",SUMIF(PAYMENTS!C:C,E5,PAYMENTS!E:E))</f>
        <v/>
      </c>
      <c r="M5">
        <f>IF(E5="","",J5-L5)</f>
        <v/>
      </c>
      <c r="N5">
        <f>IF(E5="","",IF(M5&lt;=0,"Paid",IF(L5&gt;0,"Part Paid","Unpaid")))</f>
        <v/>
      </c>
      <c r="O5">
        <f>IF(E5="","",IFERROR(MAXIFS(PAYMENTS!A:A,PAYMENTS!C:C,E5),""))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>
        <f>IF(E6="","",SUMIF(PAYMENTS!C:C,E6,PAYMENTS!E:E))</f>
        <v/>
      </c>
      <c r="M6">
        <f>IF(E6="","",J6-L6)</f>
        <v/>
      </c>
      <c r="N6">
        <f>IF(E6="","",IF(M6&lt;=0,"Paid",IF(L6&gt;0,"Part Paid","Unpaid")))</f>
        <v/>
      </c>
      <c r="O6">
        <f>IF(E6="","",IFERROR(MAXIFS(PAYMENTS!A:A,PAYMENTS!C:C,E6),""))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>
        <f>IF(E7="","",SUMIF(PAYMENTS!C:C,E7,PAYMENTS!E:E))</f>
        <v/>
      </c>
      <c r="M7">
        <f>IF(E7="","",J7-L7)</f>
        <v/>
      </c>
      <c r="N7">
        <f>IF(E7="","",IF(M7&lt;=0,"Paid",IF(L7&gt;0,"Part Paid","Unpaid")))</f>
        <v/>
      </c>
      <c r="O7">
        <f>IF(E7="","",IFERROR(MAXIFS(PAYMENTS!A:A,PAYMENTS!C:C,E7),""))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>
        <f>IF(E8="","",SUMIF(PAYMENTS!C:C,E8,PAYMENTS!E:E))</f>
        <v/>
      </c>
      <c r="M8">
        <f>IF(E8="","",J8-L8)</f>
        <v/>
      </c>
      <c r="N8">
        <f>IF(E8="","",IF(M8&lt;=0,"Paid",IF(L8&gt;0,"Part Paid","Unpaid")))</f>
        <v/>
      </c>
      <c r="O8">
        <f>IF(E8="","",IFERROR(MAXIFS(PAYMENTS!A:A,PAYMENTS!C:C,E8),""))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>
        <f>IF(E9="","",SUMIF(PAYMENTS!C:C,E9,PAYMENTS!E:E))</f>
        <v/>
      </c>
      <c r="M9">
        <f>IF(E9="","",J9-L9)</f>
        <v/>
      </c>
      <c r="N9">
        <f>IF(E9="","",IF(M9&lt;=0,"Paid",IF(L9&gt;0,"Part Paid","Unpaid")))</f>
        <v/>
      </c>
      <c r="O9">
        <f>IF(E9="","",IFERROR(MAXIFS(PAYMENTS!A:A,PAYMENTS!C:C,E9),""))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>
        <f>IF(E10="","",SUMIF(PAYMENTS!C:C,E10,PAYMENTS!E:E))</f>
        <v/>
      </c>
      <c r="M10">
        <f>IF(E10="","",J10-L10)</f>
        <v/>
      </c>
      <c r="N10">
        <f>IF(E10="","",IF(M10&lt;=0,"Paid",IF(L10&gt;0,"Part Paid","Unpaid")))</f>
        <v/>
      </c>
      <c r="O10">
        <f>IF(E10="","",IFERROR(MAXIFS(PAYMENTS!A:A,PAYMENTS!C:C,E10),""))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>
        <f>IF(E11="","",SUMIF(PAYMENTS!C:C,E11,PAYMENTS!E:E))</f>
        <v/>
      </c>
      <c r="M11">
        <f>IF(E11="","",J11-L11)</f>
        <v/>
      </c>
      <c r="N11">
        <f>IF(E11="","",IF(M11&lt;=0,"Paid",IF(L11&gt;0,"Part Paid","Unpaid")))</f>
        <v/>
      </c>
      <c r="O11">
        <f>IF(E11="","",IFERROR(MAXIFS(PAYMENTS!A:A,PAYMENTS!C:C,E11),""))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>
        <f>IF(E12="","",SUMIF(PAYMENTS!C:C,E12,PAYMENTS!E:E))</f>
        <v/>
      </c>
      <c r="M12">
        <f>IF(E12="","",J12-L12)</f>
        <v/>
      </c>
      <c r="N12">
        <f>IF(E12="","",IF(M12&lt;=0,"Paid",IF(L12&gt;0,"Part Paid","Unpaid")))</f>
        <v/>
      </c>
      <c r="O12">
        <f>IF(E12="","",IFERROR(MAXIFS(PAYMENTS!A:A,PAYMENTS!C:C,E12),""))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>
        <f>IF(E13="","",SUMIF(PAYMENTS!C:C,E13,PAYMENTS!E:E))</f>
        <v/>
      </c>
      <c r="M13">
        <f>IF(E13="","",J13-L13)</f>
        <v/>
      </c>
      <c r="N13">
        <f>IF(E13="","",IF(M13&lt;=0,"Paid",IF(L13&gt;0,"Part Paid","Unpaid")))</f>
        <v/>
      </c>
      <c r="O13">
        <f>IF(E13="","",IFERROR(MAXIFS(PAYMENTS!A:A,PAYMENTS!C:C,E13),""))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>
        <f>IF(E14="","",SUMIF(PAYMENTS!C:C,E14,PAYMENTS!E:E))</f>
        <v/>
      </c>
      <c r="M14">
        <f>IF(E14="","",J14-L14)</f>
        <v/>
      </c>
      <c r="N14">
        <f>IF(E14="","",IF(M14&lt;=0,"Paid",IF(L14&gt;0,"Part Paid","Unpaid")))</f>
        <v/>
      </c>
      <c r="O14">
        <f>IF(E14="","",IFERROR(MAXIFS(PAYMENTS!A:A,PAYMENTS!C:C,E14),""))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>
        <f>IF(E15="","",SUMIF(PAYMENTS!C:C,E15,PAYMENTS!E:E))</f>
        <v/>
      </c>
      <c r="M15">
        <f>IF(E15="","",J15-L15)</f>
        <v/>
      </c>
      <c r="N15">
        <f>IF(E15="","",IF(M15&lt;=0,"Paid",IF(L15&gt;0,"Part Paid","Unpaid")))</f>
        <v/>
      </c>
      <c r="O15">
        <f>IF(E15="","",IFERROR(MAXIFS(PAYMENTS!A:A,PAYMENTS!C:C,E15),""))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>
        <f>IF(E16="","",SUMIF(PAYMENTS!C:C,E16,PAYMENTS!E:E))</f>
        <v/>
      </c>
      <c r="M16">
        <f>IF(E16="","",J16-L16)</f>
        <v/>
      </c>
      <c r="N16">
        <f>IF(E16="","",IF(M16&lt;=0,"Paid",IF(L16&gt;0,"Part Paid","Unpaid")))</f>
        <v/>
      </c>
      <c r="O16">
        <f>IF(E16="","",IFERROR(MAXIFS(PAYMENTS!A:A,PAYMENTS!C:C,E16),""))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>
        <f>IF(E17="","",SUMIF(PAYMENTS!C:C,E17,PAYMENTS!E:E))</f>
        <v/>
      </c>
      <c r="M17">
        <f>IF(E17="","",J17-L17)</f>
        <v/>
      </c>
      <c r="N17">
        <f>IF(E17="","",IF(M17&lt;=0,"Paid",IF(L17&gt;0,"Part Paid","Unpaid")))</f>
        <v/>
      </c>
      <c r="O17">
        <f>IF(E17="","",IFERROR(MAXIFS(PAYMENTS!A:A,PAYMENTS!C:C,E17),""))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>
        <f>IF(E18="","",SUMIF(PAYMENTS!C:C,E18,PAYMENTS!E:E))</f>
        <v/>
      </c>
      <c r="M18">
        <f>IF(E18="","",J18-L18)</f>
        <v/>
      </c>
      <c r="N18">
        <f>IF(E18="","",IF(M18&lt;=0,"Paid",IF(L18&gt;0,"Part Paid","Unpaid")))</f>
        <v/>
      </c>
      <c r="O18">
        <f>IF(E18="","",IFERROR(MAXIFS(PAYMENTS!A:A,PAYMENTS!C:C,E18),""))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>
        <f>IF(E19="","",SUMIF(PAYMENTS!C:C,E19,PAYMENTS!E:E))</f>
        <v/>
      </c>
      <c r="M19">
        <f>IF(E19="","",J19-L19)</f>
        <v/>
      </c>
      <c r="N19">
        <f>IF(E19="","",IF(M19&lt;=0,"Paid",IF(L19&gt;0,"Part Paid","Unpaid")))</f>
        <v/>
      </c>
      <c r="O19">
        <f>IF(E19="","",IFERROR(MAXIFS(PAYMENTS!A:A,PAYMENTS!C:C,E19),""))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>
        <f>IF(E20="","",SUMIF(PAYMENTS!C:C,E20,PAYMENTS!E:E))</f>
        <v/>
      </c>
      <c r="M20">
        <f>IF(E20="","",J20-L20)</f>
        <v/>
      </c>
      <c r="N20">
        <f>IF(E20="","",IF(M20&lt;=0,"Paid",IF(L20&gt;0,"Part Paid","Unpaid")))</f>
        <v/>
      </c>
      <c r="O20">
        <f>IF(E20="","",IFERROR(MAXIFS(PAYMENTS!A:A,PAYMENTS!C:C,E20),""))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>
        <f>IF(E21="","",SUMIF(PAYMENTS!C:C,E21,PAYMENTS!E:E))</f>
        <v/>
      </c>
      <c r="M21">
        <f>IF(E21="","",J21-L21)</f>
        <v/>
      </c>
      <c r="N21">
        <f>IF(E21="","",IF(M21&lt;=0,"Paid",IF(L21&gt;0,"Part Paid","Unpaid")))</f>
        <v/>
      </c>
      <c r="O21">
        <f>IF(E21="","",IFERROR(MAXIFS(PAYMENTS!A:A,PAYMENTS!C:C,E21),""))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>
        <f>IF(E22="","",SUMIF(PAYMENTS!C:C,E22,PAYMENTS!E:E))</f>
        <v/>
      </c>
      <c r="M22">
        <f>IF(E22="","",J22-L22)</f>
        <v/>
      </c>
      <c r="N22">
        <f>IF(E22="","",IF(M22&lt;=0,"Paid",IF(L22&gt;0,"Part Paid","Unpaid")))</f>
        <v/>
      </c>
      <c r="O22">
        <f>IF(E22="","",IFERROR(MAXIFS(PAYMENTS!A:A,PAYMENTS!C:C,E22),""))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>
        <f>IF(E23="","",SUMIF(PAYMENTS!C:C,E23,PAYMENTS!E:E))</f>
        <v/>
      </c>
      <c r="M23">
        <f>IF(E23="","",J23-L23)</f>
        <v/>
      </c>
      <c r="N23">
        <f>IF(E23="","",IF(M23&lt;=0,"Paid",IF(L23&gt;0,"Part Paid","Unpaid")))</f>
        <v/>
      </c>
      <c r="O23">
        <f>IF(E23="","",IFERROR(MAXIFS(PAYMENTS!A:A,PAYMENTS!C:C,E23),""))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>
        <f>IF(E24="","",SUMIF(PAYMENTS!C:C,E24,PAYMENTS!E:E))</f>
        <v/>
      </c>
      <c r="M24">
        <f>IF(E24="","",J24-L24)</f>
        <v/>
      </c>
      <c r="N24">
        <f>IF(E24="","",IF(M24&lt;=0,"Paid",IF(L24&gt;0,"Part Paid","Unpaid")))</f>
        <v/>
      </c>
      <c r="O24">
        <f>IF(E24="","",IFERROR(MAXIFS(PAYMENTS!A:A,PAYMENTS!C:C,E24),""))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>
        <f>IF(E25="","",SUMIF(PAYMENTS!C:C,E25,PAYMENTS!E:E))</f>
        <v/>
      </c>
      <c r="M25">
        <f>IF(E25="","",J25-L25)</f>
        <v/>
      </c>
      <c r="N25">
        <f>IF(E25="","",IF(M25&lt;=0,"Paid",IF(L25&gt;0,"Part Paid","Unpaid")))</f>
        <v/>
      </c>
      <c r="O25">
        <f>IF(E25="","",IFERROR(MAXIFS(PAYMENTS!A:A,PAYMENTS!C:C,E25),""))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>
        <f>IF(E26="","",SUMIF(PAYMENTS!C:C,E26,PAYMENTS!E:E))</f>
        <v/>
      </c>
      <c r="M26">
        <f>IF(E26="","",J26-L26)</f>
        <v/>
      </c>
      <c r="N26">
        <f>IF(E26="","",IF(M26&lt;=0,"Paid",IF(L26&gt;0,"Part Paid","Unpaid")))</f>
        <v/>
      </c>
      <c r="O26">
        <f>IF(E26="","",IFERROR(MAXIFS(PAYMENTS!A:A,PAYMENTS!C:C,E26),""))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>
        <f>IF(E27="","",SUMIF(PAYMENTS!C:C,E27,PAYMENTS!E:E))</f>
        <v/>
      </c>
      <c r="M27">
        <f>IF(E27="","",J27-L27)</f>
        <v/>
      </c>
      <c r="N27">
        <f>IF(E27="","",IF(M27&lt;=0,"Paid",IF(L27&gt;0,"Part Paid","Unpaid")))</f>
        <v/>
      </c>
      <c r="O27">
        <f>IF(E27="","",IFERROR(MAXIFS(PAYMENTS!A:A,PAYMENTS!C:C,E27),""))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>
        <f>IF(E28="","",SUMIF(PAYMENTS!C:C,E28,PAYMENTS!E:E))</f>
        <v/>
      </c>
      <c r="M28">
        <f>IF(E28="","",J28-L28)</f>
        <v/>
      </c>
      <c r="N28">
        <f>IF(E28="","",IF(M28&lt;=0,"Paid",IF(L28&gt;0,"Part Paid","Unpaid")))</f>
        <v/>
      </c>
      <c r="O28">
        <f>IF(E28="","",IFERROR(MAXIFS(PAYMENTS!A:A,PAYMENTS!C:C,E28),""))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>
        <f>IF(E29="","",SUMIF(PAYMENTS!C:C,E29,PAYMENTS!E:E))</f>
        <v/>
      </c>
      <c r="M29">
        <f>IF(E29="","",J29-L29)</f>
        <v/>
      </c>
      <c r="N29">
        <f>IF(E29="","",IF(M29&lt;=0,"Paid",IF(L29&gt;0,"Part Paid","Unpaid")))</f>
        <v/>
      </c>
      <c r="O29">
        <f>IF(E29="","",IFERROR(MAXIFS(PAYMENTS!A:A,PAYMENTS!C:C,E29),""))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>
        <f>IF(E30="","",SUMIF(PAYMENTS!C:C,E30,PAYMENTS!E:E))</f>
        <v/>
      </c>
      <c r="M30">
        <f>IF(E30="","",J30-L30)</f>
        <v/>
      </c>
      <c r="N30">
        <f>IF(E30="","",IF(M30&lt;=0,"Paid",IF(L30&gt;0,"Part Paid","Unpaid")))</f>
        <v/>
      </c>
      <c r="O30">
        <f>IF(E30="","",IFERROR(MAXIFS(PAYMENTS!A:A,PAYMENTS!C:C,E30),""))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>
        <f>IF(E31="","",SUMIF(PAYMENTS!C:C,E31,PAYMENTS!E:E))</f>
        <v/>
      </c>
      <c r="M31">
        <f>IF(E31="","",J31-L31)</f>
        <v/>
      </c>
      <c r="N31">
        <f>IF(E31="","",IF(M31&lt;=0,"Paid",IF(L31&gt;0,"Part Paid","Unpaid")))</f>
        <v/>
      </c>
      <c r="O31">
        <f>IF(E31="","",IFERROR(MAXIFS(PAYMENTS!A:A,PAYMENTS!C:C,E31),""))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>
        <f>IF(E32="","",SUMIF(PAYMENTS!C:C,E32,PAYMENTS!E:E))</f>
        <v/>
      </c>
      <c r="M32">
        <f>IF(E32="","",J32-L32)</f>
        <v/>
      </c>
      <c r="N32">
        <f>IF(E32="","",IF(M32&lt;=0,"Paid",IF(L32&gt;0,"Part Paid","Unpaid")))</f>
        <v/>
      </c>
      <c r="O32">
        <f>IF(E32="","",IFERROR(MAXIFS(PAYMENTS!A:A,PAYMENTS!C:C,E32),""))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>
        <f>IF(E33="","",SUMIF(PAYMENTS!C:C,E33,PAYMENTS!E:E))</f>
        <v/>
      </c>
      <c r="M33">
        <f>IF(E33="","",J33-L33)</f>
        <v/>
      </c>
      <c r="N33">
        <f>IF(E33="","",IF(M33&lt;=0,"Paid",IF(L33&gt;0,"Part Paid","Unpaid")))</f>
        <v/>
      </c>
      <c r="O33">
        <f>IF(E33="","",IFERROR(MAXIFS(PAYMENTS!A:A,PAYMENTS!C:C,E33),""))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>
        <f>IF(E34="","",SUMIF(PAYMENTS!C:C,E34,PAYMENTS!E:E))</f>
        <v/>
      </c>
      <c r="M34">
        <f>IF(E34="","",J34-L34)</f>
        <v/>
      </c>
      <c r="N34">
        <f>IF(E34="","",IF(M34&lt;=0,"Paid",IF(L34&gt;0,"Part Paid","Unpaid")))</f>
        <v/>
      </c>
      <c r="O34">
        <f>IF(E34="","",IFERROR(MAXIFS(PAYMENTS!A:A,PAYMENTS!C:C,E34),""))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>
        <f>IF(E35="","",SUMIF(PAYMENTS!C:C,E35,PAYMENTS!E:E))</f>
        <v/>
      </c>
      <c r="M35">
        <f>IF(E35="","",J35-L35)</f>
        <v/>
      </c>
      <c r="N35">
        <f>IF(E35="","",IF(M35&lt;=0,"Paid",IF(L35&gt;0,"Part Paid","Unpaid")))</f>
        <v/>
      </c>
      <c r="O35">
        <f>IF(E35="","",IFERROR(MAXIFS(PAYMENTS!A:A,PAYMENTS!C:C,E35),""))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>
        <f>IF(E36="","",SUMIF(PAYMENTS!C:C,E36,PAYMENTS!E:E))</f>
        <v/>
      </c>
      <c r="M36">
        <f>IF(E36="","",J36-L36)</f>
        <v/>
      </c>
      <c r="N36">
        <f>IF(E36="","",IF(M36&lt;=0,"Paid",IF(L36&gt;0,"Part Paid","Unpaid")))</f>
        <v/>
      </c>
      <c r="O36">
        <f>IF(E36="","",IFERROR(MAXIFS(PAYMENTS!A:A,PAYMENTS!C:C,E36),""))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>
        <f>IF(E37="","",SUMIF(PAYMENTS!C:C,E37,PAYMENTS!E:E))</f>
        <v/>
      </c>
      <c r="M37">
        <f>IF(E37="","",J37-L37)</f>
        <v/>
      </c>
      <c r="N37">
        <f>IF(E37="","",IF(M37&lt;=0,"Paid",IF(L37&gt;0,"Part Paid","Unpaid")))</f>
        <v/>
      </c>
      <c r="O37">
        <f>IF(E37="","",IFERROR(MAXIFS(PAYMENTS!A:A,PAYMENTS!C:C,E37),""))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>
        <f>IF(E38="","",SUMIF(PAYMENTS!C:C,E38,PAYMENTS!E:E))</f>
        <v/>
      </c>
      <c r="M38">
        <f>IF(E38="","",J38-L38)</f>
        <v/>
      </c>
      <c r="N38">
        <f>IF(E38="","",IF(M38&lt;=0,"Paid",IF(L38&gt;0,"Part Paid","Unpaid")))</f>
        <v/>
      </c>
      <c r="O38">
        <f>IF(E38="","",IFERROR(MAXIFS(PAYMENTS!A:A,PAYMENTS!C:C,E38),""))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>
        <f>IF(E39="","",SUMIF(PAYMENTS!C:C,E39,PAYMENTS!E:E))</f>
        <v/>
      </c>
      <c r="M39">
        <f>IF(E39="","",J39-L39)</f>
        <v/>
      </c>
      <c r="N39">
        <f>IF(E39="","",IF(M39&lt;=0,"Paid",IF(L39&gt;0,"Part Paid","Unpaid")))</f>
        <v/>
      </c>
      <c r="O39">
        <f>IF(E39="","",IFERROR(MAXIFS(PAYMENTS!A:A,PAYMENTS!C:C,E39),""))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>
        <f>IF(E40="","",SUMIF(PAYMENTS!C:C,E40,PAYMENTS!E:E))</f>
        <v/>
      </c>
      <c r="M40">
        <f>IF(E40="","",J40-L40)</f>
        <v/>
      </c>
      <c r="N40">
        <f>IF(E40="","",IF(M40&lt;=0,"Paid",IF(L40&gt;0,"Part Paid","Unpaid")))</f>
        <v/>
      </c>
      <c r="O40">
        <f>IF(E40="","",IFERROR(MAXIFS(PAYMENTS!A:A,PAYMENTS!C:C,E40),""))</f>
        <v/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>
        <f>IF(E41="","",SUMIF(PAYMENTS!C:C,E41,PAYMENTS!E:E))</f>
        <v/>
      </c>
      <c r="M41">
        <f>IF(E41="","",J41-L41)</f>
        <v/>
      </c>
      <c r="N41">
        <f>IF(E41="","",IF(M41&lt;=0,"Paid",IF(L41&gt;0,"Part Paid","Unpaid")))</f>
        <v/>
      </c>
      <c r="O41">
        <f>IF(E41="","",IFERROR(MAXIFS(PAYMENTS!A:A,PAYMENTS!C:C,E41),""))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>
        <f>IF(E42="","",SUMIF(PAYMENTS!C:C,E42,PAYMENTS!E:E))</f>
        <v/>
      </c>
      <c r="M42">
        <f>IF(E42="","",J42-L42)</f>
        <v/>
      </c>
      <c r="N42">
        <f>IF(E42="","",IF(M42&lt;=0,"Paid",IF(L42&gt;0,"Part Paid","Unpaid")))</f>
        <v/>
      </c>
      <c r="O42">
        <f>IF(E42="","",IFERROR(MAXIFS(PAYMENTS!A:A,PAYMENTS!C:C,E42),""))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>
        <f>IF(E43="","",SUMIF(PAYMENTS!C:C,E43,PAYMENTS!E:E))</f>
        <v/>
      </c>
      <c r="M43">
        <f>IF(E43="","",J43-L43)</f>
        <v/>
      </c>
      <c r="N43">
        <f>IF(E43="","",IF(M43&lt;=0,"Paid",IF(L43&gt;0,"Part Paid","Unpaid")))</f>
        <v/>
      </c>
      <c r="O43">
        <f>IF(E43="","",IFERROR(MAXIFS(PAYMENTS!A:A,PAYMENTS!C:C,E43),""))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>
        <f>IF(E44="","",SUMIF(PAYMENTS!C:C,E44,PAYMENTS!E:E))</f>
        <v/>
      </c>
      <c r="M44">
        <f>IF(E44="","",J44-L44)</f>
        <v/>
      </c>
      <c r="N44">
        <f>IF(E44="","",IF(M44&lt;=0,"Paid",IF(L44&gt;0,"Part Paid","Unpaid")))</f>
        <v/>
      </c>
      <c r="O44">
        <f>IF(E44="","",IFERROR(MAXIFS(PAYMENTS!A:A,PAYMENTS!C:C,E44),""))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>
        <f>IF(E45="","",SUMIF(PAYMENTS!C:C,E45,PAYMENTS!E:E))</f>
        <v/>
      </c>
      <c r="M45">
        <f>IF(E45="","",J45-L45)</f>
        <v/>
      </c>
      <c r="N45">
        <f>IF(E45="","",IF(M45&lt;=0,"Paid",IF(L45&gt;0,"Part Paid","Unpaid")))</f>
        <v/>
      </c>
      <c r="O45">
        <f>IF(E45="","",IFERROR(MAXIFS(PAYMENTS!A:A,PAYMENTS!C:C,E45),""))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>
        <f>IF(E46="","",SUMIF(PAYMENTS!C:C,E46,PAYMENTS!E:E))</f>
        <v/>
      </c>
      <c r="M46">
        <f>IF(E46="","",J46-L46)</f>
        <v/>
      </c>
      <c r="N46">
        <f>IF(E46="","",IF(M46&lt;=0,"Paid",IF(L46&gt;0,"Part Paid","Unpaid")))</f>
        <v/>
      </c>
      <c r="O46">
        <f>IF(E46="","",IFERROR(MAXIFS(PAYMENTS!A:A,PAYMENTS!C:C,E46),""))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>
        <f>IF(E47="","",SUMIF(PAYMENTS!C:C,E47,PAYMENTS!E:E))</f>
        <v/>
      </c>
      <c r="M47">
        <f>IF(E47="","",J47-L47)</f>
        <v/>
      </c>
      <c r="N47">
        <f>IF(E47="","",IF(M47&lt;=0,"Paid",IF(L47&gt;0,"Part Paid","Unpaid")))</f>
        <v/>
      </c>
      <c r="O47">
        <f>IF(E47="","",IFERROR(MAXIFS(PAYMENTS!A:A,PAYMENTS!C:C,E47),""))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>
        <f>IF(E48="","",SUMIF(PAYMENTS!C:C,E48,PAYMENTS!E:E))</f>
        <v/>
      </c>
      <c r="M48">
        <f>IF(E48="","",J48-L48)</f>
        <v/>
      </c>
      <c r="N48">
        <f>IF(E48="","",IF(M48&lt;=0,"Paid",IF(L48&gt;0,"Part Paid","Unpaid")))</f>
        <v/>
      </c>
      <c r="O48">
        <f>IF(E48="","",IFERROR(MAXIFS(PAYMENTS!A:A,PAYMENTS!C:C,E48),""))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>
        <f>IF(E49="","",SUMIF(PAYMENTS!C:C,E49,PAYMENTS!E:E))</f>
        <v/>
      </c>
      <c r="M49">
        <f>IF(E49="","",J49-L49)</f>
        <v/>
      </c>
      <c r="N49">
        <f>IF(E49="","",IF(M49&lt;=0,"Paid",IF(L49&gt;0,"Part Paid","Unpaid")))</f>
        <v/>
      </c>
      <c r="O49">
        <f>IF(E49="","",IFERROR(MAXIFS(PAYMENTS!A:A,PAYMENTS!C:C,E49),""))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>
        <f>IF(E50="","",SUMIF(PAYMENTS!C:C,E50,PAYMENTS!E:E))</f>
        <v/>
      </c>
      <c r="M50">
        <f>IF(E50="","",J50-L50)</f>
        <v/>
      </c>
      <c r="N50">
        <f>IF(E50="","",IF(M50&lt;=0,"Paid",IF(L50&gt;0,"Part Paid","Unpaid")))</f>
        <v/>
      </c>
      <c r="O50">
        <f>IF(E50="","",IFERROR(MAXIFS(PAYMENTS!A:A,PAYMENTS!C:C,E50),""))</f>
        <v/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>
        <f>IF(E51="","",SUMIF(PAYMENTS!C:C,E51,PAYMENTS!E:E))</f>
        <v/>
      </c>
      <c r="M51">
        <f>IF(E51="","",J51-L51)</f>
        <v/>
      </c>
      <c r="N51">
        <f>IF(E51="","",IF(M51&lt;=0,"Paid",IF(L51&gt;0,"Part Paid","Unpaid")))</f>
        <v/>
      </c>
      <c r="O51">
        <f>IF(E51="","",IFERROR(MAXIFS(PAYMENTS!A:A,PAYMENTS!C:C,E51),""))</f>
        <v/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>
        <f>IF(E52="","",SUMIF(PAYMENTS!C:C,E52,PAYMENTS!E:E))</f>
        <v/>
      </c>
      <c r="M52">
        <f>IF(E52="","",J52-L52)</f>
        <v/>
      </c>
      <c r="N52">
        <f>IF(E52="","",IF(M52&lt;=0,"Paid",IF(L52&gt;0,"Part Paid","Unpaid")))</f>
        <v/>
      </c>
      <c r="O52">
        <f>IF(E52="","",IFERROR(MAXIFS(PAYMENTS!A:A,PAYMENTS!C:C,E52),""))</f>
        <v/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>
        <f>IF(E53="","",SUMIF(PAYMENTS!C:C,E53,PAYMENTS!E:E))</f>
        <v/>
      </c>
      <c r="M53">
        <f>IF(E53="","",J53-L53)</f>
        <v/>
      </c>
      <c r="N53">
        <f>IF(E53="","",IF(M53&lt;=0,"Paid",IF(L53&gt;0,"Part Paid","Unpaid")))</f>
        <v/>
      </c>
      <c r="O53">
        <f>IF(E53="","",IFERROR(MAXIFS(PAYMENTS!A:A,PAYMENTS!C:C,E53),""))</f>
        <v/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>
        <f>IF(E54="","",SUMIF(PAYMENTS!C:C,E54,PAYMENTS!E:E))</f>
        <v/>
      </c>
      <c r="M54">
        <f>IF(E54="","",J54-L54)</f>
        <v/>
      </c>
      <c r="N54">
        <f>IF(E54="","",IF(M54&lt;=0,"Paid",IF(L54&gt;0,"Part Paid","Unpaid")))</f>
        <v/>
      </c>
      <c r="O54">
        <f>IF(E54="","",IFERROR(MAXIFS(PAYMENTS!A:A,PAYMENTS!C:C,E54),""))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>
        <f>IF(E55="","",SUMIF(PAYMENTS!C:C,E55,PAYMENTS!E:E))</f>
        <v/>
      </c>
      <c r="M55">
        <f>IF(E55="","",J55-L55)</f>
        <v/>
      </c>
      <c r="N55">
        <f>IF(E55="","",IF(M55&lt;=0,"Paid",IF(L55&gt;0,"Part Paid","Unpaid")))</f>
        <v/>
      </c>
      <c r="O55">
        <f>IF(E55="","",IFERROR(MAXIFS(PAYMENTS!A:A,PAYMENTS!C:C,E55),""))</f>
        <v/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>
        <f>IF(E56="","",SUMIF(PAYMENTS!C:C,E56,PAYMENTS!E:E))</f>
        <v/>
      </c>
      <c r="M56">
        <f>IF(E56="","",J56-L56)</f>
        <v/>
      </c>
      <c r="N56">
        <f>IF(E56="","",IF(M56&lt;=0,"Paid",IF(L56&gt;0,"Part Paid","Unpaid")))</f>
        <v/>
      </c>
      <c r="O56">
        <f>IF(E56="","",IFERROR(MAXIFS(PAYMENTS!A:A,PAYMENTS!C:C,E56),""))</f>
        <v/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>
        <f>IF(E57="","",SUMIF(PAYMENTS!C:C,E57,PAYMENTS!E:E))</f>
        <v/>
      </c>
      <c r="M57">
        <f>IF(E57="","",J57-L57)</f>
        <v/>
      </c>
      <c r="N57">
        <f>IF(E57="","",IF(M57&lt;=0,"Paid",IF(L57&gt;0,"Part Paid","Unpaid")))</f>
        <v/>
      </c>
      <c r="O57">
        <f>IF(E57="","",IFERROR(MAXIFS(PAYMENTS!A:A,PAYMENTS!C:C,E57),""))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>
        <f>IF(E58="","",SUMIF(PAYMENTS!C:C,E58,PAYMENTS!E:E))</f>
        <v/>
      </c>
      <c r="M58">
        <f>IF(E58="","",J58-L58)</f>
        <v/>
      </c>
      <c r="N58">
        <f>IF(E58="","",IF(M58&lt;=0,"Paid",IF(L58&gt;0,"Part Paid","Unpaid")))</f>
        <v/>
      </c>
      <c r="O58">
        <f>IF(E58="","",IFERROR(MAXIFS(PAYMENTS!A:A,PAYMENTS!C:C,E58),""))</f>
        <v/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>
        <f>IF(E59="","",SUMIF(PAYMENTS!C:C,E59,PAYMENTS!E:E))</f>
        <v/>
      </c>
      <c r="M59">
        <f>IF(E59="","",J59-L59)</f>
        <v/>
      </c>
      <c r="N59">
        <f>IF(E59="","",IF(M59&lt;=0,"Paid",IF(L59&gt;0,"Part Paid","Unpaid")))</f>
        <v/>
      </c>
      <c r="O59">
        <f>IF(E59="","",IFERROR(MAXIFS(PAYMENTS!A:A,PAYMENTS!C:C,E59),""))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>
        <f>IF(E60="","",SUMIF(PAYMENTS!C:C,E60,PAYMENTS!E:E))</f>
        <v/>
      </c>
      <c r="M60">
        <f>IF(E60="","",J60-L60)</f>
        <v/>
      </c>
      <c r="N60">
        <f>IF(E60="","",IF(M60&lt;=0,"Paid",IF(L60&gt;0,"Part Paid","Unpaid")))</f>
        <v/>
      </c>
      <c r="O60">
        <f>IF(E60="","",IFERROR(MAXIFS(PAYMENTS!A:A,PAYMENTS!C:C,E60),""))</f>
        <v/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>
        <f>IF(E61="","",SUMIF(PAYMENTS!C:C,E61,PAYMENTS!E:E))</f>
        <v/>
      </c>
      <c r="M61">
        <f>IF(E61="","",J61-L61)</f>
        <v/>
      </c>
      <c r="N61">
        <f>IF(E61="","",IF(M61&lt;=0,"Paid",IF(L61&gt;0,"Part Paid","Unpaid")))</f>
        <v/>
      </c>
      <c r="O61">
        <f>IF(E61="","",IFERROR(MAXIFS(PAYMENTS!A:A,PAYMENTS!C:C,E61),""))</f>
        <v/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>
        <f>IF(E62="","",SUMIF(PAYMENTS!C:C,E62,PAYMENTS!E:E))</f>
        <v/>
      </c>
      <c r="M62">
        <f>IF(E62="","",J62-L62)</f>
        <v/>
      </c>
      <c r="N62">
        <f>IF(E62="","",IF(M62&lt;=0,"Paid",IF(L62&gt;0,"Part Paid","Unpaid")))</f>
        <v/>
      </c>
      <c r="O62">
        <f>IF(E62="","",IFERROR(MAXIFS(PAYMENTS!A:A,PAYMENTS!C:C,E62),""))</f>
        <v/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>
        <f>IF(E63="","",SUMIF(PAYMENTS!C:C,E63,PAYMENTS!E:E))</f>
        <v/>
      </c>
      <c r="M63">
        <f>IF(E63="","",J63-L63)</f>
        <v/>
      </c>
      <c r="N63">
        <f>IF(E63="","",IF(M63&lt;=0,"Paid",IF(L63&gt;0,"Part Paid","Unpaid")))</f>
        <v/>
      </c>
      <c r="O63">
        <f>IF(E63="","",IFERROR(MAXIFS(PAYMENTS!A:A,PAYMENTS!C:C,E63),""))</f>
        <v/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>
        <f>IF(E64="","",SUMIF(PAYMENTS!C:C,E64,PAYMENTS!E:E))</f>
        <v/>
      </c>
      <c r="M64">
        <f>IF(E64="","",J64-L64)</f>
        <v/>
      </c>
      <c r="N64">
        <f>IF(E64="","",IF(M64&lt;=0,"Paid",IF(L64&gt;0,"Part Paid","Unpaid")))</f>
        <v/>
      </c>
      <c r="O64">
        <f>IF(E64="","",IFERROR(MAXIFS(PAYMENTS!A:A,PAYMENTS!C:C,E64),""))</f>
        <v/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>
        <f>IF(E65="","",SUMIF(PAYMENTS!C:C,E65,PAYMENTS!E:E))</f>
        <v/>
      </c>
      <c r="M65">
        <f>IF(E65="","",J65-L65)</f>
        <v/>
      </c>
      <c r="N65">
        <f>IF(E65="","",IF(M65&lt;=0,"Paid",IF(L65&gt;0,"Part Paid","Unpaid")))</f>
        <v/>
      </c>
      <c r="O65">
        <f>IF(E65="","",IFERROR(MAXIFS(PAYMENTS!A:A,PAYMENTS!C:C,E65),""))</f>
        <v/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>
        <f>IF(E66="","",SUMIF(PAYMENTS!C:C,E66,PAYMENTS!E:E))</f>
        <v/>
      </c>
      <c r="M66">
        <f>IF(E66="","",J66-L66)</f>
        <v/>
      </c>
      <c r="N66">
        <f>IF(E66="","",IF(M66&lt;=0,"Paid",IF(L66&gt;0,"Part Paid","Unpaid")))</f>
        <v/>
      </c>
      <c r="O66">
        <f>IF(E66="","",IFERROR(MAXIFS(PAYMENTS!A:A,PAYMENTS!C:C,E66),""))</f>
        <v/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>
        <f>IF(E67="","",SUMIF(PAYMENTS!C:C,E67,PAYMENTS!E:E))</f>
        <v/>
      </c>
      <c r="M67">
        <f>IF(E67="","",J67-L67)</f>
        <v/>
      </c>
      <c r="N67">
        <f>IF(E67="","",IF(M67&lt;=0,"Paid",IF(L67&gt;0,"Part Paid","Unpaid")))</f>
        <v/>
      </c>
      <c r="O67">
        <f>IF(E67="","",IFERROR(MAXIFS(PAYMENTS!A:A,PAYMENTS!C:C,E67),""))</f>
        <v/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>
        <f>IF(E68="","",SUMIF(PAYMENTS!C:C,E68,PAYMENTS!E:E))</f>
        <v/>
      </c>
      <c r="M68">
        <f>IF(E68="","",J68-L68)</f>
        <v/>
      </c>
      <c r="N68">
        <f>IF(E68="","",IF(M68&lt;=0,"Paid",IF(L68&gt;0,"Part Paid","Unpaid")))</f>
        <v/>
      </c>
      <c r="O68">
        <f>IF(E68="","",IFERROR(MAXIFS(PAYMENTS!A:A,PAYMENTS!C:C,E68),""))</f>
        <v/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>
        <f>IF(E69="","",SUMIF(PAYMENTS!C:C,E69,PAYMENTS!E:E))</f>
        <v/>
      </c>
      <c r="M69">
        <f>IF(E69="","",J69-L69)</f>
        <v/>
      </c>
      <c r="N69">
        <f>IF(E69="","",IF(M69&lt;=0,"Paid",IF(L69&gt;0,"Part Paid","Unpaid")))</f>
        <v/>
      </c>
      <c r="O69">
        <f>IF(E69="","",IFERROR(MAXIFS(PAYMENTS!A:A,PAYMENTS!C:C,E69),""))</f>
        <v/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>
        <f>IF(E70="","",SUMIF(PAYMENTS!C:C,E70,PAYMENTS!E:E))</f>
        <v/>
      </c>
      <c r="M70">
        <f>IF(E70="","",J70-L70)</f>
        <v/>
      </c>
      <c r="N70">
        <f>IF(E70="","",IF(M70&lt;=0,"Paid",IF(L70&gt;0,"Part Paid","Unpaid")))</f>
        <v/>
      </c>
      <c r="O70">
        <f>IF(E70="","",IFERROR(MAXIFS(PAYMENTS!A:A,PAYMENTS!C:C,E70),""))</f>
        <v/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>
        <f>IF(E71="","",SUMIF(PAYMENTS!C:C,E71,PAYMENTS!E:E))</f>
        <v/>
      </c>
      <c r="M71">
        <f>IF(E71="","",J71-L71)</f>
        <v/>
      </c>
      <c r="N71">
        <f>IF(E71="","",IF(M71&lt;=0,"Paid",IF(L71&gt;0,"Part Paid","Unpaid")))</f>
        <v/>
      </c>
      <c r="O71">
        <f>IF(E71="","",IFERROR(MAXIFS(PAYMENTS!A:A,PAYMENTS!C:C,E71),""))</f>
        <v/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>
        <f>IF(E72="","",SUMIF(PAYMENTS!C:C,E72,PAYMENTS!E:E))</f>
        <v/>
      </c>
      <c r="M72">
        <f>IF(E72="","",J72-L72)</f>
        <v/>
      </c>
      <c r="N72">
        <f>IF(E72="","",IF(M72&lt;=0,"Paid",IF(L72&gt;0,"Part Paid","Unpaid")))</f>
        <v/>
      </c>
      <c r="O72">
        <f>IF(E72="","",IFERROR(MAXIFS(PAYMENTS!A:A,PAYMENTS!C:C,E72),""))</f>
        <v/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>
        <f>IF(E73="","",SUMIF(PAYMENTS!C:C,E73,PAYMENTS!E:E))</f>
        <v/>
      </c>
      <c r="M73">
        <f>IF(E73="","",J73-L73)</f>
        <v/>
      </c>
      <c r="N73">
        <f>IF(E73="","",IF(M73&lt;=0,"Paid",IF(L73&gt;0,"Part Paid","Unpaid")))</f>
        <v/>
      </c>
      <c r="O73">
        <f>IF(E73="","",IFERROR(MAXIFS(PAYMENTS!A:A,PAYMENTS!C:C,E73),""))</f>
        <v/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>
        <f>IF(E74="","",SUMIF(PAYMENTS!C:C,E74,PAYMENTS!E:E))</f>
        <v/>
      </c>
      <c r="M74">
        <f>IF(E74="","",J74-L74)</f>
        <v/>
      </c>
      <c r="N74">
        <f>IF(E74="","",IF(M74&lt;=0,"Paid",IF(L74&gt;0,"Part Paid","Unpaid")))</f>
        <v/>
      </c>
      <c r="O74">
        <f>IF(E74="","",IFERROR(MAXIFS(PAYMENTS!A:A,PAYMENTS!C:C,E74),""))</f>
        <v/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>
        <f>IF(E75="","",SUMIF(PAYMENTS!C:C,E75,PAYMENTS!E:E))</f>
        <v/>
      </c>
      <c r="M75">
        <f>IF(E75="","",J75-L75)</f>
        <v/>
      </c>
      <c r="N75">
        <f>IF(E75="","",IF(M75&lt;=0,"Paid",IF(L75&gt;0,"Part Paid","Unpaid")))</f>
        <v/>
      </c>
      <c r="O75">
        <f>IF(E75="","",IFERROR(MAXIFS(PAYMENTS!A:A,PAYMENTS!C:C,E75),""))</f>
        <v/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>
        <f>IF(E76="","",SUMIF(PAYMENTS!C:C,E76,PAYMENTS!E:E))</f>
        <v/>
      </c>
      <c r="M76">
        <f>IF(E76="","",J76-L76)</f>
        <v/>
      </c>
      <c r="N76">
        <f>IF(E76="","",IF(M76&lt;=0,"Paid",IF(L76&gt;0,"Part Paid","Unpaid")))</f>
        <v/>
      </c>
      <c r="O76">
        <f>IF(E76="","",IFERROR(MAXIFS(PAYMENTS!A:A,PAYMENTS!C:C,E76),""))</f>
        <v/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>
        <f>IF(E77="","",SUMIF(PAYMENTS!C:C,E77,PAYMENTS!E:E))</f>
        <v/>
      </c>
      <c r="M77">
        <f>IF(E77="","",J77-L77)</f>
        <v/>
      </c>
      <c r="N77">
        <f>IF(E77="","",IF(M77&lt;=0,"Paid",IF(L77&gt;0,"Part Paid","Unpaid")))</f>
        <v/>
      </c>
      <c r="O77">
        <f>IF(E77="","",IFERROR(MAXIFS(PAYMENTS!A:A,PAYMENTS!C:C,E77),""))</f>
        <v/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>
        <f>IF(E78="","",SUMIF(PAYMENTS!C:C,E78,PAYMENTS!E:E))</f>
        <v/>
      </c>
      <c r="M78">
        <f>IF(E78="","",J78-L78)</f>
        <v/>
      </c>
      <c r="N78">
        <f>IF(E78="","",IF(M78&lt;=0,"Paid",IF(L78&gt;0,"Part Paid","Unpaid")))</f>
        <v/>
      </c>
      <c r="O78">
        <f>IF(E78="","",IFERROR(MAXIFS(PAYMENTS!A:A,PAYMENTS!C:C,E78),""))</f>
        <v/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>
        <f>IF(E79="","",SUMIF(PAYMENTS!C:C,E79,PAYMENTS!E:E))</f>
        <v/>
      </c>
      <c r="M79">
        <f>IF(E79="","",J79-L79)</f>
        <v/>
      </c>
      <c r="N79">
        <f>IF(E79="","",IF(M79&lt;=0,"Paid",IF(L79&gt;0,"Part Paid","Unpaid")))</f>
        <v/>
      </c>
      <c r="O79">
        <f>IF(E79="","",IFERROR(MAXIFS(PAYMENTS!A:A,PAYMENTS!C:C,E79),""))</f>
        <v/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>
        <f>IF(E80="","",SUMIF(PAYMENTS!C:C,E80,PAYMENTS!E:E))</f>
        <v/>
      </c>
      <c r="M80">
        <f>IF(E80="","",J80-L80)</f>
        <v/>
      </c>
      <c r="N80">
        <f>IF(E80="","",IF(M80&lt;=0,"Paid",IF(L80&gt;0,"Part Paid","Unpaid")))</f>
        <v/>
      </c>
      <c r="O80">
        <f>IF(E80="","",IFERROR(MAXIFS(PAYMENTS!A:A,PAYMENTS!C:C,E80),""))</f>
        <v/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>
        <f>IF(E81="","",SUMIF(PAYMENTS!C:C,E81,PAYMENTS!E:E))</f>
        <v/>
      </c>
      <c r="M81">
        <f>IF(E81="","",J81-L81)</f>
        <v/>
      </c>
      <c r="N81">
        <f>IF(E81="","",IF(M81&lt;=0,"Paid",IF(L81&gt;0,"Part Paid","Unpaid")))</f>
        <v/>
      </c>
      <c r="O81">
        <f>IF(E81="","",IFERROR(MAXIFS(PAYMENTS!A:A,PAYMENTS!C:C,E81),""))</f>
        <v/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>
        <f>IF(E82="","",SUMIF(PAYMENTS!C:C,E82,PAYMENTS!E:E))</f>
        <v/>
      </c>
      <c r="M82">
        <f>IF(E82="","",J82-L82)</f>
        <v/>
      </c>
      <c r="N82">
        <f>IF(E82="","",IF(M82&lt;=0,"Paid",IF(L82&gt;0,"Part Paid","Unpaid")))</f>
        <v/>
      </c>
      <c r="O82">
        <f>IF(E82="","",IFERROR(MAXIFS(PAYMENTS!A:A,PAYMENTS!C:C,E82),""))</f>
        <v/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>
        <f>IF(E83="","",SUMIF(PAYMENTS!C:C,E83,PAYMENTS!E:E))</f>
        <v/>
      </c>
      <c r="M83">
        <f>IF(E83="","",J83-L83)</f>
        <v/>
      </c>
      <c r="N83">
        <f>IF(E83="","",IF(M83&lt;=0,"Paid",IF(L83&gt;0,"Part Paid","Unpaid")))</f>
        <v/>
      </c>
      <c r="O83">
        <f>IF(E83="","",IFERROR(MAXIFS(PAYMENTS!A:A,PAYMENTS!C:C,E83),""))</f>
        <v/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>
        <f>IF(E84="","",SUMIF(PAYMENTS!C:C,E84,PAYMENTS!E:E))</f>
        <v/>
      </c>
      <c r="M84">
        <f>IF(E84="","",J84-L84)</f>
        <v/>
      </c>
      <c r="N84">
        <f>IF(E84="","",IF(M84&lt;=0,"Paid",IF(L84&gt;0,"Part Paid","Unpaid")))</f>
        <v/>
      </c>
      <c r="O84">
        <f>IF(E84="","",IFERROR(MAXIFS(PAYMENTS!A:A,PAYMENTS!C:C,E84),""))</f>
        <v/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>
        <f>IF(E85="","",SUMIF(PAYMENTS!C:C,E85,PAYMENTS!E:E))</f>
        <v/>
      </c>
      <c r="M85">
        <f>IF(E85="","",J85-L85)</f>
        <v/>
      </c>
      <c r="N85">
        <f>IF(E85="","",IF(M85&lt;=0,"Paid",IF(L85&gt;0,"Part Paid","Unpaid")))</f>
        <v/>
      </c>
      <c r="O85">
        <f>IF(E85="","",IFERROR(MAXIFS(PAYMENTS!A:A,PAYMENTS!C:C,E85),""))</f>
        <v/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>
        <f>IF(E86="","",SUMIF(PAYMENTS!C:C,E86,PAYMENTS!E:E))</f>
        <v/>
      </c>
      <c r="M86">
        <f>IF(E86="","",J86-L86)</f>
        <v/>
      </c>
      <c r="N86">
        <f>IF(E86="","",IF(M86&lt;=0,"Paid",IF(L86&gt;0,"Part Paid","Unpaid")))</f>
        <v/>
      </c>
      <c r="O86">
        <f>IF(E86="","",IFERROR(MAXIFS(PAYMENTS!A:A,PAYMENTS!C:C,E86),""))</f>
        <v/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>
        <f>IF(E87="","",SUMIF(PAYMENTS!C:C,E87,PAYMENTS!E:E))</f>
        <v/>
      </c>
      <c r="M87">
        <f>IF(E87="","",J87-L87)</f>
        <v/>
      </c>
      <c r="N87">
        <f>IF(E87="","",IF(M87&lt;=0,"Paid",IF(L87&gt;0,"Part Paid","Unpaid")))</f>
        <v/>
      </c>
      <c r="O87">
        <f>IF(E87="","",IFERROR(MAXIFS(PAYMENTS!A:A,PAYMENTS!C:C,E87),""))</f>
        <v/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>
        <f>IF(E88="","",SUMIF(PAYMENTS!C:C,E88,PAYMENTS!E:E))</f>
        <v/>
      </c>
      <c r="M88">
        <f>IF(E88="","",J88-L88)</f>
        <v/>
      </c>
      <c r="N88">
        <f>IF(E88="","",IF(M88&lt;=0,"Paid",IF(L88&gt;0,"Part Paid","Unpaid")))</f>
        <v/>
      </c>
      <c r="O88">
        <f>IF(E88="","",IFERROR(MAXIFS(PAYMENTS!A:A,PAYMENTS!C:C,E88),""))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>
        <f>IF(E89="","",SUMIF(PAYMENTS!C:C,E89,PAYMENTS!E:E))</f>
        <v/>
      </c>
      <c r="M89">
        <f>IF(E89="","",J89-L89)</f>
        <v/>
      </c>
      <c r="N89">
        <f>IF(E89="","",IF(M89&lt;=0,"Paid",IF(L89&gt;0,"Part Paid","Unpaid")))</f>
        <v/>
      </c>
      <c r="O89">
        <f>IF(E89="","",IFERROR(MAXIFS(PAYMENTS!A:A,PAYMENTS!C:C,E89),""))</f>
        <v/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>
        <f>IF(E90="","",SUMIF(PAYMENTS!C:C,E90,PAYMENTS!E:E))</f>
        <v/>
      </c>
      <c r="M90">
        <f>IF(E90="","",J90-L90)</f>
        <v/>
      </c>
      <c r="N90">
        <f>IF(E90="","",IF(M90&lt;=0,"Paid",IF(L90&gt;0,"Part Paid","Unpaid")))</f>
        <v/>
      </c>
      <c r="O90">
        <f>IF(E90="","",IFERROR(MAXIFS(PAYMENTS!A:A,PAYMENTS!C:C,E90),""))</f>
        <v/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>
        <f>IF(E91="","",SUMIF(PAYMENTS!C:C,E91,PAYMENTS!E:E))</f>
        <v/>
      </c>
      <c r="M91">
        <f>IF(E91="","",J91-L91)</f>
        <v/>
      </c>
      <c r="N91">
        <f>IF(E91="","",IF(M91&lt;=0,"Paid",IF(L91&gt;0,"Part Paid","Unpaid")))</f>
        <v/>
      </c>
      <c r="O91">
        <f>IF(E91="","",IFERROR(MAXIFS(PAYMENTS!A:A,PAYMENTS!C:C,E91),""))</f>
        <v/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>
        <f>IF(E92="","",SUMIF(PAYMENTS!C:C,E92,PAYMENTS!E:E))</f>
        <v/>
      </c>
      <c r="M92">
        <f>IF(E92="","",J92-L92)</f>
        <v/>
      </c>
      <c r="N92">
        <f>IF(E92="","",IF(M92&lt;=0,"Paid",IF(L92&gt;0,"Part Paid","Unpaid")))</f>
        <v/>
      </c>
      <c r="O92">
        <f>IF(E92="","",IFERROR(MAXIFS(PAYMENTS!A:A,PAYMENTS!C:C,E92),""))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>
        <f>IF(E93="","",SUMIF(PAYMENTS!C:C,E93,PAYMENTS!E:E))</f>
        <v/>
      </c>
      <c r="M93">
        <f>IF(E93="","",J93-L93)</f>
        <v/>
      </c>
      <c r="N93">
        <f>IF(E93="","",IF(M93&lt;=0,"Paid",IF(L93&gt;0,"Part Paid","Unpaid")))</f>
        <v/>
      </c>
      <c r="O93">
        <f>IF(E93="","",IFERROR(MAXIFS(PAYMENTS!A:A,PAYMENTS!C:C,E93),""))</f>
        <v/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>
        <f>IF(E94="","",SUMIF(PAYMENTS!C:C,E94,PAYMENTS!E:E))</f>
        <v/>
      </c>
      <c r="M94">
        <f>IF(E94="","",J94-L94)</f>
        <v/>
      </c>
      <c r="N94">
        <f>IF(E94="","",IF(M94&lt;=0,"Paid",IF(L94&gt;0,"Part Paid","Unpaid")))</f>
        <v/>
      </c>
      <c r="O94">
        <f>IF(E94="","",IFERROR(MAXIFS(PAYMENTS!A:A,PAYMENTS!C:C,E94),""))</f>
        <v/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>
        <f>IF(E95="","",SUMIF(PAYMENTS!C:C,E95,PAYMENTS!E:E))</f>
        <v/>
      </c>
      <c r="M95">
        <f>IF(E95="","",J95-L95)</f>
        <v/>
      </c>
      <c r="N95">
        <f>IF(E95="","",IF(M95&lt;=0,"Paid",IF(L95&gt;0,"Part Paid","Unpaid")))</f>
        <v/>
      </c>
      <c r="O95">
        <f>IF(E95="","",IFERROR(MAXIFS(PAYMENTS!A:A,PAYMENTS!C:C,E95),""))</f>
        <v/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>
        <f>IF(E96="","",SUMIF(PAYMENTS!C:C,E96,PAYMENTS!E:E))</f>
        <v/>
      </c>
      <c r="M96">
        <f>IF(E96="","",J96-L96)</f>
        <v/>
      </c>
      <c r="N96">
        <f>IF(E96="","",IF(M96&lt;=0,"Paid",IF(L96&gt;0,"Part Paid","Unpaid")))</f>
        <v/>
      </c>
      <c r="O96">
        <f>IF(E96="","",IFERROR(MAXIFS(PAYMENTS!A:A,PAYMENTS!C:C,E96),""))</f>
        <v/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>
        <f>IF(E97="","",SUMIF(PAYMENTS!C:C,E97,PAYMENTS!E:E))</f>
        <v/>
      </c>
      <c r="M97">
        <f>IF(E97="","",J97-L97)</f>
        <v/>
      </c>
      <c r="N97">
        <f>IF(E97="","",IF(M97&lt;=0,"Paid",IF(L97&gt;0,"Part Paid","Unpaid")))</f>
        <v/>
      </c>
      <c r="O97">
        <f>IF(E97="","",IFERROR(MAXIFS(PAYMENTS!A:A,PAYMENTS!C:C,E97),""))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>
        <f>IF(E98="","",SUMIF(PAYMENTS!C:C,E98,PAYMENTS!E:E))</f>
        <v/>
      </c>
      <c r="M98">
        <f>IF(E98="","",J98-L98)</f>
        <v/>
      </c>
      <c r="N98">
        <f>IF(E98="","",IF(M98&lt;=0,"Paid",IF(L98&gt;0,"Part Paid","Unpaid")))</f>
        <v/>
      </c>
      <c r="O98">
        <f>IF(E98="","",IFERROR(MAXIFS(PAYMENTS!A:A,PAYMENTS!C:C,E98),""))</f>
        <v/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>
        <f>IF(E99="","",SUMIF(PAYMENTS!C:C,E99,PAYMENTS!E:E))</f>
        <v/>
      </c>
      <c r="M99">
        <f>IF(E99="","",J99-L99)</f>
        <v/>
      </c>
      <c r="N99">
        <f>IF(E99="","",IF(M99&lt;=0,"Paid",IF(L99&gt;0,"Part Paid","Unpaid")))</f>
        <v/>
      </c>
      <c r="O99">
        <f>IF(E99="","",IFERROR(MAXIFS(PAYMENTS!A:A,PAYMENTS!C:C,E99),""))</f>
        <v/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>
        <f>IF(E100="","",SUMIF(PAYMENTS!C:C,E100,PAYMENTS!E:E))</f>
        <v/>
      </c>
      <c r="M100">
        <f>IF(E100="","",J100-L100)</f>
        <v/>
      </c>
      <c r="N100">
        <f>IF(E100="","",IF(M100&lt;=0,"Paid",IF(L100&gt;0,"Part Paid","Unpaid")))</f>
        <v/>
      </c>
      <c r="O100">
        <f>IF(E100="","",IFERROR(MAXIFS(PAYMENTS!A:A,PAYMENTS!C:C,E100),""))</f>
        <v/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>
        <f>IF(E101="","",SUMIF(PAYMENTS!C:C,E101,PAYMENTS!E:E))</f>
        <v/>
      </c>
      <c r="M101">
        <f>IF(E101="","",J101-L101)</f>
        <v/>
      </c>
      <c r="N101">
        <f>IF(E101="","",IF(M101&lt;=0,"Paid",IF(L101&gt;0,"Part Paid","Unpaid")))</f>
        <v/>
      </c>
      <c r="O101">
        <f>IF(E101="","",IFERROR(MAXIFS(PAYMENTS!A:A,PAYMENTS!C:C,E101),""))</f>
        <v/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>
        <f>IF(E102="","",SUMIF(PAYMENTS!C:C,E102,PAYMENTS!E:E))</f>
        <v/>
      </c>
      <c r="M102">
        <f>IF(E102="","",J102-L102)</f>
        <v/>
      </c>
      <c r="N102">
        <f>IF(E102="","",IF(M102&lt;=0,"Paid",IF(L102&gt;0,"Part Paid","Unpaid")))</f>
        <v/>
      </c>
      <c r="O102">
        <f>IF(E102="","",IFERROR(MAXIFS(PAYMENTS!A:A,PAYMENTS!C:C,E102),""))</f>
        <v/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>
        <f>IF(E103="","",SUMIF(PAYMENTS!C:C,E103,PAYMENTS!E:E))</f>
        <v/>
      </c>
      <c r="M103">
        <f>IF(E103="","",J103-L103)</f>
        <v/>
      </c>
      <c r="N103">
        <f>IF(E103="","",IF(M103&lt;=0,"Paid",IF(L103&gt;0,"Part Paid","Unpaid")))</f>
        <v/>
      </c>
      <c r="O103">
        <f>IF(E103="","",IFERROR(MAXIFS(PAYMENTS!A:A,PAYMENTS!C:C,E103),""))</f>
        <v/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>
        <f>IF(E104="","",SUMIF(PAYMENTS!C:C,E104,PAYMENTS!E:E))</f>
        <v/>
      </c>
      <c r="M104">
        <f>IF(E104="","",J104-L104)</f>
        <v/>
      </c>
      <c r="N104">
        <f>IF(E104="","",IF(M104&lt;=0,"Paid",IF(L104&gt;0,"Part Paid","Unpaid")))</f>
        <v/>
      </c>
      <c r="O104">
        <f>IF(E104="","",IFERROR(MAXIFS(PAYMENTS!A:A,PAYMENTS!C:C,E104),""))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>
        <f>IF(E105="","",SUMIF(PAYMENTS!C:C,E105,PAYMENTS!E:E))</f>
        <v/>
      </c>
      <c r="M105">
        <f>IF(E105="","",J105-L105)</f>
        <v/>
      </c>
      <c r="N105">
        <f>IF(E105="","",IF(M105&lt;=0,"Paid",IF(L105&gt;0,"Part Paid","Unpaid")))</f>
        <v/>
      </c>
      <c r="O105">
        <f>IF(E105="","",IFERROR(MAXIFS(PAYMENTS!A:A,PAYMENTS!C:C,E105),""))</f>
        <v/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>
        <f>IF(E106="","",SUMIF(PAYMENTS!C:C,E106,PAYMENTS!E:E))</f>
        <v/>
      </c>
      <c r="M106">
        <f>IF(E106="","",J106-L106)</f>
        <v/>
      </c>
      <c r="N106">
        <f>IF(E106="","",IF(M106&lt;=0,"Paid",IF(L106&gt;0,"Part Paid","Unpaid")))</f>
        <v/>
      </c>
      <c r="O106">
        <f>IF(E106="","",IFERROR(MAXIFS(PAYMENTS!A:A,PAYMENTS!C:C,E106),""))</f>
        <v/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>
        <f>IF(E107="","",SUMIF(PAYMENTS!C:C,E107,PAYMENTS!E:E))</f>
        <v/>
      </c>
      <c r="M107">
        <f>IF(E107="","",J107-L107)</f>
        <v/>
      </c>
      <c r="N107">
        <f>IF(E107="","",IF(M107&lt;=0,"Paid",IF(L107&gt;0,"Part Paid","Unpaid")))</f>
        <v/>
      </c>
      <c r="O107">
        <f>IF(E107="","",IFERROR(MAXIFS(PAYMENTS!A:A,PAYMENTS!C:C,E107),""))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>
        <f>IF(E108="","",SUMIF(PAYMENTS!C:C,E108,PAYMENTS!E:E))</f>
        <v/>
      </c>
      <c r="M108">
        <f>IF(E108="","",J108-L108)</f>
        <v/>
      </c>
      <c r="N108">
        <f>IF(E108="","",IF(M108&lt;=0,"Paid",IF(L108&gt;0,"Part Paid","Unpaid")))</f>
        <v/>
      </c>
      <c r="O108">
        <f>IF(E108="","",IFERROR(MAXIFS(PAYMENTS!A:A,PAYMENTS!C:C,E108),""))</f>
        <v/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>
        <f>IF(E109="","",SUMIF(PAYMENTS!C:C,E109,PAYMENTS!E:E))</f>
        <v/>
      </c>
      <c r="M109">
        <f>IF(E109="","",J109-L109)</f>
        <v/>
      </c>
      <c r="N109">
        <f>IF(E109="","",IF(M109&lt;=0,"Paid",IF(L109&gt;0,"Part Paid","Unpaid")))</f>
        <v/>
      </c>
      <c r="O109">
        <f>IF(E109="","",IFERROR(MAXIFS(PAYMENTS!A:A,PAYMENTS!C:C,E109),""))</f>
        <v/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>
        <f>IF(E110="","",SUMIF(PAYMENTS!C:C,E110,PAYMENTS!E:E))</f>
        <v/>
      </c>
      <c r="M110">
        <f>IF(E110="","",J110-L110)</f>
        <v/>
      </c>
      <c r="N110">
        <f>IF(E110="","",IF(M110&lt;=0,"Paid",IF(L110&gt;0,"Part Paid","Unpaid")))</f>
        <v/>
      </c>
      <c r="O110">
        <f>IF(E110="","",IFERROR(MAXIFS(PAYMENTS!A:A,PAYMENTS!C:C,E110),""))</f>
        <v/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>
        <f>IF(E111="","",SUMIF(PAYMENTS!C:C,E111,PAYMENTS!E:E))</f>
        <v/>
      </c>
      <c r="M111">
        <f>IF(E111="","",J111-L111)</f>
        <v/>
      </c>
      <c r="N111">
        <f>IF(E111="","",IF(M111&lt;=0,"Paid",IF(L111&gt;0,"Part Paid","Unpaid")))</f>
        <v/>
      </c>
      <c r="O111">
        <f>IF(E111="","",IFERROR(MAXIFS(PAYMENTS!A:A,PAYMENTS!C:C,E111),""))</f>
        <v/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>
        <f>IF(E112="","",SUMIF(PAYMENTS!C:C,E112,PAYMENTS!E:E))</f>
        <v/>
      </c>
      <c r="M112">
        <f>IF(E112="","",J112-L112)</f>
        <v/>
      </c>
      <c r="N112">
        <f>IF(E112="","",IF(M112&lt;=0,"Paid",IF(L112&gt;0,"Part Paid","Unpaid")))</f>
        <v/>
      </c>
      <c r="O112">
        <f>IF(E112="","",IFERROR(MAXIFS(PAYMENTS!A:A,PAYMENTS!C:C,E112),""))</f>
        <v/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>
        <f>IF(E113="","",SUMIF(PAYMENTS!C:C,E113,PAYMENTS!E:E))</f>
        <v/>
      </c>
      <c r="M113">
        <f>IF(E113="","",J113-L113)</f>
        <v/>
      </c>
      <c r="N113">
        <f>IF(E113="","",IF(M113&lt;=0,"Paid",IF(L113&gt;0,"Part Paid","Unpaid")))</f>
        <v/>
      </c>
      <c r="O113">
        <f>IF(E113="","",IFERROR(MAXIFS(PAYMENTS!A:A,PAYMENTS!C:C,E113),""))</f>
        <v/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>
        <f>IF(E114="","",SUMIF(PAYMENTS!C:C,E114,PAYMENTS!E:E))</f>
        <v/>
      </c>
      <c r="M114">
        <f>IF(E114="","",J114-L114)</f>
        <v/>
      </c>
      <c r="N114">
        <f>IF(E114="","",IF(M114&lt;=0,"Paid",IF(L114&gt;0,"Part Paid","Unpaid")))</f>
        <v/>
      </c>
      <c r="O114">
        <f>IF(E114="","",IFERROR(MAXIFS(PAYMENTS!A:A,PAYMENTS!C:C,E114),""))</f>
        <v/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>
        <f>IF(E115="","",SUMIF(PAYMENTS!C:C,E115,PAYMENTS!E:E))</f>
        <v/>
      </c>
      <c r="M115">
        <f>IF(E115="","",J115-L115)</f>
        <v/>
      </c>
      <c r="N115">
        <f>IF(E115="","",IF(M115&lt;=0,"Paid",IF(L115&gt;0,"Part Paid","Unpaid")))</f>
        <v/>
      </c>
      <c r="O115">
        <f>IF(E115="","",IFERROR(MAXIFS(PAYMENTS!A:A,PAYMENTS!C:C,E115),""))</f>
        <v/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>
        <f>IF(E116="","",SUMIF(PAYMENTS!C:C,E116,PAYMENTS!E:E))</f>
        <v/>
      </c>
      <c r="M116">
        <f>IF(E116="","",J116-L116)</f>
        <v/>
      </c>
      <c r="N116">
        <f>IF(E116="","",IF(M116&lt;=0,"Paid",IF(L116&gt;0,"Part Paid","Unpaid")))</f>
        <v/>
      </c>
      <c r="O116">
        <f>IF(E116="","",IFERROR(MAXIFS(PAYMENTS!A:A,PAYMENTS!C:C,E116),""))</f>
        <v/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>
        <f>IF(E117="","",SUMIF(PAYMENTS!C:C,E117,PAYMENTS!E:E))</f>
        <v/>
      </c>
      <c r="M117">
        <f>IF(E117="","",J117-L117)</f>
        <v/>
      </c>
      <c r="N117">
        <f>IF(E117="","",IF(M117&lt;=0,"Paid",IF(L117&gt;0,"Part Paid","Unpaid")))</f>
        <v/>
      </c>
      <c r="O117">
        <f>IF(E117="","",IFERROR(MAXIFS(PAYMENTS!A:A,PAYMENTS!C:C,E117),""))</f>
        <v/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>
        <f>IF(E118="","",SUMIF(PAYMENTS!C:C,E118,PAYMENTS!E:E))</f>
        <v/>
      </c>
      <c r="M118">
        <f>IF(E118="","",J118-L118)</f>
        <v/>
      </c>
      <c r="N118">
        <f>IF(E118="","",IF(M118&lt;=0,"Paid",IF(L118&gt;0,"Part Paid","Unpaid")))</f>
        <v/>
      </c>
      <c r="O118">
        <f>IF(E118="","",IFERROR(MAXIFS(PAYMENTS!A:A,PAYMENTS!C:C,E118),""))</f>
        <v/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>
        <f>IF(E119="","",SUMIF(PAYMENTS!C:C,E119,PAYMENTS!E:E))</f>
        <v/>
      </c>
      <c r="M119">
        <f>IF(E119="","",J119-L119)</f>
        <v/>
      </c>
      <c r="N119">
        <f>IF(E119="","",IF(M119&lt;=0,"Paid",IF(L119&gt;0,"Part Paid","Unpaid")))</f>
        <v/>
      </c>
      <c r="O119">
        <f>IF(E119="","",IFERROR(MAXIFS(PAYMENTS!A:A,PAYMENTS!C:C,E119),""))</f>
        <v/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>
        <f>IF(E120="","",SUMIF(PAYMENTS!C:C,E120,PAYMENTS!E:E))</f>
        <v/>
      </c>
      <c r="M120">
        <f>IF(E120="","",J120-L120)</f>
        <v/>
      </c>
      <c r="N120">
        <f>IF(E120="","",IF(M120&lt;=0,"Paid",IF(L120&gt;0,"Part Paid","Unpaid")))</f>
        <v/>
      </c>
      <c r="O120">
        <f>IF(E120="","",IFERROR(MAXIFS(PAYMENTS!A:A,PAYMENTS!C:C,E120),""))</f>
        <v/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>
        <f>IF(E121="","",SUMIF(PAYMENTS!C:C,E121,PAYMENTS!E:E))</f>
        <v/>
      </c>
      <c r="M121">
        <f>IF(E121="","",J121-L121)</f>
        <v/>
      </c>
      <c r="N121">
        <f>IF(E121="","",IF(M121&lt;=0,"Paid",IF(L121&gt;0,"Part Paid","Unpaid")))</f>
        <v/>
      </c>
      <c r="O121">
        <f>IF(E121="","",IFERROR(MAXIFS(PAYMENTS!A:A,PAYMENTS!C:C,E121),""))</f>
        <v/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>
        <f>IF(E122="","",SUMIF(PAYMENTS!C:C,E122,PAYMENTS!E:E))</f>
        <v/>
      </c>
      <c r="M122">
        <f>IF(E122="","",J122-L122)</f>
        <v/>
      </c>
      <c r="N122">
        <f>IF(E122="","",IF(M122&lt;=0,"Paid",IF(L122&gt;0,"Part Paid","Unpaid")))</f>
        <v/>
      </c>
      <c r="O122">
        <f>IF(E122="","",IFERROR(MAXIFS(PAYMENTS!A:A,PAYMENTS!C:C,E122),""))</f>
        <v/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>
        <f>IF(E123="","",SUMIF(PAYMENTS!C:C,E123,PAYMENTS!E:E))</f>
        <v/>
      </c>
      <c r="M123">
        <f>IF(E123="","",J123-L123)</f>
        <v/>
      </c>
      <c r="N123">
        <f>IF(E123="","",IF(M123&lt;=0,"Paid",IF(L123&gt;0,"Part Paid","Unpaid")))</f>
        <v/>
      </c>
      <c r="O123">
        <f>IF(E123="","",IFERROR(MAXIFS(PAYMENTS!A:A,PAYMENTS!C:C,E123),""))</f>
        <v/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>
        <f>IF(E124="","",SUMIF(PAYMENTS!C:C,E124,PAYMENTS!E:E))</f>
        <v/>
      </c>
      <c r="M124">
        <f>IF(E124="","",J124-L124)</f>
        <v/>
      </c>
      <c r="N124">
        <f>IF(E124="","",IF(M124&lt;=0,"Paid",IF(L124&gt;0,"Part Paid","Unpaid")))</f>
        <v/>
      </c>
      <c r="O124">
        <f>IF(E124="","",IFERROR(MAXIFS(PAYMENTS!A:A,PAYMENTS!C:C,E124),""))</f>
        <v/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>
        <f>IF(E125="","",SUMIF(PAYMENTS!C:C,E125,PAYMENTS!E:E))</f>
        <v/>
      </c>
      <c r="M125">
        <f>IF(E125="","",J125-L125)</f>
        <v/>
      </c>
      <c r="N125">
        <f>IF(E125="","",IF(M125&lt;=0,"Paid",IF(L125&gt;0,"Part Paid","Unpaid")))</f>
        <v/>
      </c>
      <c r="O125">
        <f>IF(E125="","",IFERROR(MAXIFS(PAYMENTS!A:A,PAYMENTS!C:C,E125),""))</f>
        <v/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>
        <f>IF(E126="","",SUMIF(PAYMENTS!C:C,E126,PAYMENTS!E:E))</f>
        <v/>
      </c>
      <c r="M126">
        <f>IF(E126="","",J126-L126)</f>
        <v/>
      </c>
      <c r="N126">
        <f>IF(E126="","",IF(M126&lt;=0,"Paid",IF(L126&gt;0,"Part Paid","Unpaid")))</f>
        <v/>
      </c>
      <c r="O126">
        <f>IF(E126="","",IFERROR(MAXIFS(PAYMENTS!A:A,PAYMENTS!C:C,E126),""))</f>
        <v/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>
        <f>IF(E127="","",SUMIF(PAYMENTS!C:C,E127,PAYMENTS!E:E))</f>
        <v/>
      </c>
      <c r="M127">
        <f>IF(E127="","",J127-L127)</f>
        <v/>
      </c>
      <c r="N127">
        <f>IF(E127="","",IF(M127&lt;=0,"Paid",IF(L127&gt;0,"Part Paid","Unpaid")))</f>
        <v/>
      </c>
      <c r="O127">
        <f>IF(E127="","",IFERROR(MAXIFS(PAYMENTS!A:A,PAYMENTS!C:C,E127),""))</f>
        <v/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>
        <f>IF(E128="","",SUMIF(PAYMENTS!C:C,E128,PAYMENTS!E:E))</f>
        <v/>
      </c>
      <c r="M128">
        <f>IF(E128="","",J128-L128)</f>
        <v/>
      </c>
      <c r="N128">
        <f>IF(E128="","",IF(M128&lt;=0,"Paid",IF(L128&gt;0,"Part Paid","Unpaid")))</f>
        <v/>
      </c>
      <c r="O128">
        <f>IF(E128="","",IFERROR(MAXIFS(PAYMENTS!A:A,PAYMENTS!C:C,E128),""))</f>
        <v/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>
        <f>IF(E129="","",SUMIF(PAYMENTS!C:C,E129,PAYMENTS!E:E))</f>
        <v/>
      </c>
      <c r="M129">
        <f>IF(E129="","",J129-L129)</f>
        <v/>
      </c>
      <c r="N129">
        <f>IF(E129="","",IF(M129&lt;=0,"Paid",IF(L129&gt;0,"Part Paid","Unpaid")))</f>
        <v/>
      </c>
      <c r="O129">
        <f>IF(E129="","",IFERROR(MAXIFS(PAYMENTS!A:A,PAYMENTS!C:C,E129),""))</f>
        <v/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>
        <f>IF(E130="","",SUMIF(PAYMENTS!C:C,E130,PAYMENTS!E:E))</f>
        <v/>
      </c>
      <c r="M130">
        <f>IF(E130="","",J130-L130)</f>
        <v/>
      </c>
      <c r="N130">
        <f>IF(E130="","",IF(M130&lt;=0,"Paid",IF(L130&gt;0,"Part Paid","Unpaid")))</f>
        <v/>
      </c>
      <c r="O130">
        <f>IF(E130="","",IFERROR(MAXIFS(PAYMENTS!A:A,PAYMENTS!C:C,E130),""))</f>
        <v/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>
        <f>IF(E131="","",SUMIF(PAYMENTS!C:C,E131,PAYMENTS!E:E))</f>
        <v/>
      </c>
      <c r="M131">
        <f>IF(E131="","",J131-L131)</f>
        <v/>
      </c>
      <c r="N131">
        <f>IF(E131="","",IF(M131&lt;=0,"Paid",IF(L131&gt;0,"Part Paid","Unpaid")))</f>
        <v/>
      </c>
      <c r="O131">
        <f>IF(E131="","",IFERROR(MAXIFS(PAYMENTS!A:A,PAYMENTS!C:C,E131),""))</f>
        <v/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>
        <f>IF(E132="","",SUMIF(PAYMENTS!C:C,E132,PAYMENTS!E:E))</f>
        <v/>
      </c>
      <c r="M132">
        <f>IF(E132="","",J132-L132)</f>
        <v/>
      </c>
      <c r="N132">
        <f>IF(E132="","",IF(M132&lt;=0,"Paid",IF(L132&gt;0,"Part Paid","Unpaid")))</f>
        <v/>
      </c>
      <c r="O132">
        <f>IF(E132="","",IFERROR(MAXIFS(PAYMENTS!A:A,PAYMENTS!C:C,E132),""))</f>
        <v/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>
        <f>IF(E133="","",SUMIF(PAYMENTS!C:C,E133,PAYMENTS!E:E))</f>
        <v/>
      </c>
      <c r="M133">
        <f>IF(E133="","",J133-L133)</f>
        <v/>
      </c>
      <c r="N133">
        <f>IF(E133="","",IF(M133&lt;=0,"Paid",IF(L133&gt;0,"Part Paid","Unpaid")))</f>
        <v/>
      </c>
      <c r="O133">
        <f>IF(E133="","",IFERROR(MAXIFS(PAYMENTS!A:A,PAYMENTS!C:C,E133),""))</f>
        <v/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>
        <f>IF(E134="","",SUMIF(PAYMENTS!C:C,E134,PAYMENTS!E:E))</f>
        <v/>
      </c>
      <c r="M134">
        <f>IF(E134="","",J134-L134)</f>
        <v/>
      </c>
      <c r="N134">
        <f>IF(E134="","",IF(M134&lt;=0,"Paid",IF(L134&gt;0,"Part Paid","Unpaid")))</f>
        <v/>
      </c>
      <c r="O134">
        <f>IF(E134="","",IFERROR(MAXIFS(PAYMENTS!A:A,PAYMENTS!C:C,E134),""))</f>
        <v/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>
        <f>IF(E135="","",SUMIF(PAYMENTS!C:C,E135,PAYMENTS!E:E))</f>
        <v/>
      </c>
      <c r="M135">
        <f>IF(E135="","",J135-L135)</f>
        <v/>
      </c>
      <c r="N135">
        <f>IF(E135="","",IF(M135&lt;=0,"Paid",IF(L135&gt;0,"Part Paid","Unpaid")))</f>
        <v/>
      </c>
      <c r="O135">
        <f>IF(E135="","",IFERROR(MAXIFS(PAYMENTS!A:A,PAYMENTS!C:C,E135),""))</f>
        <v/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>
        <f>IF(E136="","",SUMIF(PAYMENTS!C:C,E136,PAYMENTS!E:E))</f>
        <v/>
      </c>
      <c r="M136">
        <f>IF(E136="","",J136-L136)</f>
        <v/>
      </c>
      <c r="N136">
        <f>IF(E136="","",IF(M136&lt;=0,"Paid",IF(L136&gt;0,"Part Paid","Unpaid")))</f>
        <v/>
      </c>
      <c r="O136">
        <f>IF(E136="","",IFERROR(MAXIFS(PAYMENTS!A:A,PAYMENTS!C:C,E136),""))</f>
        <v/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>
        <f>IF(E137="","",SUMIF(PAYMENTS!C:C,E137,PAYMENTS!E:E))</f>
        <v/>
      </c>
      <c r="M137">
        <f>IF(E137="","",J137-L137)</f>
        <v/>
      </c>
      <c r="N137">
        <f>IF(E137="","",IF(M137&lt;=0,"Paid",IF(L137&gt;0,"Part Paid","Unpaid")))</f>
        <v/>
      </c>
      <c r="O137">
        <f>IF(E137="","",IFERROR(MAXIFS(PAYMENTS!A:A,PAYMENTS!C:C,E137),""))</f>
        <v/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>
        <f>IF(E138="","",SUMIF(PAYMENTS!C:C,E138,PAYMENTS!E:E))</f>
        <v/>
      </c>
      <c r="M138">
        <f>IF(E138="","",J138-L138)</f>
        <v/>
      </c>
      <c r="N138">
        <f>IF(E138="","",IF(M138&lt;=0,"Paid",IF(L138&gt;0,"Part Paid","Unpaid")))</f>
        <v/>
      </c>
      <c r="O138">
        <f>IF(E138="","",IFERROR(MAXIFS(PAYMENTS!A:A,PAYMENTS!C:C,E138),""))</f>
        <v/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>
        <f>IF(E139="","",SUMIF(PAYMENTS!C:C,E139,PAYMENTS!E:E))</f>
        <v/>
      </c>
      <c r="M139">
        <f>IF(E139="","",J139-L139)</f>
        <v/>
      </c>
      <c r="N139">
        <f>IF(E139="","",IF(M139&lt;=0,"Paid",IF(L139&gt;0,"Part Paid","Unpaid")))</f>
        <v/>
      </c>
      <c r="O139">
        <f>IF(E139="","",IFERROR(MAXIFS(PAYMENTS!A:A,PAYMENTS!C:C,E139),""))</f>
        <v/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>
        <f>IF(E140="","",SUMIF(PAYMENTS!C:C,E140,PAYMENTS!E:E))</f>
        <v/>
      </c>
      <c r="M140">
        <f>IF(E140="","",J140-L140)</f>
        <v/>
      </c>
      <c r="N140">
        <f>IF(E140="","",IF(M140&lt;=0,"Paid",IF(L140&gt;0,"Part Paid","Unpaid")))</f>
        <v/>
      </c>
      <c r="O140">
        <f>IF(E140="","",IFERROR(MAXIFS(PAYMENTS!A:A,PAYMENTS!C:C,E140),""))</f>
        <v/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>
        <f>IF(E141="","",SUMIF(PAYMENTS!C:C,E141,PAYMENTS!E:E))</f>
        <v/>
      </c>
      <c r="M141">
        <f>IF(E141="","",J141-L141)</f>
        <v/>
      </c>
      <c r="N141">
        <f>IF(E141="","",IF(M141&lt;=0,"Paid",IF(L141&gt;0,"Part Paid","Unpaid")))</f>
        <v/>
      </c>
      <c r="O141">
        <f>IF(E141="","",IFERROR(MAXIFS(PAYMENTS!A:A,PAYMENTS!C:C,E141),""))</f>
        <v/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>
        <f>IF(E142="","",SUMIF(PAYMENTS!C:C,E142,PAYMENTS!E:E))</f>
        <v/>
      </c>
      <c r="M142">
        <f>IF(E142="","",J142-L142)</f>
        <v/>
      </c>
      <c r="N142">
        <f>IF(E142="","",IF(M142&lt;=0,"Paid",IF(L142&gt;0,"Part Paid","Unpaid")))</f>
        <v/>
      </c>
      <c r="O142">
        <f>IF(E142="","",IFERROR(MAXIFS(PAYMENTS!A:A,PAYMENTS!C:C,E142),""))</f>
        <v/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>
        <f>IF(E143="","",SUMIF(PAYMENTS!C:C,E143,PAYMENTS!E:E))</f>
        <v/>
      </c>
      <c r="M143">
        <f>IF(E143="","",J143-L143)</f>
        <v/>
      </c>
      <c r="N143">
        <f>IF(E143="","",IF(M143&lt;=0,"Paid",IF(L143&gt;0,"Part Paid","Unpaid")))</f>
        <v/>
      </c>
      <c r="O143">
        <f>IF(E143="","",IFERROR(MAXIFS(PAYMENTS!A:A,PAYMENTS!C:C,E143),""))</f>
        <v/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>
        <f>IF(E144="","",SUMIF(PAYMENTS!C:C,E144,PAYMENTS!E:E))</f>
        <v/>
      </c>
      <c r="M144">
        <f>IF(E144="","",J144-L144)</f>
        <v/>
      </c>
      <c r="N144">
        <f>IF(E144="","",IF(M144&lt;=0,"Paid",IF(L144&gt;0,"Part Paid","Unpaid")))</f>
        <v/>
      </c>
      <c r="O144">
        <f>IF(E144="","",IFERROR(MAXIFS(PAYMENTS!A:A,PAYMENTS!C:C,E144),""))</f>
        <v/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>
        <f>IF(E145="","",SUMIF(PAYMENTS!C:C,E145,PAYMENTS!E:E))</f>
        <v/>
      </c>
      <c r="M145">
        <f>IF(E145="","",J145-L145)</f>
        <v/>
      </c>
      <c r="N145">
        <f>IF(E145="","",IF(M145&lt;=0,"Paid",IF(L145&gt;0,"Part Paid","Unpaid")))</f>
        <v/>
      </c>
      <c r="O145">
        <f>IF(E145="","",IFERROR(MAXIFS(PAYMENTS!A:A,PAYMENTS!C:C,E145),""))</f>
        <v/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>
        <f>IF(E146="","",SUMIF(PAYMENTS!C:C,E146,PAYMENTS!E:E))</f>
        <v/>
      </c>
      <c r="M146">
        <f>IF(E146="","",J146-L146)</f>
        <v/>
      </c>
      <c r="N146">
        <f>IF(E146="","",IF(M146&lt;=0,"Paid",IF(L146&gt;0,"Part Paid","Unpaid")))</f>
        <v/>
      </c>
      <c r="O146">
        <f>IF(E146="","",IFERROR(MAXIFS(PAYMENTS!A:A,PAYMENTS!C:C,E146),""))</f>
        <v/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>
        <f>IF(E147="","",SUMIF(PAYMENTS!C:C,E147,PAYMENTS!E:E))</f>
        <v/>
      </c>
      <c r="M147">
        <f>IF(E147="","",J147-L147)</f>
        <v/>
      </c>
      <c r="N147">
        <f>IF(E147="","",IF(M147&lt;=0,"Paid",IF(L147&gt;0,"Part Paid","Unpaid")))</f>
        <v/>
      </c>
      <c r="O147">
        <f>IF(E147="","",IFERROR(MAXIFS(PAYMENTS!A:A,PAYMENTS!C:C,E147),""))</f>
        <v/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>
        <f>IF(E148="","",SUMIF(PAYMENTS!C:C,E148,PAYMENTS!E:E))</f>
        <v/>
      </c>
      <c r="M148">
        <f>IF(E148="","",J148-L148)</f>
        <v/>
      </c>
      <c r="N148">
        <f>IF(E148="","",IF(M148&lt;=0,"Paid",IF(L148&gt;0,"Part Paid","Unpaid")))</f>
        <v/>
      </c>
      <c r="O148">
        <f>IF(E148="","",IFERROR(MAXIFS(PAYMENTS!A:A,PAYMENTS!C:C,E148),""))</f>
        <v/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>
        <f>IF(E149="","",SUMIF(PAYMENTS!C:C,E149,PAYMENTS!E:E))</f>
        <v/>
      </c>
      <c r="M149">
        <f>IF(E149="","",J149-L149)</f>
        <v/>
      </c>
      <c r="N149">
        <f>IF(E149="","",IF(M149&lt;=0,"Paid",IF(L149&gt;0,"Part Paid","Unpaid")))</f>
        <v/>
      </c>
      <c r="O149">
        <f>IF(E149="","",IFERROR(MAXIFS(PAYMENTS!A:A,PAYMENTS!C:C,E149),""))</f>
        <v/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>
        <f>IF(E150="","",SUMIF(PAYMENTS!C:C,E150,PAYMENTS!E:E))</f>
        <v/>
      </c>
      <c r="M150">
        <f>IF(E150="","",J150-L150)</f>
        <v/>
      </c>
      <c r="N150">
        <f>IF(E150="","",IF(M150&lt;=0,"Paid",IF(L150&gt;0,"Part Paid","Unpaid")))</f>
        <v/>
      </c>
      <c r="O150">
        <f>IF(E150="","",IFERROR(MAXIFS(PAYMENTS!A:A,PAYMENTS!C:C,E150),""))</f>
        <v/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>
        <f>IF(E151="","",SUMIF(PAYMENTS!C:C,E151,PAYMENTS!E:E))</f>
        <v/>
      </c>
      <c r="M151">
        <f>IF(E151="","",J151-L151)</f>
        <v/>
      </c>
      <c r="N151">
        <f>IF(E151="","",IF(M151&lt;=0,"Paid",IF(L151&gt;0,"Part Paid","Unpaid")))</f>
        <v/>
      </c>
      <c r="O151">
        <f>IF(E151="","",IFERROR(MAXIFS(PAYMENTS!A:A,PAYMENTS!C:C,E151),""))</f>
        <v/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>
        <f>IF(E152="","",SUMIF(PAYMENTS!C:C,E152,PAYMENTS!E:E))</f>
        <v/>
      </c>
      <c r="M152">
        <f>IF(E152="","",J152-L152)</f>
        <v/>
      </c>
      <c r="N152">
        <f>IF(E152="","",IF(M152&lt;=0,"Paid",IF(L152&gt;0,"Part Paid","Unpaid")))</f>
        <v/>
      </c>
      <c r="O152">
        <f>IF(E152="","",IFERROR(MAXIFS(PAYMENTS!A:A,PAYMENTS!C:C,E152),""))</f>
        <v/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>
        <f>IF(E153="","",SUMIF(PAYMENTS!C:C,E153,PAYMENTS!E:E))</f>
        <v/>
      </c>
      <c r="M153">
        <f>IF(E153="","",J153-L153)</f>
        <v/>
      </c>
      <c r="N153">
        <f>IF(E153="","",IF(M153&lt;=0,"Paid",IF(L153&gt;0,"Part Paid","Unpaid")))</f>
        <v/>
      </c>
      <c r="O153">
        <f>IF(E153="","",IFERROR(MAXIFS(PAYMENTS!A:A,PAYMENTS!C:C,E153),""))</f>
        <v/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>
        <f>IF(E154="","",SUMIF(PAYMENTS!C:C,E154,PAYMENTS!E:E))</f>
        <v/>
      </c>
      <c r="M154">
        <f>IF(E154="","",J154-L154)</f>
        <v/>
      </c>
      <c r="N154">
        <f>IF(E154="","",IF(M154&lt;=0,"Paid",IF(L154&gt;0,"Part Paid","Unpaid")))</f>
        <v/>
      </c>
      <c r="O154">
        <f>IF(E154="","",IFERROR(MAXIFS(PAYMENTS!A:A,PAYMENTS!C:C,E154),""))</f>
        <v/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>
        <f>IF(E155="","",SUMIF(PAYMENTS!C:C,E155,PAYMENTS!E:E))</f>
        <v/>
      </c>
      <c r="M155">
        <f>IF(E155="","",J155-L155)</f>
        <v/>
      </c>
      <c r="N155">
        <f>IF(E155="","",IF(M155&lt;=0,"Paid",IF(L155&gt;0,"Part Paid","Unpaid")))</f>
        <v/>
      </c>
      <c r="O155">
        <f>IF(E155="","",IFERROR(MAXIFS(PAYMENTS!A:A,PAYMENTS!C:C,E155),""))</f>
        <v/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>
        <f>IF(E156="","",SUMIF(PAYMENTS!C:C,E156,PAYMENTS!E:E))</f>
        <v/>
      </c>
      <c r="M156">
        <f>IF(E156="","",J156-L156)</f>
        <v/>
      </c>
      <c r="N156">
        <f>IF(E156="","",IF(M156&lt;=0,"Paid",IF(L156&gt;0,"Part Paid","Unpaid")))</f>
        <v/>
      </c>
      <c r="O156">
        <f>IF(E156="","",IFERROR(MAXIFS(PAYMENTS!A:A,PAYMENTS!C:C,E156),""))</f>
        <v/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>
        <f>IF(E157="","",SUMIF(PAYMENTS!C:C,E157,PAYMENTS!E:E))</f>
        <v/>
      </c>
      <c r="M157">
        <f>IF(E157="","",J157-L157)</f>
        <v/>
      </c>
      <c r="N157">
        <f>IF(E157="","",IF(M157&lt;=0,"Paid",IF(L157&gt;0,"Part Paid","Unpaid")))</f>
        <v/>
      </c>
      <c r="O157">
        <f>IF(E157="","",IFERROR(MAXIFS(PAYMENTS!A:A,PAYMENTS!C:C,E157),""))</f>
        <v/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>
        <f>IF(E158="","",SUMIF(PAYMENTS!C:C,E158,PAYMENTS!E:E))</f>
        <v/>
      </c>
      <c r="M158">
        <f>IF(E158="","",J158-L158)</f>
        <v/>
      </c>
      <c r="N158">
        <f>IF(E158="","",IF(M158&lt;=0,"Paid",IF(L158&gt;0,"Part Paid","Unpaid")))</f>
        <v/>
      </c>
      <c r="O158">
        <f>IF(E158="","",IFERROR(MAXIFS(PAYMENTS!A:A,PAYMENTS!C:C,E158),""))</f>
        <v/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>
        <f>IF(E159="","",SUMIF(PAYMENTS!C:C,E159,PAYMENTS!E:E))</f>
        <v/>
      </c>
      <c r="M159">
        <f>IF(E159="","",J159-L159)</f>
        <v/>
      </c>
      <c r="N159">
        <f>IF(E159="","",IF(M159&lt;=0,"Paid",IF(L159&gt;0,"Part Paid","Unpaid")))</f>
        <v/>
      </c>
      <c r="O159">
        <f>IF(E159="","",IFERROR(MAXIFS(PAYMENTS!A:A,PAYMENTS!C:C,E159),""))</f>
        <v/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>
        <f>IF(E160="","",SUMIF(PAYMENTS!C:C,E160,PAYMENTS!E:E))</f>
        <v/>
      </c>
      <c r="M160">
        <f>IF(E160="","",J160-L160)</f>
        <v/>
      </c>
      <c r="N160">
        <f>IF(E160="","",IF(M160&lt;=0,"Paid",IF(L160&gt;0,"Part Paid","Unpaid")))</f>
        <v/>
      </c>
      <c r="O160">
        <f>IF(E160="","",IFERROR(MAXIFS(PAYMENTS!A:A,PAYMENTS!C:C,E160),""))</f>
        <v/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>
        <f>IF(E161="","",SUMIF(PAYMENTS!C:C,E161,PAYMENTS!E:E))</f>
        <v/>
      </c>
      <c r="M161">
        <f>IF(E161="","",J161-L161)</f>
        <v/>
      </c>
      <c r="N161">
        <f>IF(E161="","",IF(M161&lt;=0,"Paid",IF(L161&gt;0,"Part Paid","Unpaid")))</f>
        <v/>
      </c>
      <c r="O161">
        <f>IF(E161="","",IFERROR(MAXIFS(PAYMENTS!A:A,PAYMENTS!C:C,E161),""))</f>
        <v/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>
        <f>IF(E162="","",SUMIF(PAYMENTS!C:C,E162,PAYMENTS!E:E))</f>
        <v/>
      </c>
      <c r="M162">
        <f>IF(E162="","",J162-L162)</f>
        <v/>
      </c>
      <c r="N162">
        <f>IF(E162="","",IF(M162&lt;=0,"Paid",IF(L162&gt;0,"Part Paid","Unpaid")))</f>
        <v/>
      </c>
      <c r="O162">
        <f>IF(E162="","",IFERROR(MAXIFS(PAYMENTS!A:A,PAYMENTS!C:C,E162),""))</f>
        <v/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>
        <f>IF(E163="","",SUMIF(PAYMENTS!C:C,E163,PAYMENTS!E:E))</f>
        <v/>
      </c>
      <c r="M163">
        <f>IF(E163="","",J163-L163)</f>
        <v/>
      </c>
      <c r="N163">
        <f>IF(E163="","",IF(M163&lt;=0,"Paid",IF(L163&gt;0,"Part Paid","Unpaid")))</f>
        <v/>
      </c>
      <c r="O163">
        <f>IF(E163="","",IFERROR(MAXIFS(PAYMENTS!A:A,PAYMENTS!C:C,E163),""))</f>
        <v/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>
        <f>IF(E164="","",SUMIF(PAYMENTS!C:C,E164,PAYMENTS!E:E))</f>
        <v/>
      </c>
      <c r="M164">
        <f>IF(E164="","",J164-L164)</f>
        <v/>
      </c>
      <c r="N164">
        <f>IF(E164="","",IF(M164&lt;=0,"Paid",IF(L164&gt;0,"Part Paid","Unpaid")))</f>
        <v/>
      </c>
      <c r="O164">
        <f>IF(E164="","",IFERROR(MAXIFS(PAYMENTS!A:A,PAYMENTS!C:C,E164),""))</f>
        <v/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>
        <f>IF(E165="","",SUMIF(PAYMENTS!C:C,E165,PAYMENTS!E:E))</f>
        <v/>
      </c>
      <c r="M165">
        <f>IF(E165="","",J165-L165)</f>
        <v/>
      </c>
      <c r="N165">
        <f>IF(E165="","",IF(M165&lt;=0,"Paid",IF(L165&gt;0,"Part Paid","Unpaid")))</f>
        <v/>
      </c>
      <c r="O165">
        <f>IF(E165="","",IFERROR(MAXIFS(PAYMENTS!A:A,PAYMENTS!C:C,E165),""))</f>
        <v/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>
        <f>IF(E166="","",SUMIF(PAYMENTS!C:C,E166,PAYMENTS!E:E))</f>
        <v/>
      </c>
      <c r="M166">
        <f>IF(E166="","",J166-L166)</f>
        <v/>
      </c>
      <c r="N166">
        <f>IF(E166="","",IF(M166&lt;=0,"Paid",IF(L166&gt;0,"Part Paid","Unpaid")))</f>
        <v/>
      </c>
      <c r="O166">
        <f>IF(E166="","",IFERROR(MAXIFS(PAYMENTS!A:A,PAYMENTS!C:C,E166),""))</f>
        <v/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>
        <f>IF(E167="","",SUMIF(PAYMENTS!C:C,E167,PAYMENTS!E:E))</f>
        <v/>
      </c>
      <c r="M167">
        <f>IF(E167="","",J167-L167)</f>
        <v/>
      </c>
      <c r="N167">
        <f>IF(E167="","",IF(M167&lt;=0,"Paid",IF(L167&gt;0,"Part Paid","Unpaid")))</f>
        <v/>
      </c>
      <c r="O167">
        <f>IF(E167="","",IFERROR(MAXIFS(PAYMENTS!A:A,PAYMENTS!C:C,E167),""))</f>
        <v/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>
        <f>IF(E168="","",SUMIF(PAYMENTS!C:C,E168,PAYMENTS!E:E))</f>
        <v/>
      </c>
      <c r="M168">
        <f>IF(E168="","",J168-L168)</f>
        <v/>
      </c>
      <c r="N168">
        <f>IF(E168="","",IF(M168&lt;=0,"Paid",IF(L168&gt;0,"Part Paid","Unpaid")))</f>
        <v/>
      </c>
      <c r="O168">
        <f>IF(E168="","",IFERROR(MAXIFS(PAYMENTS!A:A,PAYMENTS!C:C,E168),""))</f>
        <v/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>
        <f>IF(E169="","",SUMIF(PAYMENTS!C:C,E169,PAYMENTS!E:E))</f>
        <v/>
      </c>
      <c r="M169">
        <f>IF(E169="","",J169-L169)</f>
        <v/>
      </c>
      <c r="N169">
        <f>IF(E169="","",IF(M169&lt;=0,"Paid",IF(L169&gt;0,"Part Paid","Unpaid")))</f>
        <v/>
      </c>
      <c r="O169">
        <f>IF(E169="","",IFERROR(MAXIFS(PAYMENTS!A:A,PAYMENTS!C:C,E169),""))</f>
        <v/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>
        <f>IF(E170="","",SUMIF(PAYMENTS!C:C,E170,PAYMENTS!E:E))</f>
        <v/>
      </c>
      <c r="M170">
        <f>IF(E170="","",J170-L170)</f>
        <v/>
      </c>
      <c r="N170">
        <f>IF(E170="","",IF(M170&lt;=0,"Paid",IF(L170&gt;0,"Part Paid","Unpaid")))</f>
        <v/>
      </c>
      <c r="O170">
        <f>IF(E170="","",IFERROR(MAXIFS(PAYMENTS!A:A,PAYMENTS!C:C,E170),""))</f>
        <v/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>
        <f>IF(E171="","",SUMIF(PAYMENTS!C:C,E171,PAYMENTS!E:E))</f>
        <v/>
      </c>
      <c r="M171">
        <f>IF(E171="","",J171-L171)</f>
        <v/>
      </c>
      <c r="N171">
        <f>IF(E171="","",IF(M171&lt;=0,"Paid",IF(L171&gt;0,"Part Paid","Unpaid")))</f>
        <v/>
      </c>
      <c r="O171">
        <f>IF(E171="","",IFERROR(MAXIFS(PAYMENTS!A:A,PAYMENTS!C:C,E171),""))</f>
        <v/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>
        <f>IF(E172="","",SUMIF(PAYMENTS!C:C,E172,PAYMENTS!E:E))</f>
        <v/>
      </c>
      <c r="M172">
        <f>IF(E172="","",J172-L172)</f>
        <v/>
      </c>
      <c r="N172">
        <f>IF(E172="","",IF(M172&lt;=0,"Paid",IF(L172&gt;0,"Part Paid","Unpaid")))</f>
        <v/>
      </c>
      <c r="O172">
        <f>IF(E172="","",IFERROR(MAXIFS(PAYMENTS!A:A,PAYMENTS!C:C,E172),""))</f>
        <v/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>
        <f>IF(E173="","",SUMIF(PAYMENTS!C:C,E173,PAYMENTS!E:E))</f>
        <v/>
      </c>
      <c r="M173">
        <f>IF(E173="","",J173-L173)</f>
        <v/>
      </c>
      <c r="N173">
        <f>IF(E173="","",IF(M173&lt;=0,"Paid",IF(L173&gt;0,"Part Paid","Unpaid")))</f>
        <v/>
      </c>
      <c r="O173">
        <f>IF(E173="","",IFERROR(MAXIFS(PAYMENTS!A:A,PAYMENTS!C:C,E173),""))</f>
        <v/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>
        <f>IF(E174="","",SUMIF(PAYMENTS!C:C,E174,PAYMENTS!E:E))</f>
        <v/>
      </c>
      <c r="M174">
        <f>IF(E174="","",J174-L174)</f>
        <v/>
      </c>
      <c r="N174">
        <f>IF(E174="","",IF(M174&lt;=0,"Paid",IF(L174&gt;0,"Part Paid","Unpaid")))</f>
        <v/>
      </c>
      <c r="O174">
        <f>IF(E174="","",IFERROR(MAXIFS(PAYMENTS!A:A,PAYMENTS!C:C,E174),""))</f>
        <v/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>
        <f>IF(E175="","",SUMIF(PAYMENTS!C:C,E175,PAYMENTS!E:E))</f>
        <v/>
      </c>
      <c r="M175">
        <f>IF(E175="","",J175-L175)</f>
        <v/>
      </c>
      <c r="N175">
        <f>IF(E175="","",IF(M175&lt;=0,"Paid",IF(L175&gt;0,"Part Paid","Unpaid")))</f>
        <v/>
      </c>
      <c r="O175">
        <f>IF(E175="","",IFERROR(MAXIFS(PAYMENTS!A:A,PAYMENTS!C:C,E175),""))</f>
        <v/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>
        <f>IF(E176="","",SUMIF(PAYMENTS!C:C,E176,PAYMENTS!E:E))</f>
        <v/>
      </c>
      <c r="M176">
        <f>IF(E176="","",J176-L176)</f>
        <v/>
      </c>
      <c r="N176">
        <f>IF(E176="","",IF(M176&lt;=0,"Paid",IF(L176&gt;0,"Part Paid","Unpaid")))</f>
        <v/>
      </c>
      <c r="O176">
        <f>IF(E176="","",IFERROR(MAXIFS(PAYMENTS!A:A,PAYMENTS!C:C,E176),""))</f>
        <v/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>
        <f>IF(E177="","",SUMIF(PAYMENTS!C:C,E177,PAYMENTS!E:E))</f>
        <v/>
      </c>
      <c r="M177">
        <f>IF(E177="","",J177-L177)</f>
        <v/>
      </c>
      <c r="N177">
        <f>IF(E177="","",IF(M177&lt;=0,"Paid",IF(L177&gt;0,"Part Paid","Unpaid")))</f>
        <v/>
      </c>
      <c r="O177">
        <f>IF(E177="","",IFERROR(MAXIFS(PAYMENTS!A:A,PAYMENTS!C:C,E177),""))</f>
        <v/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>
        <f>IF(E178="","",SUMIF(PAYMENTS!C:C,E178,PAYMENTS!E:E))</f>
        <v/>
      </c>
      <c r="M178">
        <f>IF(E178="","",J178-L178)</f>
        <v/>
      </c>
      <c r="N178">
        <f>IF(E178="","",IF(M178&lt;=0,"Paid",IF(L178&gt;0,"Part Paid","Unpaid")))</f>
        <v/>
      </c>
      <c r="O178">
        <f>IF(E178="","",IFERROR(MAXIFS(PAYMENTS!A:A,PAYMENTS!C:C,E178),""))</f>
        <v/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>
        <f>IF(E179="","",SUMIF(PAYMENTS!C:C,E179,PAYMENTS!E:E))</f>
        <v/>
      </c>
      <c r="M179">
        <f>IF(E179="","",J179-L179)</f>
        <v/>
      </c>
      <c r="N179">
        <f>IF(E179="","",IF(M179&lt;=0,"Paid",IF(L179&gt;0,"Part Paid","Unpaid")))</f>
        <v/>
      </c>
      <c r="O179">
        <f>IF(E179="","",IFERROR(MAXIFS(PAYMENTS!A:A,PAYMENTS!C:C,E179),""))</f>
        <v/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>
        <f>IF(E180="","",SUMIF(PAYMENTS!C:C,E180,PAYMENTS!E:E))</f>
        <v/>
      </c>
      <c r="M180">
        <f>IF(E180="","",J180-L180)</f>
        <v/>
      </c>
      <c r="N180">
        <f>IF(E180="","",IF(M180&lt;=0,"Paid",IF(L180&gt;0,"Part Paid","Unpaid")))</f>
        <v/>
      </c>
      <c r="O180">
        <f>IF(E180="","",IFERROR(MAXIFS(PAYMENTS!A:A,PAYMENTS!C:C,E180),""))</f>
        <v/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>
        <f>IF(E181="","",SUMIF(PAYMENTS!C:C,E181,PAYMENTS!E:E))</f>
        <v/>
      </c>
      <c r="M181">
        <f>IF(E181="","",J181-L181)</f>
        <v/>
      </c>
      <c r="N181">
        <f>IF(E181="","",IF(M181&lt;=0,"Paid",IF(L181&gt;0,"Part Paid","Unpaid")))</f>
        <v/>
      </c>
      <c r="O181">
        <f>IF(E181="","",IFERROR(MAXIFS(PAYMENTS!A:A,PAYMENTS!C:C,E181),""))</f>
        <v/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>
        <f>IF(E182="","",SUMIF(PAYMENTS!C:C,E182,PAYMENTS!E:E))</f>
        <v/>
      </c>
      <c r="M182">
        <f>IF(E182="","",J182-L182)</f>
        <v/>
      </c>
      <c r="N182">
        <f>IF(E182="","",IF(M182&lt;=0,"Paid",IF(L182&gt;0,"Part Paid","Unpaid")))</f>
        <v/>
      </c>
      <c r="O182">
        <f>IF(E182="","",IFERROR(MAXIFS(PAYMENTS!A:A,PAYMENTS!C:C,E182),""))</f>
        <v/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>
        <f>IF(E183="","",SUMIF(PAYMENTS!C:C,E183,PAYMENTS!E:E))</f>
        <v/>
      </c>
      <c r="M183">
        <f>IF(E183="","",J183-L183)</f>
        <v/>
      </c>
      <c r="N183">
        <f>IF(E183="","",IF(M183&lt;=0,"Paid",IF(L183&gt;0,"Part Paid","Unpaid")))</f>
        <v/>
      </c>
      <c r="O183">
        <f>IF(E183="","",IFERROR(MAXIFS(PAYMENTS!A:A,PAYMENTS!C:C,E183),""))</f>
        <v/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>
        <f>IF(E184="","",SUMIF(PAYMENTS!C:C,E184,PAYMENTS!E:E))</f>
        <v/>
      </c>
      <c r="M184">
        <f>IF(E184="","",J184-L184)</f>
        <v/>
      </c>
      <c r="N184">
        <f>IF(E184="","",IF(M184&lt;=0,"Paid",IF(L184&gt;0,"Part Paid","Unpaid")))</f>
        <v/>
      </c>
      <c r="O184">
        <f>IF(E184="","",IFERROR(MAXIFS(PAYMENTS!A:A,PAYMENTS!C:C,E184),""))</f>
        <v/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>
        <f>IF(E185="","",SUMIF(PAYMENTS!C:C,E185,PAYMENTS!E:E))</f>
        <v/>
      </c>
      <c r="M185">
        <f>IF(E185="","",J185-L185)</f>
        <v/>
      </c>
      <c r="N185">
        <f>IF(E185="","",IF(M185&lt;=0,"Paid",IF(L185&gt;0,"Part Paid","Unpaid")))</f>
        <v/>
      </c>
      <c r="O185">
        <f>IF(E185="","",IFERROR(MAXIFS(PAYMENTS!A:A,PAYMENTS!C:C,E185),""))</f>
        <v/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>
        <f>IF(E186="","",SUMIF(PAYMENTS!C:C,E186,PAYMENTS!E:E))</f>
        <v/>
      </c>
      <c r="M186">
        <f>IF(E186="","",J186-L186)</f>
        <v/>
      </c>
      <c r="N186">
        <f>IF(E186="","",IF(M186&lt;=0,"Paid",IF(L186&gt;0,"Part Paid","Unpaid")))</f>
        <v/>
      </c>
      <c r="O186">
        <f>IF(E186="","",IFERROR(MAXIFS(PAYMENTS!A:A,PAYMENTS!C:C,E186),""))</f>
        <v/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>
        <f>IF(E187="","",SUMIF(PAYMENTS!C:C,E187,PAYMENTS!E:E))</f>
        <v/>
      </c>
      <c r="M187">
        <f>IF(E187="","",J187-L187)</f>
        <v/>
      </c>
      <c r="N187">
        <f>IF(E187="","",IF(M187&lt;=0,"Paid",IF(L187&gt;0,"Part Paid","Unpaid")))</f>
        <v/>
      </c>
      <c r="O187">
        <f>IF(E187="","",IFERROR(MAXIFS(PAYMENTS!A:A,PAYMENTS!C:C,E187),""))</f>
        <v/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>
        <f>IF(E188="","",SUMIF(PAYMENTS!C:C,E188,PAYMENTS!E:E))</f>
        <v/>
      </c>
      <c r="M188">
        <f>IF(E188="","",J188-L188)</f>
        <v/>
      </c>
      <c r="N188">
        <f>IF(E188="","",IF(M188&lt;=0,"Paid",IF(L188&gt;0,"Part Paid","Unpaid")))</f>
        <v/>
      </c>
      <c r="O188">
        <f>IF(E188="","",IFERROR(MAXIFS(PAYMENTS!A:A,PAYMENTS!C:C,E188),""))</f>
        <v/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>
        <f>IF(E189="","",SUMIF(PAYMENTS!C:C,E189,PAYMENTS!E:E))</f>
        <v/>
      </c>
      <c r="M189">
        <f>IF(E189="","",J189-L189)</f>
        <v/>
      </c>
      <c r="N189">
        <f>IF(E189="","",IF(M189&lt;=0,"Paid",IF(L189&gt;0,"Part Paid","Unpaid")))</f>
        <v/>
      </c>
      <c r="O189">
        <f>IF(E189="","",IFERROR(MAXIFS(PAYMENTS!A:A,PAYMENTS!C:C,E189),""))</f>
        <v/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>
        <f>IF(E190="","",SUMIF(PAYMENTS!C:C,E190,PAYMENTS!E:E))</f>
        <v/>
      </c>
      <c r="M190">
        <f>IF(E190="","",J190-L190)</f>
        <v/>
      </c>
      <c r="N190">
        <f>IF(E190="","",IF(M190&lt;=0,"Paid",IF(L190&gt;0,"Part Paid","Unpaid")))</f>
        <v/>
      </c>
      <c r="O190">
        <f>IF(E190="","",IFERROR(MAXIFS(PAYMENTS!A:A,PAYMENTS!C:C,E190),""))</f>
        <v/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>
        <f>IF(E191="","",SUMIF(PAYMENTS!C:C,E191,PAYMENTS!E:E))</f>
        <v/>
      </c>
      <c r="M191">
        <f>IF(E191="","",J191-L191)</f>
        <v/>
      </c>
      <c r="N191">
        <f>IF(E191="","",IF(M191&lt;=0,"Paid",IF(L191&gt;0,"Part Paid","Unpaid")))</f>
        <v/>
      </c>
      <c r="O191">
        <f>IF(E191="","",IFERROR(MAXIFS(PAYMENTS!A:A,PAYMENTS!C:C,E191),""))</f>
        <v/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>
        <f>IF(E192="","",SUMIF(PAYMENTS!C:C,E192,PAYMENTS!E:E))</f>
        <v/>
      </c>
      <c r="M192">
        <f>IF(E192="","",J192-L192)</f>
        <v/>
      </c>
      <c r="N192">
        <f>IF(E192="","",IF(M192&lt;=0,"Paid",IF(L192&gt;0,"Part Paid","Unpaid")))</f>
        <v/>
      </c>
      <c r="O192">
        <f>IF(E192="","",IFERROR(MAXIFS(PAYMENTS!A:A,PAYMENTS!C:C,E192),""))</f>
        <v/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>
        <f>IF(E193="","",SUMIF(PAYMENTS!C:C,E193,PAYMENTS!E:E))</f>
        <v/>
      </c>
      <c r="M193">
        <f>IF(E193="","",J193-L193)</f>
        <v/>
      </c>
      <c r="N193">
        <f>IF(E193="","",IF(M193&lt;=0,"Paid",IF(L193&gt;0,"Part Paid","Unpaid")))</f>
        <v/>
      </c>
      <c r="O193">
        <f>IF(E193="","",IFERROR(MAXIFS(PAYMENTS!A:A,PAYMENTS!C:C,E193),""))</f>
        <v/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>
        <f>IF(E194="","",SUMIF(PAYMENTS!C:C,E194,PAYMENTS!E:E))</f>
        <v/>
      </c>
      <c r="M194">
        <f>IF(E194="","",J194-L194)</f>
        <v/>
      </c>
      <c r="N194">
        <f>IF(E194="","",IF(M194&lt;=0,"Paid",IF(L194&gt;0,"Part Paid","Unpaid")))</f>
        <v/>
      </c>
      <c r="O194">
        <f>IF(E194="","",IFERROR(MAXIFS(PAYMENTS!A:A,PAYMENTS!C:C,E194),""))</f>
        <v/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>
        <f>IF(E195="","",SUMIF(PAYMENTS!C:C,E195,PAYMENTS!E:E))</f>
        <v/>
      </c>
      <c r="M195">
        <f>IF(E195="","",J195-L195)</f>
        <v/>
      </c>
      <c r="N195">
        <f>IF(E195="","",IF(M195&lt;=0,"Paid",IF(L195&gt;0,"Part Paid","Unpaid")))</f>
        <v/>
      </c>
      <c r="O195">
        <f>IF(E195="","",IFERROR(MAXIFS(PAYMENTS!A:A,PAYMENTS!C:C,E195),""))</f>
        <v/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>
        <f>IF(E196="","",SUMIF(PAYMENTS!C:C,E196,PAYMENTS!E:E))</f>
        <v/>
      </c>
      <c r="M196">
        <f>IF(E196="","",J196-L196)</f>
        <v/>
      </c>
      <c r="N196">
        <f>IF(E196="","",IF(M196&lt;=0,"Paid",IF(L196&gt;0,"Part Paid","Unpaid")))</f>
        <v/>
      </c>
      <c r="O196">
        <f>IF(E196="","",IFERROR(MAXIFS(PAYMENTS!A:A,PAYMENTS!C:C,E196),""))</f>
        <v/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>
        <f>IF(E197="","",SUMIF(PAYMENTS!C:C,E197,PAYMENTS!E:E))</f>
        <v/>
      </c>
      <c r="M197">
        <f>IF(E197="","",J197-L197)</f>
        <v/>
      </c>
      <c r="N197">
        <f>IF(E197="","",IF(M197&lt;=0,"Paid",IF(L197&gt;0,"Part Paid","Unpaid")))</f>
        <v/>
      </c>
      <c r="O197">
        <f>IF(E197="","",IFERROR(MAXIFS(PAYMENTS!A:A,PAYMENTS!C:C,E197),""))</f>
        <v/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>
        <f>IF(E198="","",SUMIF(PAYMENTS!C:C,E198,PAYMENTS!E:E))</f>
        <v/>
      </c>
      <c r="M198">
        <f>IF(E198="","",J198-L198)</f>
        <v/>
      </c>
      <c r="N198">
        <f>IF(E198="","",IF(M198&lt;=0,"Paid",IF(L198&gt;0,"Part Paid","Unpaid")))</f>
        <v/>
      </c>
      <c r="O198">
        <f>IF(E198="","",IFERROR(MAXIFS(PAYMENTS!A:A,PAYMENTS!C:C,E198),""))</f>
        <v/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>
        <f>IF(E199="","",SUMIF(PAYMENTS!C:C,E199,PAYMENTS!E:E))</f>
        <v/>
      </c>
      <c r="M199">
        <f>IF(E199="","",J199-L199)</f>
        <v/>
      </c>
      <c r="N199">
        <f>IF(E199="","",IF(M199&lt;=0,"Paid",IF(L199&gt;0,"Part Paid","Unpaid")))</f>
        <v/>
      </c>
      <c r="O199">
        <f>IF(E199="","",IFERROR(MAXIFS(PAYMENTS!A:A,PAYMENTS!C:C,E199),""))</f>
        <v/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>
        <f>IF(E200="","",SUMIF(PAYMENTS!C:C,E200,PAYMENTS!E:E))</f>
        <v/>
      </c>
      <c r="M200">
        <f>IF(E200="","",J200-L200)</f>
        <v/>
      </c>
      <c r="N200">
        <f>IF(E200="","",IF(M200&lt;=0,"Paid",IF(L200&gt;0,"Part Paid","Unpaid")))</f>
        <v/>
      </c>
      <c r="O200">
        <f>IF(E200="","",IFERROR(MAXIFS(PAYMENTS!A:A,PAYMENTS!C:C,E200),""))</f>
        <v/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>
        <f>IF(E201="","",SUMIF(PAYMENTS!C:C,E201,PAYMENTS!E:E))</f>
        <v/>
      </c>
      <c r="M201">
        <f>IF(E201="","",J201-L201)</f>
        <v/>
      </c>
      <c r="N201">
        <f>IF(E201="","",IF(M201&lt;=0,"Paid",IF(L201&gt;0,"Part Paid","Unpaid")))</f>
        <v/>
      </c>
      <c r="O201">
        <f>IF(E201="","",IFERROR(MAXIFS(PAYMENTS!A:A,PAYMENTS!C:C,E201),""))</f>
        <v/>
      </c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>
        <f>IF(E202="","",SUMIF(PAYMENTS!C:C,E202,PAYMENTS!E:E))</f>
        <v/>
      </c>
      <c r="M202">
        <f>IF(E202="","",J202-L202)</f>
        <v/>
      </c>
      <c r="N202">
        <f>IF(E202="","",IF(M202&lt;=0,"Paid",IF(L202&gt;0,"Part Paid","Unpaid")))</f>
        <v/>
      </c>
      <c r="O202">
        <f>IF(E202="","",IFERROR(MAXIFS(PAYMENTS!A:A,PAYMENTS!C:C,E202),""))</f>
        <v/>
      </c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>
        <f>IF(E203="","",SUMIF(PAYMENTS!C:C,E203,PAYMENTS!E:E))</f>
        <v/>
      </c>
      <c r="M203">
        <f>IF(E203="","",J203-L203)</f>
        <v/>
      </c>
      <c r="N203">
        <f>IF(E203="","",IF(M203&lt;=0,"Paid",IF(L203&gt;0,"Part Paid","Unpaid")))</f>
        <v/>
      </c>
      <c r="O203">
        <f>IF(E203="","",IFERROR(MAXIFS(PAYMENTS!A:A,PAYMENTS!C:C,E203),""))</f>
        <v/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>
        <f>IF(E204="","",SUMIF(PAYMENTS!C:C,E204,PAYMENTS!E:E))</f>
        <v/>
      </c>
      <c r="M204">
        <f>IF(E204="","",J204-L204)</f>
        <v/>
      </c>
      <c r="N204">
        <f>IF(E204="","",IF(M204&lt;=0,"Paid",IF(L204&gt;0,"Part Paid","Unpaid")))</f>
        <v/>
      </c>
      <c r="O204">
        <f>IF(E204="","",IFERROR(MAXIFS(PAYMENTS!A:A,PAYMENTS!C:C,E204),""))</f>
        <v/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>
        <f>IF(E205="","",SUMIF(PAYMENTS!C:C,E205,PAYMENTS!E:E))</f>
        <v/>
      </c>
      <c r="M205">
        <f>IF(E205="","",J205-L205)</f>
        <v/>
      </c>
      <c r="N205">
        <f>IF(E205="","",IF(M205&lt;=0,"Paid",IF(L205&gt;0,"Part Paid","Unpaid")))</f>
        <v/>
      </c>
      <c r="O205">
        <f>IF(E205="","",IFERROR(MAXIFS(PAYMENTS!A:A,PAYMENTS!C:C,E205),""))</f>
        <v/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>
        <f>IF(E206="","",SUMIF(PAYMENTS!C:C,E206,PAYMENTS!E:E))</f>
        <v/>
      </c>
      <c r="M206">
        <f>IF(E206="","",J206-L206)</f>
        <v/>
      </c>
      <c r="N206">
        <f>IF(E206="","",IF(M206&lt;=0,"Paid",IF(L206&gt;0,"Part Paid","Unpaid")))</f>
        <v/>
      </c>
      <c r="O206">
        <f>IF(E206="","",IFERROR(MAXIFS(PAYMENTS!A:A,PAYMENTS!C:C,E206),""))</f>
        <v/>
      </c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>
        <f>IF(E207="","",SUMIF(PAYMENTS!C:C,E207,PAYMENTS!E:E))</f>
        <v/>
      </c>
      <c r="M207">
        <f>IF(E207="","",J207-L207)</f>
        <v/>
      </c>
      <c r="N207">
        <f>IF(E207="","",IF(M207&lt;=0,"Paid",IF(L207&gt;0,"Part Paid","Unpaid")))</f>
        <v/>
      </c>
      <c r="O207">
        <f>IF(E207="","",IFERROR(MAXIFS(PAYMENTS!A:A,PAYMENTS!C:C,E207),""))</f>
        <v/>
      </c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>
        <f>IF(E208="","",SUMIF(PAYMENTS!C:C,E208,PAYMENTS!E:E))</f>
        <v/>
      </c>
      <c r="M208">
        <f>IF(E208="","",J208-L208)</f>
        <v/>
      </c>
      <c r="N208">
        <f>IF(E208="","",IF(M208&lt;=0,"Paid",IF(L208&gt;0,"Part Paid","Unpaid")))</f>
        <v/>
      </c>
      <c r="O208">
        <f>IF(E208="","",IFERROR(MAXIFS(PAYMENTS!A:A,PAYMENTS!C:C,E208),""))</f>
        <v/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>
        <f>IF(E209="","",SUMIF(PAYMENTS!C:C,E209,PAYMENTS!E:E))</f>
        <v/>
      </c>
      <c r="M209">
        <f>IF(E209="","",J209-L209)</f>
        <v/>
      </c>
      <c r="N209">
        <f>IF(E209="","",IF(M209&lt;=0,"Paid",IF(L209&gt;0,"Part Paid","Unpaid")))</f>
        <v/>
      </c>
      <c r="O209">
        <f>IF(E209="","",IFERROR(MAXIFS(PAYMENTS!A:A,PAYMENTS!C:C,E209),""))</f>
        <v/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>
        <f>IF(E210="","",SUMIF(PAYMENTS!C:C,E210,PAYMENTS!E:E))</f>
        <v/>
      </c>
      <c r="M210">
        <f>IF(E210="","",J210-L210)</f>
        <v/>
      </c>
      <c r="N210">
        <f>IF(E210="","",IF(M210&lt;=0,"Paid",IF(L210&gt;0,"Part Paid","Unpaid")))</f>
        <v/>
      </c>
      <c r="O210">
        <f>IF(E210="","",IFERROR(MAXIFS(PAYMENTS!A:A,PAYMENTS!C:C,E210),""))</f>
        <v/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>
        <f>IF(E211="","",SUMIF(PAYMENTS!C:C,E211,PAYMENTS!E:E))</f>
        <v/>
      </c>
      <c r="M211">
        <f>IF(E211="","",J211-L211)</f>
        <v/>
      </c>
      <c r="N211">
        <f>IF(E211="","",IF(M211&lt;=0,"Paid",IF(L211&gt;0,"Part Paid","Unpaid")))</f>
        <v/>
      </c>
      <c r="O211">
        <f>IF(E211="","",IFERROR(MAXIFS(PAYMENTS!A:A,PAYMENTS!C:C,E211),""))</f>
        <v/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>
        <f>IF(E212="","",SUMIF(PAYMENTS!C:C,E212,PAYMENTS!E:E))</f>
        <v/>
      </c>
      <c r="M212">
        <f>IF(E212="","",J212-L212)</f>
        <v/>
      </c>
      <c r="N212">
        <f>IF(E212="","",IF(M212&lt;=0,"Paid",IF(L212&gt;0,"Part Paid","Unpaid")))</f>
        <v/>
      </c>
      <c r="O212">
        <f>IF(E212="","",IFERROR(MAXIFS(PAYMENTS!A:A,PAYMENTS!C:C,E212),""))</f>
        <v/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>
        <f>IF(E213="","",SUMIF(PAYMENTS!C:C,E213,PAYMENTS!E:E))</f>
        <v/>
      </c>
      <c r="M213">
        <f>IF(E213="","",J213-L213)</f>
        <v/>
      </c>
      <c r="N213">
        <f>IF(E213="","",IF(M213&lt;=0,"Paid",IF(L213&gt;0,"Part Paid","Unpaid")))</f>
        <v/>
      </c>
      <c r="O213">
        <f>IF(E213="","",IFERROR(MAXIFS(PAYMENTS!A:A,PAYMENTS!C:C,E213),""))</f>
        <v/>
      </c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>
        <f>IF(E214="","",SUMIF(PAYMENTS!C:C,E214,PAYMENTS!E:E))</f>
        <v/>
      </c>
      <c r="M214">
        <f>IF(E214="","",J214-L214)</f>
        <v/>
      </c>
      <c r="N214">
        <f>IF(E214="","",IF(M214&lt;=0,"Paid",IF(L214&gt;0,"Part Paid","Unpaid")))</f>
        <v/>
      </c>
      <c r="O214">
        <f>IF(E214="","",IFERROR(MAXIFS(PAYMENTS!A:A,PAYMENTS!C:C,E214),""))</f>
        <v/>
      </c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>
        <f>IF(E215="","",SUMIF(PAYMENTS!C:C,E215,PAYMENTS!E:E))</f>
        <v/>
      </c>
      <c r="M215">
        <f>IF(E215="","",J215-L215)</f>
        <v/>
      </c>
      <c r="N215">
        <f>IF(E215="","",IF(M215&lt;=0,"Paid",IF(L215&gt;0,"Part Paid","Unpaid")))</f>
        <v/>
      </c>
      <c r="O215">
        <f>IF(E215="","",IFERROR(MAXIFS(PAYMENTS!A:A,PAYMENTS!C:C,E215),""))</f>
        <v/>
      </c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>
        <f>IF(E216="","",SUMIF(PAYMENTS!C:C,E216,PAYMENTS!E:E))</f>
        <v/>
      </c>
      <c r="M216">
        <f>IF(E216="","",J216-L216)</f>
        <v/>
      </c>
      <c r="N216">
        <f>IF(E216="","",IF(M216&lt;=0,"Paid",IF(L216&gt;0,"Part Paid","Unpaid")))</f>
        <v/>
      </c>
      <c r="O216">
        <f>IF(E216="","",IFERROR(MAXIFS(PAYMENTS!A:A,PAYMENTS!C:C,E216),""))</f>
        <v/>
      </c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>
        <f>IF(E217="","",SUMIF(PAYMENTS!C:C,E217,PAYMENTS!E:E))</f>
        <v/>
      </c>
      <c r="M217">
        <f>IF(E217="","",J217-L217)</f>
        <v/>
      </c>
      <c r="N217">
        <f>IF(E217="","",IF(M217&lt;=0,"Paid",IF(L217&gt;0,"Part Paid","Unpaid")))</f>
        <v/>
      </c>
      <c r="O217">
        <f>IF(E217="","",IFERROR(MAXIFS(PAYMENTS!A:A,PAYMENTS!C:C,E217),""))</f>
        <v/>
      </c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>
        <f>IF(E218="","",SUMIF(PAYMENTS!C:C,E218,PAYMENTS!E:E))</f>
        <v/>
      </c>
      <c r="M218">
        <f>IF(E218="","",J218-L218)</f>
        <v/>
      </c>
      <c r="N218">
        <f>IF(E218="","",IF(M218&lt;=0,"Paid",IF(L218&gt;0,"Part Paid","Unpaid")))</f>
        <v/>
      </c>
      <c r="O218">
        <f>IF(E218="","",IFERROR(MAXIFS(PAYMENTS!A:A,PAYMENTS!C:C,E218),""))</f>
        <v/>
      </c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>
        <f>IF(E219="","",SUMIF(PAYMENTS!C:C,E219,PAYMENTS!E:E))</f>
        <v/>
      </c>
      <c r="M219">
        <f>IF(E219="","",J219-L219)</f>
        <v/>
      </c>
      <c r="N219">
        <f>IF(E219="","",IF(M219&lt;=0,"Paid",IF(L219&gt;0,"Part Paid","Unpaid")))</f>
        <v/>
      </c>
      <c r="O219">
        <f>IF(E219="","",IFERROR(MAXIFS(PAYMENTS!A:A,PAYMENTS!C:C,E219),""))</f>
        <v/>
      </c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>
        <f>IF(E220="","",SUMIF(PAYMENTS!C:C,E220,PAYMENTS!E:E))</f>
        <v/>
      </c>
      <c r="M220">
        <f>IF(E220="","",J220-L220)</f>
        <v/>
      </c>
      <c r="N220">
        <f>IF(E220="","",IF(M220&lt;=0,"Paid",IF(L220&gt;0,"Part Paid","Unpaid")))</f>
        <v/>
      </c>
      <c r="O220">
        <f>IF(E220="","",IFERROR(MAXIFS(PAYMENTS!A:A,PAYMENTS!C:C,E220),""))</f>
        <v/>
      </c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>
        <f>IF(E221="","",SUMIF(PAYMENTS!C:C,E221,PAYMENTS!E:E))</f>
        <v/>
      </c>
      <c r="M221">
        <f>IF(E221="","",J221-L221)</f>
        <v/>
      </c>
      <c r="N221">
        <f>IF(E221="","",IF(M221&lt;=0,"Paid",IF(L221&gt;0,"Part Paid","Unpaid")))</f>
        <v/>
      </c>
      <c r="O221">
        <f>IF(E221="","",IFERROR(MAXIFS(PAYMENTS!A:A,PAYMENTS!C:C,E221),""))</f>
        <v/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>
        <f>IF(E222="","",SUMIF(PAYMENTS!C:C,E222,PAYMENTS!E:E))</f>
        <v/>
      </c>
      <c r="M222">
        <f>IF(E222="","",J222-L222)</f>
        <v/>
      </c>
      <c r="N222">
        <f>IF(E222="","",IF(M222&lt;=0,"Paid",IF(L222&gt;0,"Part Paid","Unpaid")))</f>
        <v/>
      </c>
      <c r="O222">
        <f>IF(E222="","",IFERROR(MAXIFS(PAYMENTS!A:A,PAYMENTS!C:C,E222),""))</f>
        <v/>
      </c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>
        <f>IF(E223="","",SUMIF(PAYMENTS!C:C,E223,PAYMENTS!E:E))</f>
        <v/>
      </c>
      <c r="M223">
        <f>IF(E223="","",J223-L223)</f>
        <v/>
      </c>
      <c r="N223">
        <f>IF(E223="","",IF(M223&lt;=0,"Paid",IF(L223&gt;0,"Part Paid","Unpaid")))</f>
        <v/>
      </c>
      <c r="O223">
        <f>IF(E223="","",IFERROR(MAXIFS(PAYMENTS!A:A,PAYMENTS!C:C,E223),""))</f>
        <v/>
      </c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>
        <f>IF(E224="","",SUMIF(PAYMENTS!C:C,E224,PAYMENTS!E:E))</f>
        <v/>
      </c>
      <c r="M224">
        <f>IF(E224="","",J224-L224)</f>
        <v/>
      </c>
      <c r="N224">
        <f>IF(E224="","",IF(M224&lt;=0,"Paid",IF(L224&gt;0,"Part Paid","Unpaid")))</f>
        <v/>
      </c>
      <c r="O224">
        <f>IF(E224="","",IFERROR(MAXIFS(PAYMENTS!A:A,PAYMENTS!C:C,E224),""))</f>
        <v/>
      </c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>
        <f>IF(E225="","",SUMIF(PAYMENTS!C:C,E225,PAYMENTS!E:E))</f>
        <v/>
      </c>
      <c r="M225">
        <f>IF(E225="","",J225-L225)</f>
        <v/>
      </c>
      <c r="N225">
        <f>IF(E225="","",IF(M225&lt;=0,"Paid",IF(L225&gt;0,"Part Paid","Unpaid")))</f>
        <v/>
      </c>
      <c r="O225">
        <f>IF(E225="","",IFERROR(MAXIFS(PAYMENTS!A:A,PAYMENTS!C:C,E225),""))</f>
        <v/>
      </c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>
        <f>IF(E226="","",SUMIF(PAYMENTS!C:C,E226,PAYMENTS!E:E))</f>
        <v/>
      </c>
      <c r="M226">
        <f>IF(E226="","",J226-L226)</f>
        <v/>
      </c>
      <c r="N226">
        <f>IF(E226="","",IF(M226&lt;=0,"Paid",IF(L226&gt;0,"Part Paid","Unpaid")))</f>
        <v/>
      </c>
      <c r="O226">
        <f>IF(E226="","",IFERROR(MAXIFS(PAYMENTS!A:A,PAYMENTS!C:C,E226),""))</f>
        <v/>
      </c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>
        <f>IF(E227="","",SUMIF(PAYMENTS!C:C,E227,PAYMENTS!E:E))</f>
        <v/>
      </c>
      <c r="M227">
        <f>IF(E227="","",J227-L227)</f>
        <v/>
      </c>
      <c r="N227">
        <f>IF(E227="","",IF(M227&lt;=0,"Paid",IF(L227&gt;0,"Part Paid","Unpaid")))</f>
        <v/>
      </c>
      <c r="O227">
        <f>IF(E227="","",IFERROR(MAXIFS(PAYMENTS!A:A,PAYMENTS!C:C,E227),""))</f>
        <v/>
      </c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>
        <f>IF(E228="","",SUMIF(PAYMENTS!C:C,E228,PAYMENTS!E:E))</f>
        <v/>
      </c>
      <c r="M228">
        <f>IF(E228="","",J228-L228)</f>
        <v/>
      </c>
      <c r="N228">
        <f>IF(E228="","",IF(M228&lt;=0,"Paid",IF(L228&gt;0,"Part Paid","Unpaid")))</f>
        <v/>
      </c>
      <c r="O228">
        <f>IF(E228="","",IFERROR(MAXIFS(PAYMENTS!A:A,PAYMENTS!C:C,E228),""))</f>
        <v/>
      </c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>
        <f>IF(E229="","",SUMIF(PAYMENTS!C:C,E229,PAYMENTS!E:E))</f>
        <v/>
      </c>
      <c r="M229">
        <f>IF(E229="","",J229-L229)</f>
        <v/>
      </c>
      <c r="N229">
        <f>IF(E229="","",IF(M229&lt;=0,"Paid",IF(L229&gt;0,"Part Paid","Unpaid")))</f>
        <v/>
      </c>
      <c r="O229">
        <f>IF(E229="","",IFERROR(MAXIFS(PAYMENTS!A:A,PAYMENTS!C:C,E229),""))</f>
        <v/>
      </c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>
        <f>IF(E230="","",SUMIF(PAYMENTS!C:C,E230,PAYMENTS!E:E))</f>
        <v/>
      </c>
      <c r="M230">
        <f>IF(E230="","",J230-L230)</f>
        <v/>
      </c>
      <c r="N230">
        <f>IF(E230="","",IF(M230&lt;=0,"Paid",IF(L230&gt;0,"Part Paid","Unpaid")))</f>
        <v/>
      </c>
      <c r="O230">
        <f>IF(E230="","",IFERROR(MAXIFS(PAYMENTS!A:A,PAYMENTS!C:C,E230),""))</f>
        <v/>
      </c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>
        <f>IF(E231="","",SUMIF(PAYMENTS!C:C,E231,PAYMENTS!E:E))</f>
        <v/>
      </c>
      <c r="M231">
        <f>IF(E231="","",J231-L231)</f>
        <v/>
      </c>
      <c r="N231">
        <f>IF(E231="","",IF(M231&lt;=0,"Paid",IF(L231&gt;0,"Part Paid","Unpaid")))</f>
        <v/>
      </c>
      <c r="O231">
        <f>IF(E231="","",IFERROR(MAXIFS(PAYMENTS!A:A,PAYMENTS!C:C,E231),""))</f>
        <v/>
      </c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>
        <f>IF(E232="","",SUMIF(PAYMENTS!C:C,E232,PAYMENTS!E:E))</f>
        <v/>
      </c>
      <c r="M232">
        <f>IF(E232="","",J232-L232)</f>
        <v/>
      </c>
      <c r="N232">
        <f>IF(E232="","",IF(M232&lt;=0,"Paid",IF(L232&gt;0,"Part Paid","Unpaid")))</f>
        <v/>
      </c>
      <c r="O232">
        <f>IF(E232="","",IFERROR(MAXIFS(PAYMENTS!A:A,PAYMENTS!C:C,E232),""))</f>
        <v/>
      </c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>
        <f>IF(E233="","",SUMIF(PAYMENTS!C:C,E233,PAYMENTS!E:E))</f>
        <v/>
      </c>
      <c r="M233">
        <f>IF(E233="","",J233-L233)</f>
        <v/>
      </c>
      <c r="N233">
        <f>IF(E233="","",IF(M233&lt;=0,"Paid",IF(L233&gt;0,"Part Paid","Unpaid")))</f>
        <v/>
      </c>
      <c r="O233">
        <f>IF(E233="","",IFERROR(MAXIFS(PAYMENTS!A:A,PAYMENTS!C:C,E233),""))</f>
        <v/>
      </c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>
        <f>IF(E234="","",SUMIF(PAYMENTS!C:C,E234,PAYMENTS!E:E))</f>
        <v/>
      </c>
      <c r="M234">
        <f>IF(E234="","",J234-L234)</f>
        <v/>
      </c>
      <c r="N234">
        <f>IF(E234="","",IF(M234&lt;=0,"Paid",IF(L234&gt;0,"Part Paid","Unpaid")))</f>
        <v/>
      </c>
      <c r="O234">
        <f>IF(E234="","",IFERROR(MAXIFS(PAYMENTS!A:A,PAYMENTS!C:C,E234),""))</f>
        <v/>
      </c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>
        <f>IF(E235="","",SUMIF(PAYMENTS!C:C,E235,PAYMENTS!E:E))</f>
        <v/>
      </c>
      <c r="M235">
        <f>IF(E235="","",J235-L235)</f>
        <v/>
      </c>
      <c r="N235">
        <f>IF(E235="","",IF(M235&lt;=0,"Paid",IF(L235&gt;0,"Part Paid","Unpaid")))</f>
        <v/>
      </c>
      <c r="O235">
        <f>IF(E235="","",IFERROR(MAXIFS(PAYMENTS!A:A,PAYMENTS!C:C,E235),""))</f>
        <v/>
      </c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>
        <f>IF(E236="","",SUMIF(PAYMENTS!C:C,E236,PAYMENTS!E:E))</f>
        <v/>
      </c>
      <c r="M236">
        <f>IF(E236="","",J236-L236)</f>
        <v/>
      </c>
      <c r="N236">
        <f>IF(E236="","",IF(M236&lt;=0,"Paid",IF(L236&gt;0,"Part Paid","Unpaid")))</f>
        <v/>
      </c>
      <c r="O236">
        <f>IF(E236="","",IFERROR(MAXIFS(PAYMENTS!A:A,PAYMENTS!C:C,E236),""))</f>
        <v/>
      </c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>
        <f>IF(E237="","",SUMIF(PAYMENTS!C:C,E237,PAYMENTS!E:E))</f>
        <v/>
      </c>
      <c r="M237">
        <f>IF(E237="","",J237-L237)</f>
        <v/>
      </c>
      <c r="N237">
        <f>IF(E237="","",IF(M237&lt;=0,"Paid",IF(L237&gt;0,"Part Paid","Unpaid")))</f>
        <v/>
      </c>
      <c r="O237">
        <f>IF(E237="","",IFERROR(MAXIFS(PAYMENTS!A:A,PAYMENTS!C:C,E237),""))</f>
        <v/>
      </c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>
        <f>IF(E238="","",SUMIF(PAYMENTS!C:C,E238,PAYMENTS!E:E))</f>
        <v/>
      </c>
      <c r="M238">
        <f>IF(E238="","",J238-L238)</f>
        <v/>
      </c>
      <c r="N238">
        <f>IF(E238="","",IF(M238&lt;=0,"Paid",IF(L238&gt;0,"Part Paid","Unpaid")))</f>
        <v/>
      </c>
      <c r="O238">
        <f>IF(E238="","",IFERROR(MAXIFS(PAYMENTS!A:A,PAYMENTS!C:C,E238),""))</f>
        <v/>
      </c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>
        <f>IF(E239="","",SUMIF(PAYMENTS!C:C,E239,PAYMENTS!E:E))</f>
        <v/>
      </c>
      <c r="M239">
        <f>IF(E239="","",J239-L239)</f>
        <v/>
      </c>
      <c r="N239">
        <f>IF(E239="","",IF(M239&lt;=0,"Paid",IF(L239&gt;0,"Part Paid","Unpaid")))</f>
        <v/>
      </c>
      <c r="O239">
        <f>IF(E239="","",IFERROR(MAXIFS(PAYMENTS!A:A,PAYMENTS!C:C,E239),""))</f>
        <v/>
      </c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>
        <f>IF(E240="","",SUMIF(PAYMENTS!C:C,E240,PAYMENTS!E:E))</f>
        <v/>
      </c>
      <c r="M240">
        <f>IF(E240="","",J240-L240)</f>
        <v/>
      </c>
      <c r="N240">
        <f>IF(E240="","",IF(M240&lt;=0,"Paid",IF(L240&gt;0,"Part Paid","Unpaid")))</f>
        <v/>
      </c>
      <c r="O240">
        <f>IF(E240="","",IFERROR(MAXIFS(PAYMENTS!A:A,PAYMENTS!C:C,E240),""))</f>
        <v/>
      </c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>
        <f>IF(E241="","",SUMIF(PAYMENTS!C:C,E241,PAYMENTS!E:E))</f>
        <v/>
      </c>
      <c r="M241">
        <f>IF(E241="","",J241-L241)</f>
        <v/>
      </c>
      <c r="N241">
        <f>IF(E241="","",IF(M241&lt;=0,"Paid",IF(L241&gt;0,"Part Paid","Unpaid")))</f>
        <v/>
      </c>
      <c r="O241">
        <f>IF(E241="","",IFERROR(MAXIFS(PAYMENTS!A:A,PAYMENTS!C:C,E241),""))</f>
        <v/>
      </c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>
        <f>IF(E242="","",SUMIF(PAYMENTS!C:C,E242,PAYMENTS!E:E))</f>
        <v/>
      </c>
      <c r="M242">
        <f>IF(E242="","",J242-L242)</f>
        <v/>
      </c>
      <c r="N242">
        <f>IF(E242="","",IF(M242&lt;=0,"Paid",IF(L242&gt;0,"Part Paid","Unpaid")))</f>
        <v/>
      </c>
      <c r="O242">
        <f>IF(E242="","",IFERROR(MAXIFS(PAYMENTS!A:A,PAYMENTS!C:C,E242),""))</f>
        <v/>
      </c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>
        <f>IF(E243="","",SUMIF(PAYMENTS!C:C,E243,PAYMENTS!E:E))</f>
        <v/>
      </c>
      <c r="M243">
        <f>IF(E243="","",J243-L243)</f>
        <v/>
      </c>
      <c r="N243">
        <f>IF(E243="","",IF(M243&lt;=0,"Paid",IF(L243&gt;0,"Part Paid","Unpaid")))</f>
        <v/>
      </c>
      <c r="O243">
        <f>IF(E243="","",IFERROR(MAXIFS(PAYMENTS!A:A,PAYMENTS!C:C,E243),""))</f>
        <v/>
      </c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>
        <f>IF(E244="","",SUMIF(PAYMENTS!C:C,E244,PAYMENTS!E:E))</f>
        <v/>
      </c>
      <c r="M244">
        <f>IF(E244="","",J244-L244)</f>
        <v/>
      </c>
      <c r="N244">
        <f>IF(E244="","",IF(M244&lt;=0,"Paid",IF(L244&gt;0,"Part Paid","Unpaid")))</f>
        <v/>
      </c>
      <c r="O244">
        <f>IF(E244="","",IFERROR(MAXIFS(PAYMENTS!A:A,PAYMENTS!C:C,E244),""))</f>
        <v/>
      </c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>
        <f>IF(E245="","",SUMIF(PAYMENTS!C:C,E245,PAYMENTS!E:E))</f>
        <v/>
      </c>
      <c r="M245">
        <f>IF(E245="","",J245-L245)</f>
        <v/>
      </c>
      <c r="N245">
        <f>IF(E245="","",IF(M245&lt;=0,"Paid",IF(L245&gt;0,"Part Paid","Unpaid")))</f>
        <v/>
      </c>
      <c r="O245">
        <f>IF(E245="","",IFERROR(MAXIFS(PAYMENTS!A:A,PAYMENTS!C:C,E245),""))</f>
        <v/>
      </c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>
        <f>IF(E246="","",SUMIF(PAYMENTS!C:C,E246,PAYMENTS!E:E))</f>
        <v/>
      </c>
      <c r="M246">
        <f>IF(E246="","",J246-L246)</f>
        <v/>
      </c>
      <c r="N246">
        <f>IF(E246="","",IF(M246&lt;=0,"Paid",IF(L246&gt;0,"Part Paid","Unpaid")))</f>
        <v/>
      </c>
      <c r="O246">
        <f>IF(E246="","",IFERROR(MAXIFS(PAYMENTS!A:A,PAYMENTS!C:C,E246),""))</f>
        <v/>
      </c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>
        <f>IF(E247="","",SUMIF(PAYMENTS!C:C,E247,PAYMENTS!E:E))</f>
        <v/>
      </c>
      <c r="M247">
        <f>IF(E247="","",J247-L247)</f>
        <v/>
      </c>
      <c r="N247">
        <f>IF(E247="","",IF(M247&lt;=0,"Paid",IF(L247&gt;0,"Part Paid","Unpaid")))</f>
        <v/>
      </c>
      <c r="O247">
        <f>IF(E247="","",IFERROR(MAXIFS(PAYMENTS!A:A,PAYMENTS!C:C,E247),""))</f>
        <v/>
      </c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>
        <f>IF(E248="","",SUMIF(PAYMENTS!C:C,E248,PAYMENTS!E:E))</f>
        <v/>
      </c>
      <c r="M248">
        <f>IF(E248="","",J248-L248)</f>
        <v/>
      </c>
      <c r="N248">
        <f>IF(E248="","",IF(M248&lt;=0,"Paid",IF(L248&gt;0,"Part Paid","Unpaid")))</f>
        <v/>
      </c>
      <c r="O248">
        <f>IF(E248="","",IFERROR(MAXIFS(PAYMENTS!A:A,PAYMENTS!C:C,E248),""))</f>
        <v/>
      </c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>
        <f>IF(E249="","",SUMIF(PAYMENTS!C:C,E249,PAYMENTS!E:E))</f>
        <v/>
      </c>
      <c r="M249">
        <f>IF(E249="","",J249-L249)</f>
        <v/>
      </c>
      <c r="N249">
        <f>IF(E249="","",IF(M249&lt;=0,"Paid",IF(L249&gt;0,"Part Paid","Unpaid")))</f>
        <v/>
      </c>
      <c r="O249">
        <f>IF(E249="","",IFERROR(MAXIFS(PAYMENTS!A:A,PAYMENTS!C:C,E249),""))</f>
        <v/>
      </c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>
        <f>IF(E250="","",SUMIF(PAYMENTS!C:C,E250,PAYMENTS!E:E))</f>
        <v/>
      </c>
      <c r="M250">
        <f>IF(E250="","",J250-L250)</f>
        <v/>
      </c>
      <c r="N250">
        <f>IF(E250="","",IF(M250&lt;=0,"Paid",IF(L250&gt;0,"Part Paid","Unpaid")))</f>
        <v/>
      </c>
      <c r="O250">
        <f>IF(E250="","",IFERROR(MAXIFS(PAYMENTS!A:A,PAYMENTS!C:C,E250),""))</f>
        <v/>
      </c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>
        <f>IF(E251="","",SUMIF(PAYMENTS!C:C,E251,PAYMENTS!E:E))</f>
        <v/>
      </c>
      <c r="M251">
        <f>IF(E251="","",J251-L251)</f>
        <v/>
      </c>
      <c r="N251">
        <f>IF(E251="","",IF(M251&lt;=0,"Paid",IF(L251&gt;0,"Part Paid","Unpaid")))</f>
        <v/>
      </c>
      <c r="O251">
        <f>IF(E251="","",IFERROR(MAXIFS(PAYMENTS!A:A,PAYMENTS!C:C,E251),""))</f>
        <v/>
      </c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>
        <f>IF(E252="","",SUMIF(PAYMENTS!C:C,E252,PAYMENTS!E:E))</f>
        <v/>
      </c>
      <c r="M252">
        <f>IF(E252="","",J252-L252)</f>
        <v/>
      </c>
      <c r="N252">
        <f>IF(E252="","",IF(M252&lt;=0,"Paid",IF(L252&gt;0,"Part Paid","Unpaid")))</f>
        <v/>
      </c>
      <c r="O252">
        <f>IF(E252="","",IFERROR(MAXIFS(PAYMENTS!A:A,PAYMENTS!C:C,E252),""))</f>
        <v/>
      </c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>
        <f>IF(E253="","",SUMIF(PAYMENTS!C:C,E253,PAYMENTS!E:E))</f>
        <v/>
      </c>
      <c r="M253">
        <f>IF(E253="","",J253-L253)</f>
        <v/>
      </c>
      <c r="N253">
        <f>IF(E253="","",IF(M253&lt;=0,"Paid",IF(L253&gt;0,"Part Paid","Unpaid")))</f>
        <v/>
      </c>
      <c r="O253">
        <f>IF(E253="","",IFERROR(MAXIFS(PAYMENTS!A:A,PAYMENTS!C:C,E253),""))</f>
        <v/>
      </c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>
        <f>IF(E254="","",SUMIF(PAYMENTS!C:C,E254,PAYMENTS!E:E))</f>
        <v/>
      </c>
      <c r="M254">
        <f>IF(E254="","",J254-L254)</f>
        <v/>
      </c>
      <c r="N254">
        <f>IF(E254="","",IF(M254&lt;=0,"Paid",IF(L254&gt;0,"Part Paid","Unpaid")))</f>
        <v/>
      </c>
      <c r="O254">
        <f>IF(E254="","",IFERROR(MAXIFS(PAYMENTS!A:A,PAYMENTS!C:C,E254),""))</f>
        <v/>
      </c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>
        <f>IF(E255="","",SUMIF(PAYMENTS!C:C,E255,PAYMENTS!E:E))</f>
        <v/>
      </c>
      <c r="M255">
        <f>IF(E255="","",J255-L255)</f>
        <v/>
      </c>
      <c r="N255">
        <f>IF(E255="","",IF(M255&lt;=0,"Paid",IF(L255&gt;0,"Part Paid","Unpaid")))</f>
        <v/>
      </c>
      <c r="O255">
        <f>IF(E255="","",IFERROR(MAXIFS(PAYMENTS!A:A,PAYMENTS!C:C,E255),""))</f>
        <v/>
      </c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>
        <f>IF(E256="","",SUMIF(PAYMENTS!C:C,E256,PAYMENTS!E:E))</f>
        <v/>
      </c>
      <c r="M256">
        <f>IF(E256="","",J256-L256)</f>
        <v/>
      </c>
      <c r="N256">
        <f>IF(E256="","",IF(M256&lt;=0,"Paid",IF(L256&gt;0,"Part Paid","Unpaid")))</f>
        <v/>
      </c>
      <c r="O256">
        <f>IF(E256="","",IFERROR(MAXIFS(PAYMENTS!A:A,PAYMENTS!C:C,E256),""))</f>
        <v/>
      </c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>
        <f>IF(E257="","",SUMIF(PAYMENTS!C:C,E257,PAYMENTS!E:E))</f>
        <v/>
      </c>
      <c r="M257">
        <f>IF(E257="","",J257-L257)</f>
        <v/>
      </c>
      <c r="N257">
        <f>IF(E257="","",IF(M257&lt;=0,"Paid",IF(L257&gt;0,"Part Paid","Unpaid")))</f>
        <v/>
      </c>
      <c r="O257">
        <f>IF(E257="","",IFERROR(MAXIFS(PAYMENTS!A:A,PAYMENTS!C:C,E257),""))</f>
        <v/>
      </c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>
        <f>IF(E258="","",SUMIF(PAYMENTS!C:C,E258,PAYMENTS!E:E))</f>
        <v/>
      </c>
      <c r="M258">
        <f>IF(E258="","",J258-L258)</f>
        <v/>
      </c>
      <c r="N258">
        <f>IF(E258="","",IF(M258&lt;=0,"Paid",IF(L258&gt;0,"Part Paid","Unpaid")))</f>
        <v/>
      </c>
      <c r="O258">
        <f>IF(E258="","",IFERROR(MAXIFS(PAYMENTS!A:A,PAYMENTS!C:C,E258),""))</f>
        <v/>
      </c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>
        <f>IF(E259="","",SUMIF(PAYMENTS!C:C,E259,PAYMENTS!E:E))</f>
        <v/>
      </c>
      <c r="M259">
        <f>IF(E259="","",J259-L259)</f>
        <v/>
      </c>
      <c r="N259">
        <f>IF(E259="","",IF(M259&lt;=0,"Paid",IF(L259&gt;0,"Part Paid","Unpaid")))</f>
        <v/>
      </c>
      <c r="O259">
        <f>IF(E259="","",IFERROR(MAXIFS(PAYMENTS!A:A,PAYMENTS!C:C,E259),""))</f>
        <v/>
      </c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>
        <f>IF(E260="","",SUMIF(PAYMENTS!C:C,E260,PAYMENTS!E:E))</f>
        <v/>
      </c>
      <c r="M260">
        <f>IF(E260="","",J260-L260)</f>
        <v/>
      </c>
      <c r="N260">
        <f>IF(E260="","",IF(M260&lt;=0,"Paid",IF(L260&gt;0,"Part Paid","Unpaid")))</f>
        <v/>
      </c>
      <c r="O260">
        <f>IF(E260="","",IFERROR(MAXIFS(PAYMENTS!A:A,PAYMENTS!C:C,E260),""))</f>
        <v/>
      </c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>
        <f>IF(E261="","",SUMIF(PAYMENTS!C:C,E261,PAYMENTS!E:E))</f>
        <v/>
      </c>
      <c r="M261">
        <f>IF(E261="","",J261-L261)</f>
        <v/>
      </c>
      <c r="N261">
        <f>IF(E261="","",IF(M261&lt;=0,"Paid",IF(L261&gt;0,"Part Paid","Unpaid")))</f>
        <v/>
      </c>
      <c r="O261">
        <f>IF(E261="","",IFERROR(MAXIFS(PAYMENTS!A:A,PAYMENTS!C:C,E261),""))</f>
        <v/>
      </c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>
        <f>IF(E262="","",SUMIF(PAYMENTS!C:C,E262,PAYMENTS!E:E))</f>
        <v/>
      </c>
      <c r="M262">
        <f>IF(E262="","",J262-L262)</f>
        <v/>
      </c>
      <c r="N262">
        <f>IF(E262="","",IF(M262&lt;=0,"Paid",IF(L262&gt;0,"Part Paid","Unpaid")))</f>
        <v/>
      </c>
      <c r="O262">
        <f>IF(E262="","",IFERROR(MAXIFS(PAYMENTS!A:A,PAYMENTS!C:C,E262),""))</f>
        <v/>
      </c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>
        <f>IF(E263="","",SUMIF(PAYMENTS!C:C,E263,PAYMENTS!E:E))</f>
        <v/>
      </c>
      <c r="M263">
        <f>IF(E263="","",J263-L263)</f>
        <v/>
      </c>
      <c r="N263">
        <f>IF(E263="","",IF(M263&lt;=0,"Paid",IF(L263&gt;0,"Part Paid","Unpaid")))</f>
        <v/>
      </c>
      <c r="O263">
        <f>IF(E263="","",IFERROR(MAXIFS(PAYMENTS!A:A,PAYMENTS!C:C,E263),""))</f>
        <v/>
      </c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>
        <f>IF(E264="","",SUMIF(PAYMENTS!C:C,E264,PAYMENTS!E:E))</f>
        <v/>
      </c>
      <c r="M264">
        <f>IF(E264="","",J264-L264)</f>
        <v/>
      </c>
      <c r="N264">
        <f>IF(E264="","",IF(M264&lt;=0,"Paid",IF(L264&gt;0,"Part Paid","Unpaid")))</f>
        <v/>
      </c>
      <c r="O264">
        <f>IF(E264="","",IFERROR(MAXIFS(PAYMENTS!A:A,PAYMENTS!C:C,E264),""))</f>
        <v/>
      </c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>
        <f>IF(E265="","",SUMIF(PAYMENTS!C:C,E265,PAYMENTS!E:E))</f>
        <v/>
      </c>
      <c r="M265">
        <f>IF(E265="","",J265-L265)</f>
        <v/>
      </c>
      <c r="N265">
        <f>IF(E265="","",IF(M265&lt;=0,"Paid",IF(L265&gt;0,"Part Paid","Unpaid")))</f>
        <v/>
      </c>
      <c r="O265">
        <f>IF(E265="","",IFERROR(MAXIFS(PAYMENTS!A:A,PAYMENTS!C:C,E265),""))</f>
        <v/>
      </c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>
        <f>IF(E266="","",SUMIF(PAYMENTS!C:C,E266,PAYMENTS!E:E))</f>
        <v/>
      </c>
      <c r="M266">
        <f>IF(E266="","",J266-L266)</f>
        <v/>
      </c>
      <c r="N266">
        <f>IF(E266="","",IF(M266&lt;=0,"Paid",IF(L266&gt;0,"Part Paid","Unpaid")))</f>
        <v/>
      </c>
      <c r="O266">
        <f>IF(E266="","",IFERROR(MAXIFS(PAYMENTS!A:A,PAYMENTS!C:C,E266),""))</f>
        <v/>
      </c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>
        <f>IF(E267="","",SUMIF(PAYMENTS!C:C,E267,PAYMENTS!E:E))</f>
        <v/>
      </c>
      <c r="M267">
        <f>IF(E267="","",J267-L267)</f>
        <v/>
      </c>
      <c r="N267">
        <f>IF(E267="","",IF(M267&lt;=0,"Paid",IF(L267&gt;0,"Part Paid","Unpaid")))</f>
        <v/>
      </c>
      <c r="O267">
        <f>IF(E267="","",IFERROR(MAXIFS(PAYMENTS!A:A,PAYMENTS!C:C,E267),""))</f>
        <v/>
      </c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>
        <f>IF(E268="","",SUMIF(PAYMENTS!C:C,E268,PAYMENTS!E:E))</f>
        <v/>
      </c>
      <c r="M268">
        <f>IF(E268="","",J268-L268)</f>
        <v/>
      </c>
      <c r="N268">
        <f>IF(E268="","",IF(M268&lt;=0,"Paid",IF(L268&gt;0,"Part Paid","Unpaid")))</f>
        <v/>
      </c>
      <c r="O268">
        <f>IF(E268="","",IFERROR(MAXIFS(PAYMENTS!A:A,PAYMENTS!C:C,E268),""))</f>
        <v/>
      </c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>
        <f>IF(E269="","",SUMIF(PAYMENTS!C:C,E269,PAYMENTS!E:E))</f>
        <v/>
      </c>
      <c r="M269">
        <f>IF(E269="","",J269-L269)</f>
        <v/>
      </c>
      <c r="N269">
        <f>IF(E269="","",IF(M269&lt;=0,"Paid",IF(L269&gt;0,"Part Paid","Unpaid")))</f>
        <v/>
      </c>
      <c r="O269">
        <f>IF(E269="","",IFERROR(MAXIFS(PAYMENTS!A:A,PAYMENTS!C:C,E269),""))</f>
        <v/>
      </c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>
        <f>IF(E270="","",SUMIF(PAYMENTS!C:C,E270,PAYMENTS!E:E))</f>
        <v/>
      </c>
      <c r="M270">
        <f>IF(E270="","",J270-L270)</f>
        <v/>
      </c>
      <c r="N270">
        <f>IF(E270="","",IF(M270&lt;=0,"Paid",IF(L270&gt;0,"Part Paid","Unpaid")))</f>
        <v/>
      </c>
      <c r="O270">
        <f>IF(E270="","",IFERROR(MAXIFS(PAYMENTS!A:A,PAYMENTS!C:C,E270),""))</f>
        <v/>
      </c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>
        <f>IF(E271="","",SUMIF(PAYMENTS!C:C,E271,PAYMENTS!E:E))</f>
        <v/>
      </c>
      <c r="M271">
        <f>IF(E271="","",J271-L271)</f>
        <v/>
      </c>
      <c r="N271">
        <f>IF(E271="","",IF(M271&lt;=0,"Paid",IF(L271&gt;0,"Part Paid","Unpaid")))</f>
        <v/>
      </c>
      <c r="O271">
        <f>IF(E271="","",IFERROR(MAXIFS(PAYMENTS!A:A,PAYMENTS!C:C,E271),""))</f>
        <v/>
      </c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>
        <f>IF(E272="","",SUMIF(PAYMENTS!C:C,E272,PAYMENTS!E:E))</f>
        <v/>
      </c>
      <c r="M272">
        <f>IF(E272="","",J272-L272)</f>
        <v/>
      </c>
      <c r="N272">
        <f>IF(E272="","",IF(M272&lt;=0,"Paid",IF(L272&gt;0,"Part Paid","Unpaid")))</f>
        <v/>
      </c>
      <c r="O272">
        <f>IF(E272="","",IFERROR(MAXIFS(PAYMENTS!A:A,PAYMENTS!C:C,E272),""))</f>
        <v/>
      </c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>
        <f>IF(E273="","",SUMIF(PAYMENTS!C:C,E273,PAYMENTS!E:E))</f>
        <v/>
      </c>
      <c r="M273">
        <f>IF(E273="","",J273-L273)</f>
        <v/>
      </c>
      <c r="N273">
        <f>IF(E273="","",IF(M273&lt;=0,"Paid",IF(L273&gt;0,"Part Paid","Unpaid")))</f>
        <v/>
      </c>
      <c r="O273">
        <f>IF(E273="","",IFERROR(MAXIFS(PAYMENTS!A:A,PAYMENTS!C:C,E273),""))</f>
        <v/>
      </c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>
        <f>IF(E274="","",SUMIF(PAYMENTS!C:C,E274,PAYMENTS!E:E))</f>
        <v/>
      </c>
      <c r="M274">
        <f>IF(E274="","",J274-L274)</f>
        <v/>
      </c>
      <c r="N274">
        <f>IF(E274="","",IF(M274&lt;=0,"Paid",IF(L274&gt;0,"Part Paid","Unpaid")))</f>
        <v/>
      </c>
      <c r="O274">
        <f>IF(E274="","",IFERROR(MAXIFS(PAYMENTS!A:A,PAYMENTS!C:C,E274),""))</f>
        <v/>
      </c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>
        <f>IF(E275="","",SUMIF(PAYMENTS!C:C,E275,PAYMENTS!E:E))</f>
        <v/>
      </c>
      <c r="M275">
        <f>IF(E275="","",J275-L275)</f>
        <v/>
      </c>
      <c r="N275">
        <f>IF(E275="","",IF(M275&lt;=0,"Paid",IF(L275&gt;0,"Part Paid","Unpaid")))</f>
        <v/>
      </c>
      <c r="O275">
        <f>IF(E275="","",IFERROR(MAXIFS(PAYMENTS!A:A,PAYMENTS!C:C,E275),""))</f>
        <v/>
      </c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>
        <f>IF(E276="","",SUMIF(PAYMENTS!C:C,E276,PAYMENTS!E:E))</f>
        <v/>
      </c>
      <c r="M276">
        <f>IF(E276="","",J276-L276)</f>
        <v/>
      </c>
      <c r="N276">
        <f>IF(E276="","",IF(M276&lt;=0,"Paid",IF(L276&gt;0,"Part Paid","Unpaid")))</f>
        <v/>
      </c>
      <c r="O276">
        <f>IF(E276="","",IFERROR(MAXIFS(PAYMENTS!A:A,PAYMENTS!C:C,E276),""))</f>
        <v/>
      </c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>
        <f>IF(E277="","",SUMIF(PAYMENTS!C:C,E277,PAYMENTS!E:E))</f>
        <v/>
      </c>
      <c r="M277">
        <f>IF(E277="","",J277-L277)</f>
        <v/>
      </c>
      <c r="N277">
        <f>IF(E277="","",IF(M277&lt;=0,"Paid",IF(L277&gt;0,"Part Paid","Unpaid")))</f>
        <v/>
      </c>
      <c r="O277">
        <f>IF(E277="","",IFERROR(MAXIFS(PAYMENTS!A:A,PAYMENTS!C:C,E277),""))</f>
        <v/>
      </c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>
        <f>IF(E278="","",SUMIF(PAYMENTS!C:C,E278,PAYMENTS!E:E))</f>
        <v/>
      </c>
      <c r="M278">
        <f>IF(E278="","",J278-L278)</f>
        <v/>
      </c>
      <c r="N278">
        <f>IF(E278="","",IF(M278&lt;=0,"Paid",IF(L278&gt;0,"Part Paid","Unpaid")))</f>
        <v/>
      </c>
      <c r="O278">
        <f>IF(E278="","",IFERROR(MAXIFS(PAYMENTS!A:A,PAYMENTS!C:C,E278),""))</f>
        <v/>
      </c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>
        <f>IF(E279="","",SUMIF(PAYMENTS!C:C,E279,PAYMENTS!E:E))</f>
        <v/>
      </c>
      <c r="M279">
        <f>IF(E279="","",J279-L279)</f>
        <v/>
      </c>
      <c r="N279">
        <f>IF(E279="","",IF(M279&lt;=0,"Paid",IF(L279&gt;0,"Part Paid","Unpaid")))</f>
        <v/>
      </c>
      <c r="O279">
        <f>IF(E279="","",IFERROR(MAXIFS(PAYMENTS!A:A,PAYMENTS!C:C,E279),""))</f>
        <v/>
      </c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>
        <f>IF(E280="","",SUMIF(PAYMENTS!C:C,E280,PAYMENTS!E:E))</f>
        <v/>
      </c>
      <c r="M280">
        <f>IF(E280="","",J280-L280)</f>
        <v/>
      </c>
      <c r="N280">
        <f>IF(E280="","",IF(M280&lt;=0,"Paid",IF(L280&gt;0,"Part Paid","Unpaid")))</f>
        <v/>
      </c>
      <c r="O280">
        <f>IF(E280="","",IFERROR(MAXIFS(PAYMENTS!A:A,PAYMENTS!C:C,E280),""))</f>
        <v/>
      </c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>
        <f>IF(E281="","",SUMIF(PAYMENTS!C:C,E281,PAYMENTS!E:E))</f>
        <v/>
      </c>
      <c r="M281">
        <f>IF(E281="","",J281-L281)</f>
        <v/>
      </c>
      <c r="N281">
        <f>IF(E281="","",IF(M281&lt;=0,"Paid",IF(L281&gt;0,"Part Paid","Unpaid")))</f>
        <v/>
      </c>
      <c r="O281">
        <f>IF(E281="","",IFERROR(MAXIFS(PAYMENTS!A:A,PAYMENTS!C:C,E281),""))</f>
        <v/>
      </c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>
        <f>IF(E282="","",SUMIF(PAYMENTS!C:C,E282,PAYMENTS!E:E))</f>
        <v/>
      </c>
      <c r="M282">
        <f>IF(E282="","",J282-L282)</f>
        <v/>
      </c>
      <c r="N282">
        <f>IF(E282="","",IF(M282&lt;=0,"Paid",IF(L282&gt;0,"Part Paid","Unpaid")))</f>
        <v/>
      </c>
      <c r="O282">
        <f>IF(E282="","",IFERROR(MAXIFS(PAYMENTS!A:A,PAYMENTS!C:C,E282),""))</f>
        <v/>
      </c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>
        <f>IF(E283="","",SUMIF(PAYMENTS!C:C,E283,PAYMENTS!E:E))</f>
        <v/>
      </c>
      <c r="M283">
        <f>IF(E283="","",J283-L283)</f>
        <v/>
      </c>
      <c r="N283">
        <f>IF(E283="","",IF(M283&lt;=0,"Paid",IF(L283&gt;0,"Part Paid","Unpaid")))</f>
        <v/>
      </c>
      <c r="O283">
        <f>IF(E283="","",IFERROR(MAXIFS(PAYMENTS!A:A,PAYMENTS!C:C,E283),""))</f>
        <v/>
      </c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>
        <f>IF(E284="","",SUMIF(PAYMENTS!C:C,E284,PAYMENTS!E:E))</f>
        <v/>
      </c>
      <c r="M284">
        <f>IF(E284="","",J284-L284)</f>
        <v/>
      </c>
      <c r="N284">
        <f>IF(E284="","",IF(M284&lt;=0,"Paid",IF(L284&gt;0,"Part Paid","Unpaid")))</f>
        <v/>
      </c>
      <c r="O284">
        <f>IF(E284="","",IFERROR(MAXIFS(PAYMENTS!A:A,PAYMENTS!C:C,E284),""))</f>
        <v/>
      </c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>
        <f>IF(E285="","",SUMIF(PAYMENTS!C:C,E285,PAYMENTS!E:E))</f>
        <v/>
      </c>
      <c r="M285">
        <f>IF(E285="","",J285-L285)</f>
        <v/>
      </c>
      <c r="N285">
        <f>IF(E285="","",IF(M285&lt;=0,"Paid",IF(L285&gt;0,"Part Paid","Unpaid")))</f>
        <v/>
      </c>
      <c r="O285">
        <f>IF(E285="","",IFERROR(MAXIFS(PAYMENTS!A:A,PAYMENTS!C:C,E285),""))</f>
        <v/>
      </c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>
        <f>IF(E286="","",SUMIF(PAYMENTS!C:C,E286,PAYMENTS!E:E))</f>
        <v/>
      </c>
      <c r="M286">
        <f>IF(E286="","",J286-L286)</f>
        <v/>
      </c>
      <c r="N286">
        <f>IF(E286="","",IF(M286&lt;=0,"Paid",IF(L286&gt;0,"Part Paid","Unpaid")))</f>
        <v/>
      </c>
      <c r="O286">
        <f>IF(E286="","",IFERROR(MAXIFS(PAYMENTS!A:A,PAYMENTS!C:C,E286),""))</f>
        <v/>
      </c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>
        <f>IF(E287="","",SUMIF(PAYMENTS!C:C,E287,PAYMENTS!E:E))</f>
        <v/>
      </c>
      <c r="M287">
        <f>IF(E287="","",J287-L287)</f>
        <v/>
      </c>
      <c r="N287">
        <f>IF(E287="","",IF(M287&lt;=0,"Paid",IF(L287&gt;0,"Part Paid","Unpaid")))</f>
        <v/>
      </c>
      <c r="O287">
        <f>IF(E287="","",IFERROR(MAXIFS(PAYMENTS!A:A,PAYMENTS!C:C,E287),""))</f>
        <v/>
      </c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>
        <f>IF(E288="","",SUMIF(PAYMENTS!C:C,E288,PAYMENTS!E:E))</f>
        <v/>
      </c>
      <c r="M288">
        <f>IF(E288="","",J288-L288)</f>
        <v/>
      </c>
      <c r="N288">
        <f>IF(E288="","",IF(M288&lt;=0,"Paid",IF(L288&gt;0,"Part Paid","Unpaid")))</f>
        <v/>
      </c>
      <c r="O288">
        <f>IF(E288="","",IFERROR(MAXIFS(PAYMENTS!A:A,PAYMENTS!C:C,E288),""))</f>
        <v/>
      </c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>
        <f>IF(E289="","",SUMIF(PAYMENTS!C:C,E289,PAYMENTS!E:E))</f>
        <v/>
      </c>
      <c r="M289">
        <f>IF(E289="","",J289-L289)</f>
        <v/>
      </c>
      <c r="N289">
        <f>IF(E289="","",IF(M289&lt;=0,"Paid",IF(L289&gt;0,"Part Paid","Unpaid")))</f>
        <v/>
      </c>
      <c r="O289">
        <f>IF(E289="","",IFERROR(MAXIFS(PAYMENTS!A:A,PAYMENTS!C:C,E289),""))</f>
        <v/>
      </c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>
        <f>IF(E290="","",SUMIF(PAYMENTS!C:C,E290,PAYMENTS!E:E))</f>
        <v/>
      </c>
      <c r="M290">
        <f>IF(E290="","",J290-L290)</f>
        <v/>
      </c>
      <c r="N290">
        <f>IF(E290="","",IF(M290&lt;=0,"Paid",IF(L290&gt;0,"Part Paid","Unpaid")))</f>
        <v/>
      </c>
      <c r="O290">
        <f>IF(E290="","",IFERROR(MAXIFS(PAYMENTS!A:A,PAYMENTS!C:C,E290),""))</f>
        <v/>
      </c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>
        <f>IF(E291="","",SUMIF(PAYMENTS!C:C,E291,PAYMENTS!E:E))</f>
        <v/>
      </c>
      <c r="M291">
        <f>IF(E291="","",J291-L291)</f>
        <v/>
      </c>
      <c r="N291">
        <f>IF(E291="","",IF(M291&lt;=0,"Paid",IF(L291&gt;0,"Part Paid","Unpaid")))</f>
        <v/>
      </c>
      <c r="O291">
        <f>IF(E291="","",IFERROR(MAXIFS(PAYMENTS!A:A,PAYMENTS!C:C,E291),""))</f>
        <v/>
      </c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>
        <f>IF(E292="","",SUMIF(PAYMENTS!C:C,E292,PAYMENTS!E:E))</f>
        <v/>
      </c>
      <c r="M292">
        <f>IF(E292="","",J292-L292)</f>
        <v/>
      </c>
      <c r="N292">
        <f>IF(E292="","",IF(M292&lt;=0,"Paid",IF(L292&gt;0,"Part Paid","Unpaid")))</f>
        <v/>
      </c>
      <c r="O292">
        <f>IF(E292="","",IFERROR(MAXIFS(PAYMENTS!A:A,PAYMENTS!C:C,E292),""))</f>
        <v/>
      </c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>
        <f>IF(E293="","",SUMIF(PAYMENTS!C:C,E293,PAYMENTS!E:E))</f>
        <v/>
      </c>
      <c r="M293">
        <f>IF(E293="","",J293-L293)</f>
        <v/>
      </c>
      <c r="N293">
        <f>IF(E293="","",IF(M293&lt;=0,"Paid",IF(L293&gt;0,"Part Paid","Unpaid")))</f>
        <v/>
      </c>
      <c r="O293">
        <f>IF(E293="","",IFERROR(MAXIFS(PAYMENTS!A:A,PAYMENTS!C:C,E293),""))</f>
        <v/>
      </c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>
        <f>IF(E294="","",SUMIF(PAYMENTS!C:C,E294,PAYMENTS!E:E))</f>
        <v/>
      </c>
      <c r="M294">
        <f>IF(E294="","",J294-L294)</f>
        <v/>
      </c>
      <c r="N294">
        <f>IF(E294="","",IF(M294&lt;=0,"Paid",IF(L294&gt;0,"Part Paid","Unpaid")))</f>
        <v/>
      </c>
      <c r="O294">
        <f>IF(E294="","",IFERROR(MAXIFS(PAYMENTS!A:A,PAYMENTS!C:C,E294),""))</f>
        <v/>
      </c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>
        <f>IF(E295="","",SUMIF(PAYMENTS!C:C,E295,PAYMENTS!E:E))</f>
        <v/>
      </c>
      <c r="M295">
        <f>IF(E295="","",J295-L295)</f>
        <v/>
      </c>
      <c r="N295">
        <f>IF(E295="","",IF(M295&lt;=0,"Paid",IF(L295&gt;0,"Part Paid","Unpaid")))</f>
        <v/>
      </c>
      <c r="O295">
        <f>IF(E295="","",IFERROR(MAXIFS(PAYMENTS!A:A,PAYMENTS!C:C,E295),""))</f>
        <v/>
      </c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>
        <f>IF(E296="","",SUMIF(PAYMENTS!C:C,E296,PAYMENTS!E:E))</f>
        <v/>
      </c>
      <c r="M296">
        <f>IF(E296="","",J296-L296)</f>
        <v/>
      </c>
      <c r="N296">
        <f>IF(E296="","",IF(M296&lt;=0,"Paid",IF(L296&gt;0,"Part Paid","Unpaid")))</f>
        <v/>
      </c>
      <c r="O296">
        <f>IF(E296="","",IFERROR(MAXIFS(PAYMENTS!A:A,PAYMENTS!C:C,E296),""))</f>
        <v/>
      </c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>
        <f>IF(E297="","",SUMIF(PAYMENTS!C:C,E297,PAYMENTS!E:E))</f>
        <v/>
      </c>
      <c r="M297">
        <f>IF(E297="","",J297-L297)</f>
        <v/>
      </c>
      <c r="N297">
        <f>IF(E297="","",IF(M297&lt;=0,"Paid",IF(L297&gt;0,"Part Paid","Unpaid")))</f>
        <v/>
      </c>
      <c r="O297">
        <f>IF(E297="","",IFERROR(MAXIFS(PAYMENTS!A:A,PAYMENTS!C:C,E297),""))</f>
        <v/>
      </c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>
        <f>IF(E298="","",SUMIF(PAYMENTS!C:C,E298,PAYMENTS!E:E))</f>
        <v/>
      </c>
      <c r="M298">
        <f>IF(E298="","",J298-L298)</f>
        <v/>
      </c>
      <c r="N298">
        <f>IF(E298="","",IF(M298&lt;=0,"Paid",IF(L298&gt;0,"Part Paid","Unpaid")))</f>
        <v/>
      </c>
      <c r="O298">
        <f>IF(E298="","",IFERROR(MAXIFS(PAYMENTS!A:A,PAYMENTS!C:C,E298),""))</f>
        <v/>
      </c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>
        <f>IF(E299="","",SUMIF(PAYMENTS!C:C,E299,PAYMENTS!E:E))</f>
        <v/>
      </c>
      <c r="M299">
        <f>IF(E299="","",J299-L299)</f>
        <v/>
      </c>
      <c r="N299">
        <f>IF(E299="","",IF(M299&lt;=0,"Paid",IF(L299&gt;0,"Part Paid","Unpaid")))</f>
        <v/>
      </c>
      <c r="O299">
        <f>IF(E299="","",IFERROR(MAXIFS(PAYMENTS!A:A,PAYMENTS!C:C,E299),""))</f>
        <v/>
      </c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>
        <f>IF(E300="","",SUMIF(PAYMENTS!C:C,E300,PAYMENTS!E:E))</f>
        <v/>
      </c>
      <c r="M300">
        <f>IF(E300="","",J300-L300)</f>
        <v/>
      </c>
      <c r="N300">
        <f>IF(E300="","",IF(M300&lt;=0,"Paid",IF(L300&gt;0,"Part Paid","Unpaid")))</f>
        <v/>
      </c>
      <c r="O300">
        <f>IF(E300="","",IFERROR(MAXIFS(PAYMENTS!A:A,PAYMENTS!C:C,E300),""))</f>
        <v/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>
        <f>IF(E301="","",SUMIF(PAYMENTS!C:C,E301,PAYMENTS!E:E))</f>
        <v/>
      </c>
      <c r="M301">
        <f>IF(E301="","",J301-L301)</f>
        <v/>
      </c>
      <c r="N301">
        <f>IF(E301="","",IF(M301&lt;=0,"Paid",IF(L301&gt;0,"Part Paid","Unpaid")))</f>
        <v/>
      </c>
      <c r="O301">
        <f>IF(E301="","",IFERROR(MAXIFS(PAYMENTS!A:A,PAYMENTS!C:C,E301),""))</f>
        <v/>
      </c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>
        <f>IF(E302="","",SUMIF(PAYMENTS!C:C,E302,PAYMENTS!E:E))</f>
        <v/>
      </c>
      <c r="M302">
        <f>IF(E302="","",J302-L302)</f>
        <v/>
      </c>
      <c r="N302">
        <f>IF(E302="","",IF(M302&lt;=0,"Paid",IF(L302&gt;0,"Part Paid","Unpaid")))</f>
        <v/>
      </c>
      <c r="O302">
        <f>IF(E302="","",IFERROR(MAXIFS(PAYMENTS!A:A,PAYMENTS!C:C,E302),""))</f>
        <v/>
      </c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>
        <f>IF(E303="","",SUMIF(PAYMENTS!C:C,E303,PAYMENTS!E:E))</f>
        <v/>
      </c>
      <c r="M303">
        <f>IF(E303="","",J303-L303)</f>
        <v/>
      </c>
      <c r="N303">
        <f>IF(E303="","",IF(M303&lt;=0,"Paid",IF(L303&gt;0,"Part Paid","Unpaid")))</f>
        <v/>
      </c>
      <c r="O303">
        <f>IF(E303="","",IFERROR(MAXIFS(PAYMENTS!A:A,PAYMENTS!C:C,E303),""))</f>
        <v/>
      </c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>
        <f>IF(E304="","",SUMIF(PAYMENTS!C:C,E304,PAYMENTS!E:E))</f>
        <v/>
      </c>
      <c r="M304">
        <f>IF(E304="","",J304-L304)</f>
        <v/>
      </c>
      <c r="N304">
        <f>IF(E304="","",IF(M304&lt;=0,"Paid",IF(L304&gt;0,"Part Paid","Unpaid")))</f>
        <v/>
      </c>
      <c r="O304">
        <f>IF(E304="","",IFERROR(MAXIFS(PAYMENTS!A:A,PAYMENTS!C:C,E304),""))</f>
        <v/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>
        <f>IF(E305="","",SUMIF(PAYMENTS!C:C,E305,PAYMENTS!E:E))</f>
        <v/>
      </c>
      <c r="M305">
        <f>IF(E305="","",J305-L305)</f>
        <v/>
      </c>
      <c r="N305">
        <f>IF(E305="","",IF(M305&lt;=0,"Paid",IF(L305&gt;0,"Part Paid","Unpaid")))</f>
        <v/>
      </c>
      <c r="O305">
        <f>IF(E305="","",IFERROR(MAXIFS(PAYMENTS!A:A,PAYMENTS!C:C,E305),""))</f>
        <v/>
      </c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>
        <f>IF(E306="","",SUMIF(PAYMENTS!C:C,E306,PAYMENTS!E:E))</f>
        <v/>
      </c>
      <c r="M306">
        <f>IF(E306="","",J306-L306)</f>
        <v/>
      </c>
      <c r="N306">
        <f>IF(E306="","",IF(M306&lt;=0,"Paid",IF(L306&gt;0,"Part Paid","Unpaid")))</f>
        <v/>
      </c>
      <c r="O306">
        <f>IF(E306="","",IFERROR(MAXIFS(PAYMENTS!A:A,PAYMENTS!C:C,E306),""))</f>
        <v/>
      </c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>
        <f>IF(E307="","",SUMIF(PAYMENTS!C:C,E307,PAYMENTS!E:E))</f>
        <v/>
      </c>
      <c r="M307">
        <f>IF(E307="","",J307-L307)</f>
        <v/>
      </c>
      <c r="N307">
        <f>IF(E307="","",IF(M307&lt;=0,"Paid",IF(L307&gt;0,"Part Paid","Unpaid")))</f>
        <v/>
      </c>
      <c r="O307">
        <f>IF(E307="","",IFERROR(MAXIFS(PAYMENTS!A:A,PAYMENTS!C:C,E307),""))</f>
        <v/>
      </c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>
        <f>IF(E308="","",SUMIF(PAYMENTS!C:C,E308,PAYMENTS!E:E))</f>
        <v/>
      </c>
      <c r="M308">
        <f>IF(E308="","",J308-L308)</f>
        <v/>
      </c>
      <c r="N308">
        <f>IF(E308="","",IF(M308&lt;=0,"Paid",IF(L308&gt;0,"Part Paid","Unpaid")))</f>
        <v/>
      </c>
      <c r="O308">
        <f>IF(E308="","",IFERROR(MAXIFS(PAYMENTS!A:A,PAYMENTS!C:C,E308),""))</f>
        <v/>
      </c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>
        <f>IF(E309="","",SUMIF(PAYMENTS!C:C,E309,PAYMENTS!E:E))</f>
        <v/>
      </c>
      <c r="M309">
        <f>IF(E309="","",J309-L309)</f>
        <v/>
      </c>
      <c r="N309">
        <f>IF(E309="","",IF(M309&lt;=0,"Paid",IF(L309&gt;0,"Part Paid","Unpaid")))</f>
        <v/>
      </c>
      <c r="O309">
        <f>IF(E309="","",IFERROR(MAXIFS(PAYMENTS!A:A,PAYMENTS!C:C,E309),""))</f>
        <v/>
      </c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>
        <f>IF(E310="","",SUMIF(PAYMENTS!C:C,E310,PAYMENTS!E:E))</f>
        <v/>
      </c>
      <c r="M310">
        <f>IF(E310="","",J310-L310)</f>
        <v/>
      </c>
      <c r="N310">
        <f>IF(E310="","",IF(M310&lt;=0,"Paid",IF(L310&gt;0,"Part Paid","Unpaid")))</f>
        <v/>
      </c>
      <c r="O310">
        <f>IF(E310="","",IFERROR(MAXIFS(PAYMENTS!A:A,PAYMENTS!C:C,E310),""))</f>
        <v/>
      </c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>
        <f>IF(E311="","",SUMIF(PAYMENTS!C:C,E311,PAYMENTS!E:E))</f>
        <v/>
      </c>
      <c r="M311">
        <f>IF(E311="","",J311-L311)</f>
        <v/>
      </c>
      <c r="N311">
        <f>IF(E311="","",IF(M311&lt;=0,"Paid",IF(L311&gt;0,"Part Paid","Unpaid")))</f>
        <v/>
      </c>
      <c r="O311">
        <f>IF(E311="","",IFERROR(MAXIFS(PAYMENTS!A:A,PAYMENTS!C:C,E311),""))</f>
        <v/>
      </c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>
        <f>IF(E312="","",SUMIF(PAYMENTS!C:C,E312,PAYMENTS!E:E))</f>
        <v/>
      </c>
      <c r="M312">
        <f>IF(E312="","",J312-L312)</f>
        <v/>
      </c>
      <c r="N312">
        <f>IF(E312="","",IF(M312&lt;=0,"Paid",IF(L312&gt;0,"Part Paid","Unpaid")))</f>
        <v/>
      </c>
      <c r="O312">
        <f>IF(E312="","",IFERROR(MAXIFS(PAYMENTS!A:A,PAYMENTS!C:C,E312),""))</f>
        <v/>
      </c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>
        <f>IF(E313="","",SUMIF(PAYMENTS!C:C,E313,PAYMENTS!E:E))</f>
        <v/>
      </c>
      <c r="M313">
        <f>IF(E313="","",J313-L313)</f>
        <v/>
      </c>
      <c r="N313">
        <f>IF(E313="","",IF(M313&lt;=0,"Paid",IF(L313&gt;0,"Part Paid","Unpaid")))</f>
        <v/>
      </c>
      <c r="O313">
        <f>IF(E313="","",IFERROR(MAXIFS(PAYMENTS!A:A,PAYMENTS!C:C,E313),""))</f>
        <v/>
      </c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>
        <f>IF(E314="","",SUMIF(PAYMENTS!C:C,E314,PAYMENTS!E:E))</f>
        <v/>
      </c>
      <c r="M314">
        <f>IF(E314="","",J314-L314)</f>
        <v/>
      </c>
      <c r="N314">
        <f>IF(E314="","",IF(M314&lt;=0,"Paid",IF(L314&gt;0,"Part Paid","Unpaid")))</f>
        <v/>
      </c>
      <c r="O314">
        <f>IF(E314="","",IFERROR(MAXIFS(PAYMENTS!A:A,PAYMENTS!C:C,E314),""))</f>
        <v/>
      </c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>
        <f>IF(E315="","",SUMIF(PAYMENTS!C:C,E315,PAYMENTS!E:E))</f>
        <v/>
      </c>
      <c r="M315">
        <f>IF(E315="","",J315-L315)</f>
        <v/>
      </c>
      <c r="N315">
        <f>IF(E315="","",IF(M315&lt;=0,"Paid",IF(L315&gt;0,"Part Paid","Unpaid")))</f>
        <v/>
      </c>
      <c r="O315">
        <f>IF(E315="","",IFERROR(MAXIFS(PAYMENTS!A:A,PAYMENTS!C:C,E315),""))</f>
        <v/>
      </c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>
        <f>IF(E316="","",SUMIF(PAYMENTS!C:C,E316,PAYMENTS!E:E))</f>
        <v/>
      </c>
      <c r="M316">
        <f>IF(E316="","",J316-L316)</f>
        <v/>
      </c>
      <c r="N316">
        <f>IF(E316="","",IF(M316&lt;=0,"Paid",IF(L316&gt;0,"Part Paid","Unpaid")))</f>
        <v/>
      </c>
      <c r="O316">
        <f>IF(E316="","",IFERROR(MAXIFS(PAYMENTS!A:A,PAYMENTS!C:C,E316),""))</f>
        <v/>
      </c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>
        <f>IF(E317="","",SUMIF(PAYMENTS!C:C,E317,PAYMENTS!E:E))</f>
        <v/>
      </c>
      <c r="M317">
        <f>IF(E317="","",J317-L317)</f>
        <v/>
      </c>
      <c r="N317">
        <f>IF(E317="","",IF(M317&lt;=0,"Paid",IF(L317&gt;0,"Part Paid","Unpaid")))</f>
        <v/>
      </c>
      <c r="O317">
        <f>IF(E317="","",IFERROR(MAXIFS(PAYMENTS!A:A,PAYMENTS!C:C,E317),""))</f>
        <v/>
      </c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>
        <f>IF(E318="","",SUMIF(PAYMENTS!C:C,E318,PAYMENTS!E:E))</f>
        <v/>
      </c>
      <c r="M318">
        <f>IF(E318="","",J318-L318)</f>
        <v/>
      </c>
      <c r="N318">
        <f>IF(E318="","",IF(M318&lt;=0,"Paid",IF(L318&gt;0,"Part Paid","Unpaid")))</f>
        <v/>
      </c>
      <c r="O318">
        <f>IF(E318="","",IFERROR(MAXIFS(PAYMENTS!A:A,PAYMENTS!C:C,E318),""))</f>
        <v/>
      </c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>
        <f>IF(E319="","",SUMIF(PAYMENTS!C:C,E319,PAYMENTS!E:E))</f>
        <v/>
      </c>
      <c r="M319">
        <f>IF(E319="","",J319-L319)</f>
        <v/>
      </c>
      <c r="N319">
        <f>IF(E319="","",IF(M319&lt;=0,"Paid",IF(L319&gt;0,"Part Paid","Unpaid")))</f>
        <v/>
      </c>
      <c r="O319">
        <f>IF(E319="","",IFERROR(MAXIFS(PAYMENTS!A:A,PAYMENTS!C:C,E319),""))</f>
        <v/>
      </c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>
        <f>IF(E320="","",SUMIF(PAYMENTS!C:C,E320,PAYMENTS!E:E))</f>
        <v/>
      </c>
      <c r="M320">
        <f>IF(E320="","",J320-L320)</f>
        <v/>
      </c>
      <c r="N320">
        <f>IF(E320="","",IF(M320&lt;=0,"Paid",IF(L320&gt;0,"Part Paid","Unpaid")))</f>
        <v/>
      </c>
      <c r="O320">
        <f>IF(E320="","",IFERROR(MAXIFS(PAYMENTS!A:A,PAYMENTS!C:C,E320),""))</f>
        <v/>
      </c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>
        <f>IF(E321="","",SUMIF(PAYMENTS!C:C,E321,PAYMENTS!E:E))</f>
        <v/>
      </c>
      <c r="M321">
        <f>IF(E321="","",J321-L321)</f>
        <v/>
      </c>
      <c r="N321">
        <f>IF(E321="","",IF(M321&lt;=0,"Paid",IF(L321&gt;0,"Part Paid","Unpaid")))</f>
        <v/>
      </c>
      <c r="O321">
        <f>IF(E321="","",IFERROR(MAXIFS(PAYMENTS!A:A,PAYMENTS!C:C,E321),""))</f>
        <v/>
      </c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>
        <f>IF(E322="","",SUMIF(PAYMENTS!C:C,E322,PAYMENTS!E:E))</f>
        <v/>
      </c>
      <c r="M322">
        <f>IF(E322="","",J322-L322)</f>
        <v/>
      </c>
      <c r="N322">
        <f>IF(E322="","",IF(M322&lt;=0,"Paid",IF(L322&gt;0,"Part Paid","Unpaid")))</f>
        <v/>
      </c>
      <c r="O322">
        <f>IF(E322="","",IFERROR(MAXIFS(PAYMENTS!A:A,PAYMENTS!C:C,E322),""))</f>
        <v/>
      </c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>
        <f>IF(E323="","",SUMIF(PAYMENTS!C:C,E323,PAYMENTS!E:E))</f>
        <v/>
      </c>
      <c r="M323">
        <f>IF(E323="","",J323-L323)</f>
        <v/>
      </c>
      <c r="N323">
        <f>IF(E323="","",IF(M323&lt;=0,"Paid",IF(L323&gt;0,"Part Paid","Unpaid")))</f>
        <v/>
      </c>
      <c r="O323">
        <f>IF(E323="","",IFERROR(MAXIFS(PAYMENTS!A:A,PAYMENTS!C:C,E323),""))</f>
        <v/>
      </c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>
        <f>IF(E324="","",SUMIF(PAYMENTS!C:C,E324,PAYMENTS!E:E))</f>
        <v/>
      </c>
      <c r="M324">
        <f>IF(E324="","",J324-L324)</f>
        <v/>
      </c>
      <c r="N324">
        <f>IF(E324="","",IF(M324&lt;=0,"Paid",IF(L324&gt;0,"Part Paid","Unpaid")))</f>
        <v/>
      </c>
      <c r="O324">
        <f>IF(E324="","",IFERROR(MAXIFS(PAYMENTS!A:A,PAYMENTS!C:C,E324),""))</f>
        <v/>
      </c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>
        <f>IF(E325="","",SUMIF(PAYMENTS!C:C,E325,PAYMENTS!E:E))</f>
        <v/>
      </c>
      <c r="M325">
        <f>IF(E325="","",J325-L325)</f>
        <v/>
      </c>
      <c r="N325">
        <f>IF(E325="","",IF(M325&lt;=0,"Paid",IF(L325&gt;0,"Part Paid","Unpaid")))</f>
        <v/>
      </c>
      <c r="O325">
        <f>IF(E325="","",IFERROR(MAXIFS(PAYMENTS!A:A,PAYMENTS!C:C,E325),""))</f>
        <v/>
      </c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>
        <f>IF(E326="","",SUMIF(PAYMENTS!C:C,E326,PAYMENTS!E:E))</f>
        <v/>
      </c>
      <c r="M326">
        <f>IF(E326="","",J326-L326)</f>
        <v/>
      </c>
      <c r="N326">
        <f>IF(E326="","",IF(M326&lt;=0,"Paid",IF(L326&gt;0,"Part Paid","Unpaid")))</f>
        <v/>
      </c>
      <c r="O326">
        <f>IF(E326="","",IFERROR(MAXIFS(PAYMENTS!A:A,PAYMENTS!C:C,E326),""))</f>
        <v/>
      </c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>
        <f>IF(E327="","",SUMIF(PAYMENTS!C:C,E327,PAYMENTS!E:E))</f>
        <v/>
      </c>
      <c r="M327">
        <f>IF(E327="","",J327-L327)</f>
        <v/>
      </c>
      <c r="N327">
        <f>IF(E327="","",IF(M327&lt;=0,"Paid",IF(L327&gt;0,"Part Paid","Unpaid")))</f>
        <v/>
      </c>
      <c r="O327">
        <f>IF(E327="","",IFERROR(MAXIFS(PAYMENTS!A:A,PAYMENTS!C:C,E327),""))</f>
        <v/>
      </c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>
        <f>IF(E328="","",SUMIF(PAYMENTS!C:C,E328,PAYMENTS!E:E))</f>
        <v/>
      </c>
      <c r="M328">
        <f>IF(E328="","",J328-L328)</f>
        <v/>
      </c>
      <c r="N328">
        <f>IF(E328="","",IF(M328&lt;=0,"Paid",IF(L328&gt;0,"Part Paid","Unpaid")))</f>
        <v/>
      </c>
      <c r="O328">
        <f>IF(E328="","",IFERROR(MAXIFS(PAYMENTS!A:A,PAYMENTS!C:C,E328),""))</f>
        <v/>
      </c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>
        <f>IF(E329="","",SUMIF(PAYMENTS!C:C,E329,PAYMENTS!E:E))</f>
        <v/>
      </c>
      <c r="M329">
        <f>IF(E329="","",J329-L329)</f>
        <v/>
      </c>
      <c r="N329">
        <f>IF(E329="","",IF(M329&lt;=0,"Paid",IF(L329&gt;0,"Part Paid","Unpaid")))</f>
        <v/>
      </c>
      <c r="O329">
        <f>IF(E329="","",IFERROR(MAXIFS(PAYMENTS!A:A,PAYMENTS!C:C,E329),""))</f>
        <v/>
      </c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>
        <f>IF(E330="","",SUMIF(PAYMENTS!C:C,E330,PAYMENTS!E:E))</f>
        <v/>
      </c>
      <c r="M330">
        <f>IF(E330="","",J330-L330)</f>
        <v/>
      </c>
      <c r="N330">
        <f>IF(E330="","",IF(M330&lt;=0,"Paid",IF(L330&gt;0,"Part Paid","Unpaid")))</f>
        <v/>
      </c>
      <c r="O330">
        <f>IF(E330="","",IFERROR(MAXIFS(PAYMENTS!A:A,PAYMENTS!C:C,E330),""))</f>
        <v/>
      </c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>
        <f>IF(E331="","",SUMIF(PAYMENTS!C:C,E331,PAYMENTS!E:E))</f>
        <v/>
      </c>
      <c r="M331">
        <f>IF(E331="","",J331-L331)</f>
        <v/>
      </c>
      <c r="N331">
        <f>IF(E331="","",IF(M331&lt;=0,"Paid",IF(L331&gt;0,"Part Paid","Unpaid")))</f>
        <v/>
      </c>
      <c r="O331">
        <f>IF(E331="","",IFERROR(MAXIFS(PAYMENTS!A:A,PAYMENTS!C:C,E331),""))</f>
        <v/>
      </c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>
        <f>IF(E332="","",SUMIF(PAYMENTS!C:C,E332,PAYMENTS!E:E))</f>
        <v/>
      </c>
      <c r="M332">
        <f>IF(E332="","",J332-L332)</f>
        <v/>
      </c>
      <c r="N332">
        <f>IF(E332="","",IF(M332&lt;=0,"Paid",IF(L332&gt;0,"Part Paid","Unpaid")))</f>
        <v/>
      </c>
      <c r="O332">
        <f>IF(E332="","",IFERROR(MAXIFS(PAYMENTS!A:A,PAYMENTS!C:C,E332),""))</f>
        <v/>
      </c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>
        <f>IF(E333="","",SUMIF(PAYMENTS!C:C,E333,PAYMENTS!E:E))</f>
        <v/>
      </c>
      <c r="M333">
        <f>IF(E333="","",J333-L333)</f>
        <v/>
      </c>
      <c r="N333">
        <f>IF(E333="","",IF(M333&lt;=0,"Paid",IF(L333&gt;0,"Part Paid","Unpaid")))</f>
        <v/>
      </c>
      <c r="O333">
        <f>IF(E333="","",IFERROR(MAXIFS(PAYMENTS!A:A,PAYMENTS!C:C,E333),""))</f>
        <v/>
      </c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>
        <f>IF(E334="","",SUMIF(PAYMENTS!C:C,E334,PAYMENTS!E:E))</f>
        <v/>
      </c>
      <c r="M334">
        <f>IF(E334="","",J334-L334)</f>
        <v/>
      </c>
      <c r="N334">
        <f>IF(E334="","",IF(M334&lt;=0,"Paid",IF(L334&gt;0,"Part Paid","Unpaid")))</f>
        <v/>
      </c>
      <c r="O334">
        <f>IF(E334="","",IFERROR(MAXIFS(PAYMENTS!A:A,PAYMENTS!C:C,E334),""))</f>
        <v/>
      </c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>
        <f>IF(E335="","",SUMIF(PAYMENTS!C:C,E335,PAYMENTS!E:E))</f>
        <v/>
      </c>
      <c r="M335">
        <f>IF(E335="","",J335-L335)</f>
        <v/>
      </c>
      <c r="N335">
        <f>IF(E335="","",IF(M335&lt;=0,"Paid",IF(L335&gt;0,"Part Paid","Unpaid")))</f>
        <v/>
      </c>
      <c r="O335">
        <f>IF(E335="","",IFERROR(MAXIFS(PAYMENTS!A:A,PAYMENTS!C:C,E335),""))</f>
        <v/>
      </c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>
        <f>IF(E336="","",SUMIF(PAYMENTS!C:C,E336,PAYMENTS!E:E))</f>
        <v/>
      </c>
      <c r="M336">
        <f>IF(E336="","",J336-L336)</f>
        <v/>
      </c>
      <c r="N336">
        <f>IF(E336="","",IF(M336&lt;=0,"Paid",IF(L336&gt;0,"Part Paid","Unpaid")))</f>
        <v/>
      </c>
      <c r="O336">
        <f>IF(E336="","",IFERROR(MAXIFS(PAYMENTS!A:A,PAYMENTS!C:C,E336),""))</f>
        <v/>
      </c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>
        <f>IF(E337="","",SUMIF(PAYMENTS!C:C,E337,PAYMENTS!E:E))</f>
        <v/>
      </c>
      <c r="M337">
        <f>IF(E337="","",J337-L337)</f>
        <v/>
      </c>
      <c r="N337">
        <f>IF(E337="","",IF(M337&lt;=0,"Paid",IF(L337&gt;0,"Part Paid","Unpaid")))</f>
        <v/>
      </c>
      <c r="O337">
        <f>IF(E337="","",IFERROR(MAXIFS(PAYMENTS!A:A,PAYMENTS!C:C,E337),""))</f>
        <v/>
      </c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>
        <f>IF(E338="","",SUMIF(PAYMENTS!C:C,E338,PAYMENTS!E:E))</f>
        <v/>
      </c>
      <c r="M338">
        <f>IF(E338="","",J338-L338)</f>
        <v/>
      </c>
      <c r="N338">
        <f>IF(E338="","",IF(M338&lt;=0,"Paid",IF(L338&gt;0,"Part Paid","Unpaid")))</f>
        <v/>
      </c>
      <c r="O338">
        <f>IF(E338="","",IFERROR(MAXIFS(PAYMENTS!A:A,PAYMENTS!C:C,E338),""))</f>
        <v/>
      </c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>
        <f>IF(E339="","",SUMIF(PAYMENTS!C:C,E339,PAYMENTS!E:E))</f>
        <v/>
      </c>
      <c r="M339">
        <f>IF(E339="","",J339-L339)</f>
        <v/>
      </c>
      <c r="N339">
        <f>IF(E339="","",IF(M339&lt;=0,"Paid",IF(L339&gt;0,"Part Paid","Unpaid")))</f>
        <v/>
      </c>
      <c r="O339">
        <f>IF(E339="","",IFERROR(MAXIFS(PAYMENTS!A:A,PAYMENTS!C:C,E339),""))</f>
        <v/>
      </c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>
        <f>IF(E340="","",SUMIF(PAYMENTS!C:C,E340,PAYMENTS!E:E))</f>
        <v/>
      </c>
      <c r="M340">
        <f>IF(E340="","",J340-L340)</f>
        <v/>
      </c>
      <c r="N340">
        <f>IF(E340="","",IF(M340&lt;=0,"Paid",IF(L340&gt;0,"Part Paid","Unpaid")))</f>
        <v/>
      </c>
      <c r="O340">
        <f>IF(E340="","",IFERROR(MAXIFS(PAYMENTS!A:A,PAYMENTS!C:C,E340),""))</f>
        <v/>
      </c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>
        <f>IF(E341="","",SUMIF(PAYMENTS!C:C,E341,PAYMENTS!E:E))</f>
        <v/>
      </c>
      <c r="M341">
        <f>IF(E341="","",J341-L341)</f>
        <v/>
      </c>
      <c r="N341">
        <f>IF(E341="","",IF(M341&lt;=0,"Paid",IF(L341&gt;0,"Part Paid","Unpaid")))</f>
        <v/>
      </c>
      <c r="O341">
        <f>IF(E341="","",IFERROR(MAXIFS(PAYMENTS!A:A,PAYMENTS!C:C,E341),""))</f>
        <v/>
      </c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>
        <f>IF(E342="","",SUMIF(PAYMENTS!C:C,E342,PAYMENTS!E:E))</f>
        <v/>
      </c>
      <c r="M342">
        <f>IF(E342="","",J342-L342)</f>
        <v/>
      </c>
      <c r="N342">
        <f>IF(E342="","",IF(M342&lt;=0,"Paid",IF(L342&gt;0,"Part Paid","Unpaid")))</f>
        <v/>
      </c>
      <c r="O342">
        <f>IF(E342="","",IFERROR(MAXIFS(PAYMENTS!A:A,PAYMENTS!C:C,E342),""))</f>
        <v/>
      </c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>
        <f>IF(E343="","",SUMIF(PAYMENTS!C:C,E343,PAYMENTS!E:E))</f>
        <v/>
      </c>
      <c r="M343">
        <f>IF(E343="","",J343-L343)</f>
        <v/>
      </c>
      <c r="N343">
        <f>IF(E343="","",IF(M343&lt;=0,"Paid",IF(L343&gt;0,"Part Paid","Unpaid")))</f>
        <v/>
      </c>
      <c r="O343">
        <f>IF(E343="","",IFERROR(MAXIFS(PAYMENTS!A:A,PAYMENTS!C:C,E343),""))</f>
        <v/>
      </c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>
        <f>IF(E344="","",SUMIF(PAYMENTS!C:C,E344,PAYMENTS!E:E))</f>
        <v/>
      </c>
      <c r="M344">
        <f>IF(E344="","",J344-L344)</f>
        <v/>
      </c>
      <c r="N344">
        <f>IF(E344="","",IF(M344&lt;=0,"Paid",IF(L344&gt;0,"Part Paid","Unpaid")))</f>
        <v/>
      </c>
      <c r="O344">
        <f>IF(E344="","",IFERROR(MAXIFS(PAYMENTS!A:A,PAYMENTS!C:C,E344),""))</f>
        <v/>
      </c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>
        <f>IF(E345="","",SUMIF(PAYMENTS!C:C,E345,PAYMENTS!E:E))</f>
        <v/>
      </c>
      <c r="M345">
        <f>IF(E345="","",J345-L345)</f>
        <v/>
      </c>
      <c r="N345">
        <f>IF(E345="","",IF(M345&lt;=0,"Paid",IF(L345&gt;0,"Part Paid","Unpaid")))</f>
        <v/>
      </c>
      <c r="O345">
        <f>IF(E345="","",IFERROR(MAXIFS(PAYMENTS!A:A,PAYMENTS!C:C,E345),""))</f>
        <v/>
      </c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>
        <f>IF(E346="","",SUMIF(PAYMENTS!C:C,E346,PAYMENTS!E:E))</f>
        <v/>
      </c>
      <c r="M346">
        <f>IF(E346="","",J346-L346)</f>
        <v/>
      </c>
      <c r="N346">
        <f>IF(E346="","",IF(M346&lt;=0,"Paid",IF(L346&gt;0,"Part Paid","Unpaid")))</f>
        <v/>
      </c>
      <c r="O346">
        <f>IF(E346="","",IFERROR(MAXIFS(PAYMENTS!A:A,PAYMENTS!C:C,E346),""))</f>
        <v/>
      </c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>
        <f>IF(E347="","",SUMIF(PAYMENTS!C:C,E347,PAYMENTS!E:E))</f>
        <v/>
      </c>
      <c r="M347">
        <f>IF(E347="","",J347-L347)</f>
        <v/>
      </c>
      <c r="N347">
        <f>IF(E347="","",IF(M347&lt;=0,"Paid",IF(L347&gt;0,"Part Paid","Unpaid")))</f>
        <v/>
      </c>
      <c r="O347">
        <f>IF(E347="","",IFERROR(MAXIFS(PAYMENTS!A:A,PAYMENTS!C:C,E347),""))</f>
        <v/>
      </c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>
        <f>IF(E348="","",SUMIF(PAYMENTS!C:C,E348,PAYMENTS!E:E))</f>
        <v/>
      </c>
      <c r="M348">
        <f>IF(E348="","",J348-L348)</f>
        <v/>
      </c>
      <c r="N348">
        <f>IF(E348="","",IF(M348&lt;=0,"Paid",IF(L348&gt;0,"Part Paid","Unpaid")))</f>
        <v/>
      </c>
      <c r="O348">
        <f>IF(E348="","",IFERROR(MAXIFS(PAYMENTS!A:A,PAYMENTS!C:C,E348),""))</f>
        <v/>
      </c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>
        <f>IF(E349="","",SUMIF(PAYMENTS!C:C,E349,PAYMENTS!E:E))</f>
        <v/>
      </c>
      <c r="M349">
        <f>IF(E349="","",J349-L349)</f>
        <v/>
      </c>
      <c r="N349">
        <f>IF(E349="","",IF(M349&lt;=0,"Paid",IF(L349&gt;0,"Part Paid","Unpaid")))</f>
        <v/>
      </c>
      <c r="O349">
        <f>IF(E349="","",IFERROR(MAXIFS(PAYMENTS!A:A,PAYMENTS!C:C,E349),""))</f>
        <v/>
      </c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>
        <f>IF(E350="","",SUMIF(PAYMENTS!C:C,E350,PAYMENTS!E:E))</f>
        <v/>
      </c>
      <c r="M350">
        <f>IF(E350="","",J350-L350)</f>
        <v/>
      </c>
      <c r="N350">
        <f>IF(E350="","",IF(M350&lt;=0,"Paid",IF(L350&gt;0,"Part Paid","Unpaid")))</f>
        <v/>
      </c>
      <c r="O350">
        <f>IF(E350="","",IFERROR(MAXIFS(PAYMENTS!A:A,PAYMENTS!C:C,E350),""))</f>
        <v/>
      </c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>
        <f>IF(E351="","",SUMIF(PAYMENTS!C:C,E351,PAYMENTS!E:E))</f>
        <v/>
      </c>
      <c r="M351">
        <f>IF(E351="","",J351-L351)</f>
        <v/>
      </c>
      <c r="N351">
        <f>IF(E351="","",IF(M351&lt;=0,"Paid",IF(L351&gt;0,"Part Paid","Unpaid")))</f>
        <v/>
      </c>
      <c r="O351">
        <f>IF(E351="","",IFERROR(MAXIFS(PAYMENTS!A:A,PAYMENTS!C:C,E351),""))</f>
        <v/>
      </c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>
        <f>IF(E352="","",SUMIF(PAYMENTS!C:C,E352,PAYMENTS!E:E))</f>
        <v/>
      </c>
      <c r="M352">
        <f>IF(E352="","",J352-L352)</f>
        <v/>
      </c>
      <c r="N352">
        <f>IF(E352="","",IF(M352&lt;=0,"Paid",IF(L352&gt;0,"Part Paid","Unpaid")))</f>
        <v/>
      </c>
      <c r="O352">
        <f>IF(E352="","",IFERROR(MAXIFS(PAYMENTS!A:A,PAYMENTS!C:C,E352),""))</f>
        <v/>
      </c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>
        <f>IF(E353="","",SUMIF(PAYMENTS!C:C,E353,PAYMENTS!E:E))</f>
        <v/>
      </c>
      <c r="M353">
        <f>IF(E353="","",J353-L353)</f>
        <v/>
      </c>
      <c r="N353">
        <f>IF(E353="","",IF(M353&lt;=0,"Paid",IF(L353&gt;0,"Part Paid","Unpaid")))</f>
        <v/>
      </c>
      <c r="O353">
        <f>IF(E353="","",IFERROR(MAXIFS(PAYMENTS!A:A,PAYMENTS!C:C,E353),""))</f>
        <v/>
      </c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>
        <f>IF(E354="","",SUMIF(PAYMENTS!C:C,E354,PAYMENTS!E:E))</f>
        <v/>
      </c>
      <c r="M354">
        <f>IF(E354="","",J354-L354)</f>
        <v/>
      </c>
      <c r="N354">
        <f>IF(E354="","",IF(M354&lt;=0,"Paid",IF(L354&gt;0,"Part Paid","Unpaid")))</f>
        <v/>
      </c>
      <c r="O354">
        <f>IF(E354="","",IFERROR(MAXIFS(PAYMENTS!A:A,PAYMENTS!C:C,E354),""))</f>
        <v/>
      </c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>
        <f>IF(E355="","",SUMIF(PAYMENTS!C:C,E355,PAYMENTS!E:E))</f>
        <v/>
      </c>
      <c r="M355">
        <f>IF(E355="","",J355-L355)</f>
        <v/>
      </c>
      <c r="N355">
        <f>IF(E355="","",IF(M355&lt;=0,"Paid",IF(L355&gt;0,"Part Paid","Unpaid")))</f>
        <v/>
      </c>
      <c r="O355">
        <f>IF(E355="","",IFERROR(MAXIFS(PAYMENTS!A:A,PAYMENTS!C:C,E355),""))</f>
        <v/>
      </c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>
        <f>IF(E356="","",SUMIF(PAYMENTS!C:C,E356,PAYMENTS!E:E))</f>
        <v/>
      </c>
      <c r="M356">
        <f>IF(E356="","",J356-L356)</f>
        <v/>
      </c>
      <c r="N356">
        <f>IF(E356="","",IF(M356&lt;=0,"Paid",IF(L356&gt;0,"Part Paid","Unpaid")))</f>
        <v/>
      </c>
      <c r="O356">
        <f>IF(E356="","",IFERROR(MAXIFS(PAYMENTS!A:A,PAYMENTS!C:C,E356),""))</f>
        <v/>
      </c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>
        <f>IF(E357="","",SUMIF(PAYMENTS!C:C,E357,PAYMENTS!E:E))</f>
        <v/>
      </c>
      <c r="M357">
        <f>IF(E357="","",J357-L357)</f>
        <v/>
      </c>
      <c r="N357">
        <f>IF(E357="","",IF(M357&lt;=0,"Paid",IF(L357&gt;0,"Part Paid","Unpaid")))</f>
        <v/>
      </c>
      <c r="O357">
        <f>IF(E357="","",IFERROR(MAXIFS(PAYMENTS!A:A,PAYMENTS!C:C,E357),""))</f>
        <v/>
      </c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>
        <f>IF(E358="","",SUMIF(PAYMENTS!C:C,E358,PAYMENTS!E:E))</f>
        <v/>
      </c>
      <c r="M358">
        <f>IF(E358="","",J358-L358)</f>
        <v/>
      </c>
      <c r="N358">
        <f>IF(E358="","",IF(M358&lt;=0,"Paid",IF(L358&gt;0,"Part Paid","Unpaid")))</f>
        <v/>
      </c>
      <c r="O358">
        <f>IF(E358="","",IFERROR(MAXIFS(PAYMENTS!A:A,PAYMENTS!C:C,E358),""))</f>
        <v/>
      </c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>
        <f>IF(E359="","",SUMIF(PAYMENTS!C:C,E359,PAYMENTS!E:E))</f>
        <v/>
      </c>
      <c r="M359">
        <f>IF(E359="","",J359-L359)</f>
        <v/>
      </c>
      <c r="N359">
        <f>IF(E359="","",IF(M359&lt;=0,"Paid",IF(L359&gt;0,"Part Paid","Unpaid")))</f>
        <v/>
      </c>
      <c r="O359">
        <f>IF(E359="","",IFERROR(MAXIFS(PAYMENTS!A:A,PAYMENTS!C:C,E359),""))</f>
        <v/>
      </c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>
        <f>IF(E360="","",SUMIF(PAYMENTS!C:C,E360,PAYMENTS!E:E))</f>
        <v/>
      </c>
      <c r="M360">
        <f>IF(E360="","",J360-L360)</f>
        <v/>
      </c>
      <c r="N360">
        <f>IF(E360="","",IF(M360&lt;=0,"Paid",IF(L360&gt;0,"Part Paid","Unpaid")))</f>
        <v/>
      </c>
      <c r="O360">
        <f>IF(E360="","",IFERROR(MAXIFS(PAYMENTS!A:A,PAYMENTS!C:C,E360),""))</f>
        <v/>
      </c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>
        <f>IF(E361="","",SUMIF(PAYMENTS!C:C,E361,PAYMENTS!E:E))</f>
        <v/>
      </c>
      <c r="M361">
        <f>IF(E361="","",J361-L361)</f>
        <v/>
      </c>
      <c r="N361">
        <f>IF(E361="","",IF(M361&lt;=0,"Paid",IF(L361&gt;0,"Part Paid","Unpaid")))</f>
        <v/>
      </c>
      <c r="O361">
        <f>IF(E361="","",IFERROR(MAXIFS(PAYMENTS!A:A,PAYMENTS!C:C,E361),""))</f>
        <v/>
      </c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>
        <f>IF(E362="","",SUMIF(PAYMENTS!C:C,E362,PAYMENTS!E:E))</f>
        <v/>
      </c>
      <c r="M362">
        <f>IF(E362="","",J362-L362)</f>
        <v/>
      </c>
      <c r="N362">
        <f>IF(E362="","",IF(M362&lt;=0,"Paid",IF(L362&gt;0,"Part Paid","Unpaid")))</f>
        <v/>
      </c>
      <c r="O362">
        <f>IF(E362="","",IFERROR(MAXIFS(PAYMENTS!A:A,PAYMENTS!C:C,E362),""))</f>
        <v/>
      </c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>
        <f>IF(E363="","",SUMIF(PAYMENTS!C:C,E363,PAYMENTS!E:E))</f>
        <v/>
      </c>
      <c r="M363">
        <f>IF(E363="","",J363-L363)</f>
        <v/>
      </c>
      <c r="N363">
        <f>IF(E363="","",IF(M363&lt;=0,"Paid",IF(L363&gt;0,"Part Paid","Unpaid")))</f>
        <v/>
      </c>
      <c r="O363">
        <f>IF(E363="","",IFERROR(MAXIFS(PAYMENTS!A:A,PAYMENTS!C:C,E363),""))</f>
        <v/>
      </c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>
        <f>IF(E364="","",SUMIF(PAYMENTS!C:C,E364,PAYMENTS!E:E))</f>
        <v/>
      </c>
      <c r="M364">
        <f>IF(E364="","",J364-L364)</f>
        <v/>
      </c>
      <c r="N364">
        <f>IF(E364="","",IF(M364&lt;=0,"Paid",IF(L364&gt;0,"Part Paid","Unpaid")))</f>
        <v/>
      </c>
      <c r="O364">
        <f>IF(E364="","",IFERROR(MAXIFS(PAYMENTS!A:A,PAYMENTS!C:C,E364),""))</f>
        <v/>
      </c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>
        <f>IF(E365="","",SUMIF(PAYMENTS!C:C,E365,PAYMENTS!E:E))</f>
        <v/>
      </c>
      <c r="M365">
        <f>IF(E365="","",J365-L365)</f>
        <v/>
      </c>
      <c r="N365">
        <f>IF(E365="","",IF(M365&lt;=0,"Paid",IF(L365&gt;0,"Part Paid","Unpaid")))</f>
        <v/>
      </c>
      <c r="O365">
        <f>IF(E365="","",IFERROR(MAXIFS(PAYMENTS!A:A,PAYMENTS!C:C,E365),""))</f>
        <v/>
      </c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>
        <f>IF(E366="","",SUMIF(PAYMENTS!C:C,E366,PAYMENTS!E:E))</f>
        <v/>
      </c>
      <c r="M366">
        <f>IF(E366="","",J366-L366)</f>
        <v/>
      </c>
      <c r="N366">
        <f>IF(E366="","",IF(M366&lt;=0,"Paid",IF(L366&gt;0,"Part Paid","Unpaid")))</f>
        <v/>
      </c>
      <c r="O366">
        <f>IF(E366="","",IFERROR(MAXIFS(PAYMENTS!A:A,PAYMENTS!C:C,E366),""))</f>
        <v/>
      </c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>
        <f>IF(E367="","",SUMIF(PAYMENTS!C:C,E367,PAYMENTS!E:E))</f>
        <v/>
      </c>
      <c r="M367">
        <f>IF(E367="","",J367-L367)</f>
        <v/>
      </c>
      <c r="N367">
        <f>IF(E367="","",IF(M367&lt;=0,"Paid",IF(L367&gt;0,"Part Paid","Unpaid")))</f>
        <v/>
      </c>
      <c r="O367">
        <f>IF(E367="","",IFERROR(MAXIFS(PAYMENTS!A:A,PAYMENTS!C:C,E367),""))</f>
        <v/>
      </c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>
        <f>IF(E368="","",SUMIF(PAYMENTS!C:C,E368,PAYMENTS!E:E))</f>
        <v/>
      </c>
      <c r="M368">
        <f>IF(E368="","",J368-L368)</f>
        <v/>
      </c>
      <c r="N368">
        <f>IF(E368="","",IF(M368&lt;=0,"Paid",IF(L368&gt;0,"Part Paid","Unpaid")))</f>
        <v/>
      </c>
      <c r="O368">
        <f>IF(E368="","",IFERROR(MAXIFS(PAYMENTS!A:A,PAYMENTS!C:C,E368),""))</f>
        <v/>
      </c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>
        <f>IF(E369="","",SUMIF(PAYMENTS!C:C,E369,PAYMENTS!E:E))</f>
        <v/>
      </c>
      <c r="M369">
        <f>IF(E369="","",J369-L369)</f>
        <v/>
      </c>
      <c r="N369">
        <f>IF(E369="","",IF(M369&lt;=0,"Paid",IF(L369&gt;0,"Part Paid","Unpaid")))</f>
        <v/>
      </c>
      <c r="O369">
        <f>IF(E369="","",IFERROR(MAXIFS(PAYMENTS!A:A,PAYMENTS!C:C,E369),""))</f>
        <v/>
      </c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>
        <f>IF(E370="","",SUMIF(PAYMENTS!C:C,E370,PAYMENTS!E:E))</f>
        <v/>
      </c>
      <c r="M370">
        <f>IF(E370="","",J370-L370)</f>
        <v/>
      </c>
      <c r="N370">
        <f>IF(E370="","",IF(M370&lt;=0,"Paid",IF(L370&gt;0,"Part Paid","Unpaid")))</f>
        <v/>
      </c>
      <c r="O370">
        <f>IF(E370="","",IFERROR(MAXIFS(PAYMENTS!A:A,PAYMENTS!C:C,E370),""))</f>
        <v/>
      </c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>
        <f>IF(E371="","",SUMIF(PAYMENTS!C:C,E371,PAYMENTS!E:E))</f>
        <v/>
      </c>
      <c r="M371">
        <f>IF(E371="","",J371-L371)</f>
        <v/>
      </c>
      <c r="N371">
        <f>IF(E371="","",IF(M371&lt;=0,"Paid",IF(L371&gt;0,"Part Paid","Unpaid")))</f>
        <v/>
      </c>
      <c r="O371">
        <f>IF(E371="","",IFERROR(MAXIFS(PAYMENTS!A:A,PAYMENTS!C:C,E371),""))</f>
        <v/>
      </c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>
        <f>IF(E372="","",SUMIF(PAYMENTS!C:C,E372,PAYMENTS!E:E))</f>
        <v/>
      </c>
      <c r="M372">
        <f>IF(E372="","",J372-L372)</f>
        <v/>
      </c>
      <c r="N372">
        <f>IF(E372="","",IF(M372&lt;=0,"Paid",IF(L372&gt;0,"Part Paid","Unpaid")))</f>
        <v/>
      </c>
      <c r="O372">
        <f>IF(E372="","",IFERROR(MAXIFS(PAYMENTS!A:A,PAYMENTS!C:C,E372),""))</f>
        <v/>
      </c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>
        <f>IF(E373="","",SUMIF(PAYMENTS!C:C,E373,PAYMENTS!E:E))</f>
        <v/>
      </c>
      <c r="M373">
        <f>IF(E373="","",J373-L373)</f>
        <v/>
      </c>
      <c r="N373">
        <f>IF(E373="","",IF(M373&lt;=0,"Paid",IF(L373&gt;0,"Part Paid","Unpaid")))</f>
        <v/>
      </c>
      <c r="O373">
        <f>IF(E373="","",IFERROR(MAXIFS(PAYMENTS!A:A,PAYMENTS!C:C,E373),""))</f>
        <v/>
      </c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>
        <f>IF(E374="","",SUMIF(PAYMENTS!C:C,E374,PAYMENTS!E:E))</f>
        <v/>
      </c>
      <c r="M374">
        <f>IF(E374="","",J374-L374)</f>
        <v/>
      </c>
      <c r="N374">
        <f>IF(E374="","",IF(M374&lt;=0,"Paid",IF(L374&gt;0,"Part Paid","Unpaid")))</f>
        <v/>
      </c>
      <c r="O374">
        <f>IF(E374="","",IFERROR(MAXIFS(PAYMENTS!A:A,PAYMENTS!C:C,E374),""))</f>
        <v/>
      </c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>
        <f>IF(E375="","",SUMIF(PAYMENTS!C:C,E375,PAYMENTS!E:E))</f>
        <v/>
      </c>
      <c r="M375">
        <f>IF(E375="","",J375-L375)</f>
        <v/>
      </c>
      <c r="N375">
        <f>IF(E375="","",IF(M375&lt;=0,"Paid",IF(L375&gt;0,"Part Paid","Unpaid")))</f>
        <v/>
      </c>
      <c r="O375">
        <f>IF(E375="","",IFERROR(MAXIFS(PAYMENTS!A:A,PAYMENTS!C:C,E375),""))</f>
        <v/>
      </c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>
        <f>IF(E376="","",SUMIF(PAYMENTS!C:C,E376,PAYMENTS!E:E))</f>
        <v/>
      </c>
      <c r="M376">
        <f>IF(E376="","",J376-L376)</f>
        <v/>
      </c>
      <c r="N376">
        <f>IF(E376="","",IF(M376&lt;=0,"Paid",IF(L376&gt;0,"Part Paid","Unpaid")))</f>
        <v/>
      </c>
      <c r="O376">
        <f>IF(E376="","",IFERROR(MAXIFS(PAYMENTS!A:A,PAYMENTS!C:C,E376),""))</f>
        <v/>
      </c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>
        <f>IF(E377="","",SUMIF(PAYMENTS!C:C,E377,PAYMENTS!E:E))</f>
        <v/>
      </c>
      <c r="M377">
        <f>IF(E377="","",J377-L377)</f>
        <v/>
      </c>
      <c r="N377">
        <f>IF(E377="","",IF(M377&lt;=0,"Paid",IF(L377&gt;0,"Part Paid","Unpaid")))</f>
        <v/>
      </c>
      <c r="O377">
        <f>IF(E377="","",IFERROR(MAXIFS(PAYMENTS!A:A,PAYMENTS!C:C,E377),""))</f>
        <v/>
      </c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>
        <f>IF(E378="","",SUMIF(PAYMENTS!C:C,E378,PAYMENTS!E:E))</f>
        <v/>
      </c>
      <c r="M378">
        <f>IF(E378="","",J378-L378)</f>
        <v/>
      </c>
      <c r="N378">
        <f>IF(E378="","",IF(M378&lt;=0,"Paid",IF(L378&gt;0,"Part Paid","Unpaid")))</f>
        <v/>
      </c>
      <c r="O378">
        <f>IF(E378="","",IFERROR(MAXIFS(PAYMENTS!A:A,PAYMENTS!C:C,E378),""))</f>
        <v/>
      </c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>
        <f>IF(E379="","",SUMIF(PAYMENTS!C:C,E379,PAYMENTS!E:E))</f>
        <v/>
      </c>
      <c r="M379">
        <f>IF(E379="","",J379-L379)</f>
        <v/>
      </c>
      <c r="N379">
        <f>IF(E379="","",IF(M379&lt;=0,"Paid",IF(L379&gt;0,"Part Paid","Unpaid")))</f>
        <v/>
      </c>
      <c r="O379">
        <f>IF(E379="","",IFERROR(MAXIFS(PAYMENTS!A:A,PAYMENTS!C:C,E379),""))</f>
        <v/>
      </c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>
        <f>IF(E380="","",SUMIF(PAYMENTS!C:C,E380,PAYMENTS!E:E))</f>
        <v/>
      </c>
      <c r="M380">
        <f>IF(E380="","",J380-L380)</f>
        <v/>
      </c>
      <c r="N380">
        <f>IF(E380="","",IF(M380&lt;=0,"Paid",IF(L380&gt;0,"Part Paid","Unpaid")))</f>
        <v/>
      </c>
      <c r="O380">
        <f>IF(E380="","",IFERROR(MAXIFS(PAYMENTS!A:A,PAYMENTS!C:C,E380),""))</f>
        <v/>
      </c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>
        <f>IF(E381="","",SUMIF(PAYMENTS!C:C,E381,PAYMENTS!E:E))</f>
        <v/>
      </c>
      <c r="M381">
        <f>IF(E381="","",J381-L381)</f>
        <v/>
      </c>
      <c r="N381">
        <f>IF(E381="","",IF(M381&lt;=0,"Paid",IF(L381&gt;0,"Part Paid","Unpaid")))</f>
        <v/>
      </c>
      <c r="O381">
        <f>IF(E381="","",IFERROR(MAXIFS(PAYMENTS!A:A,PAYMENTS!C:C,E381),""))</f>
        <v/>
      </c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>
        <f>IF(E382="","",SUMIF(PAYMENTS!C:C,E382,PAYMENTS!E:E))</f>
        <v/>
      </c>
      <c r="M382">
        <f>IF(E382="","",J382-L382)</f>
        <v/>
      </c>
      <c r="N382">
        <f>IF(E382="","",IF(M382&lt;=0,"Paid",IF(L382&gt;0,"Part Paid","Unpaid")))</f>
        <v/>
      </c>
      <c r="O382">
        <f>IF(E382="","",IFERROR(MAXIFS(PAYMENTS!A:A,PAYMENTS!C:C,E382),""))</f>
        <v/>
      </c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>
        <f>IF(E383="","",SUMIF(PAYMENTS!C:C,E383,PAYMENTS!E:E))</f>
        <v/>
      </c>
      <c r="M383">
        <f>IF(E383="","",J383-L383)</f>
        <v/>
      </c>
      <c r="N383">
        <f>IF(E383="","",IF(M383&lt;=0,"Paid",IF(L383&gt;0,"Part Paid","Unpaid")))</f>
        <v/>
      </c>
      <c r="O383">
        <f>IF(E383="","",IFERROR(MAXIFS(PAYMENTS!A:A,PAYMENTS!C:C,E383),""))</f>
        <v/>
      </c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>
        <f>IF(E384="","",SUMIF(PAYMENTS!C:C,E384,PAYMENTS!E:E))</f>
        <v/>
      </c>
      <c r="M384">
        <f>IF(E384="","",J384-L384)</f>
        <v/>
      </c>
      <c r="N384">
        <f>IF(E384="","",IF(M384&lt;=0,"Paid",IF(L384&gt;0,"Part Paid","Unpaid")))</f>
        <v/>
      </c>
      <c r="O384">
        <f>IF(E384="","",IFERROR(MAXIFS(PAYMENTS!A:A,PAYMENTS!C:C,E384),""))</f>
        <v/>
      </c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>
        <f>IF(E385="","",SUMIF(PAYMENTS!C:C,E385,PAYMENTS!E:E))</f>
        <v/>
      </c>
      <c r="M385">
        <f>IF(E385="","",J385-L385)</f>
        <v/>
      </c>
      <c r="N385">
        <f>IF(E385="","",IF(M385&lt;=0,"Paid",IF(L385&gt;0,"Part Paid","Unpaid")))</f>
        <v/>
      </c>
      <c r="O385">
        <f>IF(E385="","",IFERROR(MAXIFS(PAYMENTS!A:A,PAYMENTS!C:C,E385),""))</f>
        <v/>
      </c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>
        <f>IF(E386="","",SUMIF(PAYMENTS!C:C,E386,PAYMENTS!E:E))</f>
        <v/>
      </c>
      <c r="M386">
        <f>IF(E386="","",J386-L386)</f>
        <v/>
      </c>
      <c r="N386">
        <f>IF(E386="","",IF(M386&lt;=0,"Paid",IF(L386&gt;0,"Part Paid","Unpaid")))</f>
        <v/>
      </c>
      <c r="O386">
        <f>IF(E386="","",IFERROR(MAXIFS(PAYMENTS!A:A,PAYMENTS!C:C,E386),""))</f>
        <v/>
      </c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>
        <f>IF(E387="","",SUMIF(PAYMENTS!C:C,E387,PAYMENTS!E:E))</f>
        <v/>
      </c>
      <c r="M387">
        <f>IF(E387="","",J387-L387)</f>
        <v/>
      </c>
      <c r="N387">
        <f>IF(E387="","",IF(M387&lt;=0,"Paid",IF(L387&gt;0,"Part Paid","Unpaid")))</f>
        <v/>
      </c>
      <c r="O387">
        <f>IF(E387="","",IFERROR(MAXIFS(PAYMENTS!A:A,PAYMENTS!C:C,E387),""))</f>
        <v/>
      </c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>
        <f>IF(E388="","",SUMIF(PAYMENTS!C:C,E388,PAYMENTS!E:E))</f>
        <v/>
      </c>
      <c r="M388">
        <f>IF(E388="","",J388-L388)</f>
        <v/>
      </c>
      <c r="N388">
        <f>IF(E388="","",IF(M388&lt;=0,"Paid",IF(L388&gt;0,"Part Paid","Unpaid")))</f>
        <v/>
      </c>
      <c r="O388">
        <f>IF(E388="","",IFERROR(MAXIFS(PAYMENTS!A:A,PAYMENTS!C:C,E388),""))</f>
        <v/>
      </c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>
        <f>IF(E389="","",SUMIF(PAYMENTS!C:C,E389,PAYMENTS!E:E))</f>
        <v/>
      </c>
      <c r="M389">
        <f>IF(E389="","",J389-L389)</f>
        <v/>
      </c>
      <c r="N389">
        <f>IF(E389="","",IF(M389&lt;=0,"Paid",IF(L389&gt;0,"Part Paid","Unpaid")))</f>
        <v/>
      </c>
      <c r="O389">
        <f>IF(E389="","",IFERROR(MAXIFS(PAYMENTS!A:A,PAYMENTS!C:C,E389),""))</f>
        <v/>
      </c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>
        <f>IF(E390="","",SUMIF(PAYMENTS!C:C,E390,PAYMENTS!E:E))</f>
        <v/>
      </c>
      <c r="M390">
        <f>IF(E390="","",J390-L390)</f>
        <v/>
      </c>
      <c r="N390">
        <f>IF(E390="","",IF(M390&lt;=0,"Paid",IF(L390&gt;0,"Part Paid","Unpaid")))</f>
        <v/>
      </c>
      <c r="O390">
        <f>IF(E390="","",IFERROR(MAXIFS(PAYMENTS!A:A,PAYMENTS!C:C,E390),""))</f>
        <v/>
      </c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>
        <f>IF(E391="","",SUMIF(PAYMENTS!C:C,E391,PAYMENTS!E:E))</f>
        <v/>
      </c>
      <c r="M391">
        <f>IF(E391="","",J391-L391)</f>
        <v/>
      </c>
      <c r="N391">
        <f>IF(E391="","",IF(M391&lt;=0,"Paid",IF(L391&gt;0,"Part Paid","Unpaid")))</f>
        <v/>
      </c>
      <c r="O391">
        <f>IF(E391="","",IFERROR(MAXIFS(PAYMENTS!A:A,PAYMENTS!C:C,E391),""))</f>
        <v/>
      </c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>
        <f>IF(E392="","",SUMIF(PAYMENTS!C:C,E392,PAYMENTS!E:E))</f>
        <v/>
      </c>
      <c r="M392">
        <f>IF(E392="","",J392-L392)</f>
        <v/>
      </c>
      <c r="N392">
        <f>IF(E392="","",IF(M392&lt;=0,"Paid",IF(L392&gt;0,"Part Paid","Unpaid")))</f>
        <v/>
      </c>
      <c r="O392">
        <f>IF(E392="","",IFERROR(MAXIFS(PAYMENTS!A:A,PAYMENTS!C:C,E392),""))</f>
        <v/>
      </c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>
        <f>IF(E393="","",SUMIF(PAYMENTS!C:C,E393,PAYMENTS!E:E))</f>
        <v/>
      </c>
      <c r="M393">
        <f>IF(E393="","",J393-L393)</f>
        <v/>
      </c>
      <c r="N393">
        <f>IF(E393="","",IF(M393&lt;=0,"Paid",IF(L393&gt;0,"Part Paid","Unpaid")))</f>
        <v/>
      </c>
      <c r="O393">
        <f>IF(E393="","",IFERROR(MAXIFS(PAYMENTS!A:A,PAYMENTS!C:C,E393),""))</f>
        <v/>
      </c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>
        <f>IF(E394="","",SUMIF(PAYMENTS!C:C,E394,PAYMENTS!E:E))</f>
        <v/>
      </c>
      <c r="M394">
        <f>IF(E394="","",J394-L394)</f>
        <v/>
      </c>
      <c r="N394">
        <f>IF(E394="","",IF(M394&lt;=0,"Paid",IF(L394&gt;0,"Part Paid","Unpaid")))</f>
        <v/>
      </c>
      <c r="O394">
        <f>IF(E394="","",IFERROR(MAXIFS(PAYMENTS!A:A,PAYMENTS!C:C,E394),""))</f>
        <v/>
      </c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>
        <f>IF(E395="","",SUMIF(PAYMENTS!C:C,E395,PAYMENTS!E:E))</f>
        <v/>
      </c>
      <c r="M395">
        <f>IF(E395="","",J395-L395)</f>
        <v/>
      </c>
      <c r="N395">
        <f>IF(E395="","",IF(M395&lt;=0,"Paid",IF(L395&gt;0,"Part Paid","Unpaid")))</f>
        <v/>
      </c>
      <c r="O395">
        <f>IF(E395="","",IFERROR(MAXIFS(PAYMENTS!A:A,PAYMENTS!C:C,E395),""))</f>
        <v/>
      </c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>
        <f>IF(E396="","",SUMIF(PAYMENTS!C:C,E396,PAYMENTS!E:E))</f>
        <v/>
      </c>
      <c r="M396">
        <f>IF(E396="","",J396-L396)</f>
        <v/>
      </c>
      <c r="N396">
        <f>IF(E396="","",IF(M396&lt;=0,"Paid",IF(L396&gt;0,"Part Paid","Unpaid")))</f>
        <v/>
      </c>
      <c r="O396">
        <f>IF(E396="","",IFERROR(MAXIFS(PAYMENTS!A:A,PAYMENTS!C:C,E396),""))</f>
        <v/>
      </c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>
        <f>IF(E397="","",SUMIF(PAYMENTS!C:C,E397,PAYMENTS!E:E))</f>
        <v/>
      </c>
      <c r="M397">
        <f>IF(E397="","",J397-L397)</f>
        <v/>
      </c>
      <c r="N397">
        <f>IF(E397="","",IF(M397&lt;=0,"Paid",IF(L397&gt;0,"Part Paid","Unpaid")))</f>
        <v/>
      </c>
      <c r="O397">
        <f>IF(E397="","",IFERROR(MAXIFS(PAYMENTS!A:A,PAYMENTS!C:C,E397),""))</f>
        <v/>
      </c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>
        <f>IF(E398="","",SUMIF(PAYMENTS!C:C,E398,PAYMENTS!E:E))</f>
        <v/>
      </c>
      <c r="M398">
        <f>IF(E398="","",J398-L398)</f>
        <v/>
      </c>
      <c r="N398">
        <f>IF(E398="","",IF(M398&lt;=0,"Paid",IF(L398&gt;0,"Part Paid","Unpaid")))</f>
        <v/>
      </c>
      <c r="O398">
        <f>IF(E398="","",IFERROR(MAXIFS(PAYMENTS!A:A,PAYMENTS!C:C,E398),""))</f>
        <v/>
      </c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>
        <f>IF(E399="","",SUMIF(PAYMENTS!C:C,E399,PAYMENTS!E:E))</f>
        <v/>
      </c>
      <c r="M399">
        <f>IF(E399="","",J399-L399)</f>
        <v/>
      </c>
      <c r="N399">
        <f>IF(E399="","",IF(M399&lt;=0,"Paid",IF(L399&gt;0,"Part Paid","Unpaid")))</f>
        <v/>
      </c>
      <c r="O399">
        <f>IF(E399="","",IFERROR(MAXIFS(PAYMENTS!A:A,PAYMENTS!C:C,E399),""))</f>
        <v/>
      </c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>
        <f>IF(E400="","",SUMIF(PAYMENTS!C:C,E400,PAYMENTS!E:E))</f>
        <v/>
      </c>
      <c r="M400">
        <f>IF(E400="","",J400-L400)</f>
        <v/>
      </c>
      <c r="N400">
        <f>IF(E400="","",IF(M400&lt;=0,"Paid",IF(L400&gt;0,"Part Paid","Unpaid")))</f>
        <v/>
      </c>
      <c r="O400">
        <f>IF(E400="","",IFERROR(MAXIFS(PAYMENTS!A:A,PAYMENTS!C:C,E400),""))</f>
        <v/>
      </c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>
        <f>IF(E401="","",SUMIF(PAYMENTS!C:C,E401,PAYMENTS!E:E))</f>
        <v/>
      </c>
      <c r="M401">
        <f>IF(E401="","",J401-L401)</f>
        <v/>
      </c>
      <c r="N401">
        <f>IF(E401="","",IF(M401&lt;=0,"Paid",IF(L401&gt;0,"Part Paid","Unpaid")))</f>
        <v/>
      </c>
      <c r="O401">
        <f>IF(E401="","",IFERROR(MAXIFS(PAYMENTS!A:A,PAYMENTS!C:C,E401),""))</f>
        <v/>
      </c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>
        <f>IF(E402="","",SUMIF(PAYMENTS!C:C,E402,PAYMENTS!E:E))</f>
        <v/>
      </c>
      <c r="M402">
        <f>IF(E402="","",J402-L402)</f>
        <v/>
      </c>
      <c r="N402">
        <f>IF(E402="","",IF(M402&lt;=0,"Paid",IF(L402&gt;0,"Part Paid","Unpaid")))</f>
        <v/>
      </c>
      <c r="O402">
        <f>IF(E402="","",IFERROR(MAXIFS(PAYMENTS!A:A,PAYMENTS!C:C,E402),""))</f>
        <v/>
      </c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>
        <f>IF(E403="","",SUMIF(PAYMENTS!C:C,E403,PAYMENTS!E:E))</f>
        <v/>
      </c>
      <c r="M403">
        <f>IF(E403="","",J403-L403)</f>
        <v/>
      </c>
      <c r="N403">
        <f>IF(E403="","",IF(M403&lt;=0,"Paid",IF(L403&gt;0,"Part Paid","Unpaid")))</f>
        <v/>
      </c>
      <c r="O403">
        <f>IF(E403="","",IFERROR(MAXIFS(PAYMENTS!A:A,PAYMENTS!C:C,E403),""))</f>
        <v/>
      </c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>
        <f>IF(E404="","",SUMIF(PAYMENTS!C:C,E404,PAYMENTS!E:E))</f>
        <v/>
      </c>
      <c r="M404">
        <f>IF(E404="","",J404-L404)</f>
        <v/>
      </c>
      <c r="N404">
        <f>IF(E404="","",IF(M404&lt;=0,"Paid",IF(L404&gt;0,"Part Paid","Unpaid")))</f>
        <v/>
      </c>
      <c r="O404">
        <f>IF(E404="","",IFERROR(MAXIFS(PAYMENTS!A:A,PAYMENTS!C:C,E404),""))</f>
        <v/>
      </c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>
        <f>IF(E405="","",SUMIF(PAYMENTS!C:C,E405,PAYMENTS!E:E))</f>
        <v/>
      </c>
      <c r="M405">
        <f>IF(E405="","",J405-L405)</f>
        <v/>
      </c>
      <c r="N405">
        <f>IF(E405="","",IF(M405&lt;=0,"Paid",IF(L405&gt;0,"Part Paid","Unpaid")))</f>
        <v/>
      </c>
      <c r="O405">
        <f>IF(E405="","",IFERROR(MAXIFS(PAYMENTS!A:A,PAYMENTS!C:C,E405),""))</f>
        <v/>
      </c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>
        <f>IF(E406="","",SUMIF(PAYMENTS!C:C,E406,PAYMENTS!E:E))</f>
        <v/>
      </c>
      <c r="M406">
        <f>IF(E406="","",J406-L406)</f>
        <v/>
      </c>
      <c r="N406">
        <f>IF(E406="","",IF(M406&lt;=0,"Paid",IF(L406&gt;0,"Part Paid","Unpaid")))</f>
        <v/>
      </c>
      <c r="O406">
        <f>IF(E406="","",IFERROR(MAXIFS(PAYMENTS!A:A,PAYMENTS!C:C,E406),""))</f>
        <v/>
      </c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>
        <f>IF(E407="","",SUMIF(PAYMENTS!C:C,E407,PAYMENTS!E:E))</f>
        <v/>
      </c>
      <c r="M407">
        <f>IF(E407="","",J407-L407)</f>
        <v/>
      </c>
      <c r="N407">
        <f>IF(E407="","",IF(M407&lt;=0,"Paid",IF(L407&gt;0,"Part Paid","Unpaid")))</f>
        <v/>
      </c>
      <c r="O407">
        <f>IF(E407="","",IFERROR(MAXIFS(PAYMENTS!A:A,PAYMENTS!C:C,E407),""))</f>
        <v/>
      </c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>
        <f>IF(E408="","",SUMIF(PAYMENTS!C:C,E408,PAYMENTS!E:E))</f>
        <v/>
      </c>
      <c r="M408">
        <f>IF(E408="","",J408-L408)</f>
        <v/>
      </c>
      <c r="N408">
        <f>IF(E408="","",IF(M408&lt;=0,"Paid",IF(L408&gt;0,"Part Paid","Unpaid")))</f>
        <v/>
      </c>
      <c r="O408">
        <f>IF(E408="","",IFERROR(MAXIFS(PAYMENTS!A:A,PAYMENTS!C:C,E408),""))</f>
        <v/>
      </c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>
        <f>IF(E409="","",SUMIF(PAYMENTS!C:C,E409,PAYMENTS!E:E))</f>
        <v/>
      </c>
      <c r="M409">
        <f>IF(E409="","",J409-L409)</f>
        <v/>
      </c>
      <c r="N409">
        <f>IF(E409="","",IF(M409&lt;=0,"Paid",IF(L409&gt;0,"Part Paid","Unpaid")))</f>
        <v/>
      </c>
      <c r="O409">
        <f>IF(E409="","",IFERROR(MAXIFS(PAYMENTS!A:A,PAYMENTS!C:C,E409),""))</f>
        <v/>
      </c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>
        <f>IF(E410="","",SUMIF(PAYMENTS!C:C,E410,PAYMENTS!E:E))</f>
        <v/>
      </c>
      <c r="M410">
        <f>IF(E410="","",J410-L410)</f>
        <v/>
      </c>
      <c r="N410">
        <f>IF(E410="","",IF(M410&lt;=0,"Paid",IF(L410&gt;0,"Part Paid","Unpaid")))</f>
        <v/>
      </c>
      <c r="O410">
        <f>IF(E410="","",IFERROR(MAXIFS(PAYMENTS!A:A,PAYMENTS!C:C,E410),""))</f>
        <v/>
      </c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>
        <f>IF(E411="","",SUMIF(PAYMENTS!C:C,E411,PAYMENTS!E:E))</f>
        <v/>
      </c>
      <c r="M411">
        <f>IF(E411="","",J411-L411)</f>
        <v/>
      </c>
      <c r="N411">
        <f>IF(E411="","",IF(M411&lt;=0,"Paid",IF(L411&gt;0,"Part Paid","Unpaid")))</f>
        <v/>
      </c>
      <c r="O411">
        <f>IF(E411="","",IFERROR(MAXIFS(PAYMENTS!A:A,PAYMENTS!C:C,E411),""))</f>
        <v/>
      </c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>
        <f>IF(E412="","",SUMIF(PAYMENTS!C:C,E412,PAYMENTS!E:E))</f>
        <v/>
      </c>
      <c r="M412">
        <f>IF(E412="","",J412-L412)</f>
        <v/>
      </c>
      <c r="N412">
        <f>IF(E412="","",IF(M412&lt;=0,"Paid",IF(L412&gt;0,"Part Paid","Unpaid")))</f>
        <v/>
      </c>
      <c r="O412">
        <f>IF(E412="","",IFERROR(MAXIFS(PAYMENTS!A:A,PAYMENTS!C:C,E412),""))</f>
        <v/>
      </c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>
        <f>IF(E413="","",SUMIF(PAYMENTS!C:C,E413,PAYMENTS!E:E))</f>
        <v/>
      </c>
      <c r="M413">
        <f>IF(E413="","",J413-L413)</f>
        <v/>
      </c>
      <c r="N413">
        <f>IF(E413="","",IF(M413&lt;=0,"Paid",IF(L413&gt;0,"Part Paid","Unpaid")))</f>
        <v/>
      </c>
      <c r="O413">
        <f>IF(E413="","",IFERROR(MAXIFS(PAYMENTS!A:A,PAYMENTS!C:C,E413),""))</f>
        <v/>
      </c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>
        <f>IF(E414="","",SUMIF(PAYMENTS!C:C,E414,PAYMENTS!E:E))</f>
        <v/>
      </c>
      <c r="M414">
        <f>IF(E414="","",J414-L414)</f>
        <v/>
      </c>
      <c r="N414">
        <f>IF(E414="","",IF(M414&lt;=0,"Paid",IF(L414&gt;0,"Part Paid","Unpaid")))</f>
        <v/>
      </c>
      <c r="O414">
        <f>IF(E414="","",IFERROR(MAXIFS(PAYMENTS!A:A,PAYMENTS!C:C,E414),""))</f>
        <v/>
      </c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>
        <f>IF(E415="","",SUMIF(PAYMENTS!C:C,E415,PAYMENTS!E:E))</f>
        <v/>
      </c>
      <c r="M415">
        <f>IF(E415="","",J415-L415)</f>
        <v/>
      </c>
      <c r="N415">
        <f>IF(E415="","",IF(M415&lt;=0,"Paid",IF(L415&gt;0,"Part Paid","Unpaid")))</f>
        <v/>
      </c>
      <c r="O415">
        <f>IF(E415="","",IFERROR(MAXIFS(PAYMENTS!A:A,PAYMENTS!C:C,E415),""))</f>
        <v/>
      </c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>
        <f>IF(E416="","",SUMIF(PAYMENTS!C:C,E416,PAYMENTS!E:E))</f>
        <v/>
      </c>
      <c r="M416">
        <f>IF(E416="","",J416-L416)</f>
        <v/>
      </c>
      <c r="N416">
        <f>IF(E416="","",IF(M416&lt;=0,"Paid",IF(L416&gt;0,"Part Paid","Unpaid")))</f>
        <v/>
      </c>
      <c r="O416">
        <f>IF(E416="","",IFERROR(MAXIFS(PAYMENTS!A:A,PAYMENTS!C:C,E416),""))</f>
        <v/>
      </c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>
        <f>IF(E417="","",SUMIF(PAYMENTS!C:C,E417,PAYMENTS!E:E))</f>
        <v/>
      </c>
      <c r="M417">
        <f>IF(E417="","",J417-L417)</f>
        <v/>
      </c>
      <c r="N417">
        <f>IF(E417="","",IF(M417&lt;=0,"Paid",IF(L417&gt;0,"Part Paid","Unpaid")))</f>
        <v/>
      </c>
      <c r="O417">
        <f>IF(E417="","",IFERROR(MAXIFS(PAYMENTS!A:A,PAYMENTS!C:C,E417),""))</f>
        <v/>
      </c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>
        <f>IF(E418="","",SUMIF(PAYMENTS!C:C,E418,PAYMENTS!E:E))</f>
        <v/>
      </c>
      <c r="M418">
        <f>IF(E418="","",J418-L418)</f>
        <v/>
      </c>
      <c r="N418">
        <f>IF(E418="","",IF(M418&lt;=0,"Paid",IF(L418&gt;0,"Part Paid","Unpaid")))</f>
        <v/>
      </c>
      <c r="O418">
        <f>IF(E418="","",IFERROR(MAXIFS(PAYMENTS!A:A,PAYMENTS!C:C,E418),""))</f>
        <v/>
      </c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>
        <f>IF(E419="","",SUMIF(PAYMENTS!C:C,E419,PAYMENTS!E:E))</f>
        <v/>
      </c>
      <c r="M419">
        <f>IF(E419="","",J419-L419)</f>
        <v/>
      </c>
      <c r="N419">
        <f>IF(E419="","",IF(M419&lt;=0,"Paid",IF(L419&gt;0,"Part Paid","Unpaid")))</f>
        <v/>
      </c>
      <c r="O419">
        <f>IF(E419="","",IFERROR(MAXIFS(PAYMENTS!A:A,PAYMENTS!C:C,E419),""))</f>
        <v/>
      </c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>
        <f>IF(E420="","",SUMIF(PAYMENTS!C:C,E420,PAYMENTS!E:E))</f>
        <v/>
      </c>
      <c r="M420">
        <f>IF(E420="","",J420-L420)</f>
        <v/>
      </c>
      <c r="N420">
        <f>IF(E420="","",IF(M420&lt;=0,"Paid",IF(L420&gt;0,"Part Paid","Unpaid")))</f>
        <v/>
      </c>
      <c r="O420">
        <f>IF(E420="","",IFERROR(MAXIFS(PAYMENTS!A:A,PAYMENTS!C:C,E420),""))</f>
        <v/>
      </c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>
        <f>IF(E421="","",SUMIF(PAYMENTS!C:C,E421,PAYMENTS!E:E))</f>
        <v/>
      </c>
      <c r="M421">
        <f>IF(E421="","",J421-L421)</f>
        <v/>
      </c>
      <c r="N421">
        <f>IF(E421="","",IF(M421&lt;=0,"Paid",IF(L421&gt;0,"Part Paid","Unpaid")))</f>
        <v/>
      </c>
      <c r="O421">
        <f>IF(E421="","",IFERROR(MAXIFS(PAYMENTS!A:A,PAYMENTS!C:C,E421),""))</f>
        <v/>
      </c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>
        <f>IF(E422="","",SUMIF(PAYMENTS!C:C,E422,PAYMENTS!E:E))</f>
        <v/>
      </c>
      <c r="M422">
        <f>IF(E422="","",J422-L422)</f>
        <v/>
      </c>
      <c r="N422">
        <f>IF(E422="","",IF(M422&lt;=0,"Paid",IF(L422&gt;0,"Part Paid","Unpaid")))</f>
        <v/>
      </c>
      <c r="O422">
        <f>IF(E422="","",IFERROR(MAXIFS(PAYMENTS!A:A,PAYMENTS!C:C,E422),""))</f>
        <v/>
      </c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>
        <f>IF(E423="","",SUMIF(PAYMENTS!C:C,E423,PAYMENTS!E:E))</f>
        <v/>
      </c>
      <c r="M423">
        <f>IF(E423="","",J423-L423)</f>
        <v/>
      </c>
      <c r="N423">
        <f>IF(E423="","",IF(M423&lt;=0,"Paid",IF(L423&gt;0,"Part Paid","Unpaid")))</f>
        <v/>
      </c>
      <c r="O423">
        <f>IF(E423="","",IFERROR(MAXIFS(PAYMENTS!A:A,PAYMENTS!C:C,E423),""))</f>
        <v/>
      </c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>
        <f>IF(E424="","",SUMIF(PAYMENTS!C:C,E424,PAYMENTS!E:E))</f>
        <v/>
      </c>
      <c r="M424">
        <f>IF(E424="","",J424-L424)</f>
        <v/>
      </c>
      <c r="N424">
        <f>IF(E424="","",IF(M424&lt;=0,"Paid",IF(L424&gt;0,"Part Paid","Unpaid")))</f>
        <v/>
      </c>
      <c r="O424">
        <f>IF(E424="","",IFERROR(MAXIFS(PAYMENTS!A:A,PAYMENTS!C:C,E424),""))</f>
        <v/>
      </c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>
        <f>IF(E425="","",SUMIF(PAYMENTS!C:C,E425,PAYMENTS!E:E))</f>
        <v/>
      </c>
      <c r="M425">
        <f>IF(E425="","",J425-L425)</f>
        <v/>
      </c>
      <c r="N425">
        <f>IF(E425="","",IF(M425&lt;=0,"Paid",IF(L425&gt;0,"Part Paid","Unpaid")))</f>
        <v/>
      </c>
      <c r="O425">
        <f>IF(E425="","",IFERROR(MAXIFS(PAYMENTS!A:A,PAYMENTS!C:C,E425),""))</f>
        <v/>
      </c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>
        <f>IF(E426="","",SUMIF(PAYMENTS!C:C,E426,PAYMENTS!E:E))</f>
        <v/>
      </c>
      <c r="M426">
        <f>IF(E426="","",J426-L426)</f>
        <v/>
      </c>
      <c r="N426">
        <f>IF(E426="","",IF(M426&lt;=0,"Paid",IF(L426&gt;0,"Part Paid","Unpaid")))</f>
        <v/>
      </c>
      <c r="O426">
        <f>IF(E426="","",IFERROR(MAXIFS(PAYMENTS!A:A,PAYMENTS!C:C,E426),""))</f>
        <v/>
      </c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>
        <f>IF(E427="","",SUMIF(PAYMENTS!C:C,E427,PAYMENTS!E:E))</f>
        <v/>
      </c>
      <c r="M427">
        <f>IF(E427="","",J427-L427)</f>
        <v/>
      </c>
      <c r="N427">
        <f>IF(E427="","",IF(M427&lt;=0,"Paid",IF(L427&gt;0,"Part Paid","Unpaid")))</f>
        <v/>
      </c>
      <c r="O427">
        <f>IF(E427="","",IFERROR(MAXIFS(PAYMENTS!A:A,PAYMENTS!C:C,E427),""))</f>
        <v/>
      </c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>
        <f>IF(E428="","",SUMIF(PAYMENTS!C:C,E428,PAYMENTS!E:E))</f>
        <v/>
      </c>
      <c r="M428">
        <f>IF(E428="","",J428-L428)</f>
        <v/>
      </c>
      <c r="N428">
        <f>IF(E428="","",IF(M428&lt;=0,"Paid",IF(L428&gt;0,"Part Paid","Unpaid")))</f>
        <v/>
      </c>
      <c r="O428">
        <f>IF(E428="","",IFERROR(MAXIFS(PAYMENTS!A:A,PAYMENTS!C:C,E428),""))</f>
        <v/>
      </c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>
        <f>IF(E429="","",SUMIF(PAYMENTS!C:C,E429,PAYMENTS!E:E))</f>
        <v/>
      </c>
      <c r="M429">
        <f>IF(E429="","",J429-L429)</f>
        <v/>
      </c>
      <c r="N429">
        <f>IF(E429="","",IF(M429&lt;=0,"Paid",IF(L429&gt;0,"Part Paid","Unpaid")))</f>
        <v/>
      </c>
      <c r="O429">
        <f>IF(E429="","",IFERROR(MAXIFS(PAYMENTS!A:A,PAYMENTS!C:C,E429),""))</f>
        <v/>
      </c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>
        <f>IF(E430="","",SUMIF(PAYMENTS!C:C,E430,PAYMENTS!E:E))</f>
        <v/>
      </c>
      <c r="M430">
        <f>IF(E430="","",J430-L430)</f>
        <v/>
      </c>
      <c r="N430">
        <f>IF(E430="","",IF(M430&lt;=0,"Paid",IF(L430&gt;0,"Part Paid","Unpaid")))</f>
        <v/>
      </c>
      <c r="O430">
        <f>IF(E430="","",IFERROR(MAXIFS(PAYMENTS!A:A,PAYMENTS!C:C,E430),""))</f>
        <v/>
      </c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>
        <f>IF(E431="","",SUMIF(PAYMENTS!C:C,E431,PAYMENTS!E:E))</f>
        <v/>
      </c>
      <c r="M431">
        <f>IF(E431="","",J431-L431)</f>
        <v/>
      </c>
      <c r="N431">
        <f>IF(E431="","",IF(M431&lt;=0,"Paid",IF(L431&gt;0,"Part Paid","Unpaid")))</f>
        <v/>
      </c>
      <c r="O431">
        <f>IF(E431="","",IFERROR(MAXIFS(PAYMENTS!A:A,PAYMENTS!C:C,E431),""))</f>
        <v/>
      </c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>
        <f>IF(E432="","",SUMIF(PAYMENTS!C:C,E432,PAYMENTS!E:E))</f>
        <v/>
      </c>
      <c r="M432">
        <f>IF(E432="","",J432-L432)</f>
        <v/>
      </c>
      <c r="N432">
        <f>IF(E432="","",IF(M432&lt;=0,"Paid",IF(L432&gt;0,"Part Paid","Unpaid")))</f>
        <v/>
      </c>
      <c r="O432">
        <f>IF(E432="","",IFERROR(MAXIFS(PAYMENTS!A:A,PAYMENTS!C:C,E432),""))</f>
        <v/>
      </c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>
        <f>IF(E433="","",SUMIF(PAYMENTS!C:C,E433,PAYMENTS!E:E))</f>
        <v/>
      </c>
      <c r="M433">
        <f>IF(E433="","",J433-L433)</f>
        <v/>
      </c>
      <c r="N433">
        <f>IF(E433="","",IF(M433&lt;=0,"Paid",IF(L433&gt;0,"Part Paid","Unpaid")))</f>
        <v/>
      </c>
      <c r="O433">
        <f>IF(E433="","",IFERROR(MAXIFS(PAYMENTS!A:A,PAYMENTS!C:C,E433),""))</f>
        <v/>
      </c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>
        <f>IF(E434="","",SUMIF(PAYMENTS!C:C,E434,PAYMENTS!E:E))</f>
        <v/>
      </c>
      <c r="M434">
        <f>IF(E434="","",J434-L434)</f>
        <v/>
      </c>
      <c r="N434">
        <f>IF(E434="","",IF(M434&lt;=0,"Paid",IF(L434&gt;0,"Part Paid","Unpaid")))</f>
        <v/>
      </c>
      <c r="O434">
        <f>IF(E434="","",IFERROR(MAXIFS(PAYMENTS!A:A,PAYMENTS!C:C,E434),""))</f>
        <v/>
      </c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>
        <f>IF(E435="","",SUMIF(PAYMENTS!C:C,E435,PAYMENTS!E:E))</f>
        <v/>
      </c>
      <c r="M435">
        <f>IF(E435="","",J435-L435)</f>
        <v/>
      </c>
      <c r="N435">
        <f>IF(E435="","",IF(M435&lt;=0,"Paid",IF(L435&gt;0,"Part Paid","Unpaid")))</f>
        <v/>
      </c>
      <c r="O435">
        <f>IF(E435="","",IFERROR(MAXIFS(PAYMENTS!A:A,PAYMENTS!C:C,E435),""))</f>
        <v/>
      </c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>
        <f>IF(E436="","",SUMIF(PAYMENTS!C:C,E436,PAYMENTS!E:E))</f>
        <v/>
      </c>
      <c r="M436">
        <f>IF(E436="","",J436-L436)</f>
        <v/>
      </c>
      <c r="N436">
        <f>IF(E436="","",IF(M436&lt;=0,"Paid",IF(L436&gt;0,"Part Paid","Unpaid")))</f>
        <v/>
      </c>
      <c r="O436">
        <f>IF(E436="","",IFERROR(MAXIFS(PAYMENTS!A:A,PAYMENTS!C:C,E436),""))</f>
        <v/>
      </c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>
        <f>IF(E437="","",SUMIF(PAYMENTS!C:C,E437,PAYMENTS!E:E))</f>
        <v/>
      </c>
      <c r="M437">
        <f>IF(E437="","",J437-L437)</f>
        <v/>
      </c>
      <c r="N437">
        <f>IF(E437="","",IF(M437&lt;=0,"Paid",IF(L437&gt;0,"Part Paid","Unpaid")))</f>
        <v/>
      </c>
      <c r="O437">
        <f>IF(E437="","",IFERROR(MAXIFS(PAYMENTS!A:A,PAYMENTS!C:C,E437),""))</f>
        <v/>
      </c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>
        <f>IF(E438="","",SUMIF(PAYMENTS!C:C,E438,PAYMENTS!E:E))</f>
        <v/>
      </c>
      <c r="M438">
        <f>IF(E438="","",J438-L438)</f>
        <v/>
      </c>
      <c r="N438">
        <f>IF(E438="","",IF(M438&lt;=0,"Paid",IF(L438&gt;0,"Part Paid","Unpaid")))</f>
        <v/>
      </c>
      <c r="O438">
        <f>IF(E438="","",IFERROR(MAXIFS(PAYMENTS!A:A,PAYMENTS!C:C,E438),""))</f>
        <v/>
      </c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>
        <f>IF(E439="","",SUMIF(PAYMENTS!C:C,E439,PAYMENTS!E:E))</f>
        <v/>
      </c>
      <c r="M439">
        <f>IF(E439="","",J439-L439)</f>
        <v/>
      </c>
      <c r="N439">
        <f>IF(E439="","",IF(M439&lt;=0,"Paid",IF(L439&gt;0,"Part Paid","Unpaid")))</f>
        <v/>
      </c>
      <c r="O439">
        <f>IF(E439="","",IFERROR(MAXIFS(PAYMENTS!A:A,PAYMENTS!C:C,E439),""))</f>
        <v/>
      </c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>
        <f>IF(E440="","",SUMIF(PAYMENTS!C:C,E440,PAYMENTS!E:E))</f>
        <v/>
      </c>
      <c r="M440">
        <f>IF(E440="","",J440-L440)</f>
        <v/>
      </c>
      <c r="N440">
        <f>IF(E440="","",IF(M440&lt;=0,"Paid",IF(L440&gt;0,"Part Paid","Unpaid")))</f>
        <v/>
      </c>
      <c r="O440">
        <f>IF(E440="","",IFERROR(MAXIFS(PAYMENTS!A:A,PAYMENTS!C:C,E440),""))</f>
        <v/>
      </c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>
        <f>IF(E441="","",SUMIF(PAYMENTS!C:C,E441,PAYMENTS!E:E))</f>
        <v/>
      </c>
      <c r="M441">
        <f>IF(E441="","",J441-L441)</f>
        <v/>
      </c>
      <c r="N441">
        <f>IF(E441="","",IF(M441&lt;=0,"Paid",IF(L441&gt;0,"Part Paid","Unpaid")))</f>
        <v/>
      </c>
      <c r="O441">
        <f>IF(E441="","",IFERROR(MAXIFS(PAYMENTS!A:A,PAYMENTS!C:C,E441),""))</f>
        <v/>
      </c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>
        <f>IF(E442="","",SUMIF(PAYMENTS!C:C,E442,PAYMENTS!E:E))</f>
        <v/>
      </c>
      <c r="M442">
        <f>IF(E442="","",J442-L442)</f>
        <v/>
      </c>
      <c r="N442">
        <f>IF(E442="","",IF(M442&lt;=0,"Paid",IF(L442&gt;0,"Part Paid","Unpaid")))</f>
        <v/>
      </c>
      <c r="O442">
        <f>IF(E442="","",IFERROR(MAXIFS(PAYMENTS!A:A,PAYMENTS!C:C,E442),""))</f>
        <v/>
      </c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>
        <f>IF(E443="","",SUMIF(PAYMENTS!C:C,E443,PAYMENTS!E:E))</f>
        <v/>
      </c>
      <c r="M443">
        <f>IF(E443="","",J443-L443)</f>
        <v/>
      </c>
      <c r="N443">
        <f>IF(E443="","",IF(M443&lt;=0,"Paid",IF(L443&gt;0,"Part Paid","Unpaid")))</f>
        <v/>
      </c>
      <c r="O443">
        <f>IF(E443="","",IFERROR(MAXIFS(PAYMENTS!A:A,PAYMENTS!C:C,E443),""))</f>
        <v/>
      </c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>
        <f>IF(E444="","",SUMIF(PAYMENTS!C:C,E444,PAYMENTS!E:E))</f>
        <v/>
      </c>
      <c r="M444">
        <f>IF(E444="","",J444-L444)</f>
        <v/>
      </c>
      <c r="N444">
        <f>IF(E444="","",IF(M444&lt;=0,"Paid",IF(L444&gt;0,"Part Paid","Unpaid")))</f>
        <v/>
      </c>
      <c r="O444">
        <f>IF(E444="","",IFERROR(MAXIFS(PAYMENTS!A:A,PAYMENTS!C:C,E444),""))</f>
        <v/>
      </c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>
        <f>IF(E445="","",SUMIF(PAYMENTS!C:C,E445,PAYMENTS!E:E))</f>
        <v/>
      </c>
      <c r="M445">
        <f>IF(E445="","",J445-L445)</f>
        <v/>
      </c>
      <c r="N445">
        <f>IF(E445="","",IF(M445&lt;=0,"Paid",IF(L445&gt;0,"Part Paid","Unpaid")))</f>
        <v/>
      </c>
      <c r="O445">
        <f>IF(E445="","",IFERROR(MAXIFS(PAYMENTS!A:A,PAYMENTS!C:C,E445),""))</f>
        <v/>
      </c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>
        <f>IF(E446="","",SUMIF(PAYMENTS!C:C,E446,PAYMENTS!E:E))</f>
        <v/>
      </c>
      <c r="M446">
        <f>IF(E446="","",J446-L446)</f>
        <v/>
      </c>
      <c r="N446">
        <f>IF(E446="","",IF(M446&lt;=0,"Paid",IF(L446&gt;0,"Part Paid","Unpaid")))</f>
        <v/>
      </c>
      <c r="O446">
        <f>IF(E446="","",IFERROR(MAXIFS(PAYMENTS!A:A,PAYMENTS!C:C,E446),""))</f>
        <v/>
      </c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>
        <f>IF(E447="","",SUMIF(PAYMENTS!C:C,E447,PAYMENTS!E:E))</f>
        <v/>
      </c>
      <c r="M447">
        <f>IF(E447="","",J447-L447)</f>
        <v/>
      </c>
      <c r="N447">
        <f>IF(E447="","",IF(M447&lt;=0,"Paid",IF(L447&gt;0,"Part Paid","Unpaid")))</f>
        <v/>
      </c>
      <c r="O447">
        <f>IF(E447="","",IFERROR(MAXIFS(PAYMENTS!A:A,PAYMENTS!C:C,E447),""))</f>
        <v/>
      </c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>
        <f>IF(E448="","",SUMIF(PAYMENTS!C:C,E448,PAYMENTS!E:E))</f>
        <v/>
      </c>
      <c r="M448">
        <f>IF(E448="","",J448-L448)</f>
        <v/>
      </c>
      <c r="N448">
        <f>IF(E448="","",IF(M448&lt;=0,"Paid",IF(L448&gt;0,"Part Paid","Unpaid")))</f>
        <v/>
      </c>
      <c r="O448">
        <f>IF(E448="","",IFERROR(MAXIFS(PAYMENTS!A:A,PAYMENTS!C:C,E448),""))</f>
        <v/>
      </c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>
        <f>IF(E449="","",SUMIF(PAYMENTS!C:C,E449,PAYMENTS!E:E))</f>
        <v/>
      </c>
      <c r="M449">
        <f>IF(E449="","",J449-L449)</f>
        <v/>
      </c>
      <c r="N449">
        <f>IF(E449="","",IF(M449&lt;=0,"Paid",IF(L449&gt;0,"Part Paid","Unpaid")))</f>
        <v/>
      </c>
      <c r="O449">
        <f>IF(E449="","",IFERROR(MAXIFS(PAYMENTS!A:A,PAYMENTS!C:C,E449),""))</f>
        <v/>
      </c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>
        <f>IF(E450="","",SUMIF(PAYMENTS!C:C,E450,PAYMENTS!E:E))</f>
        <v/>
      </c>
      <c r="M450">
        <f>IF(E450="","",J450-L450)</f>
        <v/>
      </c>
      <c r="N450">
        <f>IF(E450="","",IF(M450&lt;=0,"Paid",IF(L450&gt;0,"Part Paid","Unpaid")))</f>
        <v/>
      </c>
      <c r="O450">
        <f>IF(E450="","",IFERROR(MAXIFS(PAYMENTS!A:A,PAYMENTS!C:C,E450),""))</f>
        <v/>
      </c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>
        <f>IF(E451="","",SUMIF(PAYMENTS!C:C,E451,PAYMENTS!E:E))</f>
        <v/>
      </c>
      <c r="M451">
        <f>IF(E451="","",J451-L451)</f>
        <v/>
      </c>
      <c r="N451">
        <f>IF(E451="","",IF(M451&lt;=0,"Paid",IF(L451&gt;0,"Part Paid","Unpaid")))</f>
        <v/>
      </c>
      <c r="O451">
        <f>IF(E451="","",IFERROR(MAXIFS(PAYMENTS!A:A,PAYMENTS!C:C,E451),""))</f>
        <v/>
      </c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>
        <f>IF(E452="","",SUMIF(PAYMENTS!C:C,E452,PAYMENTS!E:E))</f>
        <v/>
      </c>
      <c r="M452">
        <f>IF(E452="","",J452-L452)</f>
        <v/>
      </c>
      <c r="N452">
        <f>IF(E452="","",IF(M452&lt;=0,"Paid",IF(L452&gt;0,"Part Paid","Unpaid")))</f>
        <v/>
      </c>
      <c r="O452">
        <f>IF(E452="","",IFERROR(MAXIFS(PAYMENTS!A:A,PAYMENTS!C:C,E452),""))</f>
        <v/>
      </c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>
        <f>IF(E453="","",SUMIF(PAYMENTS!C:C,E453,PAYMENTS!E:E))</f>
        <v/>
      </c>
      <c r="M453">
        <f>IF(E453="","",J453-L453)</f>
        <v/>
      </c>
      <c r="N453">
        <f>IF(E453="","",IF(M453&lt;=0,"Paid",IF(L453&gt;0,"Part Paid","Unpaid")))</f>
        <v/>
      </c>
      <c r="O453">
        <f>IF(E453="","",IFERROR(MAXIFS(PAYMENTS!A:A,PAYMENTS!C:C,E453),""))</f>
        <v/>
      </c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>
        <f>IF(E454="","",SUMIF(PAYMENTS!C:C,E454,PAYMENTS!E:E))</f>
        <v/>
      </c>
      <c r="M454">
        <f>IF(E454="","",J454-L454)</f>
        <v/>
      </c>
      <c r="N454">
        <f>IF(E454="","",IF(M454&lt;=0,"Paid",IF(L454&gt;0,"Part Paid","Unpaid")))</f>
        <v/>
      </c>
      <c r="O454">
        <f>IF(E454="","",IFERROR(MAXIFS(PAYMENTS!A:A,PAYMENTS!C:C,E454),""))</f>
        <v/>
      </c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>
        <f>IF(E455="","",SUMIF(PAYMENTS!C:C,E455,PAYMENTS!E:E))</f>
        <v/>
      </c>
      <c r="M455">
        <f>IF(E455="","",J455-L455)</f>
        <v/>
      </c>
      <c r="N455">
        <f>IF(E455="","",IF(M455&lt;=0,"Paid",IF(L455&gt;0,"Part Paid","Unpaid")))</f>
        <v/>
      </c>
      <c r="O455">
        <f>IF(E455="","",IFERROR(MAXIFS(PAYMENTS!A:A,PAYMENTS!C:C,E455),""))</f>
        <v/>
      </c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>
        <f>IF(E456="","",SUMIF(PAYMENTS!C:C,E456,PAYMENTS!E:E))</f>
        <v/>
      </c>
      <c r="M456">
        <f>IF(E456="","",J456-L456)</f>
        <v/>
      </c>
      <c r="N456">
        <f>IF(E456="","",IF(M456&lt;=0,"Paid",IF(L456&gt;0,"Part Paid","Unpaid")))</f>
        <v/>
      </c>
      <c r="O456">
        <f>IF(E456="","",IFERROR(MAXIFS(PAYMENTS!A:A,PAYMENTS!C:C,E456),""))</f>
        <v/>
      </c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>
        <f>IF(E457="","",SUMIF(PAYMENTS!C:C,E457,PAYMENTS!E:E))</f>
        <v/>
      </c>
      <c r="M457">
        <f>IF(E457="","",J457-L457)</f>
        <v/>
      </c>
      <c r="N457">
        <f>IF(E457="","",IF(M457&lt;=0,"Paid",IF(L457&gt;0,"Part Paid","Unpaid")))</f>
        <v/>
      </c>
      <c r="O457">
        <f>IF(E457="","",IFERROR(MAXIFS(PAYMENTS!A:A,PAYMENTS!C:C,E457),""))</f>
        <v/>
      </c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>
        <f>IF(E458="","",SUMIF(PAYMENTS!C:C,E458,PAYMENTS!E:E))</f>
        <v/>
      </c>
      <c r="M458">
        <f>IF(E458="","",J458-L458)</f>
        <v/>
      </c>
      <c r="N458">
        <f>IF(E458="","",IF(M458&lt;=0,"Paid",IF(L458&gt;0,"Part Paid","Unpaid")))</f>
        <v/>
      </c>
      <c r="O458">
        <f>IF(E458="","",IFERROR(MAXIFS(PAYMENTS!A:A,PAYMENTS!C:C,E458),""))</f>
        <v/>
      </c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>
        <f>IF(E459="","",SUMIF(PAYMENTS!C:C,E459,PAYMENTS!E:E))</f>
        <v/>
      </c>
      <c r="M459">
        <f>IF(E459="","",J459-L459)</f>
        <v/>
      </c>
      <c r="N459">
        <f>IF(E459="","",IF(M459&lt;=0,"Paid",IF(L459&gt;0,"Part Paid","Unpaid")))</f>
        <v/>
      </c>
      <c r="O459">
        <f>IF(E459="","",IFERROR(MAXIFS(PAYMENTS!A:A,PAYMENTS!C:C,E459),""))</f>
        <v/>
      </c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>
        <f>IF(E460="","",SUMIF(PAYMENTS!C:C,E460,PAYMENTS!E:E))</f>
        <v/>
      </c>
      <c r="M460">
        <f>IF(E460="","",J460-L460)</f>
        <v/>
      </c>
      <c r="N460">
        <f>IF(E460="","",IF(M460&lt;=0,"Paid",IF(L460&gt;0,"Part Paid","Unpaid")))</f>
        <v/>
      </c>
      <c r="O460">
        <f>IF(E460="","",IFERROR(MAXIFS(PAYMENTS!A:A,PAYMENTS!C:C,E460),""))</f>
        <v/>
      </c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>
        <f>IF(E461="","",SUMIF(PAYMENTS!C:C,E461,PAYMENTS!E:E))</f>
        <v/>
      </c>
      <c r="M461">
        <f>IF(E461="","",J461-L461)</f>
        <v/>
      </c>
      <c r="N461">
        <f>IF(E461="","",IF(M461&lt;=0,"Paid",IF(L461&gt;0,"Part Paid","Unpaid")))</f>
        <v/>
      </c>
      <c r="O461">
        <f>IF(E461="","",IFERROR(MAXIFS(PAYMENTS!A:A,PAYMENTS!C:C,E461),""))</f>
        <v/>
      </c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>
        <f>IF(E462="","",SUMIF(PAYMENTS!C:C,E462,PAYMENTS!E:E))</f>
        <v/>
      </c>
      <c r="M462">
        <f>IF(E462="","",J462-L462)</f>
        <v/>
      </c>
      <c r="N462">
        <f>IF(E462="","",IF(M462&lt;=0,"Paid",IF(L462&gt;0,"Part Paid","Unpaid")))</f>
        <v/>
      </c>
      <c r="O462">
        <f>IF(E462="","",IFERROR(MAXIFS(PAYMENTS!A:A,PAYMENTS!C:C,E462),""))</f>
        <v/>
      </c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>
        <f>IF(E463="","",SUMIF(PAYMENTS!C:C,E463,PAYMENTS!E:E))</f>
        <v/>
      </c>
      <c r="M463">
        <f>IF(E463="","",J463-L463)</f>
        <v/>
      </c>
      <c r="N463">
        <f>IF(E463="","",IF(M463&lt;=0,"Paid",IF(L463&gt;0,"Part Paid","Unpaid")))</f>
        <v/>
      </c>
      <c r="O463">
        <f>IF(E463="","",IFERROR(MAXIFS(PAYMENTS!A:A,PAYMENTS!C:C,E463),""))</f>
        <v/>
      </c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>
        <f>IF(E464="","",SUMIF(PAYMENTS!C:C,E464,PAYMENTS!E:E))</f>
        <v/>
      </c>
      <c r="M464">
        <f>IF(E464="","",J464-L464)</f>
        <v/>
      </c>
      <c r="N464">
        <f>IF(E464="","",IF(M464&lt;=0,"Paid",IF(L464&gt;0,"Part Paid","Unpaid")))</f>
        <v/>
      </c>
      <c r="O464">
        <f>IF(E464="","",IFERROR(MAXIFS(PAYMENTS!A:A,PAYMENTS!C:C,E464),""))</f>
        <v/>
      </c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>
        <f>IF(E465="","",SUMIF(PAYMENTS!C:C,E465,PAYMENTS!E:E))</f>
        <v/>
      </c>
      <c r="M465">
        <f>IF(E465="","",J465-L465)</f>
        <v/>
      </c>
      <c r="N465">
        <f>IF(E465="","",IF(M465&lt;=0,"Paid",IF(L465&gt;0,"Part Paid","Unpaid")))</f>
        <v/>
      </c>
      <c r="O465">
        <f>IF(E465="","",IFERROR(MAXIFS(PAYMENTS!A:A,PAYMENTS!C:C,E465),""))</f>
        <v/>
      </c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>
        <f>IF(E466="","",SUMIF(PAYMENTS!C:C,E466,PAYMENTS!E:E))</f>
        <v/>
      </c>
      <c r="M466">
        <f>IF(E466="","",J466-L466)</f>
        <v/>
      </c>
      <c r="N466">
        <f>IF(E466="","",IF(M466&lt;=0,"Paid",IF(L466&gt;0,"Part Paid","Unpaid")))</f>
        <v/>
      </c>
      <c r="O466">
        <f>IF(E466="","",IFERROR(MAXIFS(PAYMENTS!A:A,PAYMENTS!C:C,E466),""))</f>
        <v/>
      </c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>
        <f>IF(E467="","",SUMIF(PAYMENTS!C:C,E467,PAYMENTS!E:E))</f>
        <v/>
      </c>
      <c r="M467">
        <f>IF(E467="","",J467-L467)</f>
        <v/>
      </c>
      <c r="N467">
        <f>IF(E467="","",IF(M467&lt;=0,"Paid",IF(L467&gt;0,"Part Paid","Unpaid")))</f>
        <v/>
      </c>
      <c r="O467">
        <f>IF(E467="","",IFERROR(MAXIFS(PAYMENTS!A:A,PAYMENTS!C:C,E467),""))</f>
        <v/>
      </c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>
        <f>IF(E468="","",SUMIF(PAYMENTS!C:C,E468,PAYMENTS!E:E))</f>
        <v/>
      </c>
      <c r="M468">
        <f>IF(E468="","",J468-L468)</f>
        <v/>
      </c>
      <c r="N468">
        <f>IF(E468="","",IF(M468&lt;=0,"Paid",IF(L468&gt;0,"Part Paid","Unpaid")))</f>
        <v/>
      </c>
      <c r="O468">
        <f>IF(E468="","",IFERROR(MAXIFS(PAYMENTS!A:A,PAYMENTS!C:C,E468),""))</f>
        <v/>
      </c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>
        <f>IF(E469="","",SUMIF(PAYMENTS!C:C,E469,PAYMENTS!E:E))</f>
        <v/>
      </c>
      <c r="M469">
        <f>IF(E469="","",J469-L469)</f>
        <v/>
      </c>
      <c r="N469">
        <f>IF(E469="","",IF(M469&lt;=0,"Paid",IF(L469&gt;0,"Part Paid","Unpaid")))</f>
        <v/>
      </c>
      <c r="O469">
        <f>IF(E469="","",IFERROR(MAXIFS(PAYMENTS!A:A,PAYMENTS!C:C,E469),""))</f>
        <v/>
      </c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>
        <f>IF(E470="","",SUMIF(PAYMENTS!C:C,E470,PAYMENTS!E:E))</f>
        <v/>
      </c>
      <c r="M470">
        <f>IF(E470="","",J470-L470)</f>
        <v/>
      </c>
      <c r="N470">
        <f>IF(E470="","",IF(M470&lt;=0,"Paid",IF(L470&gt;0,"Part Paid","Unpaid")))</f>
        <v/>
      </c>
      <c r="O470">
        <f>IF(E470="","",IFERROR(MAXIFS(PAYMENTS!A:A,PAYMENTS!C:C,E470),""))</f>
        <v/>
      </c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>
        <f>IF(E471="","",SUMIF(PAYMENTS!C:C,E471,PAYMENTS!E:E))</f>
        <v/>
      </c>
      <c r="M471">
        <f>IF(E471="","",J471-L471)</f>
        <v/>
      </c>
      <c r="N471">
        <f>IF(E471="","",IF(M471&lt;=0,"Paid",IF(L471&gt;0,"Part Paid","Unpaid")))</f>
        <v/>
      </c>
      <c r="O471">
        <f>IF(E471="","",IFERROR(MAXIFS(PAYMENTS!A:A,PAYMENTS!C:C,E471),""))</f>
        <v/>
      </c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>
        <f>IF(E472="","",SUMIF(PAYMENTS!C:C,E472,PAYMENTS!E:E))</f>
        <v/>
      </c>
      <c r="M472">
        <f>IF(E472="","",J472-L472)</f>
        <v/>
      </c>
      <c r="N472">
        <f>IF(E472="","",IF(M472&lt;=0,"Paid",IF(L472&gt;0,"Part Paid","Unpaid")))</f>
        <v/>
      </c>
      <c r="O472">
        <f>IF(E472="","",IFERROR(MAXIFS(PAYMENTS!A:A,PAYMENTS!C:C,E472),""))</f>
        <v/>
      </c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>
        <f>IF(E473="","",SUMIF(PAYMENTS!C:C,E473,PAYMENTS!E:E))</f>
        <v/>
      </c>
      <c r="M473">
        <f>IF(E473="","",J473-L473)</f>
        <v/>
      </c>
      <c r="N473">
        <f>IF(E473="","",IF(M473&lt;=0,"Paid",IF(L473&gt;0,"Part Paid","Unpaid")))</f>
        <v/>
      </c>
      <c r="O473">
        <f>IF(E473="","",IFERROR(MAXIFS(PAYMENTS!A:A,PAYMENTS!C:C,E473),""))</f>
        <v/>
      </c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>
        <f>IF(E474="","",SUMIF(PAYMENTS!C:C,E474,PAYMENTS!E:E))</f>
        <v/>
      </c>
      <c r="M474">
        <f>IF(E474="","",J474-L474)</f>
        <v/>
      </c>
      <c r="N474">
        <f>IF(E474="","",IF(M474&lt;=0,"Paid",IF(L474&gt;0,"Part Paid","Unpaid")))</f>
        <v/>
      </c>
      <c r="O474">
        <f>IF(E474="","",IFERROR(MAXIFS(PAYMENTS!A:A,PAYMENTS!C:C,E474),""))</f>
        <v/>
      </c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>
        <f>IF(E475="","",SUMIF(PAYMENTS!C:C,E475,PAYMENTS!E:E))</f>
        <v/>
      </c>
      <c r="M475">
        <f>IF(E475="","",J475-L475)</f>
        <v/>
      </c>
      <c r="N475">
        <f>IF(E475="","",IF(M475&lt;=0,"Paid",IF(L475&gt;0,"Part Paid","Unpaid")))</f>
        <v/>
      </c>
      <c r="O475">
        <f>IF(E475="","",IFERROR(MAXIFS(PAYMENTS!A:A,PAYMENTS!C:C,E475),""))</f>
        <v/>
      </c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>
        <f>IF(E476="","",SUMIF(PAYMENTS!C:C,E476,PAYMENTS!E:E))</f>
        <v/>
      </c>
      <c r="M476">
        <f>IF(E476="","",J476-L476)</f>
        <v/>
      </c>
      <c r="N476">
        <f>IF(E476="","",IF(M476&lt;=0,"Paid",IF(L476&gt;0,"Part Paid","Unpaid")))</f>
        <v/>
      </c>
      <c r="O476">
        <f>IF(E476="","",IFERROR(MAXIFS(PAYMENTS!A:A,PAYMENTS!C:C,E476),""))</f>
        <v/>
      </c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>
        <f>IF(E477="","",SUMIF(PAYMENTS!C:C,E477,PAYMENTS!E:E))</f>
        <v/>
      </c>
      <c r="M477">
        <f>IF(E477="","",J477-L477)</f>
        <v/>
      </c>
      <c r="N477">
        <f>IF(E477="","",IF(M477&lt;=0,"Paid",IF(L477&gt;0,"Part Paid","Unpaid")))</f>
        <v/>
      </c>
      <c r="O477">
        <f>IF(E477="","",IFERROR(MAXIFS(PAYMENTS!A:A,PAYMENTS!C:C,E477),""))</f>
        <v/>
      </c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>
        <f>IF(E478="","",SUMIF(PAYMENTS!C:C,E478,PAYMENTS!E:E))</f>
        <v/>
      </c>
      <c r="M478">
        <f>IF(E478="","",J478-L478)</f>
        <v/>
      </c>
      <c r="N478">
        <f>IF(E478="","",IF(M478&lt;=0,"Paid",IF(L478&gt;0,"Part Paid","Unpaid")))</f>
        <v/>
      </c>
      <c r="O478">
        <f>IF(E478="","",IFERROR(MAXIFS(PAYMENTS!A:A,PAYMENTS!C:C,E478),""))</f>
        <v/>
      </c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>
        <f>IF(E479="","",SUMIF(PAYMENTS!C:C,E479,PAYMENTS!E:E))</f>
        <v/>
      </c>
      <c r="M479">
        <f>IF(E479="","",J479-L479)</f>
        <v/>
      </c>
      <c r="N479">
        <f>IF(E479="","",IF(M479&lt;=0,"Paid",IF(L479&gt;0,"Part Paid","Unpaid")))</f>
        <v/>
      </c>
      <c r="O479">
        <f>IF(E479="","",IFERROR(MAXIFS(PAYMENTS!A:A,PAYMENTS!C:C,E479),""))</f>
        <v/>
      </c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>
        <f>IF(E480="","",SUMIF(PAYMENTS!C:C,E480,PAYMENTS!E:E))</f>
        <v/>
      </c>
      <c r="M480">
        <f>IF(E480="","",J480-L480)</f>
        <v/>
      </c>
      <c r="N480">
        <f>IF(E480="","",IF(M480&lt;=0,"Paid",IF(L480&gt;0,"Part Paid","Unpaid")))</f>
        <v/>
      </c>
      <c r="O480">
        <f>IF(E480="","",IFERROR(MAXIFS(PAYMENTS!A:A,PAYMENTS!C:C,E480),""))</f>
        <v/>
      </c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>
        <f>IF(E481="","",SUMIF(PAYMENTS!C:C,E481,PAYMENTS!E:E))</f>
        <v/>
      </c>
      <c r="M481">
        <f>IF(E481="","",J481-L481)</f>
        <v/>
      </c>
      <c r="N481">
        <f>IF(E481="","",IF(M481&lt;=0,"Paid",IF(L481&gt;0,"Part Paid","Unpaid")))</f>
        <v/>
      </c>
      <c r="O481">
        <f>IF(E481="","",IFERROR(MAXIFS(PAYMENTS!A:A,PAYMENTS!C:C,E481),""))</f>
        <v/>
      </c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>
        <f>IF(E482="","",SUMIF(PAYMENTS!C:C,E482,PAYMENTS!E:E))</f>
        <v/>
      </c>
      <c r="M482">
        <f>IF(E482="","",J482-L482)</f>
        <v/>
      </c>
      <c r="N482">
        <f>IF(E482="","",IF(M482&lt;=0,"Paid",IF(L482&gt;0,"Part Paid","Unpaid")))</f>
        <v/>
      </c>
      <c r="O482">
        <f>IF(E482="","",IFERROR(MAXIFS(PAYMENTS!A:A,PAYMENTS!C:C,E482),""))</f>
        <v/>
      </c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>
        <f>IF(E483="","",SUMIF(PAYMENTS!C:C,E483,PAYMENTS!E:E))</f>
        <v/>
      </c>
      <c r="M483">
        <f>IF(E483="","",J483-L483)</f>
        <v/>
      </c>
      <c r="N483">
        <f>IF(E483="","",IF(M483&lt;=0,"Paid",IF(L483&gt;0,"Part Paid","Unpaid")))</f>
        <v/>
      </c>
      <c r="O483">
        <f>IF(E483="","",IFERROR(MAXIFS(PAYMENTS!A:A,PAYMENTS!C:C,E483),""))</f>
        <v/>
      </c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>
        <f>IF(E484="","",SUMIF(PAYMENTS!C:C,E484,PAYMENTS!E:E))</f>
        <v/>
      </c>
      <c r="M484">
        <f>IF(E484="","",J484-L484)</f>
        <v/>
      </c>
      <c r="N484">
        <f>IF(E484="","",IF(M484&lt;=0,"Paid",IF(L484&gt;0,"Part Paid","Unpaid")))</f>
        <v/>
      </c>
      <c r="O484">
        <f>IF(E484="","",IFERROR(MAXIFS(PAYMENTS!A:A,PAYMENTS!C:C,E484),""))</f>
        <v/>
      </c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>
        <f>IF(E485="","",SUMIF(PAYMENTS!C:C,E485,PAYMENTS!E:E))</f>
        <v/>
      </c>
      <c r="M485">
        <f>IF(E485="","",J485-L485)</f>
        <v/>
      </c>
      <c r="N485">
        <f>IF(E485="","",IF(M485&lt;=0,"Paid",IF(L485&gt;0,"Part Paid","Unpaid")))</f>
        <v/>
      </c>
      <c r="O485">
        <f>IF(E485="","",IFERROR(MAXIFS(PAYMENTS!A:A,PAYMENTS!C:C,E485),""))</f>
        <v/>
      </c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>
        <f>IF(E486="","",SUMIF(PAYMENTS!C:C,E486,PAYMENTS!E:E))</f>
        <v/>
      </c>
      <c r="M486">
        <f>IF(E486="","",J486-L486)</f>
        <v/>
      </c>
      <c r="N486">
        <f>IF(E486="","",IF(M486&lt;=0,"Paid",IF(L486&gt;0,"Part Paid","Unpaid")))</f>
        <v/>
      </c>
      <c r="O486">
        <f>IF(E486="","",IFERROR(MAXIFS(PAYMENTS!A:A,PAYMENTS!C:C,E486),""))</f>
        <v/>
      </c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>
        <f>IF(E487="","",SUMIF(PAYMENTS!C:C,E487,PAYMENTS!E:E))</f>
        <v/>
      </c>
      <c r="M487">
        <f>IF(E487="","",J487-L487)</f>
        <v/>
      </c>
      <c r="N487">
        <f>IF(E487="","",IF(M487&lt;=0,"Paid",IF(L487&gt;0,"Part Paid","Unpaid")))</f>
        <v/>
      </c>
      <c r="O487">
        <f>IF(E487="","",IFERROR(MAXIFS(PAYMENTS!A:A,PAYMENTS!C:C,E487),""))</f>
        <v/>
      </c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>
        <f>IF(E488="","",SUMIF(PAYMENTS!C:C,E488,PAYMENTS!E:E))</f>
        <v/>
      </c>
      <c r="M488">
        <f>IF(E488="","",J488-L488)</f>
        <v/>
      </c>
      <c r="N488">
        <f>IF(E488="","",IF(M488&lt;=0,"Paid",IF(L488&gt;0,"Part Paid","Unpaid")))</f>
        <v/>
      </c>
      <c r="O488">
        <f>IF(E488="","",IFERROR(MAXIFS(PAYMENTS!A:A,PAYMENTS!C:C,E488),""))</f>
        <v/>
      </c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>
        <f>IF(E489="","",SUMIF(PAYMENTS!C:C,E489,PAYMENTS!E:E))</f>
        <v/>
      </c>
      <c r="M489">
        <f>IF(E489="","",J489-L489)</f>
        <v/>
      </c>
      <c r="N489">
        <f>IF(E489="","",IF(M489&lt;=0,"Paid",IF(L489&gt;0,"Part Paid","Unpaid")))</f>
        <v/>
      </c>
      <c r="O489">
        <f>IF(E489="","",IFERROR(MAXIFS(PAYMENTS!A:A,PAYMENTS!C:C,E489),""))</f>
        <v/>
      </c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>
        <f>IF(E490="","",SUMIF(PAYMENTS!C:C,E490,PAYMENTS!E:E))</f>
        <v/>
      </c>
      <c r="M490">
        <f>IF(E490="","",J490-L490)</f>
        <v/>
      </c>
      <c r="N490">
        <f>IF(E490="","",IF(M490&lt;=0,"Paid",IF(L490&gt;0,"Part Paid","Unpaid")))</f>
        <v/>
      </c>
      <c r="O490">
        <f>IF(E490="","",IFERROR(MAXIFS(PAYMENTS!A:A,PAYMENTS!C:C,E490),""))</f>
        <v/>
      </c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>
        <f>IF(E491="","",SUMIF(PAYMENTS!C:C,E491,PAYMENTS!E:E))</f>
        <v/>
      </c>
      <c r="M491">
        <f>IF(E491="","",J491-L491)</f>
        <v/>
      </c>
      <c r="N491">
        <f>IF(E491="","",IF(M491&lt;=0,"Paid",IF(L491&gt;0,"Part Paid","Unpaid")))</f>
        <v/>
      </c>
      <c r="O491">
        <f>IF(E491="","",IFERROR(MAXIFS(PAYMENTS!A:A,PAYMENTS!C:C,E491),""))</f>
        <v/>
      </c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>
        <f>IF(E492="","",SUMIF(PAYMENTS!C:C,E492,PAYMENTS!E:E))</f>
        <v/>
      </c>
      <c r="M492">
        <f>IF(E492="","",J492-L492)</f>
        <v/>
      </c>
      <c r="N492">
        <f>IF(E492="","",IF(M492&lt;=0,"Paid",IF(L492&gt;0,"Part Paid","Unpaid")))</f>
        <v/>
      </c>
      <c r="O492">
        <f>IF(E492="","",IFERROR(MAXIFS(PAYMENTS!A:A,PAYMENTS!C:C,E492),""))</f>
        <v/>
      </c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>
        <f>IF(E493="","",SUMIF(PAYMENTS!C:C,E493,PAYMENTS!E:E))</f>
        <v/>
      </c>
      <c r="M493">
        <f>IF(E493="","",J493-L493)</f>
        <v/>
      </c>
      <c r="N493">
        <f>IF(E493="","",IF(M493&lt;=0,"Paid",IF(L493&gt;0,"Part Paid","Unpaid")))</f>
        <v/>
      </c>
      <c r="O493">
        <f>IF(E493="","",IFERROR(MAXIFS(PAYMENTS!A:A,PAYMENTS!C:C,E493),""))</f>
        <v/>
      </c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>
        <f>IF(E494="","",SUMIF(PAYMENTS!C:C,E494,PAYMENTS!E:E))</f>
        <v/>
      </c>
      <c r="M494">
        <f>IF(E494="","",J494-L494)</f>
        <v/>
      </c>
      <c r="N494">
        <f>IF(E494="","",IF(M494&lt;=0,"Paid",IF(L494&gt;0,"Part Paid","Unpaid")))</f>
        <v/>
      </c>
      <c r="O494">
        <f>IF(E494="","",IFERROR(MAXIFS(PAYMENTS!A:A,PAYMENTS!C:C,E494),""))</f>
        <v/>
      </c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>
        <f>IF(E495="","",SUMIF(PAYMENTS!C:C,E495,PAYMENTS!E:E))</f>
        <v/>
      </c>
      <c r="M495">
        <f>IF(E495="","",J495-L495)</f>
        <v/>
      </c>
      <c r="N495">
        <f>IF(E495="","",IF(M495&lt;=0,"Paid",IF(L495&gt;0,"Part Paid","Unpaid")))</f>
        <v/>
      </c>
      <c r="O495">
        <f>IF(E495="","",IFERROR(MAXIFS(PAYMENTS!A:A,PAYMENTS!C:C,E495),""))</f>
        <v/>
      </c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>
        <f>IF(E496="","",SUMIF(PAYMENTS!C:C,E496,PAYMENTS!E:E))</f>
        <v/>
      </c>
      <c r="M496">
        <f>IF(E496="","",J496-L496)</f>
        <v/>
      </c>
      <c r="N496">
        <f>IF(E496="","",IF(M496&lt;=0,"Paid",IF(L496&gt;0,"Part Paid","Unpaid")))</f>
        <v/>
      </c>
      <c r="O496">
        <f>IF(E496="","",IFERROR(MAXIFS(PAYMENTS!A:A,PAYMENTS!C:C,E496),""))</f>
        <v/>
      </c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>
        <f>IF(E497="","",SUMIF(PAYMENTS!C:C,E497,PAYMENTS!E:E))</f>
        <v/>
      </c>
      <c r="M497">
        <f>IF(E497="","",J497-L497)</f>
        <v/>
      </c>
      <c r="N497">
        <f>IF(E497="","",IF(M497&lt;=0,"Paid",IF(L497&gt;0,"Part Paid","Unpaid")))</f>
        <v/>
      </c>
      <c r="O497">
        <f>IF(E497="","",IFERROR(MAXIFS(PAYMENTS!A:A,PAYMENTS!C:C,E497),""))</f>
        <v/>
      </c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>
        <f>IF(E498="","",SUMIF(PAYMENTS!C:C,E498,PAYMENTS!E:E))</f>
        <v/>
      </c>
      <c r="M498">
        <f>IF(E498="","",J498-L498)</f>
        <v/>
      </c>
      <c r="N498">
        <f>IF(E498="","",IF(M498&lt;=0,"Paid",IF(L498&gt;0,"Part Paid","Unpaid")))</f>
        <v/>
      </c>
      <c r="O498">
        <f>IF(E498="","",IFERROR(MAXIFS(PAYMENTS!A:A,PAYMENTS!C:C,E498),""))</f>
        <v/>
      </c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>
        <f>IF(E499="","",SUMIF(PAYMENTS!C:C,E499,PAYMENTS!E:E))</f>
        <v/>
      </c>
      <c r="M499">
        <f>IF(E499="","",J499-L499)</f>
        <v/>
      </c>
      <c r="N499">
        <f>IF(E499="","",IF(M499&lt;=0,"Paid",IF(L499&gt;0,"Part Paid","Unpaid")))</f>
        <v/>
      </c>
      <c r="O499">
        <f>IF(E499="","",IFERROR(MAXIFS(PAYMENTS!A:A,PAYMENTS!C:C,E499),""))</f>
        <v/>
      </c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>
        <f>IF(E500="","",SUMIF(PAYMENTS!C:C,E500,PAYMENTS!E:E))</f>
        <v/>
      </c>
      <c r="M500">
        <f>IF(E500="","",J500-L500)</f>
        <v/>
      </c>
      <c r="N500">
        <f>IF(E500="","",IF(M500&lt;=0,"Paid",IF(L500&gt;0,"Part Paid","Unpaid")))</f>
        <v/>
      </c>
      <c r="O500">
        <f>IF(E500="","",IFERROR(MAXIFS(PAYMENTS!A:A,PAYMENTS!C:C,E500),""))</f>
        <v/>
      </c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>
        <f>IF(E501="","",SUMIF(PAYMENTS!C:C,E501,PAYMENTS!E:E))</f>
        <v/>
      </c>
      <c r="M501">
        <f>IF(E501="","",J501-L501)</f>
        <v/>
      </c>
      <c r="N501">
        <f>IF(E501="","",IF(M501&lt;=0,"Paid",IF(L501&gt;0,"Part Paid","Unpaid")))</f>
        <v/>
      </c>
      <c r="O501">
        <f>IF(E501="","",IFERROR(MAXIFS(PAYMENTS!A:A,PAYMENTS!C:C,E501),""))</f>
        <v/>
      </c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>
        <f>IF(E502="","",SUMIF(PAYMENTS!C:C,E502,PAYMENTS!E:E))</f>
        <v/>
      </c>
      <c r="M502">
        <f>IF(E502="","",J502-L502)</f>
        <v/>
      </c>
      <c r="N502">
        <f>IF(E502="","",IF(M502&lt;=0,"Paid",IF(L502&gt;0,"Part Paid","Unpaid")))</f>
        <v/>
      </c>
      <c r="O502">
        <f>IF(E502="","",IFERROR(MAXIFS(PAYMENTS!A:A,PAYMENTS!C:C,E502),""))</f>
        <v/>
      </c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>
        <f>IF(E503="","",SUMIF(PAYMENTS!C:C,E503,PAYMENTS!E:E))</f>
        <v/>
      </c>
      <c r="M503">
        <f>IF(E503="","",J503-L503)</f>
        <v/>
      </c>
      <c r="N503">
        <f>IF(E503="","",IF(M503&lt;=0,"Paid",IF(L503&gt;0,"Part Paid","Unpaid")))</f>
        <v/>
      </c>
      <c r="O503">
        <f>IF(E503="","",IFERROR(MAXIFS(PAYMENTS!A:A,PAYMENTS!C:C,E503),""))</f>
        <v/>
      </c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>
        <f>IF(E504="","",SUMIF(PAYMENTS!C:C,E504,PAYMENTS!E:E))</f>
        <v/>
      </c>
      <c r="M504">
        <f>IF(E504="","",J504-L504)</f>
        <v/>
      </c>
      <c r="N504">
        <f>IF(E504="","",IF(M504&lt;=0,"Paid",IF(L504&gt;0,"Part Paid","Unpaid")))</f>
        <v/>
      </c>
      <c r="O504">
        <f>IF(E504="","",IFERROR(MAXIFS(PAYMENTS!A:A,PAYMENTS!C:C,E504),""))</f>
        <v/>
      </c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>
        <f>IF(E505="","",SUMIF(PAYMENTS!C:C,E505,PAYMENTS!E:E))</f>
        <v/>
      </c>
      <c r="M505">
        <f>IF(E505="","",J505-L505)</f>
        <v/>
      </c>
      <c r="N505">
        <f>IF(E505="","",IF(M505&lt;=0,"Paid",IF(L505&gt;0,"Part Paid","Unpaid")))</f>
        <v/>
      </c>
      <c r="O505">
        <f>IF(E505="","",IFERROR(MAXIFS(PAYMENTS!A:A,PAYMENTS!C:C,E505),""))</f>
        <v/>
      </c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>
        <f>IF(E506="","",SUMIF(PAYMENTS!C:C,E506,PAYMENTS!E:E))</f>
        <v/>
      </c>
      <c r="M506">
        <f>IF(E506="","",J506-L506)</f>
        <v/>
      </c>
      <c r="N506">
        <f>IF(E506="","",IF(M506&lt;=0,"Paid",IF(L506&gt;0,"Part Paid","Unpaid")))</f>
        <v/>
      </c>
      <c r="O506">
        <f>IF(E506="","",IFERROR(MAXIFS(PAYMENTS!A:A,PAYMENTS!C:C,E506),""))</f>
        <v/>
      </c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>
        <f>IF(E507="","",SUMIF(PAYMENTS!C:C,E507,PAYMENTS!E:E))</f>
        <v/>
      </c>
      <c r="M507">
        <f>IF(E507="","",J507-L507)</f>
        <v/>
      </c>
      <c r="N507">
        <f>IF(E507="","",IF(M507&lt;=0,"Paid",IF(L507&gt;0,"Part Paid","Unpaid")))</f>
        <v/>
      </c>
      <c r="O507">
        <f>IF(E507="","",IFERROR(MAXIFS(PAYMENTS!A:A,PAYMENTS!C:C,E507),""))</f>
        <v/>
      </c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>
        <f>IF(E508="","",SUMIF(PAYMENTS!C:C,E508,PAYMENTS!E:E))</f>
        <v/>
      </c>
      <c r="M508">
        <f>IF(E508="","",J508-L508)</f>
        <v/>
      </c>
      <c r="N508">
        <f>IF(E508="","",IF(M508&lt;=0,"Paid",IF(L508&gt;0,"Part Paid","Unpaid")))</f>
        <v/>
      </c>
      <c r="O508">
        <f>IF(E508="","",IFERROR(MAXIFS(PAYMENTS!A:A,PAYMENTS!C:C,E508),""))</f>
        <v/>
      </c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>
        <f>IF(E509="","",SUMIF(PAYMENTS!C:C,E509,PAYMENTS!E:E))</f>
        <v/>
      </c>
      <c r="M509">
        <f>IF(E509="","",J509-L509)</f>
        <v/>
      </c>
      <c r="N509">
        <f>IF(E509="","",IF(M509&lt;=0,"Paid",IF(L509&gt;0,"Part Paid","Unpaid")))</f>
        <v/>
      </c>
      <c r="O509">
        <f>IF(E509="","",IFERROR(MAXIFS(PAYMENTS!A:A,PAYMENTS!C:C,E509),""))</f>
        <v/>
      </c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>
        <f>IF(E510="","",SUMIF(PAYMENTS!C:C,E510,PAYMENTS!E:E))</f>
        <v/>
      </c>
      <c r="M510">
        <f>IF(E510="","",J510-L510)</f>
        <v/>
      </c>
      <c r="N510">
        <f>IF(E510="","",IF(M510&lt;=0,"Paid",IF(L510&gt;0,"Part Paid","Unpaid")))</f>
        <v/>
      </c>
      <c r="O510">
        <f>IF(E510="","",IFERROR(MAXIFS(PAYMENTS!A:A,PAYMENTS!C:C,E510),""))</f>
        <v/>
      </c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>
        <f>IF(E511="","",SUMIF(PAYMENTS!C:C,E511,PAYMENTS!E:E))</f>
        <v/>
      </c>
      <c r="M511">
        <f>IF(E511="","",J511-L511)</f>
        <v/>
      </c>
      <c r="N511">
        <f>IF(E511="","",IF(M511&lt;=0,"Paid",IF(L511&gt;0,"Part Paid","Unpaid")))</f>
        <v/>
      </c>
      <c r="O511">
        <f>IF(E511="","",IFERROR(MAXIFS(PAYMENTS!A:A,PAYMENTS!C:C,E511),""))</f>
        <v/>
      </c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>
        <f>IF(E512="","",SUMIF(PAYMENTS!C:C,E512,PAYMENTS!E:E))</f>
        <v/>
      </c>
      <c r="M512">
        <f>IF(E512="","",J512-L512)</f>
        <v/>
      </c>
      <c r="N512">
        <f>IF(E512="","",IF(M512&lt;=0,"Paid",IF(L512&gt;0,"Part Paid","Unpaid")))</f>
        <v/>
      </c>
      <c r="O512">
        <f>IF(E512="","",IFERROR(MAXIFS(PAYMENTS!A:A,PAYMENTS!C:C,E512),""))</f>
        <v/>
      </c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>
        <f>IF(E513="","",SUMIF(PAYMENTS!C:C,E513,PAYMENTS!E:E))</f>
        <v/>
      </c>
      <c r="M513">
        <f>IF(E513="","",J513-L513)</f>
        <v/>
      </c>
      <c r="N513">
        <f>IF(E513="","",IF(M513&lt;=0,"Paid",IF(L513&gt;0,"Part Paid","Unpaid")))</f>
        <v/>
      </c>
      <c r="O513">
        <f>IF(E513="","",IFERROR(MAXIFS(PAYMENTS!A:A,PAYMENTS!C:C,E513),""))</f>
        <v/>
      </c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>
        <f>IF(E514="","",SUMIF(PAYMENTS!C:C,E514,PAYMENTS!E:E))</f>
        <v/>
      </c>
      <c r="M514">
        <f>IF(E514="","",J514-L514)</f>
        <v/>
      </c>
      <c r="N514">
        <f>IF(E514="","",IF(M514&lt;=0,"Paid",IF(L514&gt;0,"Part Paid","Unpaid")))</f>
        <v/>
      </c>
      <c r="O514">
        <f>IF(E514="","",IFERROR(MAXIFS(PAYMENTS!A:A,PAYMENTS!C:C,E514),""))</f>
        <v/>
      </c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>
        <f>IF(E515="","",SUMIF(PAYMENTS!C:C,E515,PAYMENTS!E:E))</f>
        <v/>
      </c>
      <c r="M515">
        <f>IF(E515="","",J515-L515)</f>
        <v/>
      </c>
      <c r="N515">
        <f>IF(E515="","",IF(M515&lt;=0,"Paid",IF(L515&gt;0,"Part Paid","Unpaid")))</f>
        <v/>
      </c>
      <c r="O515">
        <f>IF(E515="","",IFERROR(MAXIFS(PAYMENTS!A:A,PAYMENTS!C:C,E515),""))</f>
        <v/>
      </c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>
        <f>IF(E516="","",SUMIF(PAYMENTS!C:C,E516,PAYMENTS!E:E))</f>
        <v/>
      </c>
      <c r="M516">
        <f>IF(E516="","",J516-L516)</f>
        <v/>
      </c>
      <c r="N516">
        <f>IF(E516="","",IF(M516&lt;=0,"Paid",IF(L516&gt;0,"Part Paid","Unpaid")))</f>
        <v/>
      </c>
      <c r="O516">
        <f>IF(E516="","",IFERROR(MAXIFS(PAYMENTS!A:A,PAYMENTS!C:C,E516),""))</f>
        <v/>
      </c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>
        <f>IF(E517="","",SUMIF(PAYMENTS!C:C,E517,PAYMENTS!E:E))</f>
        <v/>
      </c>
      <c r="M517">
        <f>IF(E517="","",J517-L517)</f>
        <v/>
      </c>
      <c r="N517">
        <f>IF(E517="","",IF(M517&lt;=0,"Paid",IF(L517&gt;0,"Part Paid","Unpaid")))</f>
        <v/>
      </c>
      <c r="O517">
        <f>IF(E517="","",IFERROR(MAXIFS(PAYMENTS!A:A,PAYMENTS!C:C,E517),""))</f>
        <v/>
      </c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>
        <f>IF(E518="","",SUMIF(PAYMENTS!C:C,E518,PAYMENTS!E:E))</f>
        <v/>
      </c>
      <c r="M518">
        <f>IF(E518="","",J518-L518)</f>
        <v/>
      </c>
      <c r="N518">
        <f>IF(E518="","",IF(M518&lt;=0,"Paid",IF(L518&gt;0,"Part Paid","Unpaid")))</f>
        <v/>
      </c>
      <c r="O518">
        <f>IF(E518="","",IFERROR(MAXIFS(PAYMENTS!A:A,PAYMENTS!C:C,E518),""))</f>
        <v/>
      </c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>
        <f>IF(E519="","",SUMIF(PAYMENTS!C:C,E519,PAYMENTS!E:E))</f>
        <v/>
      </c>
      <c r="M519">
        <f>IF(E519="","",J519-L519)</f>
        <v/>
      </c>
      <c r="N519">
        <f>IF(E519="","",IF(M519&lt;=0,"Paid",IF(L519&gt;0,"Part Paid","Unpaid")))</f>
        <v/>
      </c>
      <c r="O519">
        <f>IF(E519="","",IFERROR(MAXIFS(PAYMENTS!A:A,PAYMENTS!C:C,E519),""))</f>
        <v/>
      </c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>
        <f>IF(E520="","",SUMIF(PAYMENTS!C:C,E520,PAYMENTS!E:E))</f>
        <v/>
      </c>
      <c r="M520">
        <f>IF(E520="","",J520-L520)</f>
        <v/>
      </c>
      <c r="N520">
        <f>IF(E520="","",IF(M520&lt;=0,"Paid",IF(L520&gt;0,"Part Paid","Unpaid")))</f>
        <v/>
      </c>
      <c r="O520">
        <f>IF(E520="","",IFERROR(MAXIFS(PAYMENTS!A:A,PAYMENTS!C:C,E520),""))</f>
        <v/>
      </c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>
        <f>IF(E521="","",SUMIF(PAYMENTS!C:C,E521,PAYMENTS!E:E))</f>
        <v/>
      </c>
      <c r="M521">
        <f>IF(E521="","",J521-L521)</f>
        <v/>
      </c>
      <c r="N521">
        <f>IF(E521="","",IF(M521&lt;=0,"Paid",IF(L521&gt;0,"Part Paid","Unpaid")))</f>
        <v/>
      </c>
      <c r="O521">
        <f>IF(E521="","",IFERROR(MAXIFS(PAYMENTS!A:A,PAYMENTS!C:C,E521),""))</f>
        <v/>
      </c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>
        <f>IF(E522="","",SUMIF(PAYMENTS!C:C,E522,PAYMENTS!E:E))</f>
        <v/>
      </c>
      <c r="M522">
        <f>IF(E522="","",J522-L522)</f>
        <v/>
      </c>
      <c r="N522">
        <f>IF(E522="","",IF(M522&lt;=0,"Paid",IF(L522&gt;0,"Part Paid","Unpaid")))</f>
        <v/>
      </c>
      <c r="O522">
        <f>IF(E522="","",IFERROR(MAXIFS(PAYMENTS!A:A,PAYMENTS!C:C,E522),""))</f>
        <v/>
      </c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>
        <f>IF(E523="","",SUMIF(PAYMENTS!C:C,E523,PAYMENTS!E:E))</f>
        <v/>
      </c>
      <c r="M523">
        <f>IF(E523="","",J523-L523)</f>
        <v/>
      </c>
      <c r="N523">
        <f>IF(E523="","",IF(M523&lt;=0,"Paid",IF(L523&gt;0,"Part Paid","Unpaid")))</f>
        <v/>
      </c>
      <c r="O523">
        <f>IF(E523="","",IFERROR(MAXIFS(PAYMENTS!A:A,PAYMENTS!C:C,E523),""))</f>
        <v/>
      </c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>
        <f>IF(E524="","",SUMIF(PAYMENTS!C:C,E524,PAYMENTS!E:E))</f>
        <v/>
      </c>
      <c r="M524">
        <f>IF(E524="","",J524-L524)</f>
        <v/>
      </c>
      <c r="N524">
        <f>IF(E524="","",IF(M524&lt;=0,"Paid",IF(L524&gt;0,"Part Paid","Unpaid")))</f>
        <v/>
      </c>
      <c r="O524">
        <f>IF(E524="","",IFERROR(MAXIFS(PAYMENTS!A:A,PAYMENTS!C:C,E524),""))</f>
        <v/>
      </c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>
        <f>IF(E525="","",SUMIF(PAYMENTS!C:C,E525,PAYMENTS!E:E))</f>
        <v/>
      </c>
      <c r="M525">
        <f>IF(E525="","",J525-L525)</f>
        <v/>
      </c>
      <c r="N525">
        <f>IF(E525="","",IF(M525&lt;=0,"Paid",IF(L525&gt;0,"Part Paid","Unpaid")))</f>
        <v/>
      </c>
      <c r="O525">
        <f>IF(E525="","",IFERROR(MAXIFS(PAYMENTS!A:A,PAYMENTS!C:C,E525),""))</f>
        <v/>
      </c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>
        <f>IF(E526="","",SUMIF(PAYMENTS!C:C,E526,PAYMENTS!E:E))</f>
        <v/>
      </c>
      <c r="M526">
        <f>IF(E526="","",J526-L526)</f>
        <v/>
      </c>
      <c r="N526">
        <f>IF(E526="","",IF(M526&lt;=0,"Paid",IF(L526&gt;0,"Part Paid","Unpaid")))</f>
        <v/>
      </c>
      <c r="O526">
        <f>IF(E526="","",IFERROR(MAXIFS(PAYMENTS!A:A,PAYMENTS!C:C,E526),""))</f>
        <v/>
      </c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>
        <f>IF(E527="","",SUMIF(PAYMENTS!C:C,E527,PAYMENTS!E:E))</f>
        <v/>
      </c>
      <c r="M527">
        <f>IF(E527="","",J527-L527)</f>
        <v/>
      </c>
      <c r="N527">
        <f>IF(E527="","",IF(M527&lt;=0,"Paid",IF(L527&gt;0,"Part Paid","Unpaid")))</f>
        <v/>
      </c>
      <c r="O527">
        <f>IF(E527="","",IFERROR(MAXIFS(PAYMENTS!A:A,PAYMENTS!C:C,E527),""))</f>
        <v/>
      </c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>
        <f>IF(E528="","",SUMIF(PAYMENTS!C:C,E528,PAYMENTS!E:E))</f>
        <v/>
      </c>
      <c r="M528">
        <f>IF(E528="","",J528-L528)</f>
        <v/>
      </c>
      <c r="N528">
        <f>IF(E528="","",IF(M528&lt;=0,"Paid",IF(L528&gt;0,"Part Paid","Unpaid")))</f>
        <v/>
      </c>
      <c r="O528">
        <f>IF(E528="","",IFERROR(MAXIFS(PAYMENTS!A:A,PAYMENTS!C:C,E528),""))</f>
        <v/>
      </c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>
        <f>IF(E529="","",SUMIF(PAYMENTS!C:C,E529,PAYMENTS!E:E))</f>
        <v/>
      </c>
      <c r="M529">
        <f>IF(E529="","",J529-L529)</f>
        <v/>
      </c>
      <c r="N529">
        <f>IF(E529="","",IF(M529&lt;=0,"Paid",IF(L529&gt;0,"Part Paid","Unpaid")))</f>
        <v/>
      </c>
      <c r="O529">
        <f>IF(E529="","",IFERROR(MAXIFS(PAYMENTS!A:A,PAYMENTS!C:C,E529),""))</f>
        <v/>
      </c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>
        <f>IF(E530="","",SUMIF(PAYMENTS!C:C,E530,PAYMENTS!E:E))</f>
        <v/>
      </c>
      <c r="M530">
        <f>IF(E530="","",J530-L530)</f>
        <v/>
      </c>
      <c r="N530">
        <f>IF(E530="","",IF(M530&lt;=0,"Paid",IF(L530&gt;0,"Part Paid","Unpaid")))</f>
        <v/>
      </c>
      <c r="O530">
        <f>IF(E530="","",IFERROR(MAXIFS(PAYMENTS!A:A,PAYMENTS!C:C,E530),""))</f>
        <v/>
      </c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>
        <f>IF(E531="","",SUMIF(PAYMENTS!C:C,E531,PAYMENTS!E:E))</f>
        <v/>
      </c>
      <c r="M531">
        <f>IF(E531="","",J531-L531)</f>
        <v/>
      </c>
      <c r="N531">
        <f>IF(E531="","",IF(M531&lt;=0,"Paid",IF(L531&gt;0,"Part Paid","Unpaid")))</f>
        <v/>
      </c>
      <c r="O531">
        <f>IF(E531="","",IFERROR(MAXIFS(PAYMENTS!A:A,PAYMENTS!C:C,E531),""))</f>
        <v/>
      </c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>
        <f>IF(E532="","",SUMIF(PAYMENTS!C:C,E532,PAYMENTS!E:E))</f>
        <v/>
      </c>
      <c r="M532">
        <f>IF(E532="","",J532-L532)</f>
        <v/>
      </c>
      <c r="N532">
        <f>IF(E532="","",IF(M532&lt;=0,"Paid",IF(L532&gt;0,"Part Paid","Unpaid")))</f>
        <v/>
      </c>
      <c r="O532">
        <f>IF(E532="","",IFERROR(MAXIFS(PAYMENTS!A:A,PAYMENTS!C:C,E532),""))</f>
        <v/>
      </c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>
        <f>IF(E533="","",SUMIF(PAYMENTS!C:C,E533,PAYMENTS!E:E))</f>
        <v/>
      </c>
      <c r="M533">
        <f>IF(E533="","",J533-L533)</f>
        <v/>
      </c>
      <c r="N533">
        <f>IF(E533="","",IF(M533&lt;=0,"Paid",IF(L533&gt;0,"Part Paid","Unpaid")))</f>
        <v/>
      </c>
      <c r="O533">
        <f>IF(E533="","",IFERROR(MAXIFS(PAYMENTS!A:A,PAYMENTS!C:C,E533),""))</f>
        <v/>
      </c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>
        <f>IF(E534="","",SUMIF(PAYMENTS!C:C,E534,PAYMENTS!E:E))</f>
        <v/>
      </c>
      <c r="M534">
        <f>IF(E534="","",J534-L534)</f>
        <v/>
      </c>
      <c r="N534">
        <f>IF(E534="","",IF(M534&lt;=0,"Paid",IF(L534&gt;0,"Part Paid","Unpaid")))</f>
        <v/>
      </c>
      <c r="O534">
        <f>IF(E534="","",IFERROR(MAXIFS(PAYMENTS!A:A,PAYMENTS!C:C,E534),""))</f>
        <v/>
      </c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>
        <f>IF(E535="","",SUMIF(PAYMENTS!C:C,E535,PAYMENTS!E:E))</f>
        <v/>
      </c>
      <c r="M535">
        <f>IF(E535="","",J535-L535)</f>
        <v/>
      </c>
      <c r="N535">
        <f>IF(E535="","",IF(M535&lt;=0,"Paid",IF(L535&gt;0,"Part Paid","Unpaid")))</f>
        <v/>
      </c>
      <c r="O535">
        <f>IF(E535="","",IFERROR(MAXIFS(PAYMENTS!A:A,PAYMENTS!C:C,E535),""))</f>
        <v/>
      </c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>
        <f>IF(E536="","",SUMIF(PAYMENTS!C:C,E536,PAYMENTS!E:E))</f>
        <v/>
      </c>
      <c r="M536">
        <f>IF(E536="","",J536-L536)</f>
        <v/>
      </c>
      <c r="N536">
        <f>IF(E536="","",IF(M536&lt;=0,"Paid",IF(L536&gt;0,"Part Paid","Unpaid")))</f>
        <v/>
      </c>
      <c r="O536">
        <f>IF(E536="","",IFERROR(MAXIFS(PAYMENTS!A:A,PAYMENTS!C:C,E536),""))</f>
        <v/>
      </c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>
        <f>IF(E537="","",SUMIF(PAYMENTS!C:C,E537,PAYMENTS!E:E))</f>
        <v/>
      </c>
      <c r="M537">
        <f>IF(E537="","",J537-L537)</f>
        <v/>
      </c>
      <c r="N537">
        <f>IF(E537="","",IF(M537&lt;=0,"Paid",IF(L537&gt;0,"Part Paid","Unpaid")))</f>
        <v/>
      </c>
      <c r="O537">
        <f>IF(E537="","",IFERROR(MAXIFS(PAYMENTS!A:A,PAYMENTS!C:C,E537),""))</f>
        <v/>
      </c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>
        <f>IF(E538="","",SUMIF(PAYMENTS!C:C,E538,PAYMENTS!E:E))</f>
        <v/>
      </c>
      <c r="M538">
        <f>IF(E538="","",J538-L538)</f>
        <v/>
      </c>
      <c r="N538">
        <f>IF(E538="","",IF(M538&lt;=0,"Paid",IF(L538&gt;0,"Part Paid","Unpaid")))</f>
        <v/>
      </c>
      <c r="O538">
        <f>IF(E538="","",IFERROR(MAXIFS(PAYMENTS!A:A,PAYMENTS!C:C,E538),""))</f>
        <v/>
      </c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>
        <f>IF(E539="","",SUMIF(PAYMENTS!C:C,E539,PAYMENTS!E:E))</f>
        <v/>
      </c>
      <c r="M539">
        <f>IF(E539="","",J539-L539)</f>
        <v/>
      </c>
      <c r="N539">
        <f>IF(E539="","",IF(M539&lt;=0,"Paid",IF(L539&gt;0,"Part Paid","Unpaid")))</f>
        <v/>
      </c>
      <c r="O539">
        <f>IF(E539="","",IFERROR(MAXIFS(PAYMENTS!A:A,PAYMENTS!C:C,E539),""))</f>
        <v/>
      </c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>
        <f>IF(E540="","",SUMIF(PAYMENTS!C:C,E540,PAYMENTS!E:E))</f>
        <v/>
      </c>
      <c r="M540">
        <f>IF(E540="","",J540-L540)</f>
        <v/>
      </c>
      <c r="N540">
        <f>IF(E540="","",IF(M540&lt;=0,"Paid",IF(L540&gt;0,"Part Paid","Unpaid")))</f>
        <v/>
      </c>
      <c r="O540">
        <f>IF(E540="","",IFERROR(MAXIFS(PAYMENTS!A:A,PAYMENTS!C:C,E540),""))</f>
        <v/>
      </c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>
        <f>IF(E541="","",SUMIF(PAYMENTS!C:C,E541,PAYMENTS!E:E))</f>
        <v/>
      </c>
      <c r="M541">
        <f>IF(E541="","",J541-L541)</f>
        <v/>
      </c>
      <c r="N541">
        <f>IF(E541="","",IF(M541&lt;=0,"Paid",IF(L541&gt;0,"Part Paid","Unpaid")))</f>
        <v/>
      </c>
      <c r="O541">
        <f>IF(E541="","",IFERROR(MAXIFS(PAYMENTS!A:A,PAYMENTS!C:C,E541),""))</f>
        <v/>
      </c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>
        <f>IF(E542="","",SUMIF(PAYMENTS!C:C,E542,PAYMENTS!E:E))</f>
        <v/>
      </c>
      <c r="M542">
        <f>IF(E542="","",J542-L542)</f>
        <v/>
      </c>
      <c r="N542">
        <f>IF(E542="","",IF(M542&lt;=0,"Paid",IF(L542&gt;0,"Part Paid","Unpaid")))</f>
        <v/>
      </c>
      <c r="O542">
        <f>IF(E542="","",IFERROR(MAXIFS(PAYMENTS!A:A,PAYMENTS!C:C,E542),""))</f>
        <v/>
      </c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>
        <f>IF(E543="","",SUMIF(PAYMENTS!C:C,E543,PAYMENTS!E:E))</f>
        <v/>
      </c>
      <c r="M543">
        <f>IF(E543="","",J543-L543)</f>
        <v/>
      </c>
      <c r="N543">
        <f>IF(E543="","",IF(M543&lt;=0,"Paid",IF(L543&gt;0,"Part Paid","Unpaid")))</f>
        <v/>
      </c>
      <c r="O543">
        <f>IF(E543="","",IFERROR(MAXIFS(PAYMENTS!A:A,PAYMENTS!C:C,E543),""))</f>
        <v/>
      </c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>
        <f>IF(E544="","",SUMIF(PAYMENTS!C:C,E544,PAYMENTS!E:E))</f>
        <v/>
      </c>
      <c r="M544">
        <f>IF(E544="","",J544-L544)</f>
        <v/>
      </c>
      <c r="N544">
        <f>IF(E544="","",IF(M544&lt;=0,"Paid",IF(L544&gt;0,"Part Paid","Unpaid")))</f>
        <v/>
      </c>
      <c r="O544">
        <f>IF(E544="","",IFERROR(MAXIFS(PAYMENTS!A:A,PAYMENTS!C:C,E544),""))</f>
        <v/>
      </c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>
        <f>IF(E545="","",SUMIF(PAYMENTS!C:C,E545,PAYMENTS!E:E))</f>
        <v/>
      </c>
      <c r="M545">
        <f>IF(E545="","",J545-L545)</f>
        <v/>
      </c>
      <c r="N545">
        <f>IF(E545="","",IF(M545&lt;=0,"Paid",IF(L545&gt;0,"Part Paid","Unpaid")))</f>
        <v/>
      </c>
      <c r="O545">
        <f>IF(E545="","",IFERROR(MAXIFS(PAYMENTS!A:A,PAYMENTS!C:C,E545),""))</f>
        <v/>
      </c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>
        <f>IF(E546="","",SUMIF(PAYMENTS!C:C,E546,PAYMENTS!E:E))</f>
        <v/>
      </c>
      <c r="M546">
        <f>IF(E546="","",J546-L546)</f>
        <v/>
      </c>
      <c r="N546">
        <f>IF(E546="","",IF(M546&lt;=0,"Paid",IF(L546&gt;0,"Part Paid","Unpaid")))</f>
        <v/>
      </c>
      <c r="O546">
        <f>IF(E546="","",IFERROR(MAXIFS(PAYMENTS!A:A,PAYMENTS!C:C,E546),""))</f>
        <v/>
      </c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>
        <f>IF(E547="","",SUMIF(PAYMENTS!C:C,E547,PAYMENTS!E:E))</f>
        <v/>
      </c>
      <c r="M547">
        <f>IF(E547="","",J547-L547)</f>
        <v/>
      </c>
      <c r="N547">
        <f>IF(E547="","",IF(M547&lt;=0,"Paid",IF(L547&gt;0,"Part Paid","Unpaid")))</f>
        <v/>
      </c>
      <c r="O547">
        <f>IF(E547="","",IFERROR(MAXIFS(PAYMENTS!A:A,PAYMENTS!C:C,E547),""))</f>
        <v/>
      </c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>
        <f>IF(E548="","",SUMIF(PAYMENTS!C:C,E548,PAYMENTS!E:E))</f>
        <v/>
      </c>
      <c r="M548">
        <f>IF(E548="","",J548-L548)</f>
        <v/>
      </c>
      <c r="N548">
        <f>IF(E548="","",IF(M548&lt;=0,"Paid",IF(L548&gt;0,"Part Paid","Unpaid")))</f>
        <v/>
      </c>
      <c r="O548">
        <f>IF(E548="","",IFERROR(MAXIFS(PAYMENTS!A:A,PAYMENTS!C:C,E548),""))</f>
        <v/>
      </c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>
        <f>IF(E549="","",SUMIF(PAYMENTS!C:C,E549,PAYMENTS!E:E))</f>
        <v/>
      </c>
      <c r="M549">
        <f>IF(E549="","",J549-L549)</f>
        <v/>
      </c>
      <c r="N549">
        <f>IF(E549="","",IF(M549&lt;=0,"Paid",IF(L549&gt;0,"Part Paid","Unpaid")))</f>
        <v/>
      </c>
      <c r="O549">
        <f>IF(E549="","",IFERROR(MAXIFS(PAYMENTS!A:A,PAYMENTS!C:C,E549),""))</f>
        <v/>
      </c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>
        <f>IF(E550="","",SUMIF(PAYMENTS!C:C,E550,PAYMENTS!E:E))</f>
        <v/>
      </c>
      <c r="M550">
        <f>IF(E550="","",J550-L550)</f>
        <v/>
      </c>
      <c r="N550">
        <f>IF(E550="","",IF(M550&lt;=0,"Paid",IF(L550&gt;0,"Part Paid","Unpaid")))</f>
        <v/>
      </c>
      <c r="O550">
        <f>IF(E550="","",IFERROR(MAXIFS(PAYMENTS!A:A,PAYMENTS!C:C,E550),""))</f>
        <v/>
      </c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>
        <f>IF(E551="","",SUMIF(PAYMENTS!C:C,E551,PAYMENTS!E:E))</f>
        <v/>
      </c>
      <c r="M551">
        <f>IF(E551="","",J551-L551)</f>
        <v/>
      </c>
      <c r="N551">
        <f>IF(E551="","",IF(M551&lt;=0,"Paid",IF(L551&gt;0,"Part Paid","Unpaid")))</f>
        <v/>
      </c>
      <c r="O551">
        <f>IF(E551="","",IFERROR(MAXIFS(PAYMENTS!A:A,PAYMENTS!C:C,E551),""))</f>
        <v/>
      </c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>
        <f>IF(E552="","",SUMIF(PAYMENTS!C:C,E552,PAYMENTS!E:E))</f>
        <v/>
      </c>
      <c r="M552">
        <f>IF(E552="","",J552-L552)</f>
        <v/>
      </c>
      <c r="N552">
        <f>IF(E552="","",IF(M552&lt;=0,"Paid",IF(L552&gt;0,"Part Paid","Unpaid")))</f>
        <v/>
      </c>
      <c r="O552">
        <f>IF(E552="","",IFERROR(MAXIFS(PAYMENTS!A:A,PAYMENTS!C:C,E552),""))</f>
        <v/>
      </c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>
        <f>IF(E553="","",SUMIF(PAYMENTS!C:C,E553,PAYMENTS!E:E))</f>
        <v/>
      </c>
      <c r="M553">
        <f>IF(E553="","",J553-L553)</f>
        <v/>
      </c>
      <c r="N553">
        <f>IF(E553="","",IF(M553&lt;=0,"Paid",IF(L553&gt;0,"Part Paid","Unpaid")))</f>
        <v/>
      </c>
      <c r="O553">
        <f>IF(E553="","",IFERROR(MAXIFS(PAYMENTS!A:A,PAYMENTS!C:C,E553),""))</f>
        <v/>
      </c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>
        <f>IF(E554="","",SUMIF(PAYMENTS!C:C,E554,PAYMENTS!E:E))</f>
        <v/>
      </c>
      <c r="M554">
        <f>IF(E554="","",J554-L554)</f>
        <v/>
      </c>
      <c r="N554">
        <f>IF(E554="","",IF(M554&lt;=0,"Paid",IF(L554&gt;0,"Part Paid","Unpaid")))</f>
        <v/>
      </c>
      <c r="O554">
        <f>IF(E554="","",IFERROR(MAXIFS(PAYMENTS!A:A,PAYMENTS!C:C,E554),""))</f>
        <v/>
      </c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>
        <f>IF(E555="","",SUMIF(PAYMENTS!C:C,E555,PAYMENTS!E:E))</f>
        <v/>
      </c>
      <c r="M555">
        <f>IF(E555="","",J555-L555)</f>
        <v/>
      </c>
      <c r="N555">
        <f>IF(E555="","",IF(M555&lt;=0,"Paid",IF(L555&gt;0,"Part Paid","Unpaid")))</f>
        <v/>
      </c>
      <c r="O555">
        <f>IF(E555="","",IFERROR(MAXIFS(PAYMENTS!A:A,PAYMENTS!C:C,E555),""))</f>
        <v/>
      </c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>
        <f>IF(E556="","",SUMIF(PAYMENTS!C:C,E556,PAYMENTS!E:E))</f>
        <v/>
      </c>
      <c r="M556">
        <f>IF(E556="","",J556-L556)</f>
        <v/>
      </c>
      <c r="N556">
        <f>IF(E556="","",IF(M556&lt;=0,"Paid",IF(L556&gt;0,"Part Paid","Unpaid")))</f>
        <v/>
      </c>
      <c r="O556">
        <f>IF(E556="","",IFERROR(MAXIFS(PAYMENTS!A:A,PAYMENTS!C:C,E556),""))</f>
        <v/>
      </c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>
        <f>IF(E557="","",SUMIF(PAYMENTS!C:C,E557,PAYMENTS!E:E))</f>
        <v/>
      </c>
      <c r="M557">
        <f>IF(E557="","",J557-L557)</f>
        <v/>
      </c>
      <c r="N557">
        <f>IF(E557="","",IF(M557&lt;=0,"Paid",IF(L557&gt;0,"Part Paid","Unpaid")))</f>
        <v/>
      </c>
      <c r="O557">
        <f>IF(E557="","",IFERROR(MAXIFS(PAYMENTS!A:A,PAYMENTS!C:C,E557),""))</f>
        <v/>
      </c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>
        <f>IF(E558="","",SUMIF(PAYMENTS!C:C,E558,PAYMENTS!E:E))</f>
        <v/>
      </c>
      <c r="M558">
        <f>IF(E558="","",J558-L558)</f>
        <v/>
      </c>
      <c r="N558">
        <f>IF(E558="","",IF(M558&lt;=0,"Paid",IF(L558&gt;0,"Part Paid","Unpaid")))</f>
        <v/>
      </c>
      <c r="O558">
        <f>IF(E558="","",IFERROR(MAXIFS(PAYMENTS!A:A,PAYMENTS!C:C,E558),""))</f>
        <v/>
      </c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>
        <f>IF(E559="","",SUMIF(PAYMENTS!C:C,E559,PAYMENTS!E:E))</f>
        <v/>
      </c>
      <c r="M559">
        <f>IF(E559="","",J559-L559)</f>
        <v/>
      </c>
      <c r="N559">
        <f>IF(E559="","",IF(M559&lt;=0,"Paid",IF(L559&gt;0,"Part Paid","Unpaid")))</f>
        <v/>
      </c>
      <c r="O559">
        <f>IF(E559="","",IFERROR(MAXIFS(PAYMENTS!A:A,PAYMENTS!C:C,E559),""))</f>
        <v/>
      </c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>
        <f>IF(E560="","",SUMIF(PAYMENTS!C:C,E560,PAYMENTS!E:E))</f>
        <v/>
      </c>
      <c r="M560">
        <f>IF(E560="","",J560-L560)</f>
        <v/>
      </c>
      <c r="N560">
        <f>IF(E560="","",IF(M560&lt;=0,"Paid",IF(L560&gt;0,"Part Paid","Unpaid")))</f>
        <v/>
      </c>
      <c r="O560">
        <f>IF(E560="","",IFERROR(MAXIFS(PAYMENTS!A:A,PAYMENTS!C:C,E560),""))</f>
        <v/>
      </c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>
        <f>IF(E561="","",SUMIF(PAYMENTS!C:C,E561,PAYMENTS!E:E))</f>
        <v/>
      </c>
      <c r="M561">
        <f>IF(E561="","",J561-L561)</f>
        <v/>
      </c>
      <c r="N561">
        <f>IF(E561="","",IF(M561&lt;=0,"Paid",IF(L561&gt;0,"Part Paid","Unpaid")))</f>
        <v/>
      </c>
      <c r="O561">
        <f>IF(E561="","",IFERROR(MAXIFS(PAYMENTS!A:A,PAYMENTS!C:C,E561),""))</f>
        <v/>
      </c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>
        <f>IF(E562="","",SUMIF(PAYMENTS!C:C,E562,PAYMENTS!E:E))</f>
        <v/>
      </c>
      <c r="M562">
        <f>IF(E562="","",J562-L562)</f>
        <v/>
      </c>
      <c r="N562">
        <f>IF(E562="","",IF(M562&lt;=0,"Paid",IF(L562&gt;0,"Part Paid","Unpaid")))</f>
        <v/>
      </c>
      <c r="O562">
        <f>IF(E562="","",IFERROR(MAXIFS(PAYMENTS!A:A,PAYMENTS!C:C,E562),""))</f>
        <v/>
      </c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>
        <f>IF(E563="","",SUMIF(PAYMENTS!C:C,E563,PAYMENTS!E:E))</f>
        <v/>
      </c>
      <c r="M563">
        <f>IF(E563="","",J563-L563)</f>
        <v/>
      </c>
      <c r="N563">
        <f>IF(E563="","",IF(M563&lt;=0,"Paid",IF(L563&gt;0,"Part Paid","Unpaid")))</f>
        <v/>
      </c>
      <c r="O563">
        <f>IF(E563="","",IFERROR(MAXIFS(PAYMENTS!A:A,PAYMENTS!C:C,E563),""))</f>
        <v/>
      </c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>
        <f>IF(E564="","",SUMIF(PAYMENTS!C:C,E564,PAYMENTS!E:E))</f>
        <v/>
      </c>
      <c r="M564">
        <f>IF(E564="","",J564-L564)</f>
        <v/>
      </c>
      <c r="N564">
        <f>IF(E564="","",IF(M564&lt;=0,"Paid",IF(L564&gt;0,"Part Paid","Unpaid")))</f>
        <v/>
      </c>
      <c r="O564">
        <f>IF(E564="","",IFERROR(MAXIFS(PAYMENTS!A:A,PAYMENTS!C:C,E564),""))</f>
        <v/>
      </c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>
        <f>IF(E565="","",SUMIF(PAYMENTS!C:C,E565,PAYMENTS!E:E))</f>
        <v/>
      </c>
      <c r="M565">
        <f>IF(E565="","",J565-L565)</f>
        <v/>
      </c>
      <c r="N565">
        <f>IF(E565="","",IF(M565&lt;=0,"Paid",IF(L565&gt;0,"Part Paid","Unpaid")))</f>
        <v/>
      </c>
      <c r="O565">
        <f>IF(E565="","",IFERROR(MAXIFS(PAYMENTS!A:A,PAYMENTS!C:C,E565),""))</f>
        <v/>
      </c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>
        <f>IF(E566="","",SUMIF(PAYMENTS!C:C,E566,PAYMENTS!E:E))</f>
        <v/>
      </c>
      <c r="M566">
        <f>IF(E566="","",J566-L566)</f>
        <v/>
      </c>
      <c r="N566">
        <f>IF(E566="","",IF(M566&lt;=0,"Paid",IF(L566&gt;0,"Part Paid","Unpaid")))</f>
        <v/>
      </c>
      <c r="O566">
        <f>IF(E566="","",IFERROR(MAXIFS(PAYMENTS!A:A,PAYMENTS!C:C,E566),""))</f>
        <v/>
      </c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>
        <f>IF(E567="","",SUMIF(PAYMENTS!C:C,E567,PAYMENTS!E:E))</f>
        <v/>
      </c>
      <c r="M567">
        <f>IF(E567="","",J567-L567)</f>
        <v/>
      </c>
      <c r="N567">
        <f>IF(E567="","",IF(M567&lt;=0,"Paid",IF(L567&gt;0,"Part Paid","Unpaid")))</f>
        <v/>
      </c>
      <c r="O567">
        <f>IF(E567="","",IFERROR(MAXIFS(PAYMENTS!A:A,PAYMENTS!C:C,E567),""))</f>
        <v/>
      </c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>
        <f>IF(E568="","",SUMIF(PAYMENTS!C:C,E568,PAYMENTS!E:E))</f>
        <v/>
      </c>
      <c r="M568">
        <f>IF(E568="","",J568-L568)</f>
        <v/>
      </c>
      <c r="N568">
        <f>IF(E568="","",IF(M568&lt;=0,"Paid",IF(L568&gt;0,"Part Paid","Unpaid")))</f>
        <v/>
      </c>
      <c r="O568">
        <f>IF(E568="","",IFERROR(MAXIFS(PAYMENTS!A:A,PAYMENTS!C:C,E568),""))</f>
        <v/>
      </c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>
        <f>IF(E569="","",SUMIF(PAYMENTS!C:C,E569,PAYMENTS!E:E))</f>
        <v/>
      </c>
      <c r="M569">
        <f>IF(E569="","",J569-L569)</f>
        <v/>
      </c>
      <c r="N569">
        <f>IF(E569="","",IF(M569&lt;=0,"Paid",IF(L569&gt;0,"Part Paid","Unpaid")))</f>
        <v/>
      </c>
      <c r="O569">
        <f>IF(E569="","",IFERROR(MAXIFS(PAYMENTS!A:A,PAYMENTS!C:C,E569),""))</f>
        <v/>
      </c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>
        <f>IF(E570="","",SUMIF(PAYMENTS!C:C,E570,PAYMENTS!E:E))</f>
        <v/>
      </c>
      <c r="M570">
        <f>IF(E570="","",J570-L570)</f>
        <v/>
      </c>
      <c r="N570">
        <f>IF(E570="","",IF(M570&lt;=0,"Paid",IF(L570&gt;0,"Part Paid","Unpaid")))</f>
        <v/>
      </c>
      <c r="O570">
        <f>IF(E570="","",IFERROR(MAXIFS(PAYMENTS!A:A,PAYMENTS!C:C,E570),""))</f>
        <v/>
      </c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>
        <f>IF(E571="","",SUMIF(PAYMENTS!C:C,E571,PAYMENTS!E:E))</f>
        <v/>
      </c>
      <c r="M571">
        <f>IF(E571="","",J571-L571)</f>
        <v/>
      </c>
      <c r="N571">
        <f>IF(E571="","",IF(M571&lt;=0,"Paid",IF(L571&gt;0,"Part Paid","Unpaid")))</f>
        <v/>
      </c>
      <c r="O571">
        <f>IF(E571="","",IFERROR(MAXIFS(PAYMENTS!A:A,PAYMENTS!C:C,E571),""))</f>
        <v/>
      </c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>
        <f>IF(E572="","",SUMIF(PAYMENTS!C:C,E572,PAYMENTS!E:E))</f>
        <v/>
      </c>
      <c r="M572">
        <f>IF(E572="","",J572-L572)</f>
        <v/>
      </c>
      <c r="N572">
        <f>IF(E572="","",IF(M572&lt;=0,"Paid",IF(L572&gt;0,"Part Paid","Unpaid")))</f>
        <v/>
      </c>
      <c r="O572">
        <f>IF(E572="","",IFERROR(MAXIFS(PAYMENTS!A:A,PAYMENTS!C:C,E572),""))</f>
        <v/>
      </c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>
        <f>IF(E573="","",SUMIF(PAYMENTS!C:C,E573,PAYMENTS!E:E))</f>
        <v/>
      </c>
      <c r="M573">
        <f>IF(E573="","",J573-L573)</f>
        <v/>
      </c>
      <c r="N573">
        <f>IF(E573="","",IF(M573&lt;=0,"Paid",IF(L573&gt;0,"Part Paid","Unpaid")))</f>
        <v/>
      </c>
      <c r="O573">
        <f>IF(E573="","",IFERROR(MAXIFS(PAYMENTS!A:A,PAYMENTS!C:C,E573),""))</f>
        <v/>
      </c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>
        <f>IF(E574="","",SUMIF(PAYMENTS!C:C,E574,PAYMENTS!E:E))</f>
        <v/>
      </c>
      <c r="M574">
        <f>IF(E574="","",J574-L574)</f>
        <v/>
      </c>
      <c r="N574">
        <f>IF(E574="","",IF(M574&lt;=0,"Paid",IF(L574&gt;0,"Part Paid","Unpaid")))</f>
        <v/>
      </c>
      <c r="O574">
        <f>IF(E574="","",IFERROR(MAXIFS(PAYMENTS!A:A,PAYMENTS!C:C,E574),""))</f>
        <v/>
      </c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>
        <f>IF(E575="","",SUMIF(PAYMENTS!C:C,E575,PAYMENTS!E:E))</f>
        <v/>
      </c>
      <c r="M575">
        <f>IF(E575="","",J575-L575)</f>
        <v/>
      </c>
      <c r="N575">
        <f>IF(E575="","",IF(M575&lt;=0,"Paid",IF(L575&gt;0,"Part Paid","Unpaid")))</f>
        <v/>
      </c>
      <c r="O575">
        <f>IF(E575="","",IFERROR(MAXIFS(PAYMENTS!A:A,PAYMENTS!C:C,E575),""))</f>
        <v/>
      </c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>
        <f>IF(E576="","",SUMIF(PAYMENTS!C:C,E576,PAYMENTS!E:E))</f>
        <v/>
      </c>
      <c r="M576">
        <f>IF(E576="","",J576-L576)</f>
        <v/>
      </c>
      <c r="N576">
        <f>IF(E576="","",IF(M576&lt;=0,"Paid",IF(L576&gt;0,"Part Paid","Unpaid")))</f>
        <v/>
      </c>
      <c r="O576">
        <f>IF(E576="","",IFERROR(MAXIFS(PAYMENTS!A:A,PAYMENTS!C:C,E576),""))</f>
        <v/>
      </c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>
        <f>IF(E577="","",SUMIF(PAYMENTS!C:C,E577,PAYMENTS!E:E))</f>
        <v/>
      </c>
      <c r="M577">
        <f>IF(E577="","",J577-L577)</f>
        <v/>
      </c>
      <c r="N577">
        <f>IF(E577="","",IF(M577&lt;=0,"Paid",IF(L577&gt;0,"Part Paid","Unpaid")))</f>
        <v/>
      </c>
      <c r="O577">
        <f>IF(E577="","",IFERROR(MAXIFS(PAYMENTS!A:A,PAYMENTS!C:C,E577),""))</f>
        <v/>
      </c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>
        <f>IF(E578="","",SUMIF(PAYMENTS!C:C,E578,PAYMENTS!E:E))</f>
        <v/>
      </c>
      <c r="M578">
        <f>IF(E578="","",J578-L578)</f>
        <v/>
      </c>
      <c r="N578">
        <f>IF(E578="","",IF(M578&lt;=0,"Paid",IF(L578&gt;0,"Part Paid","Unpaid")))</f>
        <v/>
      </c>
      <c r="O578">
        <f>IF(E578="","",IFERROR(MAXIFS(PAYMENTS!A:A,PAYMENTS!C:C,E578),""))</f>
        <v/>
      </c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>
        <f>IF(E579="","",SUMIF(PAYMENTS!C:C,E579,PAYMENTS!E:E))</f>
        <v/>
      </c>
      <c r="M579">
        <f>IF(E579="","",J579-L579)</f>
        <v/>
      </c>
      <c r="N579">
        <f>IF(E579="","",IF(M579&lt;=0,"Paid",IF(L579&gt;0,"Part Paid","Unpaid")))</f>
        <v/>
      </c>
      <c r="O579">
        <f>IF(E579="","",IFERROR(MAXIFS(PAYMENTS!A:A,PAYMENTS!C:C,E579),""))</f>
        <v/>
      </c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>
        <f>IF(E580="","",SUMIF(PAYMENTS!C:C,E580,PAYMENTS!E:E))</f>
        <v/>
      </c>
      <c r="M580">
        <f>IF(E580="","",J580-L580)</f>
        <v/>
      </c>
      <c r="N580">
        <f>IF(E580="","",IF(M580&lt;=0,"Paid",IF(L580&gt;0,"Part Paid","Unpaid")))</f>
        <v/>
      </c>
      <c r="O580">
        <f>IF(E580="","",IFERROR(MAXIFS(PAYMENTS!A:A,PAYMENTS!C:C,E580),""))</f>
        <v/>
      </c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>
        <f>IF(E581="","",SUMIF(PAYMENTS!C:C,E581,PAYMENTS!E:E))</f>
        <v/>
      </c>
      <c r="M581">
        <f>IF(E581="","",J581-L581)</f>
        <v/>
      </c>
      <c r="N581">
        <f>IF(E581="","",IF(M581&lt;=0,"Paid",IF(L581&gt;0,"Part Paid","Unpaid")))</f>
        <v/>
      </c>
      <c r="O581">
        <f>IF(E581="","",IFERROR(MAXIFS(PAYMENTS!A:A,PAYMENTS!C:C,E581),""))</f>
        <v/>
      </c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>
        <f>IF(E582="","",SUMIF(PAYMENTS!C:C,E582,PAYMENTS!E:E))</f>
        <v/>
      </c>
      <c r="M582">
        <f>IF(E582="","",J582-L582)</f>
        <v/>
      </c>
      <c r="N582">
        <f>IF(E582="","",IF(M582&lt;=0,"Paid",IF(L582&gt;0,"Part Paid","Unpaid")))</f>
        <v/>
      </c>
      <c r="O582">
        <f>IF(E582="","",IFERROR(MAXIFS(PAYMENTS!A:A,PAYMENTS!C:C,E582),""))</f>
        <v/>
      </c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>
        <f>IF(E583="","",SUMIF(PAYMENTS!C:C,E583,PAYMENTS!E:E))</f>
        <v/>
      </c>
      <c r="M583">
        <f>IF(E583="","",J583-L583)</f>
        <v/>
      </c>
      <c r="N583">
        <f>IF(E583="","",IF(M583&lt;=0,"Paid",IF(L583&gt;0,"Part Paid","Unpaid")))</f>
        <v/>
      </c>
      <c r="O583">
        <f>IF(E583="","",IFERROR(MAXIFS(PAYMENTS!A:A,PAYMENTS!C:C,E583),""))</f>
        <v/>
      </c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>
        <f>IF(E584="","",SUMIF(PAYMENTS!C:C,E584,PAYMENTS!E:E))</f>
        <v/>
      </c>
      <c r="M584">
        <f>IF(E584="","",J584-L584)</f>
        <v/>
      </c>
      <c r="N584">
        <f>IF(E584="","",IF(M584&lt;=0,"Paid",IF(L584&gt;0,"Part Paid","Unpaid")))</f>
        <v/>
      </c>
      <c r="O584">
        <f>IF(E584="","",IFERROR(MAXIFS(PAYMENTS!A:A,PAYMENTS!C:C,E584),""))</f>
        <v/>
      </c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>
        <f>IF(E585="","",SUMIF(PAYMENTS!C:C,E585,PAYMENTS!E:E))</f>
        <v/>
      </c>
      <c r="M585">
        <f>IF(E585="","",J585-L585)</f>
        <v/>
      </c>
      <c r="N585">
        <f>IF(E585="","",IF(M585&lt;=0,"Paid",IF(L585&gt;0,"Part Paid","Unpaid")))</f>
        <v/>
      </c>
      <c r="O585">
        <f>IF(E585="","",IFERROR(MAXIFS(PAYMENTS!A:A,PAYMENTS!C:C,E585),""))</f>
        <v/>
      </c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>
        <f>IF(E586="","",SUMIF(PAYMENTS!C:C,E586,PAYMENTS!E:E))</f>
        <v/>
      </c>
      <c r="M586">
        <f>IF(E586="","",J586-L586)</f>
        <v/>
      </c>
      <c r="N586">
        <f>IF(E586="","",IF(M586&lt;=0,"Paid",IF(L586&gt;0,"Part Paid","Unpaid")))</f>
        <v/>
      </c>
      <c r="O586">
        <f>IF(E586="","",IFERROR(MAXIFS(PAYMENTS!A:A,PAYMENTS!C:C,E586),""))</f>
        <v/>
      </c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>
        <f>IF(E587="","",SUMIF(PAYMENTS!C:C,E587,PAYMENTS!E:E))</f>
        <v/>
      </c>
      <c r="M587">
        <f>IF(E587="","",J587-L587)</f>
        <v/>
      </c>
      <c r="N587">
        <f>IF(E587="","",IF(M587&lt;=0,"Paid",IF(L587&gt;0,"Part Paid","Unpaid")))</f>
        <v/>
      </c>
      <c r="O587">
        <f>IF(E587="","",IFERROR(MAXIFS(PAYMENTS!A:A,PAYMENTS!C:C,E587),""))</f>
        <v/>
      </c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>
        <f>IF(E588="","",SUMIF(PAYMENTS!C:C,E588,PAYMENTS!E:E))</f>
        <v/>
      </c>
      <c r="M588">
        <f>IF(E588="","",J588-L588)</f>
        <v/>
      </c>
      <c r="N588">
        <f>IF(E588="","",IF(M588&lt;=0,"Paid",IF(L588&gt;0,"Part Paid","Unpaid")))</f>
        <v/>
      </c>
      <c r="O588">
        <f>IF(E588="","",IFERROR(MAXIFS(PAYMENTS!A:A,PAYMENTS!C:C,E588),""))</f>
        <v/>
      </c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>
        <f>IF(E589="","",SUMIF(PAYMENTS!C:C,E589,PAYMENTS!E:E))</f>
        <v/>
      </c>
      <c r="M589">
        <f>IF(E589="","",J589-L589)</f>
        <v/>
      </c>
      <c r="N589">
        <f>IF(E589="","",IF(M589&lt;=0,"Paid",IF(L589&gt;0,"Part Paid","Unpaid")))</f>
        <v/>
      </c>
      <c r="O589">
        <f>IF(E589="","",IFERROR(MAXIFS(PAYMENTS!A:A,PAYMENTS!C:C,E589),""))</f>
        <v/>
      </c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>
        <f>IF(E590="","",SUMIF(PAYMENTS!C:C,E590,PAYMENTS!E:E))</f>
        <v/>
      </c>
      <c r="M590">
        <f>IF(E590="","",J590-L590)</f>
        <v/>
      </c>
      <c r="N590">
        <f>IF(E590="","",IF(M590&lt;=0,"Paid",IF(L590&gt;0,"Part Paid","Unpaid")))</f>
        <v/>
      </c>
      <c r="O590">
        <f>IF(E590="","",IFERROR(MAXIFS(PAYMENTS!A:A,PAYMENTS!C:C,E590),""))</f>
        <v/>
      </c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>
        <f>IF(E591="","",SUMIF(PAYMENTS!C:C,E591,PAYMENTS!E:E))</f>
        <v/>
      </c>
      <c r="M591">
        <f>IF(E591="","",J591-L591)</f>
        <v/>
      </c>
      <c r="N591">
        <f>IF(E591="","",IF(M591&lt;=0,"Paid",IF(L591&gt;0,"Part Paid","Unpaid")))</f>
        <v/>
      </c>
      <c r="O591">
        <f>IF(E591="","",IFERROR(MAXIFS(PAYMENTS!A:A,PAYMENTS!C:C,E591),""))</f>
        <v/>
      </c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>
        <f>IF(E592="","",SUMIF(PAYMENTS!C:C,E592,PAYMENTS!E:E))</f>
        <v/>
      </c>
      <c r="M592">
        <f>IF(E592="","",J592-L592)</f>
        <v/>
      </c>
      <c r="N592">
        <f>IF(E592="","",IF(M592&lt;=0,"Paid",IF(L592&gt;0,"Part Paid","Unpaid")))</f>
        <v/>
      </c>
      <c r="O592">
        <f>IF(E592="","",IFERROR(MAXIFS(PAYMENTS!A:A,PAYMENTS!C:C,E592),""))</f>
        <v/>
      </c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>
        <f>IF(E593="","",SUMIF(PAYMENTS!C:C,E593,PAYMENTS!E:E))</f>
        <v/>
      </c>
      <c r="M593">
        <f>IF(E593="","",J593-L593)</f>
        <v/>
      </c>
      <c r="N593">
        <f>IF(E593="","",IF(M593&lt;=0,"Paid",IF(L593&gt;0,"Part Paid","Unpaid")))</f>
        <v/>
      </c>
      <c r="O593">
        <f>IF(E593="","",IFERROR(MAXIFS(PAYMENTS!A:A,PAYMENTS!C:C,E593),""))</f>
        <v/>
      </c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>
        <f>IF(E594="","",SUMIF(PAYMENTS!C:C,E594,PAYMENTS!E:E))</f>
        <v/>
      </c>
      <c r="M594">
        <f>IF(E594="","",J594-L594)</f>
        <v/>
      </c>
      <c r="N594">
        <f>IF(E594="","",IF(M594&lt;=0,"Paid",IF(L594&gt;0,"Part Paid","Unpaid")))</f>
        <v/>
      </c>
      <c r="O594">
        <f>IF(E594="","",IFERROR(MAXIFS(PAYMENTS!A:A,PAYMENTS!C:C,E594),""))</f>
        <v/>
      </c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>
        <f>IF(E595="","",SUMIF(PAYMENTS!C:C,E595,PAYMENTS!E:E))</f>
        <v/>
      </c>
      <c r="M595">
        <f>IF(E595="","",J595-L595)</f>
        <v/>
      </c>
      <c r="N595">
        <f>IF(E595="","",IF(M595&lt;=0,"Paid",IF(L595&gt;0,"Part Paid","Unpaid")))</f>
        <v/>
      </c>
      <c r="O595">
        <f>IF(E595="","",IFERROR(MAXIFS(PAYMENTS!A:A,PAYMENTS!C:C,E595),""))</f>
        <v/>
      </c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>
        <f>IF(E596="","",SUMIF(PAYMENTS!C:C,E596,PAYMENTS!E:E))</f>
        <v/>
      </c>
      <c r="M596">
        <f>IF(E596="","",J596-L596)</f>
        <v/>
      </c>
      <c r="N596">
        <f>IF(E596="","",IF(M596&lt;=0,"Paid",IF(L596&gt;0,"Part Paid","Unpaid")))</f>
        <v/>
      </c>
      <c r="O596">
        <f>IF(E596="","",IFERROR(MAXIFS(PAYMENTS!A:A,PAYMENTS!C:C,E596),""))</f>
        <v/>
      </c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>
        <f>IF(E597="","",SUMIF(PAYMENTS!C:C,E597,PAYMENTS!E:E))</f>
        <v/>
      </c>
      <c r="M597">
        <f>IF(E597="","",J597-L597)</f>
        <v/>
      </c>
      <c r="N597">
        <f>IF(E597="","",IF(M597&lt;=0,"Paid",IF(L597&gt;0,"Part Paid","Unpaid")))</f>
        <v/>
      </c>
      <c r="O597">
        <f>IF(E597="","",IFERROR(MAXIFS(PAYMENTS!A:A,PAYMENTS!C:C,E597),""))</f>
        <v/>
      </c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>
        <f>IF(E598="","",SUMIF(PAYMENTS!C:C,E598,PAYMENTS!E:E))</f>
        <v/>
      </c>
      <c r="M598">
        <f>IF(E598="","",J598-L598)</f>
        <v/>
      </c>
      <c r="N598">
        <f>IF(E598="","",IF(M598&lt;=0,"Paid",IF(L598&gt;0,"Part Paid","Unpaid")))</f>
        <v/>
      </c>
      <c r="O598">
        <f>IF(E598="","",IFERROR(MAXIFS(PAYMENTS!A:A,PAYMENTS!C:C,E598),""))</f>
        <v/>
      </c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>
        <f>IF(E599="","",SUMIF(PAYMENTS!C:C,E599,PAYMENTS!E:E))</f>
        <v/>
      </c>
      <c r="M599">
        <f>IF(E599="","",J599-L599)</f>
        <v/>
      </c>
      <c r="N599">
        <f>IF(E599="","",IF(M599&lt;=0,"Paid",IF(L599&gt;0,"Part Paid","Unpaid")))</f>
        <v/>
      </c>
      <c r="O599">
        <f>IF(E599="","",IFERROR(MAXIFS(PAYMENTS!A:A,PAYMENTS!C:C,E599),""))</f>
        <v/>
      </c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>
        <f>IF(E600="","",SUMIF(PAYMENTS!C:C,E600,PAYMENTS!E:E))</f>
        <v/>
      </c>
      <c r="M600">
        <f>IF(E600="","",J600-L600)</f>
        <v/>
      </c>
      <c r="N600">
        <f>IF(E600="","",IF(M600&lt;=0,"Paid",IF(L600&gt;0,"Part Paid","Unpaid")))</f>
        <v/>
      </c>
      <c r="O600">
        <f>IF(E600="","",IFERROR(MAXIFS(PAYMENTS!A:A,PAYMENTS!C:C,E600),""))</f>
        <v/>
      </c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>
        <f>IF(E601="","",SUMIF(PAYMENTS!C:C,E601,PAYMENTS!E:E))</f>
        <v/>
      </c>
      <c r="M601">
        <f>IF(E601="","",J601-L601)</f>
        <v/>
      </c>
      <c r="N601">
        <f>IF(E601="","",IF(M601&lt;=0,"Paid",IF(L601&gt;0,"Part Paid","Unpaid")))</f>
        <v/>
      </c>
      <c r="O601">
        <f>IF(E601="","",IFERROR(MAXIFS(PAYMENTS!A:A,PAYMENTS!C:C,E601),""))</f>
        <v/>
      </c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>
        <f>IF(E602="","",SUMIF(PAYMENTS!C:C,E602,PAYMENTS!E:E))</f>
        <v/>
      </c>
      <c r="M602">
        <f>IF(E602="","",J602-L602)</f>
        <v/>
      </c>
      <c r="N602">
        <f>IF(E602="","",IF(M602&lt;=0,"Paid",IF(L602&gt;0,"Part Paid","Unpaid")))</f>
        <v/>
      </c>
      <c r="O602">
        <f>IF(E602="","",IFERROR(MAXIFS(PAYMENTS!A:A,PAYMENTS!C:C,E602),""))</f>
        <v/>
      </c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>
        <f>IF(E603="","",SUMIF(PAYMENTS!C:C,E603,PAYMENTS!E:E))</f>
        <v/>
      </c>
      <c r="M603">
        <f>IF(E603="","",J603-L603)</f>
        <v/>
      </c>
      <c r="N603">
        <f>IF(E603="","",IF(M603&lt;=0,"Paid",IF(L603&gt;0,"Part Paid","Unpaid")))</f>
        <v/>
      </c>
      <c r="O603">
        <f>IF(E603="","",IFERROR(MAXIFS(PAYMENTS!A:A,PAYMENTS!C:C,E603),""))</f>
        <v/>
      </c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>
        <f>IF(E604="","",SUMIF(PAYMENTS!C:C,E604,PAYMENTS!E:E))</f>
        <v/>
      </c>
      <c r="M604">
        <f>IF(E604="","",J604-L604)</f>
        <v/>
      </c>
      <c r="N604">
        <f>IF(E604="","",IF(M604&lt;=0,"Paid",IF(L604&gt;0,"Part Paid","Unpaid")))</f>
        <v/>
      </c>
      <c r="O604">
        <f>IF(E604="","",IFERROR(MAXIFS(PAYMENTS!A:A,PAYMENTS!C:C,E604),""))</f>
        <v/>
      </c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>
        <f>IF(E605="","",SUMIF(PAYMENTS!C:C,E605,PAYMENTS!E:E))</f>
        <v/>
      </c>
      <c r="M605">
        <f>IF(E605="","",J605-L605)</f>
        <v/>
      </c>
      <c r="N605">
        <f>IF(E605="","",IF(M605&lt;=0,"Paid",IF(L605&gt;0,"Part Paid","Unpaid")))</f>
        <v/>
      </c>
      <c r="O605">
        <f>IF(E605="","",IFERROR(MAXIFS(PAYMENTS!A:A,PAYMENTS!C:C,E605),""))</f>
        <v/>
      </c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>
        <f>IF(E606="","",SUMIF(PAYMENTS!C:C,E606,PAYMENTS!E:E))</f>
        <v/>
      </c>
      <c r="M606">
        <f>IF(E606="","",J606-L606)</f>
        <v/>
      </c>
      <c r="N606">
        <f>IF(E606="","",IF(M606&lt;=0,"Paid",IF(L606&gt;0,"Part Paid","Unpaid")))</f>
        <v/>
      </c>
      <c r="O606">
        <f>IF(E606="","",IFERROR(MAXIFS(PAYMENTS!A:A,PAYMENTS!C:C,E606),""))</f>
        <v/>
      </c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>
        <f>IF(E607="","",SUMIF(PAYMENTS!C:C,E607,PAYMENTS!E:E))</f>
        <v/>
      </c>
      <c r="M607">
        <f>IF(E607="","",J607-L607)</f>
        <v/>
      </c>
      <c r="N607">
        <f>IF(E607="","",IF(M607&lt;=0,"Paid",IF(L607&gt;0,"Part Paid","Unpaid")))</f>
        <v/>
      </c>
      <c r="O607">
        <f>IF(E607="","",IFERROR(MAXIFS(PAYMENTS!A:A,PAYMENTS!C:C,E607),""))</f>
        <v/>
      </c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>
        <f>IF(E608="","",SUMIF(PAYMENTS!C:C,E608,PAYMENTS!E:E))</f>
        <v/>
      </c>
      <c r="M608">
        <f>IF(E608="","",J608-L608)</f>
        <v/>
      </c>
      <c r="N608">
        <f>IF(E608="","",IF(M608&lt;=0,"Paid",IF(L608&gt;0,"Part Paid","Unpaid")))</f>
        <v/>
      </c>
      <c r="O608">
        <f>IF(E608="","",IFERROR(MAXIFS(PAYMENTS!A:A,PAYMENTS!C:C,E608),""))</f>
        <v/>
      </c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>
        <f>IF(E609="","",SUMIF(PAYMENTS!C:C,E609,PAYMENTS!E:E))</f>
        <v/>
      </c>
      <c r="M609">
        <f>IF(E609="","",J609-L609)</f>
        <v/>
      </c>
      <c r="N609">
        <f>IF(E609="","",IF(M609&lt;=0,"Paid",IF(L609&gt;0,"Part Paid","Unpaid")))</f>
        <v/>
      </c>
      <c r="O609">
        <f>IF(E609="","",IFERROR(MAXIFS(PAYMENTS!A:A,PAYMENTS!C:C,E609),""))</f>
        <v/>
      </c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>
        <f>IF(E610="","",SUMIF(PAYMENTS!C:C,E610,PAYMENTS!E:E))</f>
        <v/>
      </c>
      <c r="M610">
        <f>IF(E610="","",J610-L610)</f>
        <v/>
      </c>
      <c r="N610">
        <f>IF(E610="","",IF(M610&lt;=0,"Paid",IF(L610&gt;0,"Part Paid","Unpaid")))</f>
        <v/>
      </c>
      <c r="O610">
        <f>IF(E610="","",IFERROR(MAXIFS(PAYMENTS!A:A,PAYMENTS!C:C,E610),""))</f>
        <v/>
      </c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>
        <f>IF(E611="","",SUMIF(PAYMENTS!C:C,E611,PAYMENTS!E:E))</f>
        <v/>
      </c>
      <c r="M611">
        <f>IF(E611="","",J611-L611)</f>
        <v/>
      </c>
      <c r="N611">
        <f>IF(E611="","",IF(M611&lt;=0,"Paid",IF(L611&gt;0,"Part Paid","Unpaid")))</f>
        <v/>
      </c>
      <c r="O611">
        <f>IF(E611="","",IFERROR(MAXIFS(PAYMENTS!A:A,PAYMENTS!C:C,E611),""))</f>
        <v/>
      </c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>
        <f>IF(E612="","",SUMIF(PAYMENTS!C:C,E612,PAYMENTS!E:E))</f>
        <v/>
      </c>
      <c r="M612">
        <f>IF(E612="","",J612-L612)</f>
        <v/>
      </c>
      <c r="N612">
        <f>IF(E612="","",IF(M612&lt;=0,"Paid",IF(L612&gt;0,"Part Paid","Unpaid")))</f>
        <v/>
      </c>
      <c r="O612">
        <f>IF(E612="","",IFERROR(MAXIFS(PAYMENTS!A:A,PAYMENTS!C:C,E612),""))</f>
        <v/>
      </c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>
        <f>IF(E613="","",SUMIF(PAYMENTS!C:C,E613,PAYMENTS!E:E))</f>
        <v/>
      </c>
      <c r="M613">
        <f>IF(E613="","",J613-L613)</f>
        <v/>
      </c>
      <c r="N613">
        <f>IF(E613="","",IF(M613&lt;=0,"Paid",IF(L613&gt;0,"Part Paid","Unpaid")))</f>
        <v/>
      </c>
      <c r="O613">
        <f>IF(E613="","",IFERROR(MAXIFS(PAYMENTS!A:A,PAYMENTS!C:C,E613),""))</f>
        <v/>
      </c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>
        <f>IF(E614="","",SUMIF(PAYMENTS!C:C,E614,PAYMENTS!E:E))</f>
        <v/>
      </c>
      <c r="M614">
        <f>IF(E614="","",J614-L614)</f>
        <v/>
      </c>
      <c r="N614">
        <f>IF(E614="","",IF(M614&lt;=0,"Paid",IF(L614&gt;0,"Part Paid","Unpaid")))</f>
        <v/>
      </c>
      <c r="O614">
        <f>IF(E614="","",IFERROR(MAXIFS(PAYMENTS!A:A,PAYMENTS!C:C,E614),""))</f>
        <v/>
      </c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>
        <f>IF(E615="","",SUMIF(PAYMENTS!C:C,E615,PAYMENTS!E:E))</f>
        <v/>
      </c>
      <c r="M615">
        <f>IF(E615="","",J615-L615)</f>
        <v/>
      </c>
      <c r="N615">
        <f>IF(E615="","",IF(M615&lt;=0,"Paid",IF(L615&gt;0,"Part Paid","Unpaid")))</f>
        <v/>
      </c>
      <c r="O615">
        <f>IF(E615="","",IFERROR(MAXIFS(PAYMENTS!A:A,PAYMENTS!C:C,E615),""))</f>
        <v/>
      </c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>
        <f>IF(E616="","",SUMIF(PAYMENTS!C:C,E616,PAYMENTS!E:E))</f>
        <v/>
      </c>
      <c r="M616">
        <f>IF(E616="","",J616-L616)</f>
        <v/>
      </c>
      <c r="N616">
        <f>IF(E616="","",IF(M616&lt;=0,"Paid",IF(L616&gt;0,"Part Paid","Unpaid")))</f>
        <v/>
      </c>
      <c r="O616">
        <f>IF(E616="","",IFERROR(MAXIFS(PAYMENTS!A:A,PAYMENTS!C:C,E616),""))</f>
        <v/>
      </c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>
        <f>IF(E617="","",SUMIF(PAYMENTS!C:C,E617,PAYMENTS!E:E))</f>
        <v/>
      </c>
      <c r="M617">
        <f>IF(E617="","",J617-L617)</f>
        <v/>
      </c>
      <c r="N617">
        <f>IF(E617="","",IF(M617&lt;=0,"Paid",IF(L617&gt;0,"Part Paid","Unpaid")))</f>
        <v/>
      </c>
      <c r="O617">
        <f>IF(E617="","",IFERROR(MAXIFS(PAYMENTS!A:A,PAYMENTS!C:C,E617),""))</f>
        <v/>
      </c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>
        <f>IF(E618="","",SUMIF(PAYMENTS!C:C,E618,PAYMENTS!E:E))</f>
        <v/>
      </c>
      <c r="M618">
        <f>IF(E618="","",J618-L618)</f>
        <v/>
      </c>
      <c r="N618">
        <f>IF(E618="","",IF(M618&lt;=0,"Paid",IF(L618&gt;0,"Part Paid","Unpaid")))</f>
        <v/>
      </c>
      <c r="O618">
        <f>IF(E618="","",IFERROR(MAXIFS(PAYMENTS!A:A,PAYMENTS!C:C,E618),""))</f>
        <v/>
      </c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>
        <f>IF(E619="","",SUMIF(PAYMENTS!C:C,E619,PAYMENTS!E:E))</f>
        <v/>
      </c>
      <c r="M619">
        <f>IF(E619="","",J619-L619)</f>
        <v/>
      </c>
      <c r="N619">
        <f>IF(E619="","",IF(M619&lt;=0,"Paid",IF(L619&gt;0,"Part Paid","Unpaid")))</f>
        <v/>
      </c>
      <c r="O619">
        <f>IF(E619="","",IFERROR(MAXIFS(PAYMENTS!A:A,PAYMENTS!C:C,E619),""))</f>
        <v/>
      </c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>
        <f>IF(E620="","",SUMIF(PAYMENTS!C:C,E620,PAYMENTS!E:E))</f>
        <v/>
      </c>
      <c r="M620">
        <f>IF(E620="","",J620-L620)</f>
        <v/>
      </c>
      <c r="N620">
        <f>IF(E620="","",IF(M620&lt;=0,"Paid",IF(L620&gt;0,"Part Paid","Unpaid")))</f>
        <v/>
      </c>
      <c r="O620">
        <f>IF(E620="","",IFERROR(MAXIFS(PAYMENTS!A:A,PAYMENTS!C:C,E620),""))</f>
        <v/>
      </c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>
        <f>IF(E621="","",SUMIF(PAYMENTS!C:C,E621,PAYMENTS!E:E))</f>
        <v/>
      </c>
      <c r="M621">
        <f>IF(E621="","",J621-L621)</f>
        <v/>
      </c>
      <c r="N621">
        <f>IF(E621="","",IF(M621&lt;=0,"Paid",IF(L621&gt;0,"Part Paid","Unpaid")))</f>
        <v/>
      </c>
      <c r="O621">
        <f>IF(E621="","",IFERROR(MAXIFS(PAYMENTS!A:A,PAYMENTS!C:C,E621),""))</f>
        <v/>
      </c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>
        <f>IF(E622="","",SUMIF(PAYMENTS!C:C,E622,PAYMENTS!E:E))</f>
        <v/>
      </c>
      <c r="M622">
        <f>IF(E622="","",J622-L622)</f>
        <v/>
      </c>
      <c r="N622">
        <f>IF(E622="","",IF(M622&lt;=0,"Paid",IF(L622&gt;0,"Part Paid","Unpaid")))</f>
        <v/>
      </c>
      <c r="O622">
        <f>IF(E622="","",IFERROR(MAXIFS(PAYMENTS!A:A,PAYMENTS!C:C,E622),""))</f>
        <v/>
      </c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>
        <f>IF(E623="","",SUMIF(PAYMENTS!C:C,E623,PAYMENTS!E:E))</f>
        <v/>
      </c>
      <c r="M623">
        <f>IF(E623="","",J623-L623)</f>
        <v/>
      </c>
      <c r="N623">
        <f>IF(E623="","",IF(M623&lt;=0,"Paid",IF(L623&gt;0,"Part Paid","Unpaid")))</f>
        <v/>
      </c>
      <c r="O623">
        <f>IF(E623="","",IFERROR(MAXIFS(PAYMENTS!A:A,PAYMENTS!C:C,E623),""))</f>
        <v/>
      </c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>
        <f>IF(E624="","",SUMIF(PAYMENTS!C:C,E624,PAYMENTS!E:E))</f>
        <v/>
      </c>
      <c r="M624">
        <f>IF(E624="","",J624-L624)</f>
        <v/>
      </c>
      <c r="N624">
        <f>IF(E624="","",IF(M624&lt;=0,"Paid",IF(L624&gt;0,"Part Paid","Unpaid")))</f>
        <v/>
      </c>
      <c r="O624">
        <f>IF(E624="","",IFERROR(MAXIFS(PAYMENTS!A:A,PAYMENTS!C:C,E624),""))</f>
        <v/>
      </c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>
        <f>IF(E625="","",SUMIF(PAYMENTS!C:C,E625,PAYMENTS!E:E))</f>
        <v/>
      </c>
      <c r="M625">
        <f>IF(E625="","",J625-L625)</f>
        <v/>
      </c>
      <c r="N625">
        <f>IF(E625="","",IF(M625&lt;=0,"Paid",IF(L625&gt;0,"Part Paid","Unpaid")))</f>
        <v/>
      </c>
      <c r="O625">
        <f>IF(E625="","",IFERROR(MAXIFS(PAYMENTS!A:A,PAYMENTS!C:C,E625),""))</f>
        <v/>
      </c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>
        <f>IF(E626="","",SUMIF(PAYMENTS!C:C,E626,PAYMENTS!E:E))</f>
        <v/>
      </c>
      <c r="M626">
        <f>IF(E626="","",J626-L626)</f>
        <v/>
      </c>
      <c r="N626">
        <f>IF(E626="","",IF(M626&lt;=0,"Paid",IF(L626&gt;0,"Part Paid","Unpaid")))</f>
        <v/>
      </c>
      <c r="O626">
        <f>IF(E626="","",IFERROR(MAXIFS(PAYMENTS!A:A,PAYMENTS!C:C,E626),""))</f>
        <v/>
      </c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>
        <f>IF(E627="","",SUMIF(PAYMENTS!C:C,E627,PAYMENTS!E:E))</f>
        <v/>
      </c>
      <c r="M627">
        <f>IF(E627="","",J627-L627)</f>
        <v/>
      </c>
      <c r="N627">
        <f>IF(E627="","",IF(M627&lt;=0,"Paid",IF(L627&gt;0,"Part Paid","Unpaid")))</f>
        <v/>
      </c>
      <c r="O627">
        <f>IF(E627="","",IFERROR(MAXIFS(PAYMENTS!A:A,PAYMENTS!C:C,E627),""))</f>
        <v/>
      </c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>
        <f>IF(E628="","",SUMIF(PAYMENTS!C:C,E628,PAYMENTS!E:E))</f>
        <v/>
      </c>
      <c r="M628">
        <f>IF(E628="","",J628-L628)</f>
        <v/>
      </c>
      <c r="N628">
        <f>IF(E628="","",IF(M628&lt;=0,"Paid",IF(L628&gt;0,"Part Paid","Unpaid")))</f>
        <v/>
      </c>
      <c r="O628">
        <f>IF(E628="","",IFERROR(MAXIFS(PAYMENTS!A:A,PAYMENTS!C:C,E628),""))</f>
        <v/>
      </c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>
        <f>IF(E629="","",SUMIF(PAYMENTS!C:C,E629,PAYMENTS!E:E))</f>
        <v/>
      </c>
      <c r="M629">
        <f>IF(E629="","",J629-L629)</f>
        <v/>
      </c>
      <c r="N629">
        <f>IF(E629="","",IF(M629&lt;=0,"Paid",IF(L629&gt;0,"Part Paid","Unpaid")))</f>
        <v/>
      </c>
      <c r="O629">
        <f>IF(E629="","",IFERROR(MAXIFS(PAYMENTS!A:A,PAYMENTS!C:C,E629),""))</f>
        <v/>
      </c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>
        <f>IF(E630="","",SUMIF(PAYMENTS!C:C,E630,PAYMENTS!E:E))</f>
        <v/>
      </c>
      <c r="M630">
        <f>IF(E630="","",J630-L630)</f>
        <v/>
      </c>
      <c r="N630">
        <f>IF(E630="","",IF(M630&lt;=0,"Paid",IF(L630&gt;0,"Part Paid","Unpaid")))</f>
        <v/>
      </c>
      <c r="O630">
        <f>IF(E630="","",IFERROR(MAXIFS(PAYMENTS!A:A,PAYMENTS!C:C,E630),""))</f>
        <v/>
      </c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>
        <f>IF(E631="","",SUMIF(PAYMENTS!C:C,E631,PAYMENTS!E:E))</f>
        <v/>
      </c>
      <c r="M631">
        <f>IF(E631="","",J631-L631)</f>
        <v/>
      </c>
      <c r="N631">
        <f>IF(E631="","",IF(M631&lt;=0,"Paid",IF(L631&gt;0,"Part Paid","Unpaid")))</f>
        <v/>
      </c>
      <c r="O631">
        <f>IF(E631="","",IFERROR(MAXIFS(PAYMENTS!A:A,PAYMENTS!C:C,E631),""))</f>
        <v/>
      </c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>
        <f>IF(E632="","",SUMIF(PAYMENTS!C:C,E632,PAYMENTS!E:E))</f>
        <v/>
      </c>
      <c r="M632">
        <f>IF(E632="","",J632-L632)</f>
        <v/>
      </c>
      <c r="N632">
        <f>IF(E632="","",IF(M632&lt;=0,"Paid",IF(L632&gt;0,"Part Paid","Unpaid")))</f>
        <v/>
      </c>
      <c r="O632">
        <f>IF(E632="","",IFERROR(MAXIFS(PAYMENTS!A:A,PAYMENTS!C:C,E632),""))</f>
        <v/>
      </c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>
        <f>IF(E633="","",SUMIF(PAYMENTS!C:C,E633,PAYMENTS!E:E))</f>
        <v/>
      </c>
      <c r="M633">
        <f>IF(E633="","",J633-L633)</f>
        <v/>
      </c>
      <c r="N633">
        <f>IF(E633="","",IF(M633&lt;=0,"Paid",IF(L633&gt;0,"Part Paid","Unpaid")))</f>
        <v/>
      </c>
      <c r="O633">
        <f>IF(E633="","",IFERROR(MAXIFS(PAYMENTS!A:A,PAYMENTS!C:C,E633),""))</f>
        <v/>
      </c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>
        <f>IF(E634="","",SUMIF(PAYMENTS!C:C,E634,PAYMENTS!E:E))</f>
        <v/>
      </c>
      <c r="M634">
        <f>IF(E634="","",J634-L634)</f>
        <v/>
      </c>
      <c r="N634">
        <f>IF(E634="","",IF(M634&lt;=0,"Paid",IF(L634&gt;0,"Part Paid","Unpaid")))</f>
        <v/>
      </c>
      <c r="O634">
        <f>IF(E634="","",IFERROR(MAXIFS(PAYMENTS!A:A,PAYMENTS!C:C,E634),""))</f>
        <v/>
      </c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>
        <f>IF(E635="","",SUMIF(PAYMENTS!C:C,E635,PAYMENTS!E:E))</f>
        <v/>
      </c>
      <c r="M635">
        <f>IF(E635="","",J635-L635)</f>
        <v/>
      </c>
      <c r="N635">
        <f>IF(E635="","",IF(M635&lt;=0,"Paid",IF(L635&gt;0,"Part Paid","Unpaid")))</f>
        <v/>
      </c>
      <c r="O635">
        <f>IF(E635="","",IFERROR(MAXIFS(PAYMENTS!A:A,PAYMENTS!C:C,E635),""))</f>
        <v/>
      </c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>
        <f>IF(E636="","",SUMIF(PAYMENTS!C:C,E636,PAYMENTS!E:E))</f>
        <v/>
      </c>
      <c r="M636">
        <f>IF(E636="","",J636-L636)</f>
        <v/>
      </c>
      <c r="N636">
        <f>IF(E636="","",IF(M636&lt;=0,"Paid",IF(L636&gt;0,"Part Paid","Unpaid")))</f>
        <v/>
      </c>
      <c r="O636">
        <f>IF(E636="","",IFERROR(MAXIFS(PAYMENTS!A:A,PAYMENTS!C:C,E636),""))</f>
        <v/>
      </c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>
        <f>IF(E637="","",SUMIF(PAYMENTS!C:C,E637,PAYMENTS!E:E))</f>
        <v/>
      </c>
      <c r="M637">
        <f>IF(E637="","",J637-L637)</f>
        <v/>
      </c>
      <c r="N637">
        <f>IF(E637="","",IF(M637&lt;=0,"Paid",IF(L637&gt;0,"Part Paid","Unpaid")))</f>
        <v/>
      </c>
      <c r="O637">
        <f>IF(E637="","",IFERROR(MAXIFS(PAYMENTS!A:A,PAYMENTS!C:C,E637),""))</f>
        <v/>
      </c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>
        <f>IF(E638="","",SUMIF(PAYMENTS!C:C,E638,PAYMENTS!E:E))</f>
        <v/>
      </c>
      <c r="M638">
        <f>IF(E638="","",J638-L638)</f>
        <v/>
      </c>
      <c r="N638">
        <f>IF(E638="","",IF(M638&lt;=0,"Paid",IF(L638&gt;0,"Part Paid","Unpaid")))</f>
        <v/>
      </c>
      <c r="O638">
        <f>IF(E638="","",IFERROR(MAXIFS(PAYMENTS!A:A,PAYMENTS!C:C,E638),""))</f>
        <v/>
      </c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>
        <f>IF(E639="","",SUMIF(PAYMENTS!C:C,E639,PAYMENTS!E:E))</f>
        <v/>
      </c>
      <c r="M639">
        <f>IF(E639="","",J639-L639)</f>
        <v/>
      </c>
      <c r="N639">
        <f>IF(E639="","",IF(M639&lt;=0,"Paid",IF(L639&gt;0,"Part Paid","Unpaid")))</f>
        <v/>
      </c>
      <c r="O639">
        <f>IF(E639="","",IFERROR(MAXIFS(PAYMENTS!A:A,PAYMENTS!C:C,E639),""))</f>
        <v/>
      </c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>
        <f>IF(E640="","",SUMIF(PAYMENTS!C:C,E640,PAYMENTS!E:E))</f>
        <v/>
      </c>
      <c r="M640">
        <f>IF(E640="","",J640-L640)</f>
        <v/>
      </c>
      <c r="N640">
        <f>IF(E640="","",IF(M640&lt;=0,"Paid",IF(L640&gt;0,"Part Paid","Unpaid")))</f>
        <v/>
      </c>
      <c r="O640">
        <f>IF(E640="","",IFERROR(MAXIFS(PAYMENTS!A:A,PAYMENTS!C:C,E640),""))</f>
        <v/>
      </c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>
        <f>IF(E641="","",SUMIF(PAYMENTS!C:C,E641,PAYMENTS!E:E))</f>
        <v/>
      </c>
      <c r="M641">
        <f>IF(E641="","",J641-L641)</f>
        <v/>
      </c>
      <c r="N641">
        <f>IF(E641="","",IF(M641&lt;=0,"Paid",IF(L641&gt;0,"Part Paid","Unpaid")))</f>
        <v/>
      </c>
      <c r="O641">
        <f>IF(E641="","",IFERROR(MAXIFS(PAYMENTS!A:A,PAYMENTS!C:C,E641),""))</f>
        <v/>
      </c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>
        <f>IF(E642="","",SUMIF(PAYMENTS!C:C,E642,PAYMENTS!E:E))</f>
        <v/>
      </c>
      <c r="M642">
        <f>IF(E642="","",J642-L642)</f>
        <v/>
      </c>
      <c r="N642">
        <f>IF(E642="","",IF(M642&lt;=0,"Paid",IF(L642&gt;0,"Part Paid","Unpaid")))</f>
        <v/>
      </c>
      <c r="O642">
        <f>IF(E642="","",IFERROR(MAXIFS(PAYMENTS!A:A,PAYMENTS!C:C,E642),""))</f>
        <v/>
      </c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>
        <f>IF(E643="","",SUMIF(PAYMENTS!C:C,E643,PAYMENTS!E:E))</f>
        <v/>
      </c>
      <c r="M643">
        <f>IF(E643="","",J643-L643)</f>
        <v/>
      </c>
      <c r="N643">
        <f>IF(E643="","",IF(M643&lt;=0,"Paid",IF(L643&gt;0,"Part Paid","Unpaid")))</f>
        <v/>
      </c>
      <c r="O643">
        <f>IF(E643="","",IFERROR(MAXIFS(PAYMENTS!A:A,PAYMENTS!C:C,E643),""))</f>
        <v/>
      </c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>
        <f>IF(E644="","",SUMIF(PAYMENTS!C:C,E644,PAYMENTS!E:E))</f>
        <v/>
      </c>
      <c r="M644">
        <f>IF(E644="","",J644-L644)</f>
        <v/>
      </c>
      <c r="N644">
        <f>IF(E644="","",IF(M644&lt;=0,"Paid",IF(L644&gt;0,"Part Paid","Unpaid")))</f>
        <v/>
      </c>
      <c r="O644">
        <f>IF(E644="","",IFERROR(MAXIFS(PAYMENTS!A:A,PAYMENTS!C:C,E644),""))</f>
        <v/>
      </c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>
        <f>IF(E645="","",SUMIF(PAYMENTS!C:C,E645,PAYMENTS!E:E))</f>
        <v/>
      </c>
      <c r="M645">
        <f>IF(E645="","",J645-L645)</f>
        <v/>
      </c>
      <c r="N645">
        <f>IF(E645="","",IF(M645&lt;=0,"Paid",IF(L645&gt;0,"Part Paid","Unpaid")))</f>
        <v/>
      </c>
      <c r="O645">
        <f>IF(E645="","",IFERROR(MAXIFS(PAYMENTS!A:A,PAYMENTS!C:C,E645),""))</f>
        <v/>
      </c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>
        <f>IF(E646="","",SUMIF(PAYMENTS!C:C,E646,PAYMENTS!E:E))</f>
        <v/>
      </c>
      <c r="M646">
        <f>IF(E646="","",J646-L646)</f>
        <v/>
      </c>
      <c r="N646">
        <f>IF(E646="","",IF(M646&lt;=0,"Paid",IF(L646&gt;0,"Part Paid","Unpaid")))</f>
        <v/>
      </c>
      <c r="O646">
        <f>IF(E646="","",IFERROR(MAXIFS(PAYMENTS!A:A,PAYMENTS!C:C,E646),""))</f>
        <v/>
      </c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>
        <f>IF(E647="","",SUMIF(PAYMENTS!C:C,E647,PAYMENTS!E:E))</f>
        <v/>
      </c>
      <c r="M647">
        <f>IF(E647="","",J647-L647)</f>
        <v/>
      </c>
      <c r="N647">
        <f>IF(E647="","",IF(M647&lt;=0,"Paid",IF(L647&gt;0,"Part Paid","Unpaid")))</f>
        <v/>
      </c>
      <c r="O647">
        <f>IF(E647="","",IFERROR(MAXIFS(PAYMENTS!A:A,PAYMENTS!C:C,E647),""))</f>
        <v/>
      </c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>
        <f>IF(E648="","",SUMIF(PAYMENTS!C:C,E648,PAYMENTS!E:E))</f>
        <v/>
      </c>
      <c r="M648">
        <f>IF(E648="","",J648-L648)</f>
        <v/>
      </c>
      <c r="N648">
        <f>IF(E648="","",IF(M648&lt;=0,"Paid",IF(L648&gt;0,"Part Paid","Unpaid")))</f>
        <v/>
      </c>
      <c r="O648">
        <f>IF(E648="","",IFERROR(MAXIFS(PAYMENTS!A:A,PAYMENTS!C:C,E648),""))</f>
        <v/>
      </c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>
        <f>IF(E649="","",SUMIF(PAYMENTS!C:C,E649,PAYMENTS!E:E))</f>
        <v/>
      </c>
      <c r="M649">
        <f>IF(E649="","",J649-L649)</f>
        <v/>
      </c>
      <c r="N649">
        <f>IF(E649="","",IF(M649&lt;=0,"Paid",IF(L649&gt;0,"Part Paid","Unpaid")))</f>
        <v/>
      </c>
      <c r="O649">
        <f>IF(E649="","",IFERROR(MAXIFS(PAYMENTS!A:A,PAYMENTS!C:C,E649),""))</f>
        <v/>
      </c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>
        <f>IF(E650="","",SUMIF(PAYMENTS!C:C,E650,PAYMENTS!E:E))</f>
        <v/>
      </c>
      <c r="M650">
        <f>IF(E650="","",J650-L650)</f>
        <v/>
      </c>
      <c r="N650">
        <f>IF(E650="","",IF(M650&lt;=0,"Paid",IF(L650&gt;0,"Part Paid","Unpaid")))</f>
        <v/>
      </c>
      <c r="O650">
        <f>IF(E650="","",IFERROR(MAXIFS(PAYMENTS!A:A,PAYMENTS!C:C,E650),""))</f>
        <v/>
      </c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>
        <f>IF(E651="","",SUMIF(PAYMENTS!C:C,E651,PAYMENTS!E:E))</f>
        <v/>
      </c>
      <c r="M651">
        <f>IF(E651="","",J651-L651)</f>
        <v/>
      </c>
      <c r="N651">
        <f>IF(E651="","",IF(M651&lt;=0,"Paid",IF(L651&gt;0,"Part Paid","Unpaid")))</f>
        <v/>
      </c>
      <c r="O651">
        <f>IF(E651="","",IFERROR(MAXIFS(PAYMENTS!A:A,PAYMENTS!C:C,E651),""))</f>
        <v/>
      </c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>
        <f>IF(E652="","",SUMIF(PAYMENTS!C:C,E652,PAYMENTS!E:E))</f>
        <v/>
      </c>
      <c r="M652">
        <f>IF(E652="","",J652-L652)</f>
        <v/>
      </c>
      <c r="N652">
        <f>IF(E652="","",IF(M652&lt;=0,"Paid",IF(L652&gt;0,"Part Paid","Unpaid")))</f>
        <v/>
      </c>
      <c r="O652">
        <f>IF(E652="","",IFERROR(MAXIFS(PAYMENTS!A:A,PAYMENTS!C:C,E652),""))</f>
        <v/>
      </c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>
        <f>IF(E653="","",SUMIF(PAYMENTS!C:C,E653,PAYMENTS!E:E))</f>
        <v/>
      </c>
      <c r="M653">
        <f>IF(E653="","",J653-L653)</f>
        <v/>
      </c>
      <c r="N653">
        <f>IF(E653="","",IF(M653&lt;=0,"Paid",IF(L653&gt;0,"Part Paid","Unpaid")))</f>
        <v/>
      </c>
      <c r="O653">
        <f>IF(E653="","",IFERROR(MAXIFS(PAYMENTS!A:A,PAYMENTS!C:C,E653),""))</f>
        <v/>
      </c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>
        <f>IF(E654="","",SUMIF(PAYMENTS!C:C,E654,PAYMENTS!E:E))</f>
        <v/>
      </c>
      <c r="M654">
        <f>IF(E654="","",J654-L654)</f>
        <v/>
      </c>
      <c r="N654">
        <f>IF(E654="","",IF(M654&lt;=0,"Paid",IF(L654&gt;0,"Part Paid","Unpaid")))</f>
        <v/>
      </c>
      <c r="O654">
        <f>IF(E654="","",IFERROR(MAXIFS(PAYMENTS!A:A,PAYMENTS!C:C,E654),""))</f>
        <v/>
      </c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>
        <f>IF(E655="","",SUMIF(PAYMENTS!C:C,E655,PAYMENTS!E:E))</f>
        <v/>
      </c>
      <c r="M655">
        <f>IF(E655="","",J655-L655)</f>
        <v/>
      </c>
      <c r="N655">
        <f>IF(E655="","",IF(M655&lt;=0,"Paid",IF(L655&gt;0,"Part Paid","Unpaid")))</f>
        <v/>
      </c>
      <c r="O655">
        <f>IF(E655="","",IFERROR(MAXIFS(PAYMENTS!A:A,PAYMENTS!C:C,E655),""))</f>
        <v/>
      </c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>
        <f>IF(E656="","",SUMIF(PAYMENTS!C:C,E656,PAYMENTS!E:E))</f>
        <v/>
      </c>
      <c r="M656">
        <f>IF(E656="","",J656-L656)</f>
        <v/>
      </c>
      <c r="N656">
        <f>IF(E656="","",IF(M656&lt;=0,"Paid",IF(L656&gt;0,"Part Paid","Unpaid")))</f>
        <v/>
      </c>
      <c r="O656">
        <f>IF(E656="","",IFERROR(MAXIFS(PAYMENTS!A:A,PAYMENTS!C:C,E656),""))</f>
        <v/>
      </c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>
        <f>IF(E657="","",SUMIF(PAYMENTS!C:C,E657,PAYMENTS!E:E))</f>
        <v/>
      </c>
      <c r="M657">
        <f>IF(E657="","",J657-L657)</f>
        <v/>
      </c>
      <c r="N657">
        <f>IF(E657="","",IF(M657&lt;=0,"Paid",IF(L657&gt;0,"Part Paid","Unpaid")))</f>
        <v/>
      </c>
      <c r="O657">
        <f>IF(E657="","",IFERROR(MAXIFS(PAYMENTS!A:A,PAYMENTS!C:C,E657),""))</f>
        <v/>
      </c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>
        <f>IF(E658="","",SUMIF(PAYMENTS!C:C,E658,PAYMENTS!E:E))</f>
        <v/>
      </c>
      <c r="M658">
        <f>IF(E658="","",J658-L658)</f>
        <v/>
      </c>
      <c r="N658">
        <f>IF(E658="","",IF(M658&lt;=0,"Paid",IF(L658&gt;0,"Part Paid","Unpaid")))</f>
        <v/>
      </c>
      <c r="O658">
        <f>IF(E658="","",IFERROR(MAXIFS(PAYMENTS!A:A,PAYMENTS!C:C,E658),""))</f>
        <v/>
      </c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>
        <f>IF(E659="","",SUMIF(PAYMENTS!C:C,E659,PAYMENTS!E:E))</f>
        <v/>
      </c>
      <c r="M659">
        <f>IF(E659="","",J659-L659)</f>
        <v/>
      </c>
      <c r="N659">
        <f>IF(E659="","",IF(M659&lt;=0,"Paid",IF(L659&gt;0,"Part Paid","Unpaid")))</f>
        <v/>
      </c>
      <c r="O659">
        <f>IF(E659="","",IFERROR(MAXIFS(PAYMENTS!A:A,PAYMENTS!C:C,E659),""))</f>
        <v/>
      </c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>
        <f>IF(E660="","",SUMIF(PAYMENTS!C:C,E660,PAYMENTS!E:E))</f>
        <v/>
      </c>
      <c r="M660">
        <f>IF(E660="","",J660-L660)</f>
        <v/>
      </c>
      <c r="N660">
        <f>IF(E660="","",IF(M660&lt;=0,"Paid",IF(L660&gt;0,"Part Paid","Unpaid")))</f>
        <v/>
      </c>
      <c r="O660">
        <f>IF(E660="","",IFERROR(MAXIFS(PAYMENTS!A:A,PAYMENTS!C:C,E660),""))</f>
        <v/>
      </c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>
        <f>IF(E661="","",SUMIF(PAYMENTS!C:C,E661,PAYMENTS!E:E))</f>
        <v/>
      </c>
      <c r="M661">
        <f>IF(E661="","",J661-L661)</f>
        <v/>
      </c>
      <c r="N661">
        <f>IF(E661="","",IF(M661&lt;=0,"Paid",IF(L661&gt;0,"Part Paid","Unpaid")))</f>
        <v/>
      </c>
      <c r="O661">
        <f>IF(E661="","",IFERROR(MAXIFS(PAYMENTS!A:A,PAYMENTS!C:C,E661),""))</f>
        <v/>
      </c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>
        <f>IF(E662="","",SUMIF(PAYMENTS!C:C,E662,PAYMENTS!E:E))</f>
        <v/>
      </c>
      <c r="M662">
        <f>IF(E662="","",J662-L662)</f>
        <v/>
      </c>
      <c r="N662">
        <f>IF(E662="","",IF(M662&lt;=0,"Paid",IF(L662&gt;0,"Part Paid","Unpaid")))</f>
        <v/>
      </c>
      <c r="O662">
        <f>IF(E662="","",IFERROR(MAXIFS(PAYMENTS!A:A,PAYMENTS!C:C,E662),""))</f>
        <v/>
      </c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>
        <f>IF(E663="","",SUMIF(PAYMENTS!C:C,E663,PAYMENTS!E:E))</f>
        <v/>
      </c>
      <c r="M663">
        <f>IF(E663="","",J663-L663)</f>
        <v/>
      </c>
      <c r="N663">
        <f>IF(E663="","",IF(M663&lt;=0,"Paid",IF(L663&gt;0,"Part Paid","Unpaid")))</f>
        <v/>
      </c>
      <c r="O663">
        <f>IF(E663="","",IFERROR(MAXIFS(PAYMENTS!A:A,PAYMENTS!C:C,E663),""))</f>
        <v/>
      </c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>
        <f>IF(E664="","",SUMIF(PAYMENTS!C:C,E664,PAYMENTS!E:E))</f>
        <v/>
      </c>
      <c r="M664">
        <f>IF(E664="","",J664-L664)</f>
        <v/>
      </c>
      <c r="N664">
        <f>IF(E664="","",IF(M664&lt;=0,"Paid",IF(L664&gt;0,"Part Paid","Unpaid")))</f>
        <v/>
      </c>
      <c r="O664">
        <f>IF(E664="","",IFERROR(MAXIFS(PAYMENTS!A:A,PAYMENTS!C:C,E664),""))</f>
        <v/>
      </c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>
        <f>IF(E665="","",SUMIF(PAYMENTS!C:C,E665,PAYMENTS!E:E))</f>
        <v/>
      </c>
      <c r="M665">
        <f>IF(E665="","",J665-L665)</f>
        <v/>
      </c>
      <c r="N665">
        <f>IF(E665="","",IF(M665&lt;=0,"Paid",IF(L665&gt;0,"Part Paid","Unpaid")))</f>
        <v/>
      </c>
      <c r="O665">
        <f>IF(E665="","",IFERROR(MAXIFS(PAYMENTS!A:A,PAYMENTS!C:C,E665),""))</f>
        <v/>
      </c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>
        <f>IF(E666="","",SUMIF(PAYMENTS!C:C,E666,PAYMENTS!E:E))</f>
        <v/>
      </c>
      <c r="M666">
        <f>IF(E666="","",J666-L666)</f>
        <v/>
      </c>
      <c r="N666">
        <f>IF(E666="","",IF(M666&lt;=0,"Paid",IF(L666&gt;0,"Part Paid","Unpaid")))</f>
        <v/>
      </c>
      <c r="O666">
        <f>IF(E666="","",IFERROR(MAXIFS(PAYMENTS!A:A,PAYMENTS!C:C,E666),""))</f>
        <v/>
      </c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>
        <f>IF(E667="","",SUMIF(PAYMENTS!C:C,E667,PAYMENTS!E:E))</f>
        <v/>
      </c>
      <c r="M667">
        <f>IF(E667="","",J667-L667)</f>
        <v/>
      </c>
      <c r="N667">
        <f>IF(E667="","",IF(M667&lt;=0,"Paid",IF(L667&gt;0,"Part Paid","Unpaid")))</f>
        <v/>
      </c>
      <c r="O667">
        <f>IF(E667="","",IFERROR(MAXIFS(PAYMENTS!A:A,PAYMENTS!C:C,E667),""))</f>
        <v/>
      </c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>
        <f>IF(E668="","",SUMIF(PAYMENTS!C:C,E668,PAYMENTS!E:E))</f>
        <v/>
      </c>
      <c r="M668">
        <f>IF(E668="","",J668-L668)</f>
        <v/>
      </c>
      <c r="N668">
        <f>IF(E668="","",IF(M668&lt;=0,"Paid",IF(L668&gt;0,"Part Paid","Unpaid")))</f>
        <v/>
      </c>
      <c r="O668">
        <f>IF(E668="","",IFERROR(MAXIFS(PAYMENTS!A:A,PAYMENTS!C:C,E668),""))</f>
        <v/>
      </c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>
        <f>IF(E669="","",SUMIF(PAYMENTS!C:C,E669,PAYMENTS!E:E))</f>
        <v/>
      </c>
      <c r="M669">
        <f>IF(E669="","",J669-L669)</f>
        <v/>
      </c>
      <c r="N669">
        <f>IF(E669="","",IF(M669&lt;=0,"Paid",IF(L669&gt;0,"Part Paid","Unpaid")))</f>
        <v/>
      </c>
      <c r="O669">
        <f>IF(E669="","",IFERROR(MAXIFS(PAYMENTS!A:A,PAYMENTS!C:C,E669),""))</f>
        <v/>
      </c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>
        <f>IF(E670="","",SUMIF(PAYMENTS!C:C,E670,PAYMENTS!E:E))</f>
        <v/>
      </c>
      <c r="M670">
        <f>IF(E670="","",J670-L670)</f>
        <v/>
      </c>
      <c r="N670">
        <f>IF(E670="","",IF(M670&lt;=0,"Paid",IF(L670&gt;0,"Part Paid","Unpaid")))</f>
        <v/>
      </c>
      <c r="O670">
        <f>IF(E670="","",IFERROR(MAXIFS(PAYMENTS!A:A,PAYMENTS!C:C,E670),""))</f>
        <v/>
      </c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>
        <f>IF(E671="","",SUMIF(PAYMENTS!C:C,E671,PAYMENTS!E:E))</f>
        <v/>
      </c>
      <c r="M671">
        <f>IF(E671="","",J671-L671)</f>
        <v/>
      </c>
      <c r="N671">
        <f>IF(E671="","",IF(M671&lt;=0,"Paid",IF(L671&gt;0,"Part Paid","Unpaid")))</f>
        <v/>
      </c>
      <c r="O671">
        <f>IF(E671="","",IFERROR(MAXIFS(PAYMENTS!A:A,PAYMENTS!C:C,E671),""))</f>
        <v/>
      </c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>
        <f>IF(E672="","",SUMIF(PAYMENTS!C:C,E672,PAYMENTS!E:E))</f>
        <v/>
      </c>
      <c r="M672">
        <f>IF(E672="","",J672-L672)</f>
        <v/>
      </c>
      <c r="N672">
        <f>IF(E672="","",IF(M672&lt;=0,"Paid",IF(L672&gt;0,"Part Paid","Unpaid")))</f>
        <v/>
      </c>
      <c r="O672">
        <f>IF(E672="","",IFERROR(MAXIFS(PAYMENTS!A:A,PAYMENTS!C:C,E672),""))</f>
        <v/>
      </c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>
        <f>IF(E673="","",SUMIF(PAYMENTS!C:C,E673,PAYMENTS!E:E))</f>
        <v/>
      </c>
      <c r="M673">
        <f>IF(E673="","",J673-L673)</f>
        <v/>
      </c>
      <c r="N673">
        <f>IF(E673="","",IF(M673&lt;=0,"Paid",IF(L673&gt;0,"Part Paid","Unpaid")))</f>
        <v/>
      </c>
      <c r="O673">
        <f>IF(E673="","",IFERROR(MAXIFS(PAYMENTS!A:A,PAYMENTS!C:C,E673),""))</f>
        <v/>
      </c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>
        <f>IF(E674="","",SUMIF(PAYMENTS!C:C,E674,PAYMENTS!E:E))</f>
        <v/>
      </c>
      <c r="M674">
        <f>IF(E674="","",J674-L674)</f>
        <v/>
      </c>
      <c r="N674">
        <f>IF(E674="","",IF(M674&lt;=0,"Paid",IF(L674&gt;0,"Part Paid","Unpaid")))</f>
        <v/>
      </c>
      <c r="O674">
        <f>IF(E674="","",IFERROR(MAXIFS(PAYMENTS!A:A,PAYMENTS!C:C,E674),""))</f>
        <v/>
      </c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>
        <f>IF(E675="","",SUMIF(PAYMENTS!C:C,E675,PAYMENTS!E:E))</f>
        <v/>
      </c>
      <c r="M675">
        <f>IF(E675="","",J675-L675)</f>
        <v/>
      </c>
      <c r="N675">
        <f>IF(E675="","",IF(M675&lt;=0,"Paid",IF(L675&gt;0,"Part Paid","Unpaid")))</f>
        <v/>
      </c>
      <c r="O675">
        <f>IF(E675="","",IFERROR(MAXIFS(PAYMENTS!A:A,PAYMENTS!C:C,E675),""))</f>
        <v/>
      </c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>
        <f>IF(E676="","",SUMIF(PAYMENTS!C:C,E676,PAYMENTS!E:E))</f>
        <v/>
      </c>
      <c r="M676">
        <f>IF(E676="","",J676-L676)</f>
        <v/>
      </c>
      <c r="N676">
        <f>IF(E676="","",IF(M676&lt;=0,"Paid",IF(L676&gt;0,"Part Paid","Unpaid")))</f>
        <v/>
      </c>
      <c r="O676">
        <f>IF(E676="","",IFERROR(MAXIFS(PAYMENTS!A:A,PAYMENTS!C:C,E676),""))</f>
        <v/>
      </c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>
        <f>IF(E677="","",SUMIF(PAYMENTS!C:C,E677,PAYMENTS!E:E))</f>
        <v/>
      </c>
      <c r="M677">
        <f>IF(E677="","",J677-L677)</f>
        <v/>
      </c>
      <c r="N677">
        <f>IF(E677="","",IF(M677&lt;=0,"Paid",IF(L677&gt;0,"Part Paid","Unpaid")))</f>
        <v/>
      </c>
      <c r="O677">
        <f>IF(E677="","",IFERROR(MAXIFS(PAYMENTS!A:A,PAYMENTS!C:C,E677),""))</f>
        <v/>
      </c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>
        <f>IF(E678="","",SUMIF(PAYMENTS!C:C,E678,PAYMENTS!E:E))</f>
        <v/>
      </c>
      <c r="M678">
        <f>IF(E678="","",J678-L678)</f>
        <v/>
      </c>
      <c r="N678">
        <f>IF(E678="","",IF(M678&lt;=0,"Paid",IF(L678&gt;0,"Part Paid","Unpaid")))</f>
        <v/>
      </c>
      <c r="O678">
        <f>IF(E678="","",IFERROR(MAXIFS(PAYMENTS!A:A,PAYMENTS!C:C,E678),""))</f>
        <v/>
      </c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>
        <f>IF(E679="","",SUMIF(PAYMENTS!C:C,E679,PAYMENTS!E:E))</f>
        <v/>
      </c>
      <c r="M679">
        <f>IF(E679="","",J679-L679)</f>
        <v/>
      </c>
      <c r="N679">
        <f>IF(E679="","",IF(M679&lt;=0,"Paid",IF(L679&gt;0,"Part Paid","Unpaid")))</f>
        <v/>
      </c>
      <c r="O679">
        <f>IF(E679="","",IFERROR(MAXIFS(PAYMENTS!A:A,PAYMENTS!C:C,E679),""))</f>
        <v/>
      </c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>
        <f>IF(E680="","",SUMIF(PAYMENTS!C:C,E680,PAYMENTS!E:E))</f>
        <v/>
      </c>
      <c r="M680">
        <f>IF(E680="","",J680-L680)</f>
        <v/>
      </c>
      <c r="N680">
        <f>IF(E680="","",IF(M680&lt;=0,"Paid",IF(L680&gt;0,"Part Paid","Unpaid")))</f>
        <v/>
      </c>
      <c r="O680">
        <f>IF(E680="","",IFERROR(MAXIFS(PAYMENTS!A:A,PAYMENTS!C:C,E680),""))</f>
        <v/>
      </c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>
        <f>IF(E681="","",SUMIF(PAYMENTS!C:C,E681,PAYMENTS!E:E))</f>
        <v/>
      </c>
      <c r="M681">
        <f>IF(E681="","",J681-L681)</f>
        <v/>
      </c>
      <c r="N681">
        <f>IF(E681="","",IF(M681&lt;=0,"Paid",IF(L681&gt;0,"Part Paid","Unpaid")))</f>
        <v/>
      </c>
      <c r="O681">
        <f>IF(E681="","",IFERROR(MAXIFS(PAYMENTS!A:A,PAYMENTS!C:C,E681),""))</f>
        <v/>
      </c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>
        <f>IF(E682="","",SUMIF(PAYMENTS!C:C,E682,PAYMENTS!E:E))</f>
        <v/>
      </c>
      <c r="M682">
        <f>IF(E682="","",J682-L682)</f>
        <v/>
      </c>
      <c r="N682">
        <f>IF(E682="","",IF(M682&lt;=0,"Paid",IF(L682&gt;0,"Part Paid","Unpaid")))</f>
        <v/>
      </c>
      <c r="O682">
        <f>IF(E682="","",IFERROR(MAXIFS(PAYMENTS!A:A,PAYMENTS!C:C,E682),""))</f>
        <v/>
      </c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>
        <f>IF(E683="","",SUMIF(PAYMENTS!C:C,E683,PAYMENTS!E:E))</f>
        <v/>
      </c>
      <c r="M683">
        <f>IF(E683="","",J683-L683)</f>
        <v/>
      </c>
      <c r="N683">
        <f>IF(E683="","",IF(M683&lt;=0,"Paid",IF(L683&gt;0,"Part Paid","Unpaid")))</f>
        <v/>
      </c>
      <c r="O683">
        <f>IF(E683="","",IFERROR(MAXIFS(PAYMENTS!A:A,PAYMENTS!C:C,E683),""))</f>
        <v/>
      </c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>
        <f>IF(E684="","",SUMIF(PAYMENTS!C:C,E684,PAYMENTS!E:E))</f>
        <v/>
      </c>
      <c r="M684">
        <f>IF(E684="","",J684-L684)</f>
        <v/>
      </c>
      <c r="N684">
        <f>IF(E684="","",IF(M684&lt;=0,"Paid",IF(L684&gt;0,"Part Paid","Unpaid")))</f>
        <v/>
      </c>
      <c r="O684">
        <f>IF(E684="","",IFERROR(MAXIFS(PAYMENTS!A:A,PAYMENTS!C:C,E684),""))</f>
        <v/>
      </c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>
        <f>IF(E685="","",SUMIF(PAYMENTS!C:C,E685,PAYMENTS!E:E))</f>
        <v/>
      </c>
      <c r="M685">
        <f>IF(E685="","",J685-L685)</f>
        <v/>
      </c>
      <c r="N685">
        <f>IF(E685="","",IF(M685&lt;=0,"Paid",IF(L685&gt;0,"Part Paid","Unpaid")))</f>
        <v/>
      </c>
      <c r="O685">
        <f>IF(E685="","",IFERROR(MAXIFS(PAYMENTS!A:A,PAYMENTS!C:C,E685),""))</f>
        <v/>
      </c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>
        <f>IF(E686="","",SUMIF(PAYMENTS!C:C,E686,PAYMENTS!E:E))</f>
        <v/>
      </c>
      <c r="M686">
        <f>IF(E686="","",J686-L686)</f>
        <v/>
      </c>
      <c r="N686">
        <f>IF(E686="","",IF(M686&lt;=0,"Paid",IF(L686&gt;0,"Part Paid","Unpaid")))</f>
        <v/>
      </c>
      <c r="O686">
        <f>IF(E686="","",IFERROR(MAXIFS(PAYMENTS!A:A,PAYMENTS!C:C,E686),""))</f>
        <v/>
      </c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>
        <f>IF(E687="","",SUMIF(PAYMENTS!C:C,E687,PAYMENTS!E:E))</f>
        <v/>
      </c>
      <c r="M687">
        <f>IF(E687="","",J687-L687)</f>
        <v/>
      </c>
      <c r="N687">
        <f>IF(E687="","",IF(M687&lt;=0,"Paid",IF(L687&gt;0,"Part Paid","Unpaid")))</f>
        <v/>
      </c>
      <c r="O687">
        <f>IF(E687="","",IFERROR(MAXIFS(PAYMENTS!A:A,PAYMENTS!C:C,E687),""))</f>
        <v/>
      </c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>
        <f>IF(E688="","",SUMIF(PAYMENTS!C:C,E688,PAYMENTS!E:E))</f>
        <v/>
      </c>
      <c r="M688">
        <f>IF(E688="","",J688-L688)</f>
        <v/>
      </c>
      <c r="N688">
        <f>IF(E688="","",IF(M688&lt;=0,"Paid",IF(L688&gt;0,"Part Paid","Unpaid")))</f>
        <v/>
      </c>
      <c r="O688">
        <f>IF(E688="","",IFERROR(MAXIFS(PAYMENTS!A:A,PAYMENTS!C:C,E688),""))</f>
        <v/>
      </c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>
        <f>IF(E689="","",SUMIF(PAYMENTS!C:C,E689,PAYMENTS!E:E))</f>
        <v/>
      </c>
      <c r="M689">
        <f>IF(E689="","",J689-L689)</f>
        <v/>
      </c>
      <c r="N689">
        <f>IF(E689="","",IF(M689&lt;=0,"Paid",IF(L689&gt;0,"Part Paid","Unpaid")))</f>
        <v/>
      </c>
      <c r="O689">
        <f>IF(E689="","",IFERROR(MAXIFS(PAYMENTS!A:A,PAYMENTS!C:C,E689),""))</f>
        <v/>
      </c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>
        <f>IF(E690="","",SUMIF(PAYMENTS!C:C,E690,PAYMENTS!E:E))</f>
        <v/>
      </c>
      <c r="M690">
        <f>IF(E690="","",J690-L690)</f>
        <v/>
      </c>
      <c r="N690">
        <f>IF(E690="","",IF(M690&lt;=0,"Paid",IF(L690&gt;0,"Part Paid","Unpaid")))</f>
        <v/>
      </c>
      <c r="O690">
        <f>IF(E690="","",IFERROR(MAXIFS(PAYMENTS!A:A,PAYMENTS!C:C,E690),""))</f>
        <v/>
      </c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>
        <f>IF(E691="","",SUMIF(PAYMENTS!C:C,E691,PAYMENTS!E:E))</f>
        <v/>
      </c>
      <c r="M691">
        <f>IF(E691="","",J691-L691)</f>
        <v/>
      </c>
      <c r="N691">
        <f>IF(E691="","",IF(M691&lt;=0,"Paid",IF(L691&gt;0,"Part Paid","Unpaid")))</f>
        <v/>
      </c>
      <c r="O691">
        <f>IF(E691="","",IFERROR(MAXIFS(PAYMENTS!A:A,PAYMENTS!C:C,E691),""))</f>
        <v/>
      </c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>
        <f>IF(E692="","",SUMIF(PAYMENTS!C:C,E692,PAYMENTS!E:E))</f>
        <v/>
      </c>
      <c r="M692">
        <f>IF(E692="","",J692-L692)</f>
        <v/>
      </c>
      <c r="N692">
        <f>IF(E692="","",IF(M692&lt;=0,"Paid",IF(L692&gt;0,"Part Paid","Unpaid")))</f>
        <v/>
      </c>
      <c r="O692">
        <f>IF(E692="","",IFERROR(MAXIFS(PAYMENTS!A:A,PAYMENTS!C:C,E692),""))</f>
        <v/>
      </c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>
        <f>IF(E693="","",SUMIF(PAYMENTS!C:C,E693,PAYMENTS!E:E))</f>
        <v/>
      </c>
      <c r="M693">
        <f>IF(E693="","",J693-L693)</f>
        <v/>
      </c>
      <c r="N693">
        <f>IF(E693="","",IF(M693&lt;=0,"Paid",IF(L693&gt;0,"Part Paid","Unpaid")))</f>
        <v/>
      </c>
      <c r="O693">
        <f>IF(E693="","",IFERROR(MAXIFS(PAYMENTS!A:A,PAYMENTS!C:C,E693),""))</f>
        <v/>
      </c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>
        <f>IF(E694="","",SUMIF(PAYMENTS!C:C,E694,PAYMENTS!E:E))</f>
        <v/>
      </c>
      <c r="M694">
        <f>IF(E694="","",J694-L694)</f>
        <v/>
      </c>
      <c r="N694">
        <f>IF(E694="","",IF(M694&lt;=0,"Paid",IF(L694&gt;0,"Part Paid","Unpaid")))</f>
        <v/>
      </c>
      <c r="O694">
        <f>IF(E694="","",IFERROR(MAXIFS(PAYMENTS!A:A,PAYMENTS!C:C,E694),""))</f>
        <v/>
      </c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>
        <f>IF(E695="","",SUMIF(PAYMENTS!C:C,E695,PAYMENTS!E:E))</f>
        <v/>
      </c>
      <c r="M695">
        <f>IF(E695="","",J695-L695)</f>
        <v/>
      </c>
      <c r="N695">
        <f>IF(E695="","",IF(M695&lt;=0,"Paid",IF(L695&gt;0,"Part Paid","Unpaid")))</f>
        <v/>
      </c>
      <c r="O695">
        <f>IF(E695="","",IFERROR(MAXIFS(PAYMENTS!A:A,PAYMENTS!C:C,E695),""))</f>
        <v/>
      </c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>
        <f>IF(E696="","",SUMIF(PAYMENTS!C:C,E696,PAYMENTS!E:E))</f>
        <v/>
      </c>
      <c r="M696">
        <f>IF(E696="","",J696-L696)</f>
        <v/>
      </c>
      <c r="N696">
        <f>IF(E696="","",IF(M696&lt;=0,"Paid",IF(L696&gt;0,"Part Paid","Unpaid")))</f>
        <v/>
      </c>
      <c r="O696">
        <f>IF(E696="","",IFERROR(MAXIFS(PAYMENTS!A:A,PAYMENTS!C:C,E696),""))</f>
        <v/>
      </c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>
        <f>IF(E697="","",SUMIF(PAYMENTS!C:C,E697,PAYMENTS!E:E))</f>
        <v/>
      </c>
      <c r="M697">
        <f>IF(E697="","",J697-L697)</f>
        <v/>
      </c>
      <c r="N697">
        <f>IF(E697="","",IF(M697&lt;=0,"Paid",IF(L697&gt;0,"Part Paid","Unpaid")))</f>
        <v/>
      </c>
      <c r="O697">
        <f>IF(E697="","",IFERROR(MAXIFS(PAYMENTS!A:A,PAYMENTS!C:C,E697),""))</f>
        <v/>
      </c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>
        <f>IF(E698="","",SUMIF(PAYMENTS!C:C,E698,PAYMENTS!E:E))</f>
        <v/>
      </c>
      <c r="M698">
        <f>IF(E698="","",J698-L698)</f>
        <v/>
      </c>
      <c r="N698">
        <f>IF(E698="","",IF(M698&lt;=0,"Paid",IF(L698&gt;0,"Part Paid","Unpaid")))</f>
        <v/>
      </c>
      <c r="O698">
        <f>IF(E698="","",IFERROR(MAXIFS(PAYMENTS!A:A,PAYMENTS!C:C,E698),""))</f>
        <v/>
      </c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>
        <f>IF(E699="","",SUMIF(PAYMENTS!C:C,E699,PAYMENTS!E:E))</f>
        <v/>
      </c>
      <c r="M699">
        <f>IF(E699="","",J699-L699)</f>
        <v/>
      </c>
      <c r="N699">
        <f>IF(E699="","",IF(M699&lt;=0,"Paid",IF(L699&gt;0,"Part Paid","Unpaid")))</f>
        <v/>
      </c>
      <c r="O699">
        <f>IF(E699="","",IFERROR(MAXIFS(PAYMENTS!A:A,PAYMENTS!C:C,E699),""))</f>
        <v/>
      </c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>
        <f>IF(E700="","",SUMIF(PAYMENTS!C:C,E700,PAYMENTS!E:E))</f>
        <v/>
      </c>
      <c r="M700">
        <f>IF(E700="","",J700-L700)</f>
        <v/>
      </c>
      <c r="N700">
        <f>IF(E700="","",IF(M700&lt;=0,"Paid",IF(L700&gt;0,"Part Paid","Unpaid")))</f>
        <v/>
      </c>
      <c r="O700">
        <f>IF(E700="","",IFERROR(MAXIFS(PAYMENTS!A:A,PAYMENTS!C:C,E700),""))</f>
        <v/>
      </c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>
        <f>IF(E701="","",SUMIF(PAYMENTS!C:C,E701,PAYMENTS!E:E))</f>
        <v/>
      </c>
      <c r="M701">
        <f>IF(E701="","",J701-L701)</f>
        <v/>
      </c>
      <c r="N701">
        <f>IF(E701="","",IF(M701&lt;=0,"Paid",IF(L701&gt;0,"Part Paid","Unpaid")))</f>
        <v/>
      </c>
      <c r="O701">
        <f>IF(E701="","",IFERROR(MAXIFS(PAYMENTS!A:A,PAYMENTS!C:C,E701),""))</f>
        <v/>
      </c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>
        <f>IF(E702="","",SUMIF(PAYMENTS!C:C,E702,PAYMENTS!E:E))</f>
        <v/>
      </c>
      <c r="M702">
        <f>IF(E702="","",J702-L702)</f>
        <v/>
      </c>
      <c r="N702">
        <f>IF(E702="","",IF(M702&lt;=0,"Paid",IF(L702&gt;0,"Part Paid","Unpaid")))</f>
        <v/>
      </c>
      <c r="O702">
        <f>IF(E702="","",IFERROR(MAXIFS(PAYMENTS!A:A,PAYMENTS!C:C,E702),""))</f>
        <v/>
      </c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>
        <f>IF(E703="","",SUMIF(PAYMENTS!C:C,E703,PAYMENTS!E:E))</f>
        <v/>
      </c>
      <c r="M703">
        <f>IF(E703="","",J703-L703)</f>
        <v/>
      </c>
      <c r="N703">
        <f>IF(E703="","",IF(M703&lt;=0,"Paid",IF(L703&gt;0,"Part Paid","Unpaid")))</f>
        <v/>
      </c>
      <c r="O703">
        <f>IF(E703="","",IFERROR(MAXIFS(PAYMENTS!A:A,PAYMENTS!C:C,E703),""))</f>
        <v/>
      </c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>
        <f>IF(E704="","",SUMIF(PAYMENTS!C:C,E704,PAYMENTS!E:E))</f>
        <v/>
      </c>
      <c r="M704">
        <f>IF(E704="","",J704-L704)</f>
        <v/>
      </c>
      <c r="N704">
        <f>IF(E704="","",IF(M704&lt;=0,"Paid",IF(L704&gt;0,"Part Paid","Unpaid")))</f>
        <v/>
      </c>
      <c r="O704">
        <f>IF(E704="","",IFERROR(MAXIFS(PAYMENTS!A:A,PAYMENTS!C:C,E704),""))</f>
        <v/>
      </c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>
        <f>IF(E705="","",SUMIF(PAYMENTS!C:C,E705,PAYMENTS!E:E))</f>
        <v/>
      </c>
      <c r="M705">
        <f>IF(E705="","",J705-L705)</f>
        <v/>
      </c>
      <c r="N705">
        <f>IF(E705="","",IF(M705&lt;=0,"Paid",IF(L705&gt;0,"Part Paid","Unpaid")))</f>
        <v/>
      </c>
      <c r="O705">
        <f>IF(E705="","",IFERROR(MAXIFS(PAYMENTS!A:A,PAYMENTS!C:C,E705),""))</f>
        <v/>
      </c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>
        <f>IF(E706="","",SUMIF(PAYMENTS!C:C,E706,PAYMENTS!E:E))</f>
        <v/>
      </c>
      <c r="M706">
        <f>IF(E706="","",J706-L706)</f>
        <v/>
      </c>
      <c r="N706">
        <f>IF(E706="","",IF(M706&lt;=0,"Paid",IF(L706&gt;0,"Part Paid","Unpaid")))</f>
        <v/>
      </c>
      <c r="O706">
        <f>IF(E706="","",IFERROR(MAXIFS(PAYMENTS!A:A,PAYMENTS!C:C,E706),""))</f>
        <v/>
      </c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>
        <f>IF(E707="","",SUMIF(PAYMENTS!C:C,E707,PAYMENTS!E:E))</f>
        <v/>
      </c>
      <c r="M707">
        <f>IF(E707="","",J707-L707)</f>
        <v/>
      </c>
      <c r="N707">
        <f>IF(E707="","",IF(M707&lt;=0,"Paid",IF(L707&gt;0,"Part Paid","Unpaid")))</f>
        <v/>
      </c>
      <c r="O707">
        <f>IF(E707="","",IFERROR(MAXIFS(PAYMENTS!A:A,PAYMENTS!C:C,E707),""))</f>
        <v/>
      </c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>
        <f>IF(E708="","",SUMIF(PAYMENTS!C:C,E708,PAYMENTS!E:E))</f>
        <v/>
      </c>
      <c r="M708">
        <f>IF(E708="","",J708-L708)</f>
        <v/>
      </c>
      <c r="N708">
        <f>IF(E708="","",IF(M708&lt;=0,"Paid",IF(L708&gt;0,"Part Paid","Unpaid")))</f>
        <v/>
      </c>
      <c r="O708">
        <f>IF(E708="","",IFERROR(MAXIFS(PAYMENTS!A:A,PAYMENTS!C:C,E708),""))</f>
        <v/>
      </c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>
        <f>IF(E709="","",SUMIF(PAYMENTS!C:C,E709,PAYMENTS!E:E))</f>
        <v/>
      </c>
      <c r="M709">
        <f>IF(E709="","",J709-L709)</f>
        <v/>
      </c>
      <c r="N709">
        <f>IF(E709="","",IF(M709&lt;=0,"Paid",IF(L709&gt;0,"Part Paid","Unpaid")))</f>
        <v/>
      </c>
      <c r="O709">
        <f>IF(E709="","",IFERROR(MAXIFS(PAYMENTS!A:A,PAYMENTS!C:C,E709),""))</f>
        <v/>
      </c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>
        <f>IF(E710="","",SUMIF(PAYMENTS!C:C,E710,PAYMENTS!E:E))</f>
        <v/>
      </c>
      <c r="M710">
        <f>IF(E710="","",J710-L710)</f>
        <v/>
      </c>
      <c r="N710">
        <f>IF(E710="","",IF(M710&lt;=0,"Paid",IF(L710&gt;0,"Part Paid","Unpaid")))</f>
        <v/>
      </c>
      <c r="O710">
        <f>IF(E710="","",IFERROR(MAXIFS(PAYMENTS!A:A,PAYMENTS!C:C,E710),""))</f>
        <v/>
      </c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>
        <f>IF(E711="","",SUMIF(PAYMENTS!C:C,E711,PAYMENTS!E:E))</f>
        <v/>
      </c>
      <c r="M711">
        <f>IF(E711="","",J711-L711)</f>
        <v/>
      </c>
      <c r="N711">
        <f>IF(E711="","",IF(M711&lt;=0,"Paid",IF(L711&gt;0,"Part Paid","Unpaid")))</f>
        <v/>
      </c>
      <c r="O711">
        <f>IF(E711="","",IFERROR(MAXIFS(PAYMENTS!A:A,PAYMENTS!C:C,E711),""))</f>
        <v/>
      </c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>
        <f>IF(E712="","",SUMIF(PAYMENTS!C:C,E712,PAYMENTS!E:E))</f>
        <v/>
      </c>
      <c r="M712">
        <f>IF(E712="","",J712-L712)</f>
        <v/>
      </c>
      <c r="N712">
        <f>IF(E712="","",IF(M712&lt;=0,"Paid",IF(L712&gt;0,"Part Paid","Unpaid")))</f>
        <v/>
      </c>
      <c r="O712">
        <f>IF(E712="","",IFERROR(MAXIFS(PAYMENTS!A:A,PAYMENTS!C:C,E712),""))</f>
        <v/>
      </c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>
        <f>IF(E713="","",SUMIF(PAYMENTS!C:C,E713,PAYMENTS!E:E))</f>
        <v/>
      </c>
      <c r="M713">
        <f>IF(E713="","",J713-L713)</f>
        <v/>
      </c>
      <c r="N713">
        <f>IF(E713="","",IF(M713&lt;=0,"Paid",IF(L713&gt;0,"Part Paid","Unpaid")))</f>
        <v/>
      </c>
      <c r="O713">
        <f>IF(E713="","",IFERROR(MAXIFS(PAYMENTS!A:A,PAYMENTS!C:C,E713),""))</f>
        <v/>
      </c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>
        <f>IF(E714="","",SUMIF(PAYMENTS!C:C,E714,PAYMENTS!E:E))</f>
        <v/>
      </c>
      <c r="M714">
        <f>IF(E714="","",J714-L714)</f>
        <v/>
      </c>
      <c r="N714">
        <f>IF(E714="","",IF(M714&lt;=0,"Paid",IF(L714&gt;0,"Part Paid","Unpaid")))</f>
        <v/>
      </c>
      <c r="O714">
        <f>IF(E714="","",IFERROR(MAXIFS(PAYMENTS!A:A,PAYMENTS!C:C,E714),""))</f>
        <v/>
      </c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>
        <f>IF(E715="","",SUMIF(PAYMENTS!C:C,E715,PAYMENTS!E:E))</f>
        <v/>
      </c>
      <c r="M715">
        <f>IF(E715="","",J715-L715)</f>
        <v/>
      </c>
      <c r="N715">
        <f>IF(E715="","",IF(M715&lt;=0,"Paid",IF(L715&gt;0,"Part Paid","Unpaid")))</f>
        <v/>
      </c>
      <c r="O715">
        <f>IF(E715="","",IFERROR(MAXIFS(PAYMENTS!A:A,PAYMENTS!C:C,E715),""))</f>
        <v/>
      </c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>
        <f>IF(E716="","",SUMIF(PAYMENTS!C:C,E716,PAYMENTS!E:E))</f>
        <v/>
      </c>
      <c r="M716">
        <f>IF(E716="","",J716-L716)</f>
        <v/>
      </c>
      <c r="N716">
        <f>IF(E716="","",IF(M716&lt;=0,"Paid",IF(L716&gt;0,"Part Paid","Unpaid")))</f>
        <v/>
      </c>
      <c r="O716">
        <f>IF(E716="","",IFERROR(MAXIFS(PAYMENTS!A:A,PAYMENTS!C:C,E716),""))</f>
        <v/>
      </c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>
        <f>IF(E717="","",SUMIF(PAYMENTS!C:C,E717,PAYMENTS!E:E))</f>
        <v/>
      </c>
      <c r="M717">
        <f>IF(E717="","",J717-L717)</f>
        <v/>
      </c>
      <c r="N717">
        <f>IF(E717="","",IF(M717&lt;=0,"Paid",IF(L717&gt;0,"Part Paid","Unpaid")))</f>
        <v/>
      </c>
      <c r="O717">
        <f>IF(E717="","",IFERROR(MAXIFS(PAYMENTS!A:A,PAYMENTS!C:C,E717),""))</f>
        <v/>
      </c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>
        <f>IF(E718="","",SUMIF(PAYMENTS!C:C,E718,PAYMENTS!E:E))</f>
        <v/>
      </c>
      <c r="M718">
        <f>IF(E718="","",J718-L718)</f>
        <v/>
      </c>
      <c r="N718">
        <f>IF(E718="","",IF(M718&lt;=0,"Paid",IF(L718&gt;0,"Part Paid","Unpaid")))</f>
        <v/>
      </c>
      <c r="O718">
        <f>IF(E718="","",IFERROR(MAXIFS(PAYMENTS!A:A,PAYMENTS!C:C,E718),""))</f>
        <v/>
      </c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>
        <f>IF(E719="","",SUMIF(PAYMENTS!C:C,E719,PAYMENTS!E:E))</f>
        <v/>
      </c>
      <c r="M719">
        <f>IF(E719="","",J719-L719)</f>
        <v/>
      </c>
      <c r="N719">
        <f>IF(E719="","",IF(M719&lt;=0,"Paid",IF(L719&gt;0,"Part Paid","Unpaid")))</f>
        <v/>
      </c>
      <c r="O719">
        <f>IF(E719="","",IFERROR(MAXIFS(PAYMENTS!A:A,PAYMENTS!C:C,E719),""))</f>
        <v/>
      </c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>
        <f>IF(E720="","",SUMIF(PAYMENTS!C:C,E720,PAYMENTS!E:E))</f>
        <v/>
      </c>
      <c r="M720">
        <f>IF(E720="","",J720-L720)</f>
        <v/>
      </c>
      <c r="N720">
        <f>IF(E720="","",IF(M720&lt;=0,"Paid",IF(L720&gt;0,"Part Paid","Unpaid")))</f>
        <v/>
      </c>
      <c r="O720">
        <f>IF(E720="","",IFERROR(MAXIFS(PAYMENTS!A:A,PAYMENTS!C:C,E720),""))</f>
        <v/>
      </c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>
        <f>IF(E721="","",SUMIF(PAYMENTS!C:C,E721,PAYMENTS!E:E))</f>
        <v/>
      </c>
      <c r="M721">
        <f>IF(E721="","",J721-L721)</f>
        <v/>
      </c>
      <c r="N721">
        <f>IF(E721="","",IF(M721&lt;=0,"Paid",IF(L721&gt;0,"Part Paid","Unpaid")))</f>
        <v/>
      </c>
      <c r="O721">
        <f>IF(E721="","",IFERROR(MAXIFS(PAYMENTS!A:A,PAYMENTS!C:C,E721),""))</f>
        <v/>
      </c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>
        <f>IF(E722="","",SUMIF(PAYMENTS!C:C,E722,PAYMENTS!E:E))</f>
        <v/>
      </c>
      <c r="M722">
        <f>IF(E722="","",J722-L722)</f>
        <v/>
      </c>
      <c r="N722">
        <f>IF(E722="","",IF(M722&lt;=0,"Paid",IF(L722&gt;0,"Part Paid","Unpaid")))</f>
        <v/>
      </c>
      <c r="O722">
        <f>IF(E722="","",IFERROR(MAXIFS(PAYMENTS!A:A,PAYMENTS!C:C,E722),""))</f>
        <v/>
      </c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>
        <f>IF(E723="","",SUMIF(PAYMENTS!C:C,E723,PAYMENTS!E:E))</f>
        <v/>
      </c>
      <c r="M723">
        <f>IF(E723="","",J723-L723)</f>
        <v/>
      </c>
      <c r="N723">
        <f>IF(E723="","",IF(M723&lt;=0,"Paid",IF(L723&gt;0,"Part Paid","Unpaid")))</f>
        <v/>
      </c>
      <c r="O723">
        <f>IF(E723="","",IFERROR(MAXIFS(PAYMENTS!A:A,PAYMENTS!C:C,E723),""))</f>
        <v/>
      </c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>
        <f>IF(E724="","",SUMIF(PAYMENTS!C:C,E724,PAYMENTS!E:E))</f>
        <v/>
      </c>
      <c r="M724">
        <f>IF(E724="","",J724-L724)</f>
        <v/>
      </c>
      <c r="N724">
        <f>IF(E724="","",IF(M724&lt;=0,"Paid",IF(L724&gt;0,"Part Paid","Unpaid")))</f>
        <v/>
      </c>
      <c r="O724">
        <f>IF(E724="","",IFERROR(MAXIFS(PAYMENTS!A:A,PAYMENTS!C:C,E724),""))</f>
        <v/>
      </c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>
        <f>IF(E725="","",SUMIF(PAYMENTS!C:C,E725,PAYMENTS!E:E))</f>
        <v/>
      </c>
      <c r="M725">
        <f>IF(E725="","",J725-L725)</f>
        <v/>
      </c>
      <c r="N725">
        <f>IF(E725="","",IF(M725&lt;=0,"Paid",IF(L725&gt;0,"Part Paid","Unpaid")))</f>
        <v/>
      </c>
      <c r="O725">
        <f>IF(E725="","",IFERROR(MAXIFS(PAYMENTS!A:A,PAYMENTS!C:C,E725),""))</f>
        <v/>
      </c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>
        <f>IF(E726="","",SUMIF(PAYMENTS!C:C,E726,PAYMENTS!E:E))</f>
        <v/>
      </c>
      <c r="M726">
        <f>IF(E726="","",J726-L726)</f>
        <v/>
      </c>
      <c r="N726">
        <f>IF(E726="","",IF(M726&lt;=0,"Paid",IF(L726&gt;0,"Part Paid","Unpaid")))</f>
        <v/>
      </c>
      <c r="O726">
        <f>IF(E726="","",IFERROR(MAXIFS(PAYMENTS!A:A,PAYMENTS!C:C,E726),""))</f>
        <v/>
      </c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>
        <f>IF(E727="","",SUMIF(PAYMENTS!C:C,E727,PAYMENTS!E:E))</f>
        <v/>
      </c>
      <c r="M727">
        <f>IF(E727="","",J727-L727)</f>
        <v/>
      </c>
      <c r="N727">
        <f>IF(E727="","",IF(M727&lt;=0,"Paid",IF(L727&gt;0,"Part Paid","Unpaid")))</f>
        <v/>
      </c>
      <c r="O727">
        <f>IF(E727="","",IFERROR(MAXIFS(PAYMENTS!A:A,PAYMENTS!C:C,E727),""))</f>
        <v/>
      </c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>
        <f>IF(E728="","",SUMIF(PAYMENTS!C:C,E728,PAYMENTS!E:E))</f>
        <v/>
      </c>
      <c r="M728">
        <f>IF(E728="","",J728-L728)</f>
        <v/>
      </c>
      <c r="N728">
        <f>IF(E728="","",IF(M728&lt;=0,"Paid",IF(L728&gt;0,"Part Paid","Unpaid")))</f>
        <v/>
      </c>
      <c r="O728">
        <f>IF(E728="","",IFERROR(MAXIFS(PAYMENTS!A:A,PAYMENTS!C:C,E728),""))</f>
        <v/>
      </c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>
        <f>IF(E729="","",SUMIF(PAYMENTS!C:C,E729,PAYMENTS!E:E))</f>
        <v/>
      </c>
      <c r="M729">
        <f>IF(E729="","",J729-L729)</f>
        <v/>
      </c>
      <c r="N729">
        <f>IF(E729="","",IF(M729&lt;=0,"Paid",IF(L729&gt;0,"Part Paid","Unpaid")))</f>
        <v/>
      </c>
      <c r="O729">
        <f>IF(E729="","",IFERROR(MAXIFS(PAYMENTS!A:A,PAYMENTS!C:C,E729),""))</f>
        <v/>
      </c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>
        <f>IF(E730="","",SUMIF(PAYMENTS!C:C,E730,PAYMENTS!E:E))</f>
        <v/>
      </c>
      <c r="M730">
        <f>IF(E730="","",J730-L730)</f>
        <v/>
      </c>
      <c r="N730">
        <f>IF(E730="","",IF(M730&lt;=0,"Paid",IF(L730&gt;0,"Part Paid","Unpaid")))</f>
        <v/>
      </c>
      <c r="O730">
        <f>IF(E730="","",IFERROR(MAXIFS(PAYMENTS!A:A,PAYMENTS!C:C,E730),""))</f>
        <v/>
      </c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>
        <f>IF(E731="","",SUMIF(PAYMENTS!C:C,E731,PAYMENTS!E:E))</f>
        <v/>
      </c>
      <c r="M731">
        <f>IF(E731="","",J731-L731)</f>
        <v/>
      </c>
      <c r="N731">
        <f>IF(E731="","",IF(M731&lt;=0,"Paid",IF(L731&gt;0,"Part Paid","Unpaid")))</f>
        <v/>
      </c>
      <c r="O731">
        <f>IF(E731="","",IFERROR(MAXIFS(PAYMENTS!A:A,PAYMENTS!C:C,E731),""))</f>
        <v/>
      </c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>
        <f>IF(E732="","",SUMIF(PAYMENTS!C:C,E732,PAYMENTS!E:E))</f>
        <v/>
      </c>
      <c r="M732">
        <f>IF(E732="","",J732-L732)</f>
        <v/>
      </c>
      <c r="N732">
        <f>IF(E732="","",IF(M732&lt;=0,"Paid",IF(L732&gt;0,"Part Paid","Unpaid")))</f>
        <v/>
      </c>
      <c r="O732">
        <f>IF(E732="","",IFERROR(MAXIFS(PAYMENTS!A:A,PAYMENTS!C:C,E732),""))</f>
        <v/>
      </c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>
        <f>IF(E733="","",SUMIF(PAYMENTS!C:C,E733,PAYMENTS!E:E))</f>
        <v/>
      </c>
      <c r="M733">
        <f>IF(E733="","",J733-L733)</f>
        <v/>
      </c>
      <c r="N733">
        <f>IF(E733="","",IF(M733&lt;=0,"Paid",IF(L733&gt;0,"Part Paid","Unpaid")))</f>
        <v/>
      </c>
      <c r="O733">
        <f>IF(E733="","",IFERROR(MAXIFS(PAYMENTS!A:A,PAYMENTS!C:C,E733),""))</f>
        <v/>
      </c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>
        <f>IF(E734="","",SUMIF(PAYMENTS!C:C,E734,PAYMENTS!E:E))</f>
        <v/>
      </c>
      <c r="M734">
        <f>IF(E734="","",J734-L734)</f>
        <v/>
      </c>
      <c r="N734">
        <f>IF(E734="","",IF(M734&lt;=0,"Paid",IF(L734&gt;0,"Part Paid","Unpaid")))</f>
        <v/>
      </c>
      <c r="O734">
        <f>IF(E734="","",IFERROR(MAXIFS(PAYMENTS!A:A,PAYMENTS!C:C,E734),""))</f>
        <v/>
      </c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>
        <f>IF(E735="","",SUMIF(PAYMENTS!C:C,E735,PAYMENTS!E:E))</f>
        <v/>
      </c>
      <c r="M735">
        <f>IF(E735="","",J735-L735)</f>
        <v/>
      </c>
      <c r="N735">
        <f>IF(E735="","",IF(M735&lt;=0,"Paid",IF(L735&gt;0,"Part Paid","Unpaid")))</f>
        <v/>
      </c>
      <c r="O735">
        <f>IF(E735="","",IFERROR(MAXIFS(PAYMENTS!A:A,PAYMENTS!C:C,E735),""))</f>
        <v/>
      </c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>
        <f>IF(E736="","",SUMIF(PAYMENTS!C:C,E736,PAYMENTS!E:E))</f>
        <v/>
      </c>
      <c r="M736">
        <f>IF(E736="","",J736-L736)</f>
        <v/>
      </c>
      <c r="N736">
        <f>IF(E736="","",IF(M736&lt;=0,"Paid",IF(L736&gt;0,"Part Paid","Unpaid")))</f>
        <v/>
      </c>
      <c r="O736">
        <f>IF(E736="","",IFERROR(MAXIFS(PAYMENTS!A:A,PAYMENTS!C:C,E736),""))</f>
        <v/>
      </c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>
        <f>IF(E737="","",SUMIF(PAYMENTS!C:C,E737,PAYMENTS!E:E))</f>
        <v/>
      </c>
      <c r="M737">
        <f>IF(E737="","",J737-L737)</f>
        <v/>
      </c>
      <c r="N737">
        <f>IF(E737="","",IF(M737&lt;=0,"Paid",IF(L737&gt;0,"Part Paid","Unpaid")))</f>
        <v/>
      </c>
      <c r="O737">
        <f>IF(E737="","",IFERROR(MAXIFS(PAYMENTS!A:A,PAYMENTS!C:C,E737),""))</f>
        <v/>
      </c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>
        <f>IF(E738="","",SUMIF(PAYMENTS!C:C,E738,PAYMENTS!E:E))</f>
        <v/>
      </c>
      <c r="M738">
        <f>IF(E738="","",J738-L738)</f>
        <v/>
      </c>
      <c r="N738">
        <f>IF(E738="","",IF(M738&lt;=0,"Paid",IF(L738&gt;0,"Part Paid","Unpaid")))</f>
        <v/>
      </c>
      <c r="O738">
        <f>IF(E738="","",IFERROR(MAXIFS(PAYMENTS!A:A,PAYMENTS!C:C,E738),""))</f>
        <v/>
      </c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>
        <f>IF(E739="","",SUMIF(PAYMENTS!C:C,E739,PAYMENTS!E:E))</f>
        <v/>
      </c>
      <c r="M739">
        <f>IF(E739="","",J739-L739)</f>
        <v/>
      </c>
      <c r="N739">
        <f>IF(E739="","",IF(M739&lt;=0,"Paid",IF(L739&gt;0,"Part Paid","Unpaid")))</f>
        <v/>
      </c>
      <c r="O739">
        <f>IF(E739="","",IFERROR(MAXIFS(PAYMENTS!A:A,PAYMENTS!C:C,E739),""))</f>
        <v/>
      </c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>
        <f>IF(E740="","",SUMIF(PAYMENTS!C:C,E740,PAYMENTS!E:E))</f>
        <v/>
      </c>
      <c r="M740">
        <f>IF(E740="","",J740-L740)</f>
        <v/>
      </c>
      <c r="N740">
        <f>IF(E740="","",IF(M740&lt;=0,"Paid",IF(L740&gt;0,"Part Paid","Unpaid")))</f>
        <v/>
      </c>
      <c r="O740">
        <f>IF(E740="","",IFERROR(MAXIFS(PAYMENTS!A:A,PAYMENTS!C:C,E740),""))</f>
        <v/>
      </c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>
        <f>IF(E741="","",SUMIF(PAYMENTS!C:C,E741,PAYMENTS!E:E))</f>
        <v/>
      </c>
      <c r="M741">
        <f>IF(E741="","",J741-L741)</f>
        <v/>
      </c>
      <c r="N741">
        <f>IF(E741="","",IF(M741&lt;=0,"Paid",IF(L741&gt;0,"Part Paid","Unpaid")))</f>
        <v/>
      </c>
      <c r="O741">
        <f>IF(E741="","",IFERROR(MAXIFS(PAYMENTS!A:A,PAYMENTS!C:C,E741),""))</f>
        <v/>
      </c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>
        <f>IF(E742="","",SUMIF(PAYMENTS!C:C,E742,PAYMENTS!E:E))</f>
        <v/>
      </c>
      <c r="M742">
        <f>IF(E742="","",J742-L742)</f>
        <v/>
      </c>
      <c r="N742">
        <f>IF(E742="","",IF(M742&lt;=0,"Paid",IF(L742&gt;0,"Part Paid","Unpaid")))</f>
        <v/>
      </c>
      <c r="O742">
        <f>IF(E742="","",IFERROR(MAXIFS(PAYMENTS!A:A,PAYMENTS!C:C,E742),""))</f>
        <v/>
      </c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>
        <f>IF(E743="","",SUMIF(PAYMENTS!C:C,E743,PAYMENTS!E:E))</f>
        <v/>
      </c>
      <c r="M743">
        <f>IF(E743="","",J743-L743)</f>
        <v/>
      </c>
      <c r="N743">
        <f>IF(E743="","",IF(M743&lt;=0,"Paid",IF(L743&gt;0,"Part Paid","Unpaid")))</f>
        <v/>
      </c>
      <c r="O743">
        <f>IF(E743="","",IFERROR(MAXIFS(PAYMENTS!A:A,PAYMENTS!C:C,E743),""))</f>
        <v/>
      </c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>
        <f>IF(E744="","",SUMIF(PAYMENTS!C:C,E744,PAYMENTS!E:E))</f>
        <v/>
      </c>
      <c r="M744">
        <f>IF(E744="","",J744-L744)</f>
        <v/>
      </c>
      <c r="N744">
        <f>IF(E744="","",IF(M744&lt;=0,"Paid",IF(L744&gt;0,"Part Paid","Unpaid")))</f>
        <v/>
      </c>
      <c r="O744">
        <f>IF(E744="","",IFERROR(MAXIFS(PAYMENTS!A:A,PAYMENTS!C:C,E744),""))</f>
        <v/>
      </c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>
        <f>IF(E745="","",SUMIF(PAYMENTS!C:C,E745,PAYMENTS!E:E))</f>
        <v/>
      </c>
      <c r="M745">
        <f>IF(E745="","",J745-L745)</f>
        <v/>
      </c>
      <c r="N745">
        <f>IF(E745="","",IF(M745&lt;=0,"Paid",IF(L745&gt;0,"Part Paid","Unpaid")))</f>
        <v/>
      </c>
      <c r="O745">
        <f>IF(E745="","",IFERROR(MAXIFS(PAYMENTS!A:A,PAYMENTS!C:C,E745),""))</f>
        <v/>
      </c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>
        <f>IF(E746="","",SUMIF(PAYMENTS!C:C,E746,PAYMENTS!E:E))</f>
        <v/>
      </c>
      <c r="M746">
        <f>IF(E746="","",J746-L746)</f>
        <v/>
      </c>
      <c r="N746">
        <f>IF(E746="","",IF(M746&lt;=0,"Paid",IF(L746&gt;0,"Part Paid","Unpaid")))</f>
        <v/>
      </c>
      <c r="O746">
        <f>IF(E746="","",IFERROR(MAXIFS(PAYMENTS!A:A,PAYMENTS!C:C,E746),""))</f>
        <v/>
      </c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>
        <f>IF(E747="","",SUMIF(PAYMENTS!C:C,E747,PAYMENTS!E:E))</f>
        <v/>
      </c>
      <c r="M747">
        <f>IF(E747="","",J747-L747)</f>
        <v/>
      </c>
      <c r="N747">
        <f>IF(E747="","",IF(M747&lt;=0,"Paid",IF(L747&gt;0,"Part Paid","Unpaid")))</f>
        <v/>
      </c>
      <c r="O747">
        <f>IF(E747="","",IFERROR(MAXIFS(PAYMENTS!A:A,PAYMENTS!C:C,E747),""))</f>
        <v/>
      </c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>
        <f>IF(E748="","",SUMIF(PAYMENTS!C:C,E748,PAYMENTS!E:E))</f>
        <v/>
      </c>
      <c r="M748">
        <f>IF(E748="","",J748-L748)</f>
        <v/>
      </c>
      <c r="N748">
        <f>IF(E748="","",IF(M748&lt;=0,"Paid",IF(L748&gt;0,"Part Paid","Unpaid")))</f>
        <v/>
      </c>
      <c r="O748">
        <f>IF(E748="","",IFERROR(MAXIFS(PAYMENTS!A:A,PAYMENTS!C:C,E748),""))</f>
        <v/>
      </c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>
        <f>IF(E749="","",SUMIF(PAYMENTS!C:C,E749,PAYMENTS!E:E))</f>
        <v/>
      </c>
      <c r="M749">
        <f>IF(E749="","",J749-L749)</f>
        <v/>
      </c>
      <c r="N749">
        <f>IF(E749="","",IF(M749&lt;=0,"Paid",IF(L749&gt;0,"Part Paid","Unpaid")))</f>
        <v/>
      </c>
      <c r="O749">
        <f>IF(E749="","",IFERROR(MAXIFS(PAYMENTS!A:A,PAYMENTS!C:C,E749),""))</f>
        <v/>
      </c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>
        <f>IF(E750="","",SUMIF(PAYMENTS!C:C,E750,PAYMENTS!E:E))</f>
        <v/>
      </c>
      <c r="M750">
        <f>IF(E750="","",J750-L750)</f>
        <v/>
      </c>
      <c r="N750">
        <f>IF(E750="","",IF(M750&lt;=0,"Paid",IF(L750&gt;0,"Part Paid","Unpaid")))</f>
        <v/>
      </c>
      <c r="O750">
        <f>IF(E750="","",IFERROR(MAXIFS(PAYMENTS!A:A,PAYMENTS!C:C,E750),""))</f>
        <v/>
      </c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>
        <f>IF(E751="","",SUMIF(PAYMENTS!C:C,E751,PAYMENTS!E:E))</f>
        <v/>
      </c>
      <c r="M751">
        <f>IF(E751="","",J751-L751)</f>
        <v/>
      </c>
      <c r="N751">
        <f>IF(E751="","",IF(M751&lt;=0,"Paid",IF(L751&gt;0,"Part Paid","Unpaid")))</f>
        <v/>
      </c>
      <c r="O751">
        <f>IF(E751="","",IFERROR(MAXIFS(PAYMENTS!A:A,PAYMENTS!C:C,E751),""))</f>
        <v/>
      </c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>
        <f>IF(E752="","",SUMIF(PAYMENTS!C:C,E752,PAYMENTS!E:E))</f>
        <v/>
      </c>
      <c r="M752">
        <f>IF(E752="","",J752-L752)</f>
        <v/>
      </c>
      <c r="N752">
        <f>IF(E752="","",IF(M752&lt;=0,"Paid",IF(L752&gt;0,"Part Paid","Unpaid")))</f>
        <v/>
      </c>
      <c r="O752">
        <f>IF(E752="","",IFERROR(MAXIFS(PAYMENTS!A:A,PAYMENTS!C:C,E752),""))</f>
        <v/>
      </c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>
        <f>IF(E753="","",SUMIF(PAYMENTS!C:C,E753,PAYMENTS!E:E))</f>
        <v/>
      </c>
      <c r="M753">
        <f>IF(E753="","",J753-L753)</f>
        <v/>
      </c>
      <c r="N753">
        <f>IF(E753="","",IF(M753&lt;=0,"Paid",IF(L753&gt;0,"Part Paid","Unpaid")))</f>
        <v/>
      </c>
      <c r="O753">
        <f>IF(E753="","",IFERROR(MAXIFS(PAYMENTS!A:A,PAYMENTS!C:C,E753),""))</f>
        <v/>
      </c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>
        <f>IF(E754="","",SUMIF(PAYMENTS!C:C,E754,PAYMENTS!E:E))</f>
        <v/>
      </c>
      <c r="M754">
        <f>IF(E754="","",J754-L754)</f>
        <v/>
      </c>
      <c r="N754">
        <f>IF(E754="","",IF(M754&lt;=0,"Paid",IF(L754&gt;0,"Part Paid","Unpaid")))</f>
        <v/>
      </c>
      <c r="O754">
        <f>IF(E754="","",IFERROR(MAXIFS(PAYMENTS!A:A,PAYMENTS!C:C,E754),""))</f>
        <v/>
      </c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>
        <f>IF(E755="","",SUMIF(PAYMENTS!C:C,E755,PAYMENTS!E:E))</f>
        <v/>
      </c>
      <c r="M755">
        <f>IF(E755="","",J755-L755)</f>
        <v/>
      </c>
      <c r="N755">
        <f>IF(E755="","",IF(M755&lt;=0,"Paid",IF(L755&gt;0,"Part Paid","Unpaid")))</f>
        <v/>
      </c>
      <c r="O755">
        <f>IF(E755="","",IFERROR(MAXIFS(PAYMENTS!A:A,PAYMENTS!C:C,E755),""))</f>
        <v/>
      </c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>
        <f>IF(E756="","",SUMIF(PAYMENTS!C:C,E756,PAYMENTS!E:E))</f>
        <v/>
      </c>
      <c r="M756">
        <f>IF(E756="","",J756-L756)</f>
        <v/>
      </c>
      <c r="N756">
        <f>IF(E756="","",IF(M756&lt;=0,"Paid",IF(L756&gt;0,"Part Paid","Unpaid")))</f>
        <v/>
      </c>
      <c r="O756">
        <f>IF(E756="","",IFERROR(MAXIFS(PAYMENTS!A:A,PAYMENTS!C:C,E756),""))</f>
        <v/>
      </c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>
        <f>IF(E757="","",SUMIF(PAYMENTS!C:C,E757,PAYMENTS!E:E))</f>
        <v/>
      </c>
      <c r="M757">
        <f>IF(E757="","",J757-L757)</f>
        <v/>
      </c>
      <c r="N757">
        <f>IF(E757="","",IF(M757&lt;=0,"Paid",IF(L757&gt;0,"Part Paid","Unpaid")))</f>
        <v/>
      </c>
      <c r="O757">
        <f>IF(E757="","",IFERROR(MAXIFS(PAYMENTS!A:A,PAYMENTS!C:C,E757),""))</f>
        <v/>
      </c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>
        <f>IF(E758="","",SUMIF(PAYMENTS!C:C,E758,PAYMENTS!E:E))</f>
        <v/>
      </c>
      <c r="M758">
        <f>IF(E758="","",J758-L758)</f>
        <v/>
      </c>
      <c r="N758">
        <f>IF(E758="","",IF(M758&lt;=0,"Paid",IF(L758&gt;0,"Part Paid","Unpaid")))</f>
        <v/>
      </c>
      <c r="O758">
        <f>IF(E758="","",IFERROR(MAXIFS(PAYMENTS!A:A,PAYMENTS!C:C,E758),""))</f>
        <v/>
      </c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>
        <f>IF(E759="","",SUMIF(PAYMENTS!C:C,E759,PAYMENTS!E:E))</f>
        <v/>
      </c>
      <c r="M759">
        <f>IF(E759="","",J759-L759)</f>
        <v/>
      </c>
      <c r="N759">
        <f>IF(E759="","",IF(M759&lt;=0,"Paid",IF(L759&gt;0,"Part Paid","Unpaid")))</f>
        <v/>
      </c>
      <c r="O759">
        <f>IF(E759="","",IFERROR(MAXIFS(PAYMENTS!A:A,PAYMENTS!C:C,E759),""))</f>
        <v/>
      </c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>
        <f>IF(E760="","",SUMIF(PAYMENTS!C:C,E760,PAYMENTS!E:E))</f>
        <v/>
      </c>
      <c r="M760">
        <f>IF(E760="","",J760-L760)</f>
        <v/>
      </c>
      <c r="N760">
        <f>IF(E760="","",IF(M760&lt;=0,"Paid",IF(L760&gt;0,"Part Paid","Unpaid")))</f>
        <v/>
      </c>
      <c r="O760">
        <f>IF(E760="","",IFERROR(MAXIFS(PAYMENTS!A:A,PAYMENTS!C:C,E760),""))</f>
        <v/>
      </c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>
        <f>IF(E761="","",SUMIF(PAYMENTS!C:C,E761,PAYMENTS!E:E))</f>
        <v/>
      </c>
      <c r="M761">
        <f>IF(E761="","",J761-L761)</f>
        <v/>
      </c>
      <c r="N761">
        <f>IF(E761="","",IF(M761&lt;=0,"Paid",IF(L761&gt;0,"Part Paid","Unpaid")))</f>
        <v/>
      </c>
      <c r="O761">
        <f>IF(E761="","",IFERROR(MAXIFS(PAYMENTS!A:A,PAYMENTS!C:C,E761),""))</f>
        <v/>
      </c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>
        <f>IF(E762="","",SUMIF(PAYMENTS!C:C,E762,PAYMENTS!E:E))</f>
        <v/>
      </c>
      <c r="M762">
        <f>IF(E762="","",J762-L762)</f>
        <v/>
      </c>
      <c r="N762">
        <f>IF(E762="","",IF(M762&lt;=0,"Paid",IF(L762&gt;0,"Part Paid","Unpaid")))</f>
        <v/>
      </c>
      <c r="O762">
        <f>IF(E762="","",IFERROR(MAXIFS(PAYMENTS!A:A,PAYMENTS!C:C,E762),""))</f>
        <v/>
      </c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>
        <f>IF(E763="","",SUMIF(PAYMENTS!C:C,E763,PAYMENTS!E:E))</f>
        <v/>
      </c>
      <c r="M763">
        <f>IF(E763="","",J763-L763)</f>
        <v/>
      </c>
      <c r="N763">
        <f>IF(E763="","",IF(M763&lt;=0,"Paid",IF(L763&gt;0,"Part Paid","Unpaid")))</f>
        <v/>
      </c>
      <c r="O763">
        <f>IF(E763="","",IFERROR(MAXIFS(PAYMENTS!A:A,PAYMENTS!C:C,E763),""))</f>
        <v/>
      </c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>
        <f>IF(E764="","",SUMIF(PAYMENTS!C:C,E764,PAYMENTS!E:E))</f>
        <v/>
      </c>
      <c r="M764">
        <f>IF(E764="","",J764-L764)</f>
        <v/>
      </c>
      <c r="N764">
        <f>IF(E764="","",IF(M764&lt;=0,"Paid",IF(L764&gt;0,"Part Paid","Unpaid")))</f>
        <v/>
      </c>
      <c r="O764">
        <f>IF(E764="","",IFERROR(MAXIFS(PAYMENTS!A:A,PAYMENTS!C:C,E764),""))</f>
        <v/>
      </c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>
        <f>IF(E765="","",SUMIF(PAYMENTS!C:C,E765,PAYMENTS!E:E))</f>
        <v/>
      </c>
      <c r="M765">
        <f>IF(E765="","",J765-L765)</f>
        <v/>
      </c>
      <c r="N765">
        <f>IF(E765="","",IF(M765&lt;=0,"Paid",IF(L765&gt;0,"Part Paid","Unpaid")))</f>
        <v/>
      </c>
      <c r="O765">
        <f>IF(E765="","",IFERROR(MAXIFS(PAYMENTS!A:A,PAYMENTS!C:C,E765),""))</f>
        <v/>
      </c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>
        <f>IF(E766="","",SUMIF(PAYMENTS!C:C,E766,PAYMENTS!E:E))</f>
        <v/>
      </c>
      <c r="M766">
        <f>IF(E766="","",J766-L766)</f>
        <v/>
      </c>
      <c r="N766">
        <f>IF(E766="","",IF(M766&lt;=0,"Paid",IF(L766&gt;0,"Part Paid","Unpaid")))</f>
        <v/>
      </c>
      <c r="O766">
        <f>IF(E766="","",IFERROR(MAXIFS(PAYMENTS!A:A,PAYMENTS!C:C,E766),""))</f>
        <v/>
      </c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>
        <f>IF(E767="","",SUMIF(PAYMENTS!C:C,E767,PAYMENTS!E:E))</f>
        <v/>
      </c>
      <c r="M767">
        <f>IF(E767="","",J767-L767)</f>
        <v/>
      </c>
      <c r="N767">
        <f>IF(E767="","",IF(M767&lt;=0,"Paid",IF(L767&gt;0,"Part Paid","Unpaid")))</f>
        <v/>
      </c>
      <c r="O767">
        <f>IF(E767="","",IFERROR(MAXIFS(PAYMENTS!A:A,PAYMENTS!C:C,E767),""))</f>
        <v/>
      </c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>
        <f>IF(E768="","",SUMIF(PAYMENTS!C:C,E768,PAYMENTS!E:E))</f>
        <v/>
      </c>
      <c r="M768">
        <f>IF(E768="","",J768-L768)</f>
        <v/>
      </c>
      <c r="N768">
        <f>IF(E768="","",IF(M768&lt;=0,"Paid",IF(L768&gt;0,"Part Paid","Unpaid")))</f>
        <v/>
      </c>
      <c r="O768">
        <f>IF(E768="","",IFERROR(MAXIFS(PAYMENTS!A:A,PAYMENTS!C:C,E768),""))</f>
        <v/>
      </c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>
        <f>IF(E769="","",SUMIF(PAYMENTS!C:C,E769,PAYMENTS!E:E))</f>
        <v/>
      </c>
      <c r="M769">
        <f>IF(E769="","",J769-L769)</f>
        <v/>
      </c>
      <c r="N769">
        <f>IF(E769="","",IF(M769&lt;=0,"Paid",IF(L769&gt;0,"Part Paid","Unpaid")))</f>
        <v/>
      </c>
      <c r="O769">
        <f>IF(E769="","",IFERROR(MAXIFS(PAYMENTS!A:A,PAYMENTS!C:C,E769),""))</f>
        <v/>
      </c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>
        <f>IF(E770="","",SUMIF(PAYMENTS!C:C,E770,PAYMENTS!E:E))</f>
        <v/>
      </c>
      <c r="M770">
        <f>IF(E770="","",J770-L770)</f>
        <v/>
      </c>
      <c r="N770">
        <f>IF(E770="","",IF(M770&lt;=0,"Paid",IF(L770&gt;0,"Part Paid","Unpaid")))</f>
        <v/>
      </c>
      <c r="O770">
        <f>IF(E770="","",IFERROR(MAXIFS(PAYMENTS!A:A,PAYMENTS!C:C,E770),""))</f>
        <v/>
      </c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>
        <f>IF(E771="","",SUMIF(PAYMENTS!C:C,E771,PAYMENTS!E:E))</f>
        <v/>
      </c>
      <c r="M771">
        <f>IF(E771="","",J771-L771)</f>
        <v/>
      </c>
      <c r="N771">
        <f>IF(E771="","",IF(M771&lt;=0,"Paid",IF(L771&gt;0,"Part Paid","Unpaid")))</f>
        <v/>
      </c>
      <c r="O771">
        <f>IF(E771="","",IFERROR(MAXIFS(PAYMENTS!A:A,PAYMENTS!C:C,E771),""))</f>
        <v/>
      </c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>
        <f>IF(E772="","",SUMIF(PAYMENTS!C:C,E772,PAYMENTS!E:E))</f>
        <v/>
      </c>
      <c r="M772">
        <f>IF(E772="","",J772-L772)</f>
        <v/>
      </c>
      <c r="N772">
        <f>IF(E772="","",IF(M772&lt;=0,"Paid",IF(L772&gt;0,"Part Paid","Unpaid")))</f>
        <v/>
      </c>
      <c r="O772">
        <f>IF(E772="","",IFERROR(MAXIFS(PAYMENTS!A:A,PAYMENTS!C:C,E772),""))</f>
        <v/>
      </c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>
        <f>IF(E773="","",SUMIF(PAYMENTS!C:C,E773,PAYMENTS!E:E))</f>
        <v/>
      </c>
      <c r="M773">
        <f>IF(E773="","",J773-L773)</f>
        <v/>
      </c>
      <c r="N773">
        <f>IF(E773="","",IF(M773&lt;=0,"Paid",IF(L773&gt;0,"Part Paid","Unpaid")))</f>
        <v/>
      </c>
      <c r="O773">
        <f>IF(E773="","",IFERROR(MAXIFS(PAYMENTS!A:A,PAYMENTS!C:C,E773),""))</f>
        <v/>
      </c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>
        <f>IF(E774="","",SUMIF(PAYMENTS!C:C,E774,PAYMENTS!E:E))</f>
        <v/>
      </c>
      <c r="M774">
        <f>IF(E774="","",J774-L774)</f>
        <v/>
      </c>
      <c r="N774">
        <f>IF(E774="","",IF(M774&lt;=0,"Paid",IF(L774&gt;0,"Part Paid","Unpaid")))</f>
        <v/>
      </c>
      <c r="O774">
        <f>IF(E774="","",IFERROR(MAXIFS(PAYMENTS!A:A,PAYMENTS!C:C,E774),""))</f>
        <v/>
      </c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>
        <f>IF(E775="","",SUMIF(PAYMENTS!C:C,E775,PAYMENTS!E:E))</f>
        <v/>
      </c>
      <c r="M775">
        <f>IF(E775="","",J775-L775)</f>
        <v/>
      </c>
      <c r="N775">
        <f>IF(E775="","",IF(M775&lt;=0,"Paid",IF(L775&gt;0,"Part Paid","Unpaid")))</f>
        <v/>
      </c>
      <c r="O775">
        <f>IF(E775="","",IFERROR(MAXIFS(PAYMENTS!A:A,PAYMENTS!C:C,E775),""))</f>
        <v/>
      </c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>
        <f>IF(E776="","",SUMIF(PAYMENTS!C:C,E776,PAYMENTS!E:E))</f>
        <v/>
      </c>
      <c r="M776">
        <f>IF(E776="","",J776-L776)</f>
        <v/>
      </c>
      <c r="N776">
        <f>IF(E776="","",IF(M776&lt;=0,"Paid",IF(L776&gt;0,"Part Paid","Unpaid")))</f>
        <v/>
      </c>
      <c r="O776">
        <f>IF(E776="","",IFERROR(MAXIFS(PAYMENTS!A:A,PAYMENTS!C:C,E776),""))</f>
        <v/>
      </c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>
        <f>IF(E777="","",SUMIF(PAYMENTS!C:C,E777,PAYMENTS!E:E))</f>
        <v/>
      </c>
      <c r="M777">
        <f>IF(E777="","",J777-L777)</f>
        <v/>
      </c>
      <c r="N777">
        <f>IF(E777="","",IF(M777&lt;=0,"Paid",IF(L777&gt;0,"Part Paid","Unpaid")))</f>
        <v/>
      </c>
      <c r="O777">
        <f>IF(E777="","",IFERROR(MAXIFS(PAYMENTS!A:A,PAYMENTS!C:C,E777),""))</f>
        <v/>
      </c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>
        <f>IF(E778="","",SUMIF(PAYMENTS!C:C,E778,PAYMENTS!E:E))</f>
        <v/>
      </c>
      <c r="M778">
        <f>IF(E778="","",J778-L778)</f>
        <v/>
      </c>
      <c r="N778">
        <f>IF(E778="","",IF(M778&lt;=0,"Paid",IF(L778&gt;0,"Part Paid","Unpaid")))</f>
        <v/>
      </c>
      <c r="O778">
        <f>IF(E778="","",IFERROR(MAXIFS(PAYMENTS!A:A,PAYMENTS!C:C,E778),""))</f>
        <v/>
      </c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>
        <f>IF(E779="","",SUMIF(PAYMENTS!C:C,E779,PAYMENTS!E:E))</f>
        <v/>
      </c>
      <c r="M779">
        <f>IF(E779="","",J779-L779)</f>
        <v/>
      </c>
      <c r="N779">
        <f>IF(E779="","",IF(M779&lt;=0,"Paid",IF(L779&gt;0,"Part Paid","Unpaid")))</f>
        <v/>
      </c>
      <c r="O779">
        <f>IF(E779="","",IFERROR(MAXIFS(PAYMENTS!A:A,PAYMENTS!C:C,E779),""))</f>
        <v/>
      </c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>
        <f>IF(E780="","",SUMIF(PAYMENTS!C:C,E780,PAYMENTS!E:E))</f>
        <v/>
      </c>
      <c r="M780">
        <f>IF(E780="","",J780-L780)</f>
        <v/>
      </c>
      <c r="N780">
        <f>IF(E780="","",IF(M780&lt;=0,"Paid",IF(L780&gt;0,"Part Paid","Unpaid")))</f>
        <v/>
      </c>
      <c r="O780">
        <f>IF(E780="","",IFERROR(MAXIFS(PAYMENTS!A:A,PAYMENTS!C:C,E780),""))</f>
        <v/>
      </c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>
        <f>IF(E781="","",SUMIF(PAYMENTS!C:C,E781,PAYMENTS!E:E))</f>
        <v/>
      </c>
      <c r="M781">
        <f>IF(E781="","",J781-L781)</f>
        <v/>
      </c>
      <c r="N781">
        <f>IF(E781="","",IF(M781&lt;=0,"Paid",IF(L781&gt;0,"Part Paid","Unpaid")))</f>
        <v/>
      </c>
      <c r="O781">
        <f>IF(E781="","",IFERROR(MAXIFS(PAYMENTS!A:A,PAYMENTS!C:C,E781),""))</f>
        <v/>
      </c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>
        <f>IF(E782="","",SUMIF(PAYMENTS!C:C,E782,PAYMENTS!E:E))</f>
        <v/>
      </c>
      <c r="M782">
        <f>IF(E782="","",J782-L782)</f>
        <v/>
      </c>
      <c r="N782">
        <f>IF(E782="","",IF(M782&lt;=0,"Paid",IF(L782&gt;0,"Part Paid","Unpaid")))</f>
        <v/>
      </c>
      <c r="O782">
        <f>IF(E782="","",IFERROR(MAXIFS(PAYMENTS!A:A,PAYMENTS!C:C,E782),""))</f>
        <v/>
      </c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>
        <f>IF(E783="","",SUMIF(PAYMENTS!C:C,E783,PAYMENTS!E:E))</f>
        <v/>
      </c>
      <c r="M783">
        <f>IF(E783="","",J783-L783)</f>
        <v/>
      </c>
      <c r="N783">
        <f>IF(E783="","",IF(M783&lt;=0,"Paid",IF(L783&gt;0,"Part Paid","Unpaid")))</f>
        <v/>
      </c>
      <c r="O783">
        <f>IF(E783="","",IFERROR(MAXIFS(PAYMENTS!A:A,PAYMENTS!C:C,E783),""))</f>
        <v/>
      </c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>
        <f>IF(E784="","",SUMIF(PAYMENTS!C:C,E784,PAYMENTS!E:E))</f>
        <v/>
      </c>
      <c r="M784">
        <f>IF(E784="","",J784-L784)</f>
        <v/>
      </c>
      <c r="N784">
        <f>IF(E784="","",IF(M784&lt;=0,"Paid",IF(L784&gt;0,"Part Paid","Unpaid")))</f>
        <v/>
      </c>
      <c r="O784">
        <f>IF(E784="","",IFERROR(MAXIFS(PAYMENTS!A:A,PAYMENTS!C:C,E784),""))</f>
        <v/>
      </c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>
        <f>IF(E785="","",SUMIF(PAYMENTS!C:C,E785,PAYMENTS!E:E))</f>
        <v/>
      </c>
      <c r="M785">
        <f>IF(E785="","",J785-L785)</f>
        <v/>
      </c>
      <c r="N785">
        <f>IF(E785="","",IF(M785&lt;=0,"Paid",IF(L785&gt;0,"Part Paid","Unpaid")))</f>
        <v/>
      </c>
      <c r="O785">
        <f>IF(E785="","",IFERROR(MAXIFS(PAYMENTS!A:A,PAYMENTS!C:C,E785),""))</f>
        <v/>
      </c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>
        <f>IF(E786="","",SUMIF(PAYMENTS!C:C,E786,PAYMENTS!E:E))</f>
        <v/>
      </c>
      <c r="M786">
        <f>IF(E786="","",J786-L786)</f>
        <v/>
      </c>
      <c r="N786">
        <f>IF(E786="","",IF(M786&lt;=0,"Paid",IF(L786&gt;0,"Part Paid","Unpaid")))</f>
        <v/>
      </c>
      <c r="O786">
        <f>IF(E786="","",IFERROR(MAXIFS(PAYMENTS!A:A,PAYMENTS!C:C,E786),""))</f>
        <v/>
      </c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>
        <f>IF(E787="","",SUMIF(PAYMENTS!C:C,E787,PAYMENTS!E:E))</f>
        <v/>
      </c>
      <c r="M787">
        <f>IF(E787="","",J787-L787)</f>
        <v/>
      </c>
      <c r="N787">
        <f>IF(E787="","",IF(M787&lt;=0,"Paid",IF(L787&gt;0,"Part Paid","Unpaid")))</f>
        <v/>
      </c>
      <c r="O787">
        <f>IF(E787="","",IFERROR(MAXIFS(PAYMENTS!A:A,PAYMENTS!C:C,E787),""))</f>
        <v/>
      </c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>
        <f>IF(E788="","",SUMIF(PAYMENTS!C:C,E788,PAYMENTS!E:E))</f>
        <v/>
      </c>
      <c r="M788">
        <f>IF(E788="","",J788-L788)</f>
        <v/>
      </c>
      <c r="N788">
        <f>IF(E788="","",IF(M788&lt;=0,"Paid",IF(L788&gt;0,"Part Paid","Unpaid")))</f>
        <v/>
      </c>
      <c r="O788">
        <f>IF(E788="","",IFERROR(MAXIFS(PAYMENTS!A:A,PAYMENTS!C:C,E788),""))</f>
        <v/>
      </c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>
        <f>IF(E789="","",SUMIF(PAYMENTS!C:C,E789,PAYMENTS!E:E))</f>
        <v/>
      </c>
      <c r="M789">
        <f>IF(E789="","",J789-L789)</f>
        <v/>
      </c>
      <c r="N789">
        <f>IF(E789="","",IF(M789&lt;=0,"Paid",IF(L789&gt;0,"Part Paid","Unpaid")))</f>
        <v/>
      </c>
      <c r="O789">
        <f>IF(E789="","",IFERROR(MAXIFS(PAYMENTS!A:A,PAYMENTS!C:C,E789),""))</f>
        <v/>
      </c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>
        <f>IF(E790="","",SUMIF(PAYMENTS!C:C,E790,PAYMENTS!E:E))</f>
        <v/>
      </c>
      <c r="M790">
        <f>IF(E790="","",J790-L790)</f>
        <v/>
      </c>
      <c r="N790">
        <f>IF(E790="","",IF(M790&lt;=0,"Paid",IF(L790&gt;0,"Part Paid","Unpaid")))</f>
        <v/>
      </c>
      <c r="O790">
        <f>IF(E790="","",IFERROR(MAXIFS(PAYMENTS!A:A,PAYMENTS!C:C,E790),""))</f>
        <v/>
      </c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>
        <f>IF(E791="","",SUMIF(PAYMENTS!C:C,E791,PAYMENTS!E:E))</f>
        <v/>
      </c>
      <c r="M791">
        <f>IF(E791="","",J791-L791)</f>
        <v/>
      </c>
      <c r="N791">
        <f>IF(E791="","",IF(M791&lt;=0,"Paid",IF(L791&gt;0,"Part Paid","Unpaid")))</f>
        <v/>
      </c>
      <c r="O791">
        <f>IF(E791="","",IFERROR(MAXIFS(PAYMENTS!A:A,PAYMENTS!C:C,E791),""))</f>
        <v/>
      </c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>
        <f>IF(E792="","",SUMIF(PAYMENTS!C:C,E792,PAYMENTS!E:E))</f>
        <v/>
      </c>
      <c r="M792">
        <f>IF(E792="","",J792-L792)</f>
        <v/>
      </c>
      <c r="N792">
        <f>IF(E792="","",IF(M792&lt;=0,"Paid",IF(L792&gt;0,"Part Paid","Unpaid")))</f>
        <v/>
      </c>
      <c r="O792">
        <f>IF(E792="","",IFERROR(MAXIFS(PAYMENTS!A:A,PAYMENTS!C:C,E792),""))</f>
        <v/>
      </c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>
        <f>IF(E793="","",SUMIF(PAYMENTS!C:C,E793,PAYMENTS!E:E))</f>
        <v/>
      </c>
      <c r="M793">
        <f>IF(E793="","",J793-L793)</f>
        <v/>
      </c>
      <c r="N793">
        <f>IF(E793="","",IF(M793&lt;=0,"Paid",IF(L793&gt;0,"Part Paid","Unpaid")))</f>
        <v/>
      </c>
      <c r="O793">
        <f>IF(E793="","",IFERROR(MAXIFS(PAYMENTS!A:A,PAYMENTS!C:C,E793),""))</f>
        <v/>
      </c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>
        <f>IF(E794="","",SUMIF(PAYMENTS!C:C,E794,PAYMENTS!E:E))</f>
        <v/>
      </c>
      <c r="M794">
        <f>IF(E794="","",J794-L794)</f>
        <v/>
      </c>
      <c r="N794">
        <f>IF(E794="","",IF(M794&lt;=0,"Paid",IF(L794&gt;0,"Part Paid","Unpaid")))</f>
        <v/>
      </c>
      <c r="O794">
        <f>IF(E794="","",IFERROR(MAXIFS(PAYMENTS!A:A,PAYMENTS!C:C,E794),""))</f>
        <v/>
      </c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>
        <f>IF(E795="","",SUMIF(PAYMENTS!C:C,E795,PAYMENTS!E:E))</f>
        <v/>
      </c>
      <c r="M795">
        <f>IF(E795="","",J795-L795)</f>
        <v/>
      </c>
      <c r="N795">
        <f>IF(E795="","",IF(M795&lt;=0,"Paid",IF(L795&gt;0,"Part Paid","Unpaid")))</f>
        <v/>
      </c>
      <c r="O795">
        <f>IF(E795="","",IFERROR(MAXIFS(PAYMENTS!A:A,PAYMENTS!C:C,E795),""))</f>
        <v/>
      </c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>
        <f>IF(E796="","",SUMIF(PAYMENTS!C:C,E796,PAYMENTS!E:E))</f>
        <v/>
      </c>
      <c r="M796">
        <f>IF(E796="","",J796-L796)</f>
        <v/>
      </c>
      <c r="N796">
        <f>IF(E796="","",IF(M796&lt;=0,"Paid",IF(L796&gt;0,"Part Paid","Unpaid")))</f>
        <v/>
      </c>
      <c r="O796">
        <f>IF(E796="","",IFERROR(MAXIFS(PAYMENTS!A:A,PAYMENTS!C:C,E796),""))</f>
        <v/>
      </c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>
        <f>IF(E797="","",SUMIF(PAYMENTS!C:C,E797,PAYMENTS!E:E))</f>
        <v/>
      </c>
      <c r="M797">
        <f>IF(E797="","",J797-L797)</f>
        <v/>
      </c>
      <c r="N797">
        <f>IF(E797="","",IF(M797&lt;=0,"Paid",IF(L797&gt;0,"Part Paid","Unpaid")))</f>
        <v/>
      </c>
      <c r="O797">
        <f>IF(E797="","",IFERROR(MAXIFS(PAYMENTS!A:A,PAYMENTS!C:C,E797),""))</f>
        <v/>
      </c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>
        <f>IF(E798="","",SUMIF(PAYMENTS!C:C,E798,PAYMENTS!E:E))</f>
        <v/>
      </c>
      <c r="M798">
        <f>IF(E798="","",J798-L798)</f>
        <v/>
      </c>
      <c r="N798">
        <f>IF(E798="","",IF(M798&lt;=0,"Paid",IF(L798&gt;0,"Part Paid","Unpaid")))</f>
        <v/>
      </c>
      <c r="O798">
        <f>IF(E798="","",IFERROR(MAXIFS(PAYMENTS!A:A,PAYMENTS!C:C,E798),""))</f>
        <v/>
      </c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>
        <f>IF(E799="","",SUMIF(PAYMENTS!C:C,E799,PAYMENTS!E:E))</f>
        <v/>
      </c>
      <c r="M799">
        <f>IF(E799="","",J799-L799)</f>
        <v/>
      </c>
      <c r="N799">
        <f>IF(E799="","",IF(M799&lt;=0,"Paid",IF(L799&gt;0,"Part Paid","Unpaid")))</f>
        <v/>
      </c>
      <c r="O799">
        <f>IF(E799="","",IFERROR(MAXIFS(PAYMENTS!A:A,PAYMENTS!C:C,E799),""))</f>
        <v/>
      </c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>
        <f>IF(E800="","",SUMIF(PAYMENTS!C:C,E800,PAYMENTS!E:E))</f>
        <v/>
      </c>
      <c r="M800">
        <f>IF(E800="","",J800-L800)</f>
        <v/>
      </c>
      <c r="N800">
        <f>IF(E800="","",IF(M800&lt;=0,"Paid",IF(L800&gt;0,"Part Paid","Unpaid")))</f>
        <v/>
      </c>
      <c r="O800">
        <f>IF(E800="","",IFERROR(MAXIFS(PAYMENTS!A:A,PAYMENTS!C:C,E800),""))</f>
        <v/>
      </c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>
        <f>IF(E801="","",SUMIF(PAYMENTS!C:C,E801,PAYMENTS!E:E))</f>
        <v/>
      </c>
      <c r="M801">
        <f>IF(E801="","",J801-L801)</f>
        <v/>
      </c>
      <c r="N801">
        <f>IF(E801="","",IF(M801&lt;=0,"Paid",IF(L801&gt;0,"Part Paid","Unpaid")))</f>
        <v/>
      </c>
      <c r="O801">
        <f>IF(E801="","",IFERROR(MAXIFS(PAYMENTS!A:A,PAYMENTS!C:C,E801),""))</f>
        <v/>
      </c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>
        <f>IF(E802="","",SUMIF(PAYMENTS!C:C,E802,PAYMENTS!E:E))</f>
        <v/>
      </c>
      <c r="M802">
        <f>IF(E802="","",J802-L802)</f>
        <v/>
      </c>
      <c r="N802">
        <f>IF(E802="","",IF(M802&lt;=0,"Paid",IF(L802&gt;0,"Part Paid","Unpaid")))</f>
        <v/>
      </c>
      <c r="O802">
        <f>IF(E802="","",IFERROR(MAXIFS(PAYMENTS!A:A,PAYMENTS!C:C,E802),""))</f>
        <v/>
      </c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>
        <f>IF(E803="","",SUMIF(PAYMENTS!C:C,E803,PAYMENTS!E:E))</f>
        <v/>
      </c>
      <c r="M803">
        <f>IF(E803="","",J803-L803)</f>
        <v/>
      </c>
      <c r="N803">
        <f>IF(E803="","",IF(M803&lt;=0,"Paid",IF(L803&gt;0,"Part Paid","Unpaid")))</f>
        <v/>
      </c>
      <c r="O803">
        <f>IF(E803="","",IFERROR(MAXIFS(PAYMENTS!A:A,PAYMENTS!C:C,E803),""))</f>
        <v/>
      </c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>
        <f>IF(E804="","",SUMIF(PAYMENTS!C:C,E804,PAYMENTS!E:E))</f>
        <v/>
      </c>
      <c r="M804">
        <f>IF(E804="","",J804-L804)</f>
        <v/>
      </c>
      <c r="N804">
        <f>IF(E804="","",IF(M804&lt;=0,"Paid",IF(L804&gt;0,"Part Paid","Unpaid")))</f>
        <v/>
      </c>
      <c r="O804">
        <f>IF(E804="","",IFERROR(MAXIFS(PAYMENTS!A:A,PAYMENTS!C:C,E804),""))</f>
        <v/>
      </c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>
        <f>IF(E805="","",SUMIF(PAYMENTS!C:C,E805,PAYMENTS!E:E))</f>
        <v/>
      </c>
      <c r="M805">
        <f>IF(E805="","",J805-L805)</f>
        <v/>
      </c>
      <c r="N805">
        <f>IF(E805="","",IF(M805&lt;=0,"Paid",IF(L805&gt;0,"Part Paid","Unpaid")))</f>
        <v/>
      </c>
      <c r="O805">
        <f>IF(E805="","",IFERROR(MAXIFS(PAYMENTS!A:A,PAYMENTS!C:C,E805),""))</f>
        <v/>
      </c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>
        <f>IF(E806="","",SUMIF(PAYMENTS!C:C,E806,PAYMENTS!E:E))</f>
        <v/>
      </c>
      <c r="M806">
        <f>IF(E806="","",J806-L806)</f>
        <v/>
      </c>
      <c r="N806">
        <f>IF(E806="","",IF(M806&lt;=0,"Paid",IF(L806&gt;0,"Part Paid","Unpaid")))</f>
        <v/>
      </c>
      <c r="O806">
        <f>IF(E806="","",IFERROR(MAXIFS(PAYMENTS!A:A,PAYMENTS!C:C,E806),""))</f>
        <v/>
      </c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>
        <f>IF(E807="","",SUMIF(PAYMENTS!C:C,E807,PAYMENTS!E:E))</f>
        <v/>
      </c>
      <c r="M807">
        <f>IF(E807="","",J807-L807)</f>
        <v/>
      </c>
      <c r="N807">
        <f>IF(E807="","",IF(M807&lt;=0,"Paid",IF(L807&gt;0,"Part Paid","Unpaid")))</f>
        <v/>
      </c>
      <c r="O807">
        <f>IF(E807="","",IFERROR(MAXIFS(PAYMENTS!A:A,PAYMENTS!C:C,E807),""))</f>
        <v/>
      </c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>
        <f>IF(E808="","",SUMIF(PAYMENTS!C:C,E808,PAYMENTS!E:E))</f>
        <v/>
      </c>
      <c r="M808">
        <f>IF(E808="","",J808-L808)</f>
        <v/>
      </c>
      <c r="N808">
        <f>IF(E808="","",IF(M808&lt;=0,"Paid",IF(L808&gt;0,"Part Paid","Unpaid")))</f>
        <v/>
      </c>
      <c r="O808">
        <f>IF(E808="","",IFERROR(MAXIFS(PAYMENTS!A:A,PAYMENTS!C:C,E808),""))</f>
        <v/>
      </c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>
        <f>IF(E809="","",SUMIF(PAYMENTS!C:C,E809,PAYMENTS!E:E))</f>
        <v/>
      </c>
      <c r="M809">
        <f>IF(E809="","",J809-L809)</f>
        <v/>
      </c>
      <c r="N809">
        <f>IF(E809="","",IF(M809&lt;=0,"Paid",IF(L809&gt;0,"Part Paid","Unpaid")))</f>
        <v/>
      </c>
      <c r="O809">
        <f>IF(E809="","",IFERROR(MAXIFS(PAYMENTS!A:A,PAYMENTS!C:C,E809),""))</f>
        <v/>
      </c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>
        <f>IF(E810="","",SUMIF(PAYMENTS!C:C,E810,PAYMENTS!E:E))</f>
        <v/>
      </c>
      <c r="M810">
        <f>IF(E810="","",J810-L810)</f>
        <v/>
      </c>
      <c r="N810">
        <f>IF(E810="","",IF(M810&lt;=0,"Paid",IF(L810&gt;0,"Part Paid","Unpaid")))</f>
        <v/>
      </c>
      <c r="O810">
        <f>IF(E810="","",IFERROR(MAXIFS(PAYMENTS!A:A,PAYMENTS!C:C,E810),""))</f>
        <v/>
      </c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>
        <f>IF(E811="","",SUMIF(PAYMENTS!C:C,E811,PAYMENTS!E:E))</f>
        <v/>
      </c>
      <c r="M811">
        <f>IF(E811="","",J811-L811)</f>
        <v/>
      </c>
      <c r="N811">
        <f>IF(E811="","",IF(M811&lt;=0,"Paid",IF(L811&gt;0,"Part Paid","Unpaid")))</f>
        <v/>
      </c>
      <c r="O811">
        <f>IF(E811="","",IFERROR(MAXIFS(PAYMENTS!A:A,PAYMENTS!C:C,E811),""))</f>
        <v/>
      </c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>
        <f>IF(E812="","",SUMIF(PAYMENTS!C:C,E812,PAYMENTS!E:E))</f>
        <v/>
      </c>
      <c r="M812">
        <f>IF(E812="","",J812-L812)</f>
        <v/>
      </c>
      <c r="N812">
        <f>IF(E812="","",IF(M812&lt;=0,"Paid",IF(L812&gt;0,"Part Paid","Unpaid")))</f>
        <v/>
      </c>
      <c r="O812">
        <f>IF(E812="","",IFERROR(MAXIFS(PAYMENTS!A:A,PAYMENTS!C:C,E812),""))</f>
        <v/>
      </c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>
        <f>IF(E813="","",SUMIF(PAYMENTS!C:C,E813,PAYMENTS!E:E))</f>
        <v/>
      </c>
      <c r="M813">
        <f>IF(E813="","",J813-L813)</f>
        <v/>
      </c>
      <c r="N813">
        <f>IF(E813="","",IF(M813&lt;=0,"Paid",IF(L813&gt;0,"Part Paid","Unpaid")))</f>
        <v/>
      </c>
      <c r="O813">
        <f>IF(E813="","",IFERROR(MAXIFS(PAYMENTS!A:A,PAYMENTS!C:C,E813),""))</f>
        <v/>
      </c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>
        <f>IF(E814="","",SUMIF(PAYMENTS!C:C,E814,PAYMENTS!E:E))</f>
        <v/>
      </c>
      <c r="M814">
        <f>IF(E814="","",J814-L814)</f>
        <v/>
      </c>
      <c r="N814">
        <f>IF(E814="","",IF(M814&lt;=0,"Paid",IF(L814&gt;0,"Part Paid","Unpaid")))</f>
        <v/>
      </c>
      <c r="O814">
        <f>IF(E814="","",IFERROR(MAXIFS(PAYMENTS!A:A,PAYMENTS!C:C,E814),""))</f>
        <v/>
      </c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>
        <f>IF(E815="","",SUMIF(PAYMENTS!C:C,E815,PAYMENTS!E:E))</f>
        <v/>
      </c>
      <c r="M815">
        <f>IF(E815="","",J815-L815)</f>
        <v/>
      </c>
      <c r="N815">
        <f>IF(E815="","",IF(M815&lt;=0,"Paid",IF(L815&gt;0,"Part Paid","Unpaid")))</f>
        <v/>
      </c>
      <c r="O815">
        <f>IF(E815="","",IFERROR(MAXIFS(PAYMENTS!A:A,PAYMENTS!C:C,E815),""))</f>
        <v/>
      </c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>
        <f>IF(E816="","",SUMIF(PAYMENTS!C:C,E816,PAYMENTS!E:E))</f>
        <v/>
      </c>
      <c r="M816">
        <f>IF(E816="","",J816-L816)</f>
        <v/>
      </c>
      <c r="N816">
        <f>IF(E816="","",IF(M816&lt;=0,"Paid",IF(L816&gt;0,"Part Paid","Unpaid")))</f>
        <v/>
      </c>
      <c r="O816">
        <f>IF(E816="","",IFERROR(MAXIFS(PAYMENTS!A:A,PAYMENTS!C:C,E816),""))</f>
        <v/>
      </c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>
        <f>IF(E817="","",SUMIF(PAYMENTS!C:C,E817,PAYMENTS!E:E))</f>
        <v/>
      </c>
      <c r="M817">
        <f>IF(E817="","",J817-L817)</f>
        <v/>
      </c>
      <c r="N817">
        <f>IF(E817="","",IF(M817&lt;=0,"Paid",IF(L817&gt;0,"Part Paid","Unpaid")))</f>
        <v/>
      </c>
      <c r="O817">
        <f>IF(E817="","",IFERROR(MAXIFS(PAYMENTS!A:A,PAYMENTS!C:C,E817),""))</f>
        <v/>
      </c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>
        <f>IF(E818="","",SUMIF(PAYMENTS!C:C,E818,PAYMENTS!E:E))</f>
        <v/>
      </c>
      <c r="M818">
        <f>IF(E818="","",J818-L818)</f>
        <v/>
      </c>
      <c r="N818">
        <f>IF(E818="","",IF(M818&lt;=0,"Paid",IF(L818&gt;0,"Part Paid","Unpaid")))</f>
        <v/>
      </c>
      <c r="O818">
        <f>IF(E818="","",IFERROR(MAXIFS(PAYMENTS!A:A,PAYMENTS!C:C,E818),""))</f>
        <v/>
      </c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>
        <f>IF(E819="","",SUMIF(PAYMENTS!C:C,E819,PAYMENTS!E:E))</f>
        <v/>
      </c>
      <c r="M819">
        <f>IF(E819="","",J819-L819)</f>
        <v/>
      </c>
      <c r="N819">
        <f>IF(E819="","",IF(M819&lt;=0,"Paid",IF(L819&gt;0,"Part Paid","Unpaid")))</f>
        <v/>
      </c>
      <c r="O819">
        <f>IF(E819="","",IFERROR(MAXIFS(PAYMENTS!A:A,PAYMENTS!C:C,E819),""))</f>
        <v/>
      </c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>
        <f>IF(E820="","",SUMIF(PAYMENTS!C:C,E820,PAYMENTS!E:E))</f>
        <v/>
      </c>
      <c r="M820">
        <f>IF(E820="","",J820-L820)</f>
        <v/>
      </c>
      <c r="N820">
        <f>IF(E820="","",IF(M820&lt;=0,"Paid",IF(L820&gt;0,"Part Paid","Unpaid")))</f>
        <v/>
      </c>
      <c r="O820">
        <f>IF(E820="","",IFERROR(MAXIFS(PAYMENTS!A:A,PAYMENTS!C:C,E820),""))</f>
        <v/>
      </c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>
        <f>IF(E821="","",SUMIF(PAYMENTS!C:C,E821,PAYMENTS!E:E))</f>
        <v/>
      </c>
      <c r="M821">
        <f>IF(E821="","",J821-L821)</f>
        <v/>
      </c>
      <c r="N821">
        <f>IF(E821="","",IF(M821&lt;=0,"Paid",IF(L821&gt;0,"Part Paid","Unpaid")))</f>
        <v/>
      </c>
      <c r="O821">
        <f>IF(E821="","",IFERROR(MAXIFS(PAYMENTS!A:A,PAYMENTS!C:C,E821),""))</f>
        <v/>
      </c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>
        <f>IF(E822="","",SUMIF(PAYMENTS!C:C,E822,PAYMENTS!E:E))</f>
        <v/>
      </c>
      <c r="M822">
        <f>IF(E822="","",J822-L822)</f>
        <v/>
      </c>
      <c r="N822">
        <f>IF(E822="","",IF(M822&lt;=0,"Paid",IF(L822&gt;0,"Part Paid","Unpaid")))</f>
        <v/>
      </c>
      <c r="O822">
        <f>IF(E822="","",IFERROR(MAXIFS(PAYMENTS!A:A,PAYMENTS!C:C,E822),""))</f>
        <v/>
      </c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>
        <f>IF(E823="","",SUMIF(PAYMENTS!C:C,E823,PAYMENTS!E:E))</f>
        <v/>
      </c>
      <c r="M823">
        <f>IF(E823="","",J823-L823)</f>
        <v/>
      </c>
      <c r="N823">
        <f>IF(E823="","",IF(M823&lt;=0,"Paid",IF(L823&gt;0,"Part Paid","Unpaid")))</f>
        <v/>
      </c>
      <c r="O823">
        <f>IF(E823="","",IFERROR(MAXIFS(PAYMENTS!A:A,PAYMENTS!C:C,E823),""))</f>
        <v/>
      </c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>
        <f>IF(E824="","",SUMIF(PAYMENTS!C:C,E824,PAYMENTS!E:E))</f>
        <v/>
      </c>
      <c r="M824">
        <f>IF(E824="","",J824-L824)</f>
        <v/>
      </c>
      <c r="N824">
        <f>IF(E824="","",IF(M824&lt;=0,"Paid",IF(L824&gt;0,"Part Paid","Unpaid")))</f>
        <v/>
      </c>
      <c r="O824">
        <f>IF(E824="","",IFERROR(MAXIFS(PAYMENTS!A:A,PAYMENTS!C:C,E824),""))</f>
        <v/>
      </c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>
        <f>IF(E825="","",SUMIF(PAYMENTS!C:C,E825,PAYMENTS!E:E))</f>
        <v/>
      </c>
      <c r="M825">
        <f>IF(E825="","",J825-L825)</f>
        <v/>
      </c>
      <c r="N825">
        <f>IF(E825="","",IF(M825&lt;=0,"Paid",IF(L825&gt;0,"Part Paid","Unpaid")))</f>
        <v/>
      </c>
      <c r="O825">
        <f>IF(E825="","",IFERROR(MAXIFS(PAYMENTS!A:A,PAYMENTS!C:C,E825),""))</f>
        <v/>
      </c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>
        <f>IF(E826="","",SUMIF(PAYMENTS!C:C,E826,PAYMENTS!E:E))</f>
        <v/>
      </c>
      <c r="M826">
        <f>IF(E826="","",J826-L826)</f>
        <v/>
      </c>
      <c r="N826">
        <f>IF(E826="","",IF(M826&lt;=0,"Paid",IF(L826&gt;0,"Part Paid","Unpaid")))</f>
        <v/>
      </c>
      <c r="O826">
        <f>IF(E826="","",IFERROR(MAXIFS(PAYMENTS!A:A,PAYMENTS!C:C,E826),""))</f>
        <v/>
      </c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>
        <f>IF(E827="","",SUMIF(PAYMENTS!C:C,E827,PAYMENTS!E:E))</f>
        <v/>
      </c>
      <c r="M827">
        <f>IF(E827="","",J827-L827)</f>
        <v/>
      </c>
      <c r="N827">
        <f>IF(E827="","",IF(M827&lt;=0,"Paid",IF(L827&gt;0,"Part Paid","Unpaid")))</f>
        <v/>
      </c>
      <c r="O827">
        <f>IF(E827="","",IFERROR(MAXIFS(PAYMENTS!A:A,PAYMENTS!C:C,E827),""))</f>
        <v/>
      </c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>
        <f>IF(E828="","",SUMIF(PAYMENTS!C:C,E828,PAYMENTS!E:E))</f>
        <v/>
      </c>
      <c r="M828">
        <f>IF(E828="","",J828-L828)</f>
        <v/>
      </c>
      <c r="N828">
        <f>IF(E828="","",IF(M828&lt;=0,"Paid",IF(L828&gt;0,"Part Paid","Unpaid")))</f>
        <v/>
      </c>
      <c r="O828">
        <f>IF(E828="","",IFERROR(MAXIFS(PAYMENTS!A:A,PAYMENTS!C:C,E828),""))</f>
        <v/>
      </c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>
        <f>IF(E829="","",SUMIF(PAYMENTS!C:C,E829,PAYMENTS!E:E))</f>
        <v/>
      </c>
      <c r="M829">
        <f>IF(E829="","",J829-L829)</f>
        <v/>
      </c>
      <c r="N829">
        <f>IF(E829="","",IF(M829&lt;=0,"Paid",IF(L829&gt;0,"Part Paid","Unpaid")))</f>
        <v/>
      </c>
      <c r="O829">
        <f>IF(E829="","",IFERROR(MAXIFS(PAYMENTS!A:A,PAYMENTS!C:C,E829),""))</f>
        <v/>
      </c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>
        <f>IF(E830="","",SUMIF(PAYMENTS!C:C,E830,PAYMENTS!E:E))</f>
        <v/>
      </c>
      <c r="M830">
        <f>IF(E830="","",J830-L830)</f>
        <v/>
      </c>
      <c r="N830">
        <f>IF(E830="","",IF(M830&lt;=0,"Paid",IF(L830&gt;0,"Part Paid","Unpaid")))</f>
        <v/>
      </c>
      <c r="O830">
        <f>IF(E830="","",IFERROR(MAXIFS(PAYMENTS!A:A,PAYMENTS!C:C,E830),""))</f>
        <v/>
      </c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>
        <f>IF(E831="","",SUMIF(PAYMENTS!C:C,E831,PAYMENTS!E:E))</f>
        <v/>
      </c>
      <c r="M831">
        <f>IF(E831="","",J831-L831)</f>
        <v/>
      </c>
      <c r="N831">
        <f>IF(E831="","",IF(M831&lt;=0,"Paid",IF(L831&gt;0,"Part Paid","Unpaid")))</f>
        <v/>
      </c>
      <c r="O831">
        <f>IF(E831="","",IFERROR(MAXIFS(PAYMENTS!A:A,PAYMENTS!C:C,E831),""))</f>
        <v/>
      </c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>
        <f>IF(E832="","",SUMIF(PAYMENTS!C:C,E832,PAYMENTS!E:E))</f>
        <v/>
      </c>
      <c r="M832">
        <f>IF(E832="","",J832-L832)</f>
        <v/>
      </c>
      <c r="N832">
        <f>IF(E832="","",IF(M832&lt;=0,"Paid",IF(L832&gt;0,"Part Paid","Unpaid")))</f>
        <v/>
      </c>
      <c r="O832">
        <f>IF(E832="","",IFERROR(MAXIFS(PAYMENTS!A:A,PAYMENTS!C:C,E832),""))</f>
        <v/>
      </c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>
        <f>IF(E833="","",SUMIF(PAYMENTS!C:C,E833,PAYMENTS!E:E))</f>
        <v/>
      </c>
      <c r="M833">
        <f>IF(E833="","",J833-L833)</f>
        <v/>
      </c>
      <c r="N833">
        <f>IF(E833="","",IF(M833&lt;=0,"Paid",IF(L833&gt;0,"Part Paid","Unpaid")))</f>
        <v/>
      </c>
      <c r="O833">
        <f>IF(E833="","",IFERROR(MAXIFS(PAYMENTS!A:A,PAYMENTS!C:C,E833),""))</f>
        <v/>
      </c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>
        <f>IF(E834="","",SUMIF(PAYMENTS!C:C,E834,PAYMENTS!E:E))</f>
        <v/>
      </c>
      <c r="M834">
        <f>IF(E834="","",J834-L834)</f>
        <v/>
      </c>
      <c r="N834">
        <f>IF(E834="","",IF(M834&lt;=0,"Paid",IF(L834&gt;0,"Part Paid","Unpaid")))</f>
        <v/>
      </c>
      <c r="O834">
        <f>IF(E834="","",IFERROR(MAXIFS(PAYMENTS!A:A,PAYMENTS!C:C,E834),""))</f>
        <v/>
      </c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>
        <f>IF(E835="","",SUMIF(PAYMENTS!C:C,E835,PAYMENTS!E:E))</f>
        <v/>
      </c>
      <c r="M835">
        <f>IF(E835="","",J835-L835)</f>
        <v/>
      </c>
      <c r="N835">
        <f>IF(E835="","",IF(M835&lt;=0,"Paid",IF(L835&gt;0,"Part Paid","Unpaid")))</f>
        <v/>
      </c>
      <c r="O835">
        <f>IF(E835="","",IFERROR(MAXIFS(PAYMENTS!A:A,PAYMENTS!C:C,E835),""))</f>
        <v/>
      </c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>
        <f>IF(E836="","",SUMIF(PAYMENTS!C:C,E836,PAYMENTS!E:E))</f>
        <v/>
      </c>
      <c r="M836">
        <f>IF(E836="","",J836-L836)</f>
        <v/>
      </c>
      <c r="N836">
        <f>IF(E836="","",IF(M836&lt;=0,"Paid",IF(L836&gt;0,"Part Paid","Unpaid")))</f>
        <v/>
      </c>
      <c r="O836">
        <f>IF(E836="","",IFERROR(MAXIFS(PAYMENTS!A:A,PAYMENTS!C:C,E836),""))</f>
        <v/>
      </c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>
        <f>IF(E837="","",SUMIF(PAYMENTS!C:C,E837,PAYMENTS!E:E))</f>
        <v/>
      </c>
      <c r="M837">
        <f>IF(E837="","",J837-L837)</f>
        <v/>
      </c>
      <c r="N837">
        <f>IF(E837="","",IF(M837&lt;=0,"Paid",IF(L837&gt;0,"Part Paid","Unpaid")))</f>
        <v/>
      </c>
      <c r="O837">
        <f>IF(E837="","",IFERROR(MAXIFS(PAYMENTS!A:A,PAYMENTS!C:C,E837),""))</f>
        <v/>
      </c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>
        <f>IF(E838="","",SUMIF(PAYMENTS!C:C,E838,PAYMENTS!E:E))</f>
        <v/>
      </c>
      <c r="M838">
        <f>IF(E838="","",J838-L838)</f>
        <v/>
      </c>
      <c r="N838">
        <f>IF(E838="","",IF(M838&lt;=0,"Paid",IF(L838&gt;0,"Part Paid","Unpaid")))</f>
        <v/>
      </c>
      <c r="O838">
        <f>IF(E838="","",IFERROR(MAXIFS(PAYMENTS!A:A,PAYMENTS!C:C,E838),""))</f>
        <v/>
      </c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>
        <f>IF(E839="","",SUMIF(PAYMENTS!C:C,E839,PAYMENTS!E:E))</f>
        <v/>
      </c>
      <c r="M839">
        <f>IF(E839="","",J839-L839)</f>
        <v/>
      </c>
      <c r="N839">
        <f>IF(E839="","",IF(M839&lt;=0,"Paid",IF(L839&gt;0,"Part Paid","Unpaid")))</f>
        <v/>
      </c>
      <c r="O839">
        <f>IF(E839="","",IFERROR(MAXIFS(PAYMENTS!A:A,PAYMENTS!C:C,E839),""))</f>
        <v/>
      </c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>
        <f>IF(E840="","",SUMIF(PAYMENTS!C:C,E840,PAYMENTS!E:E))</f>
        <v/>
      </c>
      <c r="M840">
        <f>IF(E840="","",J840-L840)</f>
        <v/>
      </c>
      <c r="N840">
        <f>IF(E840="","",IF(M840&lt;=0,"Paid",IF(L840&gt;0,"Part Paid","Unpaid")))</f>
        <v/>
      </c>
      <c r="O840">
        <f>IF(E840="","",IFERROR(MAXIFS(PAYMENTS!A:A,PAYMENTS!C:C,E840),""))</f>
        <v/>
      </c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>
        <f>IF(E841="","",SUMIF(PAYMENTS!C:C,E841,PAYMENTS!E:E))</f>
        <v/>
      </c>
      <c r="M841">
        <f>IF(E841="","",J841-L841)</f>
        <v/>
      </c>
      <c r="N841">
        <f>IF(E841="","",IF(M841&lt;=0,"Paid",IF(L841&gt;0,"Part Paid","Unpaid")))</f>
        <v/>
      </c>
      <c r="O841">
        <f>IF(E841="","",IFERROR(MAXIFS(PAYMENTS!A:A,PAYMENTS!C:C,E841),""))</f>
        <v/>
      </c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>
        <f>IF(E842="","",SUMIF(PAYMENTS!C:C,E842,PAYMENTS!E:E))</f>
        <v/>
      </c>
      <c r="M842">
        <f>IF(E842="","",J842-L842)</f>
        <v/>
      </c>
      <c r="N842">
        <f>IF(E842="","",IF(M842&lt;=0,"Paid",IF(L842&gt;0,"Part Paid","Unpaid")))</f>
        <v/>
      </c>
      <c r="O842">
        <f>IF(E842="","",IFERROR(MAXIFS(PAYMENTS!A:A,PAYMENTS!C:C,E842),""))</f>
        <v/>
      </c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>
        <f>IF(E843="","",SUMIF(PAYMENTS!C:C,E843,PAYMENTS!E:E))</f>
        <v/>
      </c>
      <c r="M843">
        <f>IF(E843="","",J843-L843)</f>
        <v/>
      </c>
      <c r="N843">
        <f>IF(E843="","",IF(M843&lt;=0,"Paid",IF(L843&gt;0,"Part Paid","Unpaid")))</f>
        <v/>
      </c>
      <c r="O843">
        <f>IF(E843="","",IFERROR(MAXIFS(PAYMENTS!A:A,PAYMENTS!C:C,E843),""))</f>
        <v/>
      </c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>
        <f>IF(E844="","",SUMIF(PAYMENTS!C:C,E844,PAYMENTS!E:E))</f>
        <v/>
      </c>
      <c r="M844">
        <f>IF(E844="","",J844-L844)</f>
        <v/>
      </c>
      <c r="N844">
        <f>IF(E844="","",IF(M844&lt;=0,"Paid",IF(L844&gt;0,"Part Paid","Unpaid")))</f>
        <v/>
      </c>
      <c r="O844">
        <f>IF(E844="","",IFERROR(MAXIFS(PAYMENTS!A:A,PAYMENTS!C:C,E844),""))</f>
        <v/>
      </c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>
        <f>IF(E845="","",SUMIF(PAYMENTS!C:C,E845,PAYMENTS!E:E))</f>
        <v/>
      </c>
      <c r="M845">
        <f>IF(E845="","",J845-L845)</f>
        <v/>
      </c>
      <c r="N845">
        <f>IF(E845="","",IF(M845&lt;=0,"Paid",IF(L845&gt;0,"Part Paid","Unpaid")))</f>
        <v/>
      </c>
      <c r="O845">
        <f>IF(E845="","",IFERROR(MAXIFS(PAYMENTS!A:A,PAYMENTS!C:C,E845),""))</f>
        <v/>
      </c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>
        <f>IF(E846="","",SUMIF(PAYMENTS!C:C,E846,PAYMENTS!E:E))</f>
        <v/>
      </c>
      <c r="M846">
        <f>IF(E846="","",J846-L846)</f>
        <v/>
      </c>
      <c r="N846">
        <f>IF(E846="","",IF(M846&lt;=0,"Paid",IF(L846&gt;0,"Part Paid","Unpaid")))</f>
        <v/>
      </c>
      <c r="O846">
        <f>IF(E846="","",IFERROR(MAXIFS(PAYMENTS!A:A,PAYMENTS!C:C,E846),""))</f>
        <v/>
      </c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>
        <f>IF(E847="","",SUMIF(PAYMENTS!C:C,E847,PAYMENTS!E:E))</f>
        <v/>
      </c>
      <c r="M847">
        <f>IF(E847="","",J847-L847)</f>
        <v/>
      </c>
      <c r="N847">
        <f>IF(E847="","",IF(M847&lt;=0,"Paid",IF(L847&gt;0,"Part Paid","Unpaid")))</f>
        <v/>
      </c>
      <c r="O847">
        <f>IF(E847="","",IFERROR(MAXIFS(PAYMENTS!A:A,PAYMENTS!C:C,E847),""))</f>
        <v/>
      </c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>
        <f>IF(E848="","",SUMIF(PAYMENTS!C:C,E848,PAYMENTS!E:E))</f>
        <v/>
      </c>
      <c r="M848">
        <f>IF(E848="","",J848-L848)</f>
        <v/>
      </c>
      <c r="N848">
        <f>IF(E848="","",IF(M848&lt;=0,"Paid",IF(L848&gt;0,"Part Paid","Unpaid")))</f>
        <v/>
      </c>
      <c r="O848">
        <f>IF(E848="","",IFERROR(MAXIFS(PAYMENTS!A:A,PAYMENTS!C:C,E848),""))</f>
        <v/>
      </c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>
        <f>IF(E849="","",SUMIF(PAYMENTS!C:C,E849,PAYMENTS!E:E))</f>
        <v/>
      </c>
      <c r="M849">
        <f>IF(E849="","",J849-L849)</f>
        <v/>
      </c>
      <c r="N849">
        <f>IF(E849="","",IF(M849&lt;=0,"Paid",IF(L849&gt;0,"Part Paid","Unpaid")))</f>
        <v/>
      </c>
      <c r="O849">
        <f>IF(E849="","",IFERROR(MAXIFS(PAYMENTS!A:A,PAYMENTS!C:C,E849),""))</f>
        <v/>
      </c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>
        <f>IF(E850="","",SUMIF(PAYMENTS!C:C,E850,PAYMENTS!E:E))</f>
        <v/>
      </c>
      <c r="M850">
        <f>IF(E850="","",J850-L850)</f>
        <v/>
      </c>
      <c r="N850">
        <f>IF(E850="","",IF(M850&lt;=0,"Paid",IF(L850&gt;0,"Part Paid","Unpaid")))</f>
        <v/>
      </c>
      <c r="O850">
        <f>IF(E850="","",IFERROR(MAXIFS(PAYMENTS!A:A,PAYMENTS!C:C,E850),""))</f>
        <v/>
      </c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>
        <f>IF(E851="","",SUMIF(PAYMENTS!C:C,E851,PAYMENTS!E:E))</f>
        <v/>
      </c>
      <c r="M851">
        <f>IF(E851="","",J851-L851)</f>
        <v/>
      </c>
      <c r="N851">
        <f>IF(E851="","",IF(M851&lt;=0,"Paid",IF(L851&gt;0,"Part Paid","Unpaid")))</f>
        <v/>
      </c>
      <c r="O851">
        <f>IF(E851="","",IFERROR(MAXIFS(PAYMENTS!A:A,PAYMENTS!C:C,E851),""))</f>
        <v/>
      </c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>
        <f>IF(E852="","",SUMIF(PAYMENTS!C:C,E852,PAYMENTS!E:E))</f>
        <v/>
      </c>
      <c r="M852">
        <f>IF(E852="","",J852-L852)</f>
        <v/>
      </c>
      <c r="N852">
        <f>IF(E852="","",IF(M852&lt;=0,"Paid",IF(L852&gt;0,"Part Paid","Unpaid")))</f>
        <v/>
      </c>
      <c r="O852">
        <f>IF(E852="","",IFERROR(MAXIFS(PAYMENTS!A:A,PAYMENTS!C:C,E852),""))</f>
        <v/>
      </c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>
        <f>IF(E853="","",SUMIF(PAYMENTS!C:C,E853,PAYMENTS!E:E))</f>
        <v/>
      </c>
      <c r="M853">
        <f>IF(E853="","",J853-L853)</f>
        <v/>
      </c>
      <c r="N853">
        <f>IF(E853="","",IF(M853&lt;=0,"Paid",IF(L853&gt;0,"Part Paid","Unpaid")))</f>
        <v/>
      </c>
      <c r="O853">
        <f>IF(E853="","",IFERROR(MAXIFS(PAYMENTS!A:A,PAYMENTS!C:C,E853),""))</f>
        <v/>
      </c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>
        <f>IF(E854="","",SUMIF(PAYMENTS!C:C,E854,PAYMENTS!E:E))</f>
        <v/>
      </c>
      <c r="M854">
        <f>IF(E854="","",J854-L854)</f>
        <v/>
      </c>
      <c r="N854">
        <f>IF(E854="","",IF(M854&lt;=0,"Paid",IF(L854&gt;0,"Part Paid","Unpaid")))</f>
        <v/>
      </c>
      <c r="O854">
        <f>IF(E854="","",IFERROR(MAXIFS(PAYMENTS!A:A,PAYMENTS!C:C,E854),""))</f>
        <v/>
      </c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>
        <f>IF(E855="","",SUMIF(PAYMENTS!C:C,E855,PAYMENTS!E:E))</f>
        <v/>
      </c>
      <c r="M855">
        <f>IF(E855="","",J855-L855)</f>
        <v/>
      </c>
      <c r="N855">
        <f>IF(E855="","",IF(M855&lt;=0,"Paid",IF(L855&gt;0,"Part Paid","Unpaid")))</f>
        <v/>
      </c>
      <c r="O855">
        <f>IF(E855="","",IFERROR(MAXIFS(PAYMENTS!A:A,PAYMENTS!C:C,E855),""))</f>
        <v/>
      </c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>
        <f>IF(E856="","",SUMIF(PAYMENTS!C:C,E856,PAYMENTS!E:E))</f>
        <v/>
      </c>
      <c r="M856">
        <f>IF(E856="","",J856-L856)</f>
        <v/>
      </c>
      <c r="N856">
        <f>IF(E856="","",IF(M856&lt;=0,"Paid",IF(L856&gt;0,"Part Paid","Unpaid")))</f>
        <v/>
      </c>
      <c r="O856">
        <f>IF(E856="","",IFERROR(MAXIFS(PAYMENTS!A:A,PAYMENTS!C:C,E856),""))</f>
        <v/>
      </c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>
        <f>IF(E857="","",SUMIF(PAYMENTS!C:C,E857,PAYMENTS!E:E))</f>
        <v/>
      </c>
      <c r="M857">
        <f>IF(E857="","",J857-L857)</f>
        <v/>
      </c>
      <c r="N857">
        <f>IF(E857="","",IF(M857&lt;=0,"Paid",IF(L857&gt;0,"Part Paid","Unpaid")))</f>
        <v/>
      </c>
      <c r="O857">
        <f>IF(E857="","",IFERROR(MAXIFS(PAYMENTS!A:A,PAYMENTS!C:C,E857),""))</f>
        <v/>
      </c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>
        <f>IF(E858="","",SUMIF(PAYMENTS!C:C,E858,PAYMENTS!E:E))</f>
        <v/>
      </c>
      <c r="M858">
        <f>IF(E858="","",J858-L858)</f>
        <v/>
      </c>
      <c r="N858">
        <f>IF(E858="","",IF(M858&lt;=0,"Paid",IF(L858&gt;0,"Part Paid","Unpaid")))</f>
        <v/>
      </c>
      <c r="O858">
        <f>IF(E858="","",IFERROR(MAXIFS(PAYMENTS!A:A,PAYMENTS!C:C,E858),""))</f>
        <v/>
      </c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>
        <f>IF(E859="","",SUMIF(PAYMENTS!C:C,E859,PAYMENTS!E:E))</f>
        <v/>
      </c>
      <c r="M859">
        <f>IF(E859="","",J859-L859)</f>
        <v/>
      </c>
      <c r="N859">
        <f>IF(E859="","",IF(M859&lt;=0,"Paid",IF(L859&gt;0,"Part Paid","Unpaid")))</f>
        <v/>
      </c>
      <c r="O859">
        <f>IF(E859="","",IFERROR(MAXIFS(PAYMENTS!A:A,PAYMENTS!C:C,E859),""))</f>
        <v/>
      </c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>
        <f>IF(E860="","",SUMIF(PAYMENTS!C:C,E860,PAYMENTS!E:E))</f>
        <v/>
      </c>
      <c r="M860">
        <f>IF(E860="","",J860-L860)</f>
        <v/>
      </c>
      <c r="N860">
        <f>IF(E860="","",IF(M860&lt;=0,"Paid",IF(L860&gt;0,"Part Paid","Unpaid")))</f>
        <v/>
      </c>
      <c r="O860">
        <f>IF(E860="","",IFERROR(MAXIFS(PAYMENTS!A:A,PAYMENTS!C:C,E860),""))</f>
        <v/>
      </c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>
        <f>IF(E861="","",SUMIF(PAYMENTS!C:C,E861,PAYMENTS!E:E))</f>
        <v/>
      </c>
      <c r="M861">
        <f>IF(E861="","",J861-L861)</f>
        <v/>
      </c>
      <c r="N861">
        <f>IF(E861="","",IF(M861&lt;=0,"Paid",IF(L861&gt;0,"Part Paid","Unpaid")))</f>
        <v/>
      </c>
      <c r="O861">
        <f>IF(E861="","",IFERROR(MAXIFS(PAYMENTS!A:A,PAYMENTS!C:C,E861),""))</f>
        <v/>
      </c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>
        <f>IF(E862="","",SUMIF(PAYMENTS!C:C,E862,PAYMENTS!E:E))</f>
        <v/>
      </c>
      <c r="M862">
        <f>IF(E862="","",J862-L862)</f>
        <v/>
      </c>
      <c r="N862">
        <f>IF(E862="","",IF(M862&lt;=0,"Paid",IF(L862&gt;0,"Part Paid","Unpaid")))</f>
        <v/>
      </c>
      <c r="O862">
        <f>IF(E862="","",IFERROR(MAXIFS(PAYMENTS!A:A,PAYMENTS!C:C,E862),""))</f>
        <v/>
      </c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>
        <f>IF(E863="","",SUMIF(PAYMENTS!C:C,E863,PAYMENTS!E:E))</f>
        <v/>
      </c>
      <c r="M863">
        <f>IF(E863="","",J863-L863)</f>
        <v/>
      </c>
      <c r="N863">
        <f>IF(E863="","",IF(M863&lt;=0,"Paid",IF(L863&gt;0,"Part Paid","Unpaid")))</f>
        <v/>
      </c>
      <c r="O863">
        <f>IF(E863="","",IFERROR(MAXIFS(PAYMENTS!A:A,PAYMENTS!C:C,E863),""))</f>
        <v/>
      </c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>
        <f>IF(E864="","",SUMIF(PAYMENTS!C:C,E864,PAYMENTS!E:E))</f>
        <v/>
      </c>
      <c r="M864">
        <f>IF(E864="","",J864-L864)</f>
        <v/>
      </c>
      <c r="N864">
        <f>IF(E864="","",IF(M864&lt;=0,"Paid",IF(L864&gt;0,"Part Paid","Unpaid")))</f>
        <v/>
      </c>
      <c r="O864">
        <f>IF(E864="","",IFERROR(MAXIFS(PAYMENTS!A:A,PAYMENTS!C:C,E864),""))</f>
        <v/>
      </c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>
        <f>IF(E865="","",SUMIF(PAYMENTS!C:C,E865,PAYMENTS!E:E))</f>
        <v/>
      </c>
      <c r="M865">
        <f>IF(E865="","",J865-L865)</f>
        <v/>
      </c>
      <c r="N865">
        <f>IF(E865="","",IF(M865&lt;=0,"Paid",IF(L865&gt;0,"Part Paid","Unpaid")))</f>
        <v/>
      </c>
      <c r="O865">
        <f>IF(E865="","",IFERROR(MAXIFS(PAYMENTS!A:A,PAYMENTS!C:C,E865),""))</f>
        <v/>
      </c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>
        <f>IF(E866="","",SUMIF(PAYMENTS!C:C,E866,PAYMENTS!E:E))</f>
        <v/>
      </c>
      <c r="M866">
        <f>IF(E866="","",J866-L866)</f>
        <v/>
      </c>
      <c r="N866">
        <f>IF(E866="","",IF(M866&lt;=0,"Paid",IF(L866&gt;0,"Part Paid","Unpaid")))</f>
        <v/>
      </c>
      <c r="O866">
        <f>IF(E866="","",IFERROR(MAXIFS(PAYMENTS!A:A,PAYMENTS!C:C,E866),""))</f>
        <v/>
      </c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>
        <f>IF(E867="","",SUMIF(PAYMENTS!C:C,E867,PAYMENTS!E:E))</f>
        <v/>
      </c>
      <c r="M867">
        <f>IF(E867="","",J867-L867)</f>
        <v/>
      </c>
      <c r="N867">
        <f>IF(E867="","",IF(M867&lt;=0,"Paid",IF(L867&gt;0,"Part Paid","Unpaid")))</f>
        <v/>
      </c>
      <c r="O867">
        <f>IF(E867="","",IFERROR(MAXIFS(PAYMENTS!A:A,PAYMENTS!C:C,E867),""))</f>
        <v/>
      </c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>
        <f>IF(E868="","",SUMIF(PAYMENTS!C:C,E868,PAYMENTS!E:E))</f>
        <v/>
      </c>
      <c r="M868">
        <f>IF(E868="","",J868-L868)</f>
        <v/>
      </c>
      <c r="N868">
        <f>IF(E868="","",IF(M868&lt;=0,"Paid",IF(L868&gt;0,"Part Paid","Unpaid")))</f>
        <v/>
      </c>
      <c r="O868">
        <f>IF(E868="","",IFERROR(MAXIFS(PAYMENTS!A:A,PAYMENTS!C:C,E868),""))</f>
        <v/>
      </c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>
        <f>IF(E869="","",SUMIF(PAYMENTS!C:C,E869,PAYMENTS!E:E))</f>
        <v/>
      </c>
      <c r="M869">
        <f>IF(E869="","",J869-L869)</f>
        <v/>
      </c>
      <c r="N869">
        <f>IF(E869="","",IF(M869&lt;=0,"Paid",IF(L869&gt;0,"Part Paid","Unpaid")))</f>
        <v/>
      </c>
      <c r="O869">
        <f>IF(E869="","",IFERROR(MAXIFS(PAYMENTS!A:A,PAYMENTS!C:C,E869),""))</f>
        <v/>
      </c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>
        <f>IF(E870="","",SUMIF(PAYMENTS!C:C,E870,PAYMENTS!E:E))</f>
        <v/>
      </c>
      <c r="M870">
        <f>IF(E870="","",J870-L870)</f>
        <v/>
      </c>
      <c r="N870">
        <f>IF(E870="","",IF(M870&lt;=0,"Paid",IF(L870&gt;0,"Part Paid","Unpaid")))</f>
        <v/>
      </c>
      <c r="O870">
        <f>IF(E870="","",IFERROR(MAXIFS(PAYMENTS!A:A,PAYMENTS!C:C,E870),""))</f>
        <v/>
      </c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>
        <f>IF(E871="","",SUMIF(PAYMENTS!C:C,E871,PAYMENTS!E:E))</f>
        <v/>
      </c>
      <c r="M871">
        <f>IF(E871="","",J871-L871)</f>
        <v/>
      </c>
      <c r="N871">
        <f>IF(E871="","",IF(M871&lt;=0,"Paid",IF(L871&gt;0,"Part Paid","Unpaid")))</f>
        <v/>
      </c>
      <c r="O871">
        <f>IF(E871="","",IFERROR(MAXIFS(PAYMENTS!A:A,PAYMENTS!C:C,E871),""))</f>
        <v/>
      </c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>
        <f>IF(E872="","",SUMIF(PAYMENTS!C:C,E872,PAYMENTS!E:E))</f>
        <v/>
      </c>
      <c r="M872">
        <f>IF(E872="","",J872-L872)</f>
        <v/>
      </c>
      <c r="N872">
        <f>IF(E872="","",IF(M872&lt;=0,"Paid",IF(L872&gt;0,"Part Paid","Unpaid")))</f>
        <v/>
      </c>
      <c r="O872">
        <f>IF(E872="","",IFERROR(MAXIFS(PAYMENTS!A:A,PAYMENTS!C:C,E872),""))</f>
        <v/>
      </c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>
        <f>IF(E873="","",SUMIF(PAYMENTS!C:C,E873,PAYMENTS!E:E))</f>
        <v/>
      </c>
      <c r="M873">
        <f>IF(E873="","",J873-L873)</f>
        <v/>
      </c>
      <c r="N873">
        <f>IF(E873="","",IF(M873&lt;=0,"Paid",IF(L873&gt;0,"Part Paid","Unpaid")))</f>
        <v/>
      </c>
      <c r="O873">
        <f>IF(E873="","",IFERROR(MAXIFS(PAYMENTS!A:A,PAYMENTS!C:C,E873),""))</f>
        <v/>
      </c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>
        <f>IF(E874="","",SUMIF(PAYMENTS!C:C,E874,PAYMENTS!E:E))</f>
        <v/>
      </c>
      <c r="M874">
        <f>IF(E874="","",J874-L874)</f>
        <v/>
      </c>
      <c r="N874">
        <f>IF(E874="","",IF(M874&lt;=0,"Paid",IF(L874&gt;0,"Part Paid","Unpaid")))</f>
        <v/>
      </c>
      <c r="O874">
        <f>IF(E874="","",IFERROR(MAXIFS(PAYMENTS!A:A,PAYMENTS!C:C,E874),""))</f>
        <v/>
      </c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>
        <f>IF(E875="","",SUMIF(PAYMENTS!C:C,E875,PAYMENTS!E:E))</f>
        <v/>
      </c>
      <c r="M875">
        <f>IF(E875="","",J875-L875)</f>
        <v/>
      </c>
      <c r="N875">
        <f>IF(E875="","",IF(M875&lt;=0,"Paid",IF(L875&gt;0,"Part Paid","Unpaid")))</f>
        <v/>
      </c>
      <c r="O875">
        <f>IF(E875="","",IFERROR(MAXIFS(PAYMENTS!A:A,PAYMENTS!C:C,E875),""))</f>
        <v/>
      </c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>
        <f>IF(E876="","",SUMIF(PAYMENTS!C:C,E876,PAYMENTS!E:E))</f>
        <v/>
      </c>
      <c r="M876">
        <f>IF(E876="","",J876-L876)</f>
        <v/>
      </c>
      <c r="N876">
        <f>IF(E876="","",IF(M876&lt;=0,"Paid",IF(L876&gt;0,"Part Paid","Unpaid")))</f>
        <v/>
      </c>
      <c r="O876">
        <f>IF(E876="","",IFERROR(MAXIFS(PAYMENTS!A:A,PAYMENTS!C:C,E876),""))</f>
        <v/>
      </c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>
        <f>IF(E877="","",SUMIF(PAYMENTS!C:C,E877,PAYMENTS!E:E))</f>
        <v/>
      </c>
      <c r="M877">
        <f>IF(E877="","",J877-L877)</f>
        <v/>
      </c>
      <c r="N877">
        <f>IF(E877="","",IF(M877&lt;=0,"Paid",IF(L877&gt;0,"Part Paid","Unpaid")))</f>
        <v/>
      </c>
      <c r="O877">
        <f>IF(E877="","",IFERROR(MAXIFS(PAYMENTS!A:A,PAYMENTS!C:C,E877),""))</f>
        <v/>
      </c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>
        <f>IF(E878="","",SUMIF(PAYMENTS!C:C,E878,PAYMENTS!E:E))</f>
        <v/>
      </c>
      <c r="M878">
        <f>IF(E878="","",J878-L878)</f>
        <v/>
      </c>
      <c r="N878">
        <f>IF(E878="","",IF(M878&lt;=0,"Paid",IF(L878&gt;0,"Part Paid","Unpaid")))</f>
        <v/>
      </c>
      <c r="O878">
        <f>IF(E878="","",IFERROR(MAXIFS(PAYMENTS!A:A,PAYMENTS!C:C,E878),""))</f>
        <v/>
      </c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>
        <f>IF(E879="","",SUMIF(PAYMENTS!C:C,E879,PAYMENTS!E:E))</f>
        <v/>
      </c>
      <c r="M879">
        <f>IF(E879="","",J879-L879)</f>
        <v/>
      </c>
      <c r="N879">
        <f>IF(E879="","",IF(M879&lt;=0,"Paid",IF(L879&gt;0,"Part Paid","Unpaid")))</f>
        <v/>
      </c>
      <c r="O879">
        <f>IF(E879="","",IFERROR(MAXIFS(PAYMENTS!A:A,PAYMENTS!C:C,E879),""))</f>
        <v/>
      </c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>
        <f>IF(E880="","",SUMIF(PAYMENTS!C:C,E880,PAYMENTS!E:E))</f>
        <v/>
      </c>
      <c r="M880">
        <f>IF(E880="","",J880-L880)</f>
        <v/>
      </c>
      <c r="N880">
        <f>IF(E880="","",IF(M880&lt;=0,"Paid",IF(L880&gt;0,"Part Paid","Unpaid")))</f>
        <v/>
      </c>
      <c r="O880">
        <f>IF(E880="","",IFERROR(MAXIFS(PAYMENTS!A:A,PAYMENTS!C:C,E880),""))</f>
        <v/>
      </c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>
        <f>IF(E881="","",SUMIF(PAYMENTS!C:C,E881,PAYMENTS!E:E))</f>
        <v/>
      </c>
      <c r="M881">
        <f>IF(E881="","",J881-L881)</f>
        <v/>
      </c>
      <c r="N881">
        <f>IF(E881="","",IF(M881&lt;=0,"Paid",IF(L881&gt;0,"Part Paid","Unpaid")))</f>
        <v/>
      </c>
      <c r="O881">
        <f>IF(E881="","",IFERROR(MAXIFS(PAYMENTS!A:A,PAYMENTS!C:C,E881),""))</f>
        <v/>
      </c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>
        <f>IF(E882="","",SUMIF(PAYMENTS!C:C,E882,PAYMENTS!E:E))</f>
        <v/>
      </c>
      <c r="M882">
        <f>IF(E882="","",J882-L882)</f>
        <v/>
      </c>
      <c r="N882">
        <f>IF(E882="","",IF(M882&lt;=0,"Paid",IF(L882&gt;0,"Part Paid","Unpaid")))</f>
        <v/>
      </c>
      <c r="O882">
        <f>IF(E882="","",IFERROR(MAXIFS(PAYMENTS!A:A,PAYMENTS!C:C,E882),""))</f>
        <v/>
      </c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>
        <f>IF(E883="","",SUMIF(PAYMENTS!C:C,E883,PAYMENTS!E:E))</f>
        <v/>
      </c>
      <c r="M883">
        <f>IF(E883="","",J883-L883)</f>
        <v/>
      </c>
      <c r="N883">
        <f>IF(E883="","",IF(M883&lt;=0,"Paid",IF(L883&gt;0,"Part Paid","Unpaid")))</f>
        <v/>
      </c>
      <c r="O883">
        <f>IF(E883="","",IFERROR(MAXIFS(PAYMENTS!A:A,PAYMENTS!C:C,E883),""))</f>
        <v/>
      </c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>
        <f>IF(E884="","",SUMIF(PAYMENTS!C:C,E884,PAYMENTS!E:E))</f>
        <v/>
      </c>
      <c r="M884">
        <f>IF(E884="","",J884-L884)</f>
        <v/>
      </c>
      <c r="N884">
        <f>IF(E884="","",IF(M884&lt;=0,"Paid",IF(L884&gt;0,"Part Paid","Unpaid")))</f>
        <v/>
      </c>
      <c r="O884">
        <f>IF(E884="","",IFERROR(MAXIFS(PAYMENTS!A:A,PAYMENTS!C:C,E884),""))</f>
        <v/>
      </c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>
        <f>IF(E885="","",SUMIF(PAYMENTS!C:C,E885,PAYMENTS!E:E))</f>
        <v/>
      </c>
      <c r="M885">
        <f>IF(E885="","",J885-L885)</f>
        <v/>
      </c>
      <c r="N885">
        <f>IF(E885="","",IF(M885&lt;=0,"Paid",IF(L885&gt;0,"Part Paid","Unpaid")))</f>
        <v/>
      </c>
      <c r="O885">
        <f>IF(E885="","",IFERROR(MAXIFS(PAYMENTS!A:A,PAYMENTS!C:C,E885),""))</f>
        <v/>
      </c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>
        <f>IF(E886="","",SUMIF(PAYMENTS!C:C,E886,PAYMENTS!E:E))</f>
        <v/>
      </c>
      <c r="M886">
        <f>IF(E886="","",J886-L886)</f>
        <v/>
      </c>
      <c r="N886">
        <f>IF(E886="","",IF(M886&lt;=0,"Paid",IF(L886&gt;0,"Part Paid","Unpaid")))</f>
        <v/>
      </c>
      <c r="O886">
        <f>IF(E886="","",IFERROR(MAXIFS(PAYMENTS!A:A,PAYMENTS!C:C,E886),""))</f>
        <v/>
      </c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>
        <f>IF(E887="","",SUMIF(PAYMENTS!C:C,E887,PAYMENTS!E:E))</f>
        <v/>
      </c>
      <c r="M887">
        <f>IF(E887="","",J887-L887)</f>
        <v/>
      </c>
      <c r="N887">
        <f>IF(E887="","",IF(M887&lt;=0,"Paid",IF(L887&gt;0,"Part Paid","Unpaid")))</f>
        <v/>
      </c>
      <c r="O887">
        <f>IF(E887="","",IFERROR(MAXIFS(PAYMENTS!A:A,PAYMENTS!C:C,E887),""))</f>
        <v/>
      </c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>
        <f>IF(E888="","",SUMIF(PAYMENTS!C:C,E888,PAYMENTS!E:E))</f>
        <v/>
      </c>
      <c r="M888">
        <f>IF(E888="","",J888-L888)</f>
        <v/>
      </c>
      <c r="N888">
        <f>IF(E888="","",IF(M888&lt;=0,"Paid",IF(L888&gt;0,"Part Paid","Unpaid")))</f>
        <v/>
      </c>
      <c r="O888">
        <f>IF(E888="","",IFERROR(MAXIFS(PAYMENTS!A:A,PAYMENTS!C:C,E888),""))</f>
        <v/>
      </c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>
        <f>IF(E889="","",SUMIF(PAYMENTS!C:C,E889,PAYMENTS!E:E))</f>
        <v/>
      </c>
      <c r="M889">
        <f>IF(E889="","",J889-L889)</f>
        <v/>
      </c>
      <c r="N889">
        <f>IF(E889="","",IF(M889&lt;=0,"Paid",IF(L889&gt;0,"Part Paid","Unpaid")))</f>
        <v/>
      </c>
      <c r="O889">
        <f>IF(E889="","",IFERROR(MAXIFS(PAYMENTS!A:A,PAYMENTS!C:C,E889),""))</f>
        <v/>
      </c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>
        <f>IF(E890="","",SUMIF(PAYMENTS!C:C,E890,PAYMENTS!E:E))</f>
        <v/>
      </c>
      <c r="M890">
        <f>IF(E890="","",J890-L890)</f>
        <v/>
      </c>
      <c r="N890">
        <f>IF(E890="","",IF(M890&lt;=0,"Paid",IF(L890&gt;0,"Part Paid","Unpaid")))</f>
        <v/>
      </c>
      <c r="O890">
        <f>IF(E890="","",IFERROR(MAXIFS(PAYMENTS!A:A,PAYMENTS!C:C,E890),""))</f>
        <v/>
      </c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>
        <f>IF(E891="","",SUMIF(PAYMENTS!C:C,E891,PAYMENTS!E:E))</f>
        <v/>
      </c>
      <c r="M891">
        <f>IF(E891="","",J891-L891)</f>
        <v/>
      </c>
      <c r="N891">
        <f>IF(E891="","",IF(M891&lt;=0,"Paid",IF(L891&gt;0,"Part Paid","Unpaid")))</f>
        <v/>
      </c>
      <c r="O891">
        <f>IF(E891="","",IFERROR(MAXIFS(PAYMENTS!A:A,PAYMENTS!C:C,E891),""))</f>
        <v/>
      </c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>
        <f>IF(E892="","",SUMIF(PAYMENTS!C:C,E892,PAYMENTS!E:E))</f>
        <v/>
      </c>
      <c r="M892">
        <f>IF(E892="","",J892-L892)</f>
        <v/>
      </c>
      <c r="N892">
        <f>IF(E892="","",IF(M892&lt;=0,"Paid",IF(L892&gt;0,"Part Paid","Unpaid")))</f>
        <v/>
      </c>
      <c r="O892">
        <f>IF(E892="","",IFERROR(MAXIFS(PAYMENTS!A:A,PAYMENTS!C:C,E892),""))</f>
        <v/>
      </c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>
        <f>IF(E893="","",SUMIF(PAYMENTS!C:C,E893,PAYMENTS!E:E))</f>
        <v/>
      </c>
      <c r="M893">
        <f>IF(E893="","",J893-L893)</f>
        <v/>
      </c>
      <c r="N893">
        <f>IF(E893="","",IF(M893&lt;=0,"Paid",IF(L893&gt;0,"Part Paid","Unpaid")))</f>
        <v/>
      </c>
      <c r="O893">
        <f>IF(E893="","",IFERROR(MAXIFS(PAYMENTS!A:A,PAYMENTS!C:C,E893),""))</f>
        <v/>
      </c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>
        <f>IF(E894="","",SUMIF(PAYMENTS!C:C,E894,PAYMENTS!E:E))</f>
        <v/>
      </c>
      <c r="M894">
        <f>IF(E894="","",J894-L894)</f>
        <v/>
      </c>
      <c r="N894">
        <f>IF(E894="","",IF(M894&lt;=0,"Paid",IF(L894&gt;0,"Part Paid","Unpaid")))</f>
        <v/>
      </c>
      <c r="O894">
        <f>IF(E894="","",IFERROR(MAXIFS(PAYMENTS!A:A,PAYMENTS!C:C,E894),""))</f>
        <v/>
      </c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>
        <f>IF(E895="","",SUMIF(PAYMENTS!C:C,E895,PAYMENTS!E:E))</f>
        <v/>
      </c>
      <c r="M895">
        <f>IF(E895="","",J895-L895)</f>
        <v/>
      </c>
      <c r="N895">
        <f>IF(E895="","",IF(M895&lt;=0,"Paid",IF(L895&gt;0,"Part Paid","Unpaid")))</f>
        <v/>
      </c>
      <c r="O895">
        <f>IF(E895="","",IFERROR(MAXIFS(PAYMENTS!A:A,PAYMENTS!C:C,E895),""))</f>
        <v/>
      </c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>
        <f>IF(E896="","",SUMIF(PAYMENTS!C:C,E896,PAYMENTS!E:E))</f>
        <v/>
      </c>
      <c r="M896">
        <f>IF(E896="","",J896-L896)</f>
        <v/>
      </c>
      <c r="N896">
        <f>IF(E896="","",IF(M896&lt;=0,"Paid",IF(L896&gt;0,"Part Paid","Unpaid")))</f>
        <v/>
      </c>
      <c r="O896">
        <f>IF(E896="","",IFERROR(MAXIFS(PAYMENTS!A:A,PAYMENTS!C:C,E896),""))</f>
        <v/>
      </c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>
        <f>IF(E897="","",SUMIF(PAYMENTS!C:C,E897,PAYMENTS!E:E))</f>
        <v/>
      </c>
      <c r="M897">
        <f>IF(E897="","",J897-L897)</f>
        <v/>
      </c>
      <c r="N897">
        <f>IF(E897="","",IF(M897&lt;=0,"Paid",IF(L897&gt;0,"Part Paid","Unpaid")))</f>
        <v/>
      </c>
      <c r="O897">
        <f>IF(E897="","",IFERROR(MAXIFS(PAYMENTS!A:A,PAYMENTS!C:C,E897),""))</f>
        <v/>
      </c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>
        <f>IF(E898="","",SUMIF(PAYMENTS!C:C,E898,PAYMENTS!E:E))</f>
        <v/>
      </c>
      <c r="M898">
        <f>IF(E898="","",J898-L898)</f>
        <v/>
      </c>
      <c r="N898">
        <f>IF(E898="","",IF(M898&lt;=0,"Paid",IF(L898&gt;0,"Part Paid","Unpaid")))</f>
        <v/>
      </c>
      <c r="O898">
        <f>IF(E898="","",IFERROR(MAXIFS(PAYMENTS!A:A,PAYMENTS!C:C,E898),""))</f>
        <v/>
      </c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>
        <f>IF(E899="","",SUMIF(PAYMENTS!C:C,E899,PAYMENTS!E:E))</f>
        <v/>
      </c>
      <c r="M899">
        <f>IF(E899="","",J899-L899)</f>
        <v/>
      </c>
      <c r="N899">
        <f>IF(E899="","",IF(M899&lt;=0,"Paid",IF(L899&gt;0,"Part Paid","Unpaid")))</f>
        <v/>
      </c>
      <c r="O899">
        <f>IF(E899="","",IFERROR(MAXIFS(PAYMENTS!A:A,PAYMENTS!C:C,E899),""))</f>
        <v/>
      </c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>
        <f>IF(E900="","",SUMIF(PAYMENTS!C:C,E900,PAYMENTS!E:E))</f>
        <v/>
      </c>
      <c r="M900">
        <f>IF(E900="","",J900-L900)</f>
        <v/>
      </c>
      <c r="N900">
        <f>IF(E900="","",IF(M900&lt;=0,"Paid",IF(L900&gt;0,"Part Paid","Unpaid")))</f>
        <v/>
      </c>
      <c r="O900">
        <f>IF(E900="","",IFERROR(MAXIFS(PAYMENTS!A:A,PAYMENTS!C:C,E900),""))</f>
        <v/>
      </c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>
        <f>IF(E901="","",SUMIF(PAYMENTS!C:C,E901,PAYMENTS!E:E))</f>
        <v/>
      </c>
      <c r="M901">
        <f>IF(E901="","",J901-L901)</f>
        <v/>
      </c>
      <c r="N901">
        <f>IF(E901="","",IF(M901&lt;=0,"Paid",IF(L901&gt;0,"Part Paid","Unpaid")))</f>
        <v/>
      </c>
      <c r="O901">
        <f>IF(E901="","",IFERROR(MAXIFS(PAYMENTS!A:A,PAYMENTS!C:C,E901),""))</f>
        <v/>
      </c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>
        <f>IF(E902="","",SUMIF(PAYMENTS!C:C,E902,PAYMENTS!E:E))</f>
        <v/>
      </c>
      <c r="M902">
        <f>IF(E902="","",J902-L902)</f>
        <v/>
      </c>
      <c r="N902">
        <f>IF(E902="","",IF(M902&lt;=0,"Paid",IF(L902&gt;0,"Part Paid","Unpaid")))</f>
        <v/>
      </c>
      <c r="O902">
        <f>IF(E902="","",IFERROR(MAXIFS(PAYMENTS!A:A,PAYMENTS!C:C,E902),""))</f>
        <v/>
      </c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>
        <f>IF(E903="","",SUMIF(PAYMENTS!C:C,E903,PAYMENTS!E:E))</f>
        <v/>
      </c>
      <c r="M903">
        <f>IF(E903="","",J903-L903)</f>
        <v/>
      </c>
      <c r="N903">
        <f>IF(E903="","",IF(M903&lt;=0,"Paid",IF(L903&gt;0,"Part Paid","Unpaid")))</f>
        <v/>
      </c>
      <c r="O903">
        <f>IF(E903="","",IFERROR(MAXIFS(PAYMENTS!A:A,PAYMENTS!C:C,E903),""))</f>
        <v/>
      </c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>
        <f>IF(E904="","",SUMIF(PAYMENTS!C:C,E904,PAYMENTS!E:E))</f>
        <v/>
      </c>
      <c r="M904">
        <f>IF(E904="","",J904-L904)</f>
        <v/>
      </c>
      <c r="N904">
        <f>IF(E904="","",IF(M904&lt;=0,"Paid",IF(L904&gt;0,"Part Paid","Unpaid")))</f>
        <v/>
      </c>
      <c r="O904">
        <f>IF(E904="","",IFERROR(MAXIFS(PAYMENTS!A:A,PAYMENTS!C:C,E904),""))</f>
        <v/>
      </c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>
        <f>IF(E905="","",SUMIF(PAYMENTS!C:C,E905,PAYMENTS!E:E))</f>
        <v/>
      </c>
      <c r="M905">
        <f>IF(E905="","",J905-L905)</f>
        <v/>
      </c>
      <c r="N905">
        <f>IF(E905="","",IF(M905&lt;=0,"Paid",IF(L905&gt;0,"Part Paid","Unpaid")))</f>
        <v/>
      </c>
      <c r="O905">
        <f>IF(E905="","",IFERROR(MAXIFS(PAYMENTS!A:A,PAYMENTS!C:C,E905),""))</f>
        <v/>
      </c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>
        <f>IF(E906="","",SUMIF(PAYMENTS!C:C,E906,PAYMENTS!E:E))</f>
        <v/>
      </c>
      <c r="M906">
        <f>IF(E906="","",J906-L906)</f>
        <v/>
      </c>
      <c r="N906">
        <f>IF(E906="","",IF(M906&lt;=0,"Paid",IF(L906&gt;0,"Part Paid","Unpaid")))</f>
        <v/>
      </c>
      <c r="O906">
        <f>IF(E906="","",IFERROR(MAXIFS(PAYMENTS!A:A,PAYMENTS!C:C,E906),""))</f>
        <v/>
      </c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>
        <f>IF(E907="","",SUMIF(PAYMENTS!C:C,E907,PAYMENTS!E:E))</f>
        <v/>
      </c>
      <c r="M907">
        <f>IF(E907="","",J907-L907)</f>
        <v/>
      </c>
      <c r="N907">
        <f>IF(E907="","",IF(M907&lt;=0,"Paid",IF(L907&gt;0,"Part Paid","Unpaid")))</f>
        <v/>
      </c>
      <c r="O907">
        <f>IF(E907="","",IFERROR(MAXIFS(PAYMENTS!A:A,PAYMENTS!C:C,E907),""))</f>
        <v/>
      </c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>
        <f>IF(E908="","",SUMIF(PAYMENTS!C:C,E908,PAYMENTS!E:E))</f>
        <v/>
      </c>
      <c r="M908">
        <f>IF(E908="","",J908-L908)</f>
        <v/>
      </c>
      <c r="N908">
        <f>IF(E908="","",IF(M908&lt;=0,"Paid",IF(L908&gt;0,"Part Paid","Unpaid")))</f>
        <v/>
      </c>
      <c r="O908">
        <f>IF(E908="","",IFERROR(MAXIFS(PAYMENTS!A:A,PAYMENTS!C:C,E908),""))</f>
        <v/>
      </c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>
        <f>IF(E909="","",SUMIF(PAYMENTS!C:C,E909,PAYMENTS!E:E))</f>
        <v/>
      </c>
      <c r="M909">
        <f>IF(E909="","",J909-L909)</f>
        <v/>
      </c>
      <c r="N909">
        <f>IF(E909="","",IF(M909&lt;=0,"Paid",IF(L909&gt;0,"Part Paid","Unpaid")))</f>
        <v/>
      </c>
      <c r="O909">
        <f>IF(E909="","",IFERROR(MAXIFS(PAYMENTS!A:A,PAYMENTS!C:C,E909),""))</f>
        <v/>
      </c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>
        <f>IF(E910="","",SUMIF(PAYMENTS!C:C,E910,PAYMENTS!E:E))</f>
        <v/>
      </c>
      <c r="M910">
        <f>IF(E910="","",J910-L910)</f>
        <v/>
      </c>
      <c r="N910">
        <f>IF(E910="","",IF(M910&lt;=0,"Paid",IF(L910&gt;0,"Part Paid","Unpaid")))</f>
        <v/>
      </c>
      <c r="O910">
        <f>IF(E910="","",IFERROR(MAXIFS(PAYMENTS!A:A,PAYMENTS!C:C,E910),""))</f>
        <v/>
      </c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>
        <f>IF(E911="","",SUMIF(PAYMENTS!C:C,E911,PAYMENTS!E:E))</f>
        <v/>
      </c>
      <c r="M911">
        <f>IF(E911="","",J911-L911)</f>
        <v/>
      </c>
      <c r="N911">
        <f>IF(E911="","",IF(M911&lt;=0,"Paid",IF(L911&gt;0,"Part Paid","Unpaid")))</f>
        <v/>
      </c>
      <c r="O911">
        <f>IF(E911="","",IFERROR(MAXIFS(PAYMENTS!A:A,PAYMENTS!C:C,E911),""))</f>
        <v/>
      </c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>
        <f>IF(E912="","",SUMIF(PAYMENTS!C:C,E912,PAYMENTS!E:E))</f>
        <v/>
      </c>
      <c r="M912">
        <f>IF(E912="","",J912-L912)</f>
        <v/>
      </c>
      <c r="N912">
        <f>IF(E912="","",IF(M912&lt;=0,"Paid",IF(L912&gt;0,"Part Paid","Unpaid")))</f>
        <v/>
      </c>
      <c r="O912">
        <f>IF(E912="","",IFERROR(MAXIFS(PAYMENTS!A:A,PAYMENTS!C:C,E912),""))</f>
        <v/>
      </c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>
        <f>IF(E913="","",SUMIF(PAYMENTS!C:C,E913,PAYMENTS!E:E))</f>
        <v/>
      </c>
      <c r="M913">
        <f>IF(E913="","",J913-L913)</f>
        <v/>
      </c>
      <c r="N913">
        <f>IF(E913="","",IF(M913&lt;=0,"Paid",IF(L913&gt;0,"Part Paid","Unpaid")))</f>
        <v/>
      </c>
      <c r="O913">
        <f>IF(E913="","",IFERROR(MAXIFS(PAYMENTS!A:A,PAYMENTS!C:C,E913),""))</f>
        <v/>
      </c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>
        <f>IF(E914="","",SUMIF(PAYMENTS!C:C,E914,PAYMENTS!E:E))</f>
        <v/>
      </c>
      <c r="M914">
        <f>IF(E914="","",J914-L914)</f>
        <v/>
      </c>
      <c r="N914">
        <f>IF(E914="","",IF(M914&lt;=0,"Paid",IF(L914&gt;0,"Part Paid","Unpaid")))</f>
        <v/>
      </c>
      <c r="O914">
        <f>IF(E914="","",IFERROR(MAXIFS(PAYMENTS!A:A,PAYMENTS!C:C,E914),""))</f>
        <v/>
      </c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>
        <f>IF(E915="","",SUMIF(PAYMENTS!C:C,E915,PAYMENTS!E:E))</f>
        <v/>
      </c>
      <c r="M915">
        <f>IF(E915="","",J915-L915)</f>
        <v/>
      </c>
      <c r="N915">
        <f>IF(E915="","",IF(M915&lt;=0,"Paid",IF(L915&gt;0,"Part Paid","Unpaid")))</f>
        <v/>
      </c>
      <c r="O915">
        <f>IF(E915="","",IFERROR(MAXIFS(PAYMENTS!A:A,PAYMENTS!C:C,E915),""))</f>
        <v/>
      </c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>
        <f>IF(E916="","",SUMIF(PAYMENTS!C:C,E916,PAYMENTS!E:E))</f>
        <v/>
      </c>
      <c r="M916">
        <f>IF(E916="","",J916-L916)</f>
        <v/>
      </c>
      <c r="N916">
        <f>IF(E916="","",IF(M916&lt;=0,"Paid",IF(L916&gt;0,"Part Paid","Unpaid")))</f>
        <v/>
      </c>
      <c r="O916">
        <f>IF(E916="","",IFERROR(MAXIFS(PAYMENTS!A:A,PAYMENTS!C:C,E916),""))</f>
        <v/>
      </c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>
        <f>IF(E917="","",SUMIF(PAYMENTS!C:C,E917,PAYMENTS!E:E))</f>
        <v/>
      </c>
      <c r="M917">
        <f>IF(E917="","",J917-L917)</f>
        <v/>
      </c>
      <c r="N917">
        <f>IF(E917="","",IF(M917&lt;=0,"Paid",IF(L917&gt;0,"Part Paid","Unpaid")))</f>
        <v/>
      </c>
      <c r="O917">
        <f>IF(E917="","",IFERROR(MAXIFS(PAYMENTS!A:A,PAYMENTS!C:C,E917),""))</f>
        <v/>
      </c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>
        <f>IF(E918="","",SUMIF(PAYMENTS!C:C,E918,PAYMENTS!E:E))</f>
        <v/>
      </c>
      <c r="M918">
        <f>IF(E918="","",J918-L918)</f>
        <v/>
      </c>
      <c r="N918">
        <f>IF(E918="","",IF(M918&lt;=0,"Paid",IF(L918&gt;0,"Part Paid","Unpaid")))</f>
        <v/>
      </c>
      <c r="O918">
        <f>IF(E918="","",IFERROR(MAXIFS(PAYMENTS!A:A,PAYMENTS!C:C,E918),""))</f>
        <v/>
      </c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>
        <f>IF(E919="","",SUMIF(PAYMENTS!C:C,E919,PAYMENTS!E:E))</f>
        <v/>
      </c>
      <c r="M919">
        <f>IF(E919="","",J919-L919)</f>
        <v/>
      </c>
      <c r="N919">
        <f>IF(E919="","",IF(M919&lt;=0,"Paid",IF(L919&gt;0,"Part Paid","Unpaid")))</f>
        <v/>
      </c>
      <c r="O919">
        <f>IF(E919="","",IFERROR(MAXIFS(PAYMENTS!A:A,PAYMENTS!C:C,E919),""))</f>
        <v/>
      </c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>
        <f>IF(E920="","",SUMIF(PAYMENTS!C:C,E920,PAYMENTS!E:E))</f>
        <v/>
      </c>
      <c r="M920">
        <f>IF(E920="","",J920-L920)</f>
        <v/>
      </c>
      <c r="N920">
        <f>IF(E920="","",IF(M920&lt;=0,"Paid",IF(L920&gt;0,"Part Paid","Unpaid")))</f>
        <v/>
      </c>
      <c r="O920">
        <f>IF(E920="","",IFERROR(MAXIFS(PAYMENTS!A:A,PAYMENTS!C:C,E920),""))</f>
        <v/>
      </c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>
        <f>IF(E921="","",SUMIF(PAYMENTS!C:C,E921,PAYMENTS!E:E))</f>
        <v/>
      </c>
      <c r="M921">
        <f>IF(E921="","",J921-L921)</f>
        <v/>
      </c>
      <c r="N921">
        <f>IF(E921="","",IF(M921&lt;=0,"Paid",IF(L921&gt;0,"Part Paid","Unpaid")))</f>
        <v/>
      </c>
      <c r="O921">
        <f>IF(E921="","",IFERROR(MAXIFS(PAYMENTS!A:A,PAYMENTS!C:C,E921),""))</f>
        <v/>
      </c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>
        <f>IF(E922="","",SUMIF(PAYMENTS!C:C,E922,PAYMENTS!E:E))</f>
        <v/>
      </c>
      <c r="M922">
        <f>IF(E922="","",J922-L922)</f>
        <v/>
      </c>
      <c r="N922">
        <f>IF(E922="","",IF(M922&lt;=0,"Paid",IF(L922&gt;0,"Part Paid","Unpaid")))</f>
        <v/>
      </c>
      <c r="O922">
        <f>IF(E922="","",IFERROR(MAXIFS(PAYMENTS!A:A,PAYMENTS!C:C,E922),""))</f>
        <v/>
      </c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>
        <f>IF(E923="","",SUMIF(PAYMENTS!C:C,E923,PAYMENTS!E:E))</f>
        <v/>
      </c>
      <c r="M923">
        <f>IF(E923="","",J923-L923)</f>
        <v/>
      </c>
      <c r="N923">
        <f>IF(E923="","",IF(M923&lt;=0,"Paid",IF(L923&gt;0,"Part Paid","Unpaid")))</f>
        <v/>
      </c>
      <c r="O923">
        <f>IF(E923="","",IFERROR(MAXIFS(PAYMENTS!A:A,PAYMENTS!C:C,E923),""))</f>
        <v/>
      </c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>
        <f>IF(E924="","",SUMIF(PAYMENTS!C:C,E924,PAYMENTS!E:E))</f>
        <v/>
      </c>
      <c r="M924">
        <f>IF(E924="","",J924-L924)</f>
        <v/>
      </c>
      <c r="N924">
        <f>IF(E924="","",IF(M924&lt;=0,"Paid",IF(L924&gt;0,"Part Paid","Unpaid")))</f>
        <v/>
      </c>
      <c r="O924">
        <f>IF(E924="","",IFERROR(MAXIFS(PAYMENTS!A:A,PAYMENTS!C:C,E924),""))</f>
        <v/>
      </c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>
        <f>IF(E925="","",SUMIF(PAYMENTS!C:C,E925,PAYMENTS!E:E))</f>
        <v/>
      </c>
      <c r="M925">
        <f>IF(E925="","",J925-L925)</f>
        <v/>
      </c>
      <c r="N925">
        <f>IF(E925="","",IF(M925&lt;=0,"Paid",IF(L925&gt;0,"Part Paid","Unpaid")))</f>
        <v/>
      </c>
      <c r="O925">
        <f>IF(E925="","",IFERROR(MAXIFS(PAYMENTS!A:A,PAYMENTS!C:C,E925),""))</f>
        <v/>
      </c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>
        <f>IF(E926="","",SUMIF(PAYMENTS!C:C,E926,PAYMENTS!E:E))</f>
        <v/>
      </c>
      <c r="M926">
        <f>IF(E926="","",J926-L926)</f>
        <v/>
      </c>
      <c r="N926">
        <f>IF(E926="","",IF(M926&lt;=0,"Paid",IF(L926&gt;0,"Part Paid","Unpaid")))</f>
        <v/>
      </c>
      <c r="O926">
        <f>IF(E926="","",IFERROR(MAXIFS(PAYMENTS!A:A,PAYMENTS!C:C,E926),""))</f>
        <v/>
      </c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>
        <f>IF(E927="","",SUMIF(PAYMENTS!C:C,E927,PAYMENTS!E:E))</f>
        <v/>
      </c>
      <c r="M927">
        <f>IF(E927="","",J927-L927)</f>
        <v/>
      </c>
      <c r="N927">
        <f>IF(E927="","",IF(M927&lt;=0,"Paid",IF(L927&gt;0,"Part Paid","Unpaid")))</f>
        <v/>
      </c>
      <c r="O927">
        <f>IF(E927="","",IFERROR(MAXIFS(PAYMENTS!A:A,PAYMENTS!C:C,E927),""))</f>
        <v/>
      </c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>
        <f>IF(E928="","",SUMIF(PAYMENTS!C:C,E928,PAYMENTS!E:E))</f>
        <v/>
      </c>
      <c r="M928">
        <f>IF(E928="","",J928-L928)</f>
        <v/>
      </c>
      <c r="N928">
        <f>IF(E928="","",IF(M928&lt;=0,"Paid",IF(L928&gt;0,"Part Paid","Unpaid")))</f>
        <v/>
      </c>
      <c r="O928">
        <f>IF(E928="","",IFERROR(MAXIFS(PAYMENTS!A:A,PAYMENTS!C:C,E928),""))</f>
        <v/>
      </c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>
        <f>IF(E929="","",SUMIF(PAYMENTS!C:C,E929,PAYMENTS!E:E))</f>
        <v/>
      </c>
      <c r="M929">
        <f>IF(E929="","",J929-L929)</f>
        <v/>
      </c>
      <c r="N929">
        <f>IF(E929="","",IF(M929&lt;=0,"Paid",IF(L929&gt;0,"Part Paid","Unpaid")))</f>
        <v/>
      </c>
      <c r="O929">
        <f>IF(E929="","",IFERROR(MAXIFS(PAYMENTS!A:A,PAYMENTS!C:C,E929),""))</f>
        <v/>
      </c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>
        <f>IF(E930="","",SUMIF(PAYMENTS!C:C,E930,PAYMENTS!E:E))</f>
        <v/>
      </c>
      <c r="M930">
        <f>IF(E930="","",J930-L930)</f>
        <v/>
      </c>
      <c r="N930">
        <f>IF(E930="","",IF(M930&lt;=0,"Paid",IF(L930&gt;0,"Part Paid","Unpaid")))</f>
        <v/>
      </c>
      <c r="O930">
        <f>IF(E930="","",IFERROR(MAXIFS(PAYMENTS!A:A,PAYMENTS!C:C,E930),""))</f>
        <v/>
      </c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>
        <f>IF(E931="","",SUMIF(PAYMENTS!C:C,E931,PAYMENTS!E:E))</f>
        <v/>
      </c>
      <c r="M931">
        <f>IF(E931="","",J931-L931)</f>
        <v/>
      </c>
      <c r="N931">
        <f>IF(E931="","",IF(M931&lt;=0,"Paid",IF(L931&gt;0,"Part Paid","Unpaid")))</f>
        <v/>
      </c>
      <c r="O931">
        <f>IF(E931="","",IFERROR(MAXIFS(PAYMENTS!A:A,PAYMENTS!C:C,E931),""))</f>
        <v/>
      </c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>
        <f>IF(E932="","",SUMIF(PAYMENTS!C:C,E932,PAYMENTS!E:E))</f>
        <v/>
      </c>
      <c r="M932">
        <f>IF(E932="","",J932-L932)</f>
        <v/>
      </c>
      <c r="N932">
        <f>IF(E932="","",IF(M932&lt;=0,"Paid",IF(L932&gt;0,"Part Paid","Unpaid")))</f>
        <v/>
      </c>
      <c r="O932">
        <f>IF(E932="","",IFERROR(MAXIFS(PAYMENTS!A:A,PAYMENTS!C:C,E932),""))</f>
        <v/>
      </c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>
        <f>IF(E933="","",SUMIF(PAYMENTS!C:C,E933,PAYMENTS!E:E))</f>
        <v/>
      </c>
      <c r="M933">
        <f>IF(E933="","",J933-L933)</f>
        <v/>
      </c>
      <c r="N933">
        <f>IF(E933="","",IF(M933&lt;=0,"Paid",IF(L933&gt;0,"Part Paid","Unpaid")))</f>
        <v/>
      </c>
      <c r="O933">
        <f>IF(E933="","",IFERROR(MAXIFS(PAYMENTS!A:A,PAYMENTS!C:C,E933),""))</f>
        <v/>
      </c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>
        <f>IF(E934="","",SUMIF(PAYMENTS!C:C,E934,PAYMENTS!E:E))</f>
        <v/>
      </c>
      <c r="M934">
        <f>IF(E934="","",J934-L934)</f>
        <v/>
      </c>
      <c r="N934">
        <f>IF(E934="","",IF(M934&lt;=0,"Paid",IF(L934&gt;0,"Part Paid","Unpaid")))</f>
        <v/>
      </c>
      <c r="O934">
        <f>IF(E934="","",IFERROR(MAXIFS(PAYMENTS!A:A,PAYMENTS!C:C,E934),""))</f>
        <v/>
      </c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>
        <f>IF(E935="","",SUMIF(PAYMENTS!C:C,E935,PAYMENTS!E:E))</f>
        <v/>
      </c>
      <c r="M935">
        <f>IF(E935="","",J935-L935)</f>
        <v/>
      </c>
      <c r="N935">
        <f>IF(E935="","",IF(M935&lt;=0,"Paid",IF(L935&gt;0,"Part Paid","Unpaid")))</f>
        <v/>
      </c>
      <c r="O935">
        <f>IF(E935="","",IFERROR(MAXIFS(PAYMENTS!A:A,PAYMENTS!C:C,E935),""))</f>
        <v/>
      </c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>
        <f>IF(E936="","",SUMIF(PAYMENTS!C:C,E936,PAYMENTS!E:E))</f>
        <v/>
      </c>
      <c r="M936">
        <f>IF(E936="","",J936-L936)</f>
        <v/>
      </c>
      <c r="N936">
        <f>IF(E936="","",IF(M936&lt;=0,"Paid",IF(L936&gt;0,"Part Paid","Unpaid")))</f>
        <v/>
      </c>
      <c r="O936">
        <f>IF(E936="","",IFERROR(MAXIFS(PAYMENTS!A:A,PAYMENTS!C:C,E936),""))</f>
        <v/>
      </c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>
        <f>IF(E937="","",SUMIF(PAYMENTS!C:C,E937,PAYMENTS!E:E))</f>
        <v/>
      </c>
      <c r="M937">
        <f>IF(E937="","",J937-L937)</f>
        <v/>
      </c>
      <c r="N937">
        <f>IF(E937="","",IF(M937&lt;=0,"Paid",IF(L937&gt;0,"Part Paid","Unpaid")))</f>
        <v/>
      </c>
      <c r="O937">
        <f>IF(E937="","",IFERROR(MAXIFS(PAYMENTS!A:A,PAYMENTS!C:C,E937),""))</f>
        <v/>
      </c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>
        <f>IF(E938="","",SUMIF(PAYMENTS!C:C,E938,PAYMENTS!E:E))</f>
        <v/>
      </c>
      <c r="M938">
        <f>IF(E938="","",J938-L938)</f>
        <v/>
      </c>
      <c r="N938">
        <f>IF(E938="","",IF(M938&lt;=0,"Paid",IF(L938&gt;0,"Part Paid","Unpaid")))</f>
        <v/>
      </c>
      <c r="O938">
        <f>IF(E938="","",IFERROR(MAXIFS(PAYMENTS!A:A,PAYMENTS!C:C,E938),""))</f>
        <v/>
      </c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>
        <f>IF(E939="","",SUMIF(PAYMENTS!C:C,E939,PAYMENTS!E:E))</f>
        <v/>
      </c>
      <c r="M939">
        <f>IF(E939="","",J939-L939)</f>
        <v/>
      </c>
      <c r="N939">
        <f>IF(E939="","",IF(M939&lt;=0,"Paid",IF(L939&gt;0,"Part Paid","Unpaid")))</f>
        <v/>
      </c>
      <c r="O939">
        <f>IF(E939="","",IFERROR(MAXIFS(PAYMENTS!A:A,PAYMENTS!C:C,E939),""))</f>
        <v/>
      </c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>
        <f>IF(E940="","",SUMIF(PAYMENTS!C:C,E940,PAYMENTS!E:E))</f>
        <v/>
      </c>
      <c r="M940">
        <f>IF(E940="","",J940-L940)</f>
        <v/>
      </c>
      <c r="N940">
        <f>IF(E940="","",IF(M940&lt;=0,"Paid",IF(L940&gt;0,"Part Paid","Unpaid")))</f>
        <v/>
      </c>
      <c r="O940">
        <f>IF(E940="","",IFERROR(MAXIFS(PAYMENTS!A:A,PAYMENTS!C:C,E940),""))</f>
        <v/>
      </c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>
        <f>IF(E941="","",SUMIF(PAYMENTS!C:C,E941,PAYMENTS!E:E))</f>
        <v/>
      </c>
      <c r="M941">
        <f>IF(E941="","",J941-L941)</f>
        <v/>
      </c>
      <c r="N941">
        <f>IF(E941="","",IF(M941&lt;=0,"Paid",IF(L941&gt;0,"Part Paid","Unpaid")))</f>
        <v/>
      </c>
      <c r="O941">
        <f>IF(E941="","",IFERROR(MAXIFS(PAYMENTS!A:A,PAYMENTS!C:C,E941),""))</f>
        <v/>
      </c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>
        <f>IF(E942="","",SUMIF(PAYMENTS!C:C,E942,PAYMENTS!E:E))</f>
        <v/>
      </c>
      <c r="M942">
        <f>IF(E942="","",J942-L942)</f>
        <v/>
      </c>
      <c r="N942">
        <f>IF(E942="","",IF(M942&lt;=0,"Paid",IF(L942&gt;0,"Part Paid","Unpaid")))</f>
        <v/>
      </c>
      <c r="O942">
        <f>IF(E942="","",IFERROR(MAXIFS(PAYMENTS!A:A,PAYMENTS!C:C,E942),""))</f>
        <v/>
      </c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>
        <f>IF(E943="","",SUMIF(PAYMENTS!C:C,E943,PAYMENTS!E:E))</f>
        <v/>
      </c>
      <c r="M943">
        <f>IF(E943="","",J943-L943)</f>
        <v/>
      </c>
      <c r="N943">
        <f>IF(E943="","",IF(M943&lt;=0,"Paid",IF(L943&gt;0,"Part Paid","Unpaid")))</f>
        <v/>
      </c>
      <c r="O943">
        <f>IF(E943="","",IFERROR(MAXIFS(PAYMENTS!A:A,PAYMENTS!C:C,E943),""))</f>
        <v/>
      </c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>
        <f>IF(E944="","",SUMIF(PAYMENTS!C:C,E944,PAYMENTS!E:E))</f>
        <v/>
      </c>
      <c r="M944">
        <f>IF(E944="","",J944-L944)</f>
        <v/>
      </c>
      <c r="N944">
        <f>IF(E944="","",IF(M944&lt;=0,"Paid",IF(L944&gt;0,"Part Paid","Unpaid")))</f>
        <v/>
      </c>
      <c r="O944">
        <f>IF(E944="","",IFERROR(MAXIFS(PAYMENTS!A:A,PAYMENTS!C:C,E944),""))</f>
        <v/>
      </c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>
        <f>IF(E945="","",SUMIF(PAYMENTS!C:C,E945,PAYMENTS!E:E))</f>
        <v/>
      </c>
      <c r="M945">
        <f>IF(E945="","",J945-L945)</f>
        <v/>
      </c>
      <c r="N945">
        <f>IF(E945="","",IF(M945&lt;=0,"Paid",IF(L945&gt;0,"Part Paid","Unpaid")))</f>
        <v/>
      </c>
      <c r="O945">
        <f>IF(E945="","",IFERROR(MAXIFS(PAYMENTS!A:A,PAYMENTS!C:C,E945),""))</f>
        <v/>
      </c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>
        <f>IF(E946="","",SUMIF(PAYMENTS!C:C,E946,PAYMENTS!E:E))</f>
        <v/>
      </c>
      <c r="M946">
        <f>IF(E946="","",J946-L946)</f>
        <v/>
      </c>
      <c r="N946">
        <f>IF(E946="","",IF(M946&lt;=0,"Paid",IF(L946&gt;0,"Part Paid","Unpaid")))</f>
        <v/>
      </c>
      <c r="O946">
        <f>IF(E946="","",IFERROR(MAXIFS(PAYMENTS!A:A,PAYMENTS!C:C,E946),""))</f>
        <v/>
      </c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>
        <f>IF(E947="","",SUMIF(PAYMENTS!C:C,E947,PAYMENTS!E:E))</f>
        <v/>
      </c>
      <c r="M947">
        <f>IF(E947="","",J947-L947)</f>
        <v/>
      </c>
      <c r="N947">
        <f>IF(E947="","",IF(M947&lt;=0,"Paid",IF(L947&gt;0,"Part Paid","Unpaid")))</f>
        <v/>
      </c>
      <c r="O947">
        <f>IF(E947="","",IFERROR(MAXIFS(PAYMENTS!A:A,PAYMENTS!C:C,E947),""))</f>
        <v/>
      </c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>
        <f>IF(E948="","",SUMIF(PAYMENTS!C:C,E948,PAYMENTS!E:E))</f>
        <v/>
      </c>
      <c r="M948">
        <f>IF(E948="","",J948-L948)</f>
        <v/>
      </c>
      <c r="N948">
        <f>IF(E948="","",IF(M948&lt;=0,"Paid",IF(L948&gt;0,"Part Paid","Unpaid")))</f>
        <v/>
      </c>
      <c r="O948">
        <f>IF(E948="","",IFERROR(MAXIFS(PAYMENTS!A:A,PAYMENTS!C:C,E948),""))</f>
        <v/>
      </c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>
        <f>IF(E949="","",SUMIF(PAYMENTS!C:C,E949,PAYMENTS!E:E))</f>
        <v/>
      </c>
      <c r="M949">
        <f>IF(E949="","",J949-L949)</f>
        <v/>
      </c>
      <c r="N949">
        <f>IF(E949="","",IF(M949&lt;=0,"Paid",IF(L949&gt;0,"Part Paid","Unpaid")))</f>
        <v/>
      </c>
      <c r="O949">
        <f>IF(E949="","",IFERROR(MAXIFS(PAYMENTS!A:A,PAYMENTS!C:C,E949),""))</f>
        <v/>
      </c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>
        <f>IF(E950="","",SUMIF(PAYMENTS!C:C,E950,PAYMENTS!E:E))</f>
        <v/>
      </c>
      <c r="M950">
        <f>IF(E950="","",J950-L950)</f>
        <v/>
      </c>
      <c r="N950">
        <f>IF(E950="","",IF(M950&lt;=0,"Paid",IF(L950&gt;0,"Part Paid","Unpaid")))</f>
        <v/>
      </c>
      <c r="O950">
        <f>IF(E950="","",IFERROR(MAXIFS(PAYMENTS!A:A,PAYMENTS!C:C,E950),""))</f>
        <v/>
      </c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>
        <f>IF(E951="","",SUMIF(PAYMENTS!C:C,E951,PAYMENTS!E:E))</f>
        <v/>
      </c>
      <c r="M951">
        <f>IF(E951="","",J951-L951)</f>
        <v/>
      </c>
      <c r="N951">
        <f>IF(E951="","",IF(M951&lt;=0,"Paid",IF(L951&gt;0,"Part Paid","Unpaid")))</f>
        <v/>
      </c>
      <c r="O951">
        <f>IF(E951="","",IFERROR(MAXIFS(PAYMENTS!A:A,PAYMENTS!C:C,E951),""))</f>
        <v/>
      </c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>
        <f>IF(E952="","",SUMIF(PAYMENTS!C:C,E952,PAYMENTS!E:E))</f>
        <v/>
      </c>
      <c r="M952">
        <f>IF(E952="","",J952-L952)</f>
        <v/>
      </c>
      <c r="N952">
        <f>IF(E952="","",IF(M952&lt;=0,"Paid",IF(L952&gt;0,"Part Paid","Unpaid")))</f>
        <v/>
      </c>
      <c r="O952">
        <f>IF(E952="","",IFERROR(MAXIFS(PAYMENTS!A:A,PAYMENTS!C:C,E952),""))</f>
        <v/>
      </c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>
        <f>IF(E953="","",SUMIF(PAYMENTS!C:C,E953,PAYMENTS!E:E))</f>
        <v/>
      </c>
      <c r="M953">
        <f>IF(E953="","",J953-L953)</f>
        <v/>
      </c>
      <c r="N953">
        <f>IF(E953="","",IF(M953&lt;=0,"Paid",IF(L953&gt;0,"Part Paid","Unpaid")))</f>
        <v/>
      </c>
      <c r="O953">
        <f>IF(E953="","",IFERROR(MAXIFS(PAYMENTS!A:A,PAYMENTS!C:C,E953),""))</f>
        <v/>
      </c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>
        <f>IF(E954="","",SUMIF(PAYMENTS!C:C,E954,PAYMENTS!E:E))</f>
        <v/>
      </c>
      <c r="M954">
        <f>IF(E954="","",J954-L954)</f>
        <v/>
      </c>
      <c r="N954">
        <f>IF(E954="","",IF(M954&lt;=0,"Paid",IF(L954&gt;0,"Part Paid","Unpaid")))</f>
        <v/>
      </c>
      <c r="O954">
        <f>IF(E954="","",IFERROR(MAXIFS(PAYMENTS!A:A,PAYMENTS!C:C,E954),""))</f>
        <v/>
      </c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>
        <f>IF(E955="","",SUMIF(PAYMENTS!C:C,E955,PAYMENTS!E:E))</f>
        <v/>
      </c>
      <c r="M955">
        <f>IF(E955="","",J955-L955)</f>
        <v/>
      </c>
      <c r="N955">
        <f>IF(E955="","",IF(M955&lt;=0,"Paid",IF(L955&gt;0,"Part Paid","Unpaid")))</f>
        <v/>
      </c>
      <c r="O955">
        <f>IF(E955="","",IFERROR(MAXIFS(PAYMENTS!A:A,PAYMENTS!C:C,E955),""))</f>
        <v/>
      </c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>
        <f>IF(E956="","",SUMIF(PAYMENTS!C:C,E956,PAYMENTS!E:E))</f>
        <v/>
      </c>
      <c r="M956">
        <f>IF(E956="","",J956-L956)</f>
        <v/>
      </c>
      <c r="N956">
        <f>IF(E956="","",IF(M956&lt;=0,"Paid",IF(L956&gt;0,"Part Paid","Unpaid")))</f>
        <v/>
      </c>
      <c r="O956">
        <f>IF(E956="","",IFERROR(MAXIFS(PAYMENTS!A:A,PAYMENTS!C:C,E956),""))</f>
        <v/>
      </c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>
        <f>IF(E957="","",SUMIF(PAYMENTS!C:C,E957,PAYMENTS!E:E))</f>
        <v/>
      </c>
      <c r="M957">
        <f>IF(E957="","",J957-L957)</f>
        <v/>
      </c>
      <c r="N957">
        <f>IF(E957="","",IF(M957&lt;=0,"Paid",IF(L957&gt;0,"Part Paid","Unpaid")))</f>
        <v/>
      </c>
      <c r="O957">
        <f>IF(E957="","",IFERROR(MAXIFS(PAYMENTS!A:A,PAYMENTS!C:C,E957),""))</f>
        <v/>
      </c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>
        <f>IF(E958="","",SUMIF(PAYMENTS!C:C,E958,PAYMENTS!E:E))</f>
        <v/>
      </c>
      <c r="M958">
        <f>IF(E958="","",J958-L958)</f>
        <v/>
      </c>
      <c r="N958">
        <f>IF(E958="","",IF(M958&lt;=0,"Paid",IF(L958&gt;0,"Part Paid","Unpaid")))</f>
        <v/>
      </c>
      <c r="O958">
        <f>IF(E958="","",IFERROR(MAXIFS(PAYMENTS!A:A,PAYMENTS!C:C,E958),""))</f>
        <v/>
      </c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>
        <f>IF(E959="","",SUMIF(PAYMENTS!C:C,E959,PAYMENTS!E:E))</f>
        <v/>
      </c>
      <c r="M959">
        <f>IF(E959="","",J959-L959)</f>
        <v/>
      </c>
      <c r="N959">
        <f>IF(E959="","",IF(M959&lt;=0,"Paid",IF(L959&gt;0,"Part Paid","Unpaid")))</f>
        <v/>
      </c>
      <c r="O959">
        <f>IF(E959="","",IFERROR(MAXIFS(PAYMENTS!A:A,PAYMENTS!C:C,E959),""))</f>
        <v/>
      </c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>
        <f>IF(E960="","",SUMIF(PAYMENTS!C:C,E960,PAYMENTS!E:E))</f>
        <v/>
      </c>
      <c r="M960">
        <f>IF(E960="","",J960-L960)</f>
        <v/>
      </c>
      <c r="N960">
        <f>IF(E960="","",IF(M960&lt;=0,"Paid",IF(L960&gt;0,"Part Paid","Unpaid")))</f>
        <v/>
      </c>
      <c r="O960">
        <f>IF(E960="","",IFERROR(MAXIFS(PAYMENTS!A:A,PAYMENTS!C:C,E960),""))</f>
        <v/>
      </c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>
        <f>IF(E961="","",SUMIF(PAYMENTS!C:C,E961,PAYMENTS!E:E))</f>
        <v/>
      </c>
      <c r="M961">
        <f>IF(E961="","",J961-L961)</f>
        <v/>
      </c>
      <c r="N961">
        <f>IF(E961="","",IF(M961&lt;=0,"Paid",IF(L961&gt;0,"Part Paid","Unpaid")))</f>
        <v/>
      </c>
      <c r="O961">
        <f>IF(E961="","",IFERROR(MAXIFS(PAYMENTS!A:A,PAYMENTS!C:C,E961),""))</f>
        <v/>
      </c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>
        <f>IF(E962="","",SUMIF(PAYMENTS!C:C,E962,PAYMENTS!E:E))</f>
        <v/>
      </c>
      <c r="M962">
        <f>IF(E962="","",J962-L962)</f>
        <v/>
      </c>
      <c r="N962">
        <f>IF(E962="","",IF(M962&lt;=0,"Paid",IF(L962&gt;0,"Part Paid","Unpaid")))</f>
        <v/>
      </c>
      <c r="O962">
        <f>IF(E962="","",IFERROR(MAXIFS(PAYMENTS!A:A,PAYMENTS!C:C,E962),""))</f>
        <v/>
      </c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>
        <f>IF(E963="","",SUMIF(PAYMENTS!C:C,E963,PAYMENTS!E:E))</f>
        <v/>
      </c>
      <c r="M963">
        <f>IF(E963="","",J963-L963)</f>
        <v/>
      </c>
      <c r="N963">
        <f>IF(E963="","",IF(M963&lt;=0,"Paid",IF(L963&gt;0,"Part Paid","Unpaid")))</f>
        <v/>
      </c>
      <c r="O963">
        <f>IF(E963="","",IFERROR(MAXIFS(PAYMENTS!A:A,PAYMENTS!C:C,E963),""))</f>
        <v/>
      </c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>
        <f>IF(E964="","",SUMIF(PAYMENTS!C:C,E964,PAYMENTS!E:E))</f>
        <v/>
      </c>
      <c r="M964">
        <f>IF(E964="","",J964-L964)</f>
        <v/>
      </c>
      <c r="N964">
        <f>IF(E964="","",IF(M964&lt;=0,"Paid",IF(L964&gt;0,"Part Paid","Unpaid")))</f>
        <v/>
      </c>
      <c r="O964">
        <f>IF(E964="","",IFERROR(MAXIFS(PAYMENTS!A:A,PAYMENTS!C:C,E964),""))</f>
        <v/>
      </c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>
        <f>IF(E965="","",SUMIF(PAYMENTS!C:C,E965,PAYMENTS!E:E))</f>
        <v/>
      </c>
      <c r="M965">
        <f>IF(E965="","",J965-L965)</f>
        <v/>
      </c>
      <c r="N965">
        <f>IF(E965="","",IF(M965&lt;=0,"Paid",IF(L965&gt;0,"Part Paid","Unpaid")))</f>
        <v/>
      </c>
      <c r="O965">
        <f>IF(E965="","",IFERROR(MAXIFS(PAYMENTS!A:A,PAYMENTS!C:C,E965),""))</f>
        <v/>
      </c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>
        <f>IF(E966="","",SUMIF(PAYMENTS!C:C,E966,PAYMENTS!E:E))</f>
        <v/>
      </c>
      <c r="M966">
        <f>IF(E966="","",J966-L966)</f>
        <v/>
      </c>
      <c r="N966">
        <f>IF(E966="","",IF(M966&lt;=0,"Paid",IF(L966&gt;0,"Part Paid","Unpaid")))</f>
        <v/>
      </c>
      <c r="O966">
        <f>IF(E966="","",IFERROR(MAXIFS(PAYMENTS!A:A,PAYMENTS!C:C,E966),""))</f>
        <v/>
      </c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>
        <f>IF(E967="","",SUMIF(PAYMENTS!C:C,E967,PAYMENTS!E:E))</f>
        <v/>
      </c>
      <c r="M967">
        <f>IF(E967="","",J967-L967)</f>
        <v/>
      </c>
      <c r="N967">
        <f>IF(E967="","",IF(M967&lt;=0,"Paid",IF(L967&gt;0,"Part Paid","Unpaid")))</f>
        <v/>
      </c>
      <c r="O967">
        <f>IF(E967="","",IFERROR(MAXIFS(PAYMENTS!A:A,PAYMENTS!C:C,E967),""))</f>
        <v/>
      </c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>
        <f>IF(E968="","",SUMIF(PAYMENTS!C:C,E968,PAYMENTS!E:E))</f>
        <v/>
      </c>
      <c r="M968">
        <f>IF(E968="","",J968-L968)</f>
        <v/>
      </c>
      <c r="N968">
        <f>IF(E968="","",IF(M968&lt;=0,"Paid",IF(L968&gt;0,"Part Paid","Unpaid")))</f>
        <v/>
      </c>
      <c r="O968">
        <f>IF(E968="","",IFERROR(MAXIFS(PAYMENTS!A:A,PAYMENTS!C:C,E968),""))</f>
        <v/>
      </c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>
        <f>IF(E969="","",SUMIF(PAYMENTS!C:C,E969,PAYMENTS!E:E))</f>
        <v/>
      </c>
      <c r="M969">
        <f>IF(E969="","",J969-L969)</f>
        <v/>
      </c>
      <c r="N969">
        <f>IF(E969="","",IF(M969&lt;=0,"Paid",IF(L969&gt;0,"Part Paid","Unpaid")))</f>
        <v/>
      </c>
      <c r="O969">
        <f>IF(E969="","",IFERROR(MAXIFS(PAYMENTS!A:A,PAYMENTS!C:C,E969),""))</f>
        <v/>
      </c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>
        <f>IF(E970="","",SUMIF(PAYMENTS!C:C,E970,PAYMENTS!E:E))</f>
        <v/>
      </c>
      <c r="M970">
        <f>IF(E970="","",J970-L970)</f>
        <v/>
      </c>
      <c r="N970">
        <f>IF(E970="","",IF(M970&lt;=0,"Paid",IF(L970&gt;0,"Part Paid","Unpaid")))</f>
        <v/>
      </c>
      <c r="O970">
        <f>IF(E970="","",IFERROR(MAXIFS(PAYMENTS!A:A,PAYMENTS!C:C,E970),""))</f>
        <v/>
      </c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>
        <f>IF(E971="","",SUMIF(PAYMENTS!C:C,E971,PAYMENTS!E:E))</f>
        <v/>
      </c>
      <c r="M971">
        <f>IF(E971="","",J971-L971)</f>
        <v/>
      </c>
      <c r="N971">
        <f>IF(E971="","",IF(M971&lt;=0,"Paid",IF(L971&gt;0,"Part Paid","Unpaid")))</f>
        <v/>
      </c>
      <c r="O971">
        <f>IF(E971="","",IFERROR(MAXIFS(PAYMENTS!A:A,PAYMENTS!C:C,E971),""))</f>
        <v/>
      </c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>
        <f>IF(E972="","",SUMIF(PAYMENTS!C:C,E972,PAYMENTS!E:E))</f>
        <v/>
      </c>
      <c r="M972">
        <f>IF(E972="","",J972-L972)</f>
        <v/>
      </c>
      <c r="N972">
        <f>IF(E972="","",IF(M972&lt;=0,"Paid",IF(L972&gt;0,"Part Paid","Unpaid")))</f>
        <v/>
      </c>
      <c r="O972">
        <f>IF(E972="","",IFERROR(MAXIFS(PAYMENTS!A:A,PAYMENTS!C:C,E972),""))</f>
        <v/>
      </c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>
        <f>IF(E973="","",SUMIF(PAYMENTS!C:C,E973,PAYMENTS!E:E))</f>
        <v/>
      </c>
      <c r="M973">
        <f>IF(E973="","",J973-L973)</f>
        <v/>
      </c>
      <c r="N973">
        <f>IF(E973="","",IF(M973&lt;=0,"Paid",IF(L973&gt;0,"Part Paid","Unpaid")))</f>
        <v/>
      </c>
      <c r="O973">
        <f>IF(E973="","",IFERROR(MAXIFS(PAYMENTS!A:A,PAYMENTS!C:C,E973),""))</f>
        <v/>
      </c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>
        <f>IF(E974="","",SUMIF(PAYMENTS!C:C,E974,PAYMENTS!E:E))</f>
        <v/>
      </c>
      <c r="M974">
        <f>IF(E974="","",J974-L974)</f>
        <v/>
      </c>
      <c r="N974">
        <f>IF(E974="","",IF(M974&lt;=0,"Paid",IF(L974&gt;0,"Part Paid","Unpaid")))</f>
        <v/>
      </c>
      <c r="O974">
        <f>IF(E974="","",IFERROR(MAXIFS(PAYMENTS!A:A,PAYMENTS!C:C,E974),""))</f>
        <v/>
      </c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>
        <f>IF(E975="","",SUMIF(PAYMENTS!C:C,E975,PAYMENTS!E:E))</f>
        <v/>
      </c>
      <c r="M975">
        <f>IF(E975="","",J975-L975)</f>
        <v/>
      </c>
      <c r="N975">
        <f>IF(E975="","",IF(M975&lt;=0,"Paid",IF(L975&gt;0,"Part Paid","Unpaid")))</f>
        <v/>
      </c>
      <c r="O975">
        <f>IF(E975="","",IFERROR(MAXIFS(PAYMENTS!A:A,PAYMENTS!C:C,E975),""))</f>
        <v/>
      </c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>
        <f>IF(E976="","",SUMIF(PAYMENTS!C:C,E976,PAYMENTS!E:E))</f>
        <v/>
      </c>
      <c r="M976">
        <f>IF(E976="","",J976-L976)</f>
        <v/>
      </c>
      <c r="N976">
        <f>IF(E976="","",IF(M976&lt;=0,"Paid",IF(L976&gt;0,"Part Paid","Unpaid")))</f>
        <v/>
      </c>
      <c r="O976">
        <f>IF(E976="","",IFERROR(MAXIFS(PAYMENTS!A:A,PAYMENTS!C:C,E976),""))</f>
        <v/>
      </c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>
        <f>IF(E977="","",SUMIF(PAYMENTS!C:C,E977,PAYMENTS!E:E))</f>
        <v/>
      </c>
      <c r="M977">
        <f>IF(E977="","",J977-L977)</f>
        <v/>
      </c>
      <c r="N977">
        <f>IF(E977="","",IF(M977&lt;=0,"Paid",IF(L977&gt;0,"Part Paid","Unpaid")))</f>
        <v/>
      </c>
      <c r="O977">
        <f>IF(E977="","",IFERROR(MAXIFS(PAYMENTS!A:A,PAYMENTS!C:C,E977),""))</f>
        <v/>
      </c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>
        <f>IF(E978="","",SUMIF(PAYMENTS!C:C,E978,PAYMENTS!E:E))</f>
        <v/>
      </c>
      <c r="M978">
        <f>IF(E978="","",J978-L978)</f>
        <v/>
      </c>
      <c r="N978">
        <f>IF(E978="","",IF(M978&lt;=0,"Paid",IF(L978&gt;0,"Part Paid","Unpaid")))</f>
        <v/>
      </c>
      <c r="O978">
        <f>IF(E978="","",IFERROR(MAXIFS(PAYMENTS!A:A,PAYMENTS!C:C,E978),""))</f>
        <v/>
      </c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>
        <f>IF(E979="","",SUMIF(PAYMENTS!C:C,E979,PAYMENTS!E:E))</f>
        <v/>
      </c>
      <c r="M979">
        <f>IF(E979="","",J979-L979)</f>
        <v/>
      </c>
      <c r="N979">
        <f>IF(E979="","",IF(M979&lt;=0,"Paid",IF(L979&gt;0,"Part Paid","Unpaid")))</f>
        <v/>
      </c>
      <c r="O979">
        <f>IF(E979="","",IFERROR(MAXIFS(PAYMENTS!A:A,PAYMENTS!C:C,E979),""))</f>
        <v/>
      </c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>
        <f>IF(E980="","",SUMIF(PAYMENTS!C:C,E980,PAYMENTS!E:E))</f>
        <v/>
      </c>
      <c r="M980">
        <f>IF(E980="","",J980-L980)</f>
        <v/>
      </c>
      <c r="N980">
        <f>IF(E980="","",IF(M980&lt;=0,"Paid",IF(L980&gt;0,"Part Paid","Unpaid")))</f>
        <v/>
      </c>
      <c r="O980">
        <f>IF(E980="","",IFERROR(MAXIFS(PAYMENTS!A:A,PAYMENTS!C:C,E980),""))</f>
        <v/>
      </c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>
        <f>IF(E981="","",SUMIF(PAYMENTS!C:C,E981,PAYMENTS!E:E))</f>
        <v/>
      </c>
      <c r="M981">
        <f>IF(E981="","",J981-L981)</f>
        <v/>
      </c>
      <c r="N981">
        <f>IF(E981="","",IF(M981&lt;=0,"Paid",IF(L981&gt;0,"Part Paid","Unpaid")))</f>
        <v/>
      </c>
      <c r="O981">
        <f>IF(E981="","",IFERROR(MAXIFS(PAYMENTS!A:A,PAYMENTS!C:C,E981),""))</f>
        <v/>
      </c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>
        <f>IF(E982="","",SUMIF(PAYMENTS!C:C,E982,PAYMENTS!E:E))</f>
        <v/>
      </c>
      <c r="M982">
        <f>IF(E982="","",J982-L982)</f>
        <v/>
      </c>
      <c r="N982">
        <f>IF(E982="","",IF(M982&lt;=0,"Paid",IF(L982&gt;0,"Part Paid","Unpaid")))</f>
        <v/>
      </c>
      <c r="O982">
        <f>IF(E982="","",IFERROR(MAXIFS(PAYMENTS!A:A,PAYMENTS!C:C,E982),""))</f>
        <v/>
      </c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>
        <f>IF(E983="","",SUMIF(PAYMENTS!C:C,E983,PAYMENTS!E:E))</f>
        <v/>
      </c>
      <c r="M983">
        <f>IF(E983="","",J983-L983)</f>
        <v/>
      </c>
      <c r="N983">
        <f>IF(E983="","",IF(M983&lt;=0,"Paid",IF(L983&gt;0,"Part Paid","Unpaid")))</f>
        <v/>
      </c>
      <c r="O983">
        <f>IF(E983="","",IFERROR(MAXIFS(PAYMENTS!A:A,PAYMENTS!C:C,E983),""))</f>
        <v/>
      </c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>
        <f>IF(E984="","",SUMIF(PAYMENTS!C:C,E984,PAYMENTS!E:E))</f>
        <v/>
      </c>
      <c r="M984">
        <f>IF(E984="","",J984-L984)</f>
        <v/>
      </c>
      <c r="N984">
        <f>IF(E984="","",IF(M984&lt;=0,"Paid",IF(L984&gt;0,"Part Paid","Unpaid")))</f>
        <v/>
      </c>
      <c r="O984">
        <f>IF(E984="","",IFERROR(MAXIFS(PAYMENTS!A:A,PAYMENTS!C:C,E984),""))</f>
        <v/>
      </c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>
        <f>IF(E985="","",SUMIF(PAYMENTS!C:C,E985,PAYMENTS!E:E))</f>
        <v/>
      </c>
      <c r="M985">
        <f>IF(E985="","",J985-L985)</f>
        <v/>
      </c>
      <c r="N985">
        <f>IF(E985="","",IF(M985&lt;=0,"Paid",IF(L985&gt;0,"Part Paid","Unpaid")))</f>
        <v/>
      </c>
      <c r="O985">
        <f>IF(E985="","",IFERROR(MAXIFS(PAYMENTS!A:A,PAYMENTS!C:C,E985),""))</f>
        <v/>
      </c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>
        <f>IF(E986="","",SUMIF(PAYMENTS!C:C,E986,PAYMENTS!E:E))</f>
        <v/>
      </c>
      <c r="M986">
        <f>IF(E986="","",J986-L986)</f>
        <v/>
      </c>
      <c r="N986">
        <f>IF(E986="","",IF(M986&lt;=0,"Paid",IF(L986&gt;0,"Part Paid","Unpaid")))</f>
        <v/>
      </c>
      <c r="O986">
        <f>IF(E986="","",IFERROR(MAXIFS(PAYMENTS!A:A,PAYMENTS!C:C,E986),""))</f>
        <v/>
      </c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>
        <f>IF(E987="","",SUMIF(PAYMENTS!C:C,E987,PAYMENTS!E:E))</f>
        <v/>
      </c>
      <c r="M987">
        <f>IF(E987="","",J987-L987)</f>
        <v/>
      </c>
      <c r="N987">
        <f>IF(E987="","",IF(M987&lt;=0,"Paid",IF(L987&gt;0,"Part Paid","Unpaid")))</f>
        <v/>
      </c>
      <c r="O987">
        <f>IF(E987="","",IFERROR(MAXIFS(PAYMENTS!A:A,PAYMENTS!C:C,E987),""))</f>
        <v/>
      </c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>
        <f>IF(E988="","",SUMIF(PAYMENTS!C:C,E988,PAYMENTS!E:E))</f>
        <v/>
      </c>
      <c r="M988">
        <f>IF(E988="","",J988-L988)</f>
        <v/>
      </c>
      <c r="N988">
        <f>IF(E988="","",IF(M988&lt;=0,"Paid",IF(L988&gt;0,"Part Paid","Unpaid")))</f>
        <v/>
      </c>
      <c r="O988">
        <f>IF(E988="","",IFERROR(MAXIFS(PAYMENTS!A:A,PAYMENTS!C:C,E988),""))</f>
        <v/>
      </c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>
        <f>IF(E989="","",SUMIF(PAYMENTS!C:C,E989,PAYMENTS!E:E))</f>
        <v/>
      </c>
      <c r="M989">
        <f>IF(E989="","",J989-L989)</f>
        <v/>
      </c>
      <c r="N989">
        <f>IF(E989="","",IF(M989&lt;=0,"Paid",IF(L989&gt;0,"Part Paid","Unpaid")))</f>
        <v/>
      </c>
      <c r="O989">
        <f>IF(E989="","",IFERROR(MAXIFS(PAYMENTS!A:A,PAYMENTS!C:C,E989),""))</f>
        <v/>
      </c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>
        <f>IF(E990="","",SUMIF(PAYMENTS!C:C,E990,PAYMENTS!E:E))</f>
        <v/>
      </c>
      <c r="M990">
        <f>IF(E990="","",J990-L990)</f>
        <v/>
      </c>
      <c r="N990">
        <f>IF(E990="","",IF(M990&lt;=0,"Paid",IF(L990&gt;0,"Part Paid","Unpaid")))</f>
        <v/>
      </c>
      <c r="O990">
        <f>IF(E990="","",IFERROR(MAXIFS(PAYMENTS!A:A,PAYMENTS!C:C,E990),""))</f>
        <v/>
      </c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>
        <f>IF(E991="","",SUMIF(PAYMENTS!C:C,E991,PAYMENTS!E:E))</f>
        <v/>
      </c>
      <c r="M991">
        <f>IF(E991="","",J991-L991)</f>
        <v/>
      </c>
      <c r="N991">
        <f>IF(E991="","",IF(M991&lt;=0,"Paid",IF(L991&gt;0,"Part Paid","Unpaid")))</f>
        <v/>
      </c>
      <c r="O991">
        <f>IF(E991="","",IFERROR(MAXIFS(PAYMENTS!A:A,PAYMENTS!C:C,E991),""))</f>
        <v/>
      </c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>
        <f>IF(E992="","",SUMIF(PAYMENTS!C:C,E992,PAYMENTS!E:E))</f>
        <v/>
      </c>
      <c r="M992">
        <f>IF(E992="","",J992-L992)</f>
        <v/>
      </c>
      <c r="N992">
        <f>IF(E992="","",IF(M992&lt;=0,"Paid",IF(L992&gt;0,"Part Paid","Unpaid")))</f>
        <v/>
      </c>
      <c r="O992">
        <f>IF(E992="","",IFERROR(MAXIFS(PAYMENTS!A:A,PAYMENTS!C:C,E992),""))</f>
        <v/>
      </c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>
        <f>IF(E993="","",SUMIF(PAYMENTS!C:C,E993,PAYMENTS!E:E))</f>
        <v/>
      </c>
      <c r="M993">
        <f>IF(E993="","",J993-L993)</f>
        <v/>
      </c>
      <c r="N993">
        <f>IF(E993="","",IF(M993&lt;=0,"Paid",IF(L993&gt;0,"Part Paid","Unpaid")))</f>
        <v/>
      </c>
      <c r="O993">
        <f>IF(E993="","",IFERROR(MAXIFS(PAYMENTS!A:A,PAYMENTS!C:C,E993),""))</f>
        <v/>
      </c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>
        <f>IF(E994="","",SUMIF(PAYMENTS!C:C,E994,PAYMENTS!E:E))</f>
        <v/>
      </c>
      <c r="M994">
        <f>IF(E994="","",J994-L994)</f>
        <v/>
      </c>
      <c r="N994">
        <f>IF(E994="","",IF(M994&lt;=0,"Paid",IF(L994&gt;0,"Part Paid","Unpaid")))</f>
        <v/>
      </c>
      <c r="O994">
        <f>IF(E994="","",IFERROR(MAXIFS(PAYMENTS!A:A,PAYMENTS!C:C,E994),""))</f>
        <v/>
      </c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>
        <f>IF(E995="","",SUMIF(PAYMENTS!C:C,E995,PAYMENTS!E:E))</f>
        <v/>
      </c>
      <c r="M995">
        <f>IF(E995="","",J995-L995)</f>
        <v/>
      </c>
      <c r="N995">
        <f>IF(E995="","",IF(M995&lt;=0,"Paid",IF(L995&gt;0,"Part Paid","Unpaid")))</f>
        <v/>
      </c>
      <c r="O995">
        <f>IF(E995="","",IFERROR(MAXIFS(PAYMENTS!A:A,PAYMENTS!C:C,E995),""))</f>
        <v/>
      </c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>
        <f>IF(E996="","",SUMIF(PAYMENTS!C:C,E996,PAYMENTS!E:E))</f>
        <v/>
      </c>
      <c r="M996">
        <f>IF(E996="","",J996-L996)</f>
        <v/>
      </c>
      <c r="N996">
        <f>IF(E996="","",IF(M996&lt;=0,"Paid",IF(L996&gt;0,"Part Paid","Unpaid")))</f>
        <v/>
      </c>
      <c r="O996">
        <f>IF(E996="","",IFERROR(MAXIFS(PAYMENTS!A:A,PAYMENTS!C:C,E996),""))</f>
        <v/>
      </c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>
        <f>IF(E997="","",SUMIF(PAYMENTS!C:C,E997,PAYMENTS!E:E))</f>
        <v/>
      </c>
      <c r="M997">
        <f>IF(E997="","",J997-L997)</f>
        <v/>
      </c>
      <c r="N997">
        <f>IF(E997="","",IF(M997&lt;=0,"Paid",IF(L997&gt;0,"Part Paid","Unpaid")))</f>
        <v/>
      </c>
      <c r="O997">
        <f>IF(E997="","",IFERROR(MAXIFS(PAYMENTS!A:A,PAYMENTS!C:C,E997),""))</f>
        <v/>
      </c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>
        <f>IF(E998="","",SUMIF(PAYMENTS!C:C,E998,PAYMENTS!E:E))</f>
        <v/>
      </c>
      <c r="M998">
        <f>IF(E998="","",J998-L998)</f>
        <v/>
      </c>
      <c r="N998">
        <f>IF(E998="","",IF(M998&lt;=0,"Paid",IF(L998&gt;0,"Part Paid","Unpaid")))</f>
        <v/>
      </c>
      <c r="O998">
        <f>IF(E998="","",IFERROR(MAXIFS(PAYMENTS!A:A,PAYMENTS!C:C,E998),""))</f>
        <v/>
      </c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>
        <f>IF(E999="","",SUMIF(PAYMENTS!C:C,E999,PAYMENTS!E:E))</f>
        <v/>
      </c>
      <c r="M999">
        <f>IF(E999="","",J999-L999)</f>
        <v/>
      </c>
      <c r="N999">
        <f>IF(E999="","",IF(M999&lt;=0,"Paid",IF(L999&gt;0,"Part Paid","Unpaid")))</f>
        <v/>
      </c>
      <c r="O999">
        <f>IF(E999="","",IFERROR(MAXIFS(PAYMENTS!A:A,PAYMENTS!C:C,E999),""))</f>
        <v/>
      </c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>
        <f>IF(E1000="","",SUMIF(PAYMENTS!C:C,E1000,PAYMENTS!E:E))</f>
        <v/>
      </c>
      <c r="M1000">
        <f>IF(E1000="","",J1000-L1000)</f>
        <v/>
      </c>
      <c r="N1000">
        <f>IF(E1000="","",IF(M1000&lt;=0,"Paid",IF(L1000&gt;0,"Part Paid","Unpaid")))</f>
        <v/>
      </c>
      <c r="O1000">
        <f>IF(E1000="","",IFERROR(MAXIFS(PAYMENTS!A:A,PAYMENTS!C:C,E1000),""))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7A"/>
  <conditionalFormatting sqref="N2:N1000">
    <cfRule type="cellIs" priority="1" operator="equal" dxfId="1">
      <formula>"Unpaid"</formula>
    </cfRule>
    <cfRule type="cellIs" priority="2" operator="equal" dxfId="5">
      <formula>"Part Paid"</formula>
    </cfRule>
    <cfRule type="cellIs" priority="3" operator="equal" dxfId="0">
      <formula>"Paid"</formula>
    </cfRule>
  </conditionalFormatting>
  <dataValidations count="1">
    <dataValidation sqref="K2:K1000" showDropDown="0" showInputMessage="0" showErrorMessage="0" allowBlank="0" type="list">
      <formula1>"Pending,Approved,Rejected"</formula1>
    </dataValidation>
  </dataValidations>
  <pageMargins left="0.75" right="0.75" top="1" bottom="1" header="0.5" footer="0.5"/>
  <pageSetup orientation="portrait" scale="52" fitToHeight="0" fitToWidth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Registration Date</t>
        </is>
      </c>
      <c r="B1" s="1" t="inlineStr">
        <is>
          <t>Year</t>
        </is>
      </c>
      <c r="C1" s="1" t="inlineStr">
        <is>
          <t>Grade</t>
        </is>
      </c>
      <c r="D1" s="1" t="inlineStr">
        <is>
          <t>Applicant Sequence</t>
        </is>
      </c>
      <c r="E1" s="1" t="inlineStr">
        <is>
          <t>Student Number</t>
        </is>
      </c>
      <c r="F1" s="1" t="inlineStr">
        <is>
          <t>Full 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Package Name</t>
        </is>
      </c>
      <c r="J1" s="1" t="inlineStr">
        <is>
          <t>Total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2" customWidth="1" style="10" min="2" max="2"/>
    <col width="18" customWidth="1" style="10" min="3" max="3"/>
    <col width="28" customWidth="1" style="10" min="4" max="4"/>
    <col width="10" customWidth="1" style="10" min="5" max="5"/>
    <col width="12" customWidth="1" style="10" min="6" max="6"/>
    <col width="14" customWidth="1" style="10" min="7" max="7"/>
    <col width="22" customWidth="1" style="10" min="8" max="8"/>
    <col width="26" customWidth="1" style="10" min="9" max="9"/>
  </cols>
  <sheetData>
    <row r="1" ht="28.8" customHeight="1" s="10">
      <c r="A1" s="12" t="inlineStr">
        <is>
          <t>Session Date</t>
        </is>
      </c>
      <c r="B1" s="12" t="inlineStr">
        <is>
          <t>Grade (auto)</t>
        </is>
      </c>
      <c r="C1" s="12" t="inlineStr">
        <is>
          <t>Student Number</t>
        </is>
      </c>
      <c r="D1" s="12" t="inlineStr">
        <is>
          <t>Learner Name (auto)</t>
        </is>
      </c>
      <c r="E1" s="12" t="inlineStr">
        <is>
          <t>Present?</t>
        </is>
      </c>
      <c r="F1" s="12" t="inlineStr">
        <is>
          <t>Arrival Time</t>
        </is>
      </c>
      <c r="G1" s="12" t="inlineStr">
        <is>
          <t>Departure Time</t>
        </is>
      </c>
      <c r="H1" s="12" t="inlineStr">
        <is>
          <t>Reason (if absent)</t>
        </is>
      </c>
      <c r="I1" s="12" t="inlineStr">
        <is>
          <t>Notes</t>
        </is>
      </c>
    </row>
    <row r="2">
      <c r="B2" s="4">
        <f>IFERROR(XLOOKUP(C2,MASTER_REGISTER!E:E,MASTER_REGISTER!C:C,""),"")</f>
        <v/>
      </c>
      <c r="C2" s="4" t="n"/>
      <c r="D2">
        <f>IFERROR(XLOOKUP(C2,MASTER_REGISTER!E:E,MASTER_REGISTER!F:F,""),"")</f>
        <v/>
      </c>
      <c r="E2" s="4" t="n"/>
    </row>
    <row r="3">
      <c r="B3" s="4">
        <f>IFERROR(XLOOKUP(C3,MASTER_REGISTER!E:E,MASTER_REGISTER!C:C,""),"")</f>
        <v/>
      </c>
      <c r="C3" s="4" t="n"/>
      <c r="D3">
        <f>IFERROR(XLOOKUP(C3,MASTER_REGISTER!E:E,MASTER_REGISTER!F:F,""),"")</f>
        <v/>
      </c>
      <c r="E3" s="4" t="n"/>
    </row>
    <row r="4">
      <c r="B4" s="4">
        <f>IFERROR(XLOOKUP(C4,MASTER_REGISTER!E:E,MASTER_REGISTER!C:C,""),"")</f>
        <v/>
      </c>
      <c r="C4" s="4" t="n"/>
      <c r="D4">
        <f>IFERROR(XLOOKUP(C4,MASTER_REGISTER!E:E,MASTER_REGISTER!F:F,""),"")</f>
        <v/>
      </c>
      <c r="E4" s="4" t="n"/>
    </row>
    <row r="5">
      <c r="B5" s="4">
        <f>IFERROR(XLOOKUP(C5,MASTER_REGISTER!E:E,MASTER_REGISTER!C:C,""),"")</f>
        <v/>
      </c>
      <c r="C5" s="4" t="n"/>
      <c r="D5">
        <f>IFERROR(XLOOKUP(C5,MASTER_REGISTER!E:E,MASTER_REGISTER!F:F,""),"")</f>
        <v/>
      </c>
      <c r="E5" s="4" t="n"/>
    </row>
    <row r="6">
      <c r="B6" s="4">
        <f>IFERROR(XLOOKUP(C6,MASTER_REGISTER!E:E,MASTER_REGISTER!C:C,""),"")</f>
        <v/>
      </c>
      <c r="C6" s="4" t="n"/>
      <c r="D6">
        <f>IFERROR(XLOOKUP(C6,MASTER_REGISTER!E:E,MASTER_REGISTER!F:F,""),"")</f>
        <v/>
      </c>
      <c r="E6" s="4" t="n"/>
    </row>
    <row r="7">
      <c r="B7" s="4">
        <f>IFERROR(XLOOKUP(C7,MASTER_REGISTER!E:E,MASTER_REGISTER!C:C,""),"")</f>
        <v/>
      </c>
      <c r="C7" s="4" t="n"/>
      <c r="D7">
        <f>IFERROR(XLOOKUP(C7,MASTER_REGISTER!E:E,MASTER_REGISTER!F:F,""),"")</f>
        <v/>
      </c>
      <c r="E7" s="4" t="n"/>
    </row>
    <row r="8">
      <c r="B8" s="4">
        <f>IFERROR(XLOOKUP(C8,MASTER_REGISTER!E:E,MASTER_REGISTER!C:C,""),"")</f>
        <v/>
      </c>
      <c r="C8" s="4" t="n"/>
      <c r="D8">
        <f>IFERROR(XLOOKUP(C8,MASTER_REGISTER!E:E,MASTER_REGISTER!F:F,""),"")</f>
        <v/>
      </c>
      <c r="E8" s="4" t="n"/>
    </row>
    <row r="9">
      <c r="B9" s="4">
        <f>IFERROR(XLOOKUP(C9,MASTER_REGISTER!E:E,MASTER_REGISTER!C:C,""),"")</f>
        <v/>
      </c>
      <c r="C9" s="4" t="n"/>
      <c r="D9">
        <f>IFERROR(XLOOKUP(C9,MASTER_REGISTER!E:E,MASTER_REGISTER!F:F,""),"")</f>
        <v/>
      </c>
      <c r="E9" s="4" t="n"/>
    </row>
    <row r="10">
      <c r="B10" s="4">
        <f>IFERROR(XLOOKUP(C10,MASTER_REGISTER!E:E,MASTER_REGISTER!C:C,""),"")</f>
        <v/>
      </c>
      <c r="C10" s="4" t="n"/>
      <c r="D10">
        <f>IFERROR(XLOOKUP(C10,MASTER_REGISTER!E:E,MASTER_REGISTER!F:F,""),"")</f>
        <v/>
      </c>
      <c r="E10" s="4" t="n"/>
    </row>
    <row r="11">
      <c r="B11" s="4">
        <f>IFERROR(XLOOKUP(C11,MASTER_REGISTER!E:E,MASTER_REGISTER!C:C,""),"")</f>
        <v/>
      </c>
      <c r="C11" s="4" t="n"/>
      <c r="D11">
        <f>IFERROR(XLOOKUP(C11,MASTER_REGISTER!E:E,MASTER_REGISTER!F:F,""),"")</f>
        <v/>
      </c>
      <c r="E11" s="4" t="n"/>
    </row>
    <row r="12">
      <c r="B12" s="4">
        <f>IFERROR(XLOOKUP(C12,MASTER_REGISTER!E:E,MASTER_REGISTER!C:C,""),"")</f>
        <v/>
      </c>
      <c r="C12" s="4" t="n"/>
      <c r="D12">
        <f>IFERROR(XLOOKUP(C12,MASTER_REGISTER!E:E,MASTER_REGISTER!F:F,""),"")</f>
        <v/>
      </c>
      <c r="E12" s="4" t="n"/>
    </row>
    <row r="13">
      <c r="B13" s="4">
        <f>IFERROR(XLOOKUP(C13,MASTER_REGISTER!E:E,MASTER_REGISTER!C:C,""),"")</f>
        <v/>
      </c>
      <c r="C13" s="4" t="n"/>
      <c r="D13">
        <f>IFERROR(XLOOKUP(C13,MASTER_REGISTER!E:E,MASTER_REGISTER!F:F,""),"")</f>
        <v/>
      </c>
      <c r="E13" s="4" t="n"/>
    </row>
    <row r="14">
      <c r="B14" s="4">
        <f>IFERROR(XLOOKUP(C14,MASTER_REGISTER!E:E,MASTER_REGISTER!C:C,""),"")</f>
        <v/>
      </c>
      <c r="C14" s="4" t="n"/>
      <c r="D14">
        <f>IFERROR(XLOOKUP(C14,MASTER_REGISTER!E:E,MASTER_REGISTER!F:F,""),"")</f>
        <v/>
      </c>
      <c r="E14" s="4" t="n"/>
    </row>
    <row r="15">
      <c r="B15" s="4">
        <f>IFERROR(XLOOKUP(C15,MASTER_REGISTER!E:E,MASTER_REGISTER!C:C,""),"")</f>
        <v/>
      </c>
      <c r="C15" s="4" t="n"/>
      <c r="D15">
        <f>IFERROR(XLOOKUP(C15,MASTER_REGISTER!E:E,MASTER_REGISTER!F:F,""),"")</f>
        <v/>
      </c>
      <c r="E15" s="4" t="n"/>
    </row>
    <row r="16">
      <c r="B16" s="4">
        <f>IFERROR(XLOOKUP(C16,MASTER_REGISTER!E:E,MASTER_REGISTER!C:C,""),"")</f>
        <v/>
      </c>
      <c r="C16" s="4" t="n"/>
      <c r="D16">
        <f>IFERROR(XLOOKUP(C16,MASTER_REGISTER!E:E,MASTER_REGISTER!F:F,""),"")</f>
        <v/>
      </c>
      <c r="E16" s="4" t="n"/>
    </row>
    <row r="17">
      <c r="B17" s="4">
        <f>IFERROR(XLOOKUP(C17,MASTER_REGISTER!E:E,MASTER_REGISTER!C:C,""),"")</f>
        <v/>
      </c>
      <c r="C17" s="4" t="n"/>
      <c r="D17">
        <f>IFERROR(XLOOKUP(C17,MASTER_REGISTER!E:E,MASTER_REGISTER!F:F,""),"")</f>
        <v/>
      </c>
      <c r="E17" s="4" t="n"/>
    </row>
    <row r="18">
      <c r="B18" s="4">
        <f>IFERROR(XLOOKUP(C18,MASTER_REGISTER!E:E,MASTER_REGISTER!C:C,""),"")</f>
        <v/>
      </c>
      <c r="C18" s="4" t="n"/>
      <c r="D18">
        <f>IFERROR(XLOOKUP(C18,MASTER_REGISTER!E:E,MASTER_REGISTER!F:F,""),"")</f>
        <v/>
      </c>
      <c r="E18" s="4" t="n"/>
    </row>
    <row r="19">
      <c r="B19" s="4">
        <f>IFERROR(XLOOKUP(C19,MASTER_REGISTER!E:E,MASTER_REGISTER!C:C,""),"")</f>
        <v/>
      </c>
      <c r="C19" s="4" t="n"/>
      <c r="D19">
        <f>IFERROR(XLOOKUP(C19,MASTER_REGISTER!E:E,MASTER_REGISTER!F:F,""),"")</f>
        <v/>
      </c>
      <c r="E19" s="4" t="n"/>
    </row>
    <row r="20">
      <c r="B20" s="4">
        <f>IFERROR(XLOOKUP(C20,MASTER_REGISTER!E:E,MASTER_REGISTER!C:C,""),"")</f>
        <v/>
      </c>
      <c r="C20" s="4" t="n"/>
      <c r="D20">
        <f>IFERROR(XLOOKUP(C20,MASTER_REGISTER!E:E,MASTER_REGISTER!F:F,""),"")</f>
        <v/>
      </c>
      <c r="E20" s="4" t="n"/>
    </row>
    <row r="21">
      <c r="B21" s="4">
        <f>IFERROR(XLOOKUP(C21,MASTER_REGISTER!E:E,MASTER_REGISTER!C:C,""),"")</f>
        <v/>
      </c>
      <c r="C21" s="4" t="n"/>
      <c r="D21">
        <f>IFERROR(XLOOKUP(C21,MASTER_REGISTER!E:E,MASTER_REGISTER!F:F,""),"")</f>
        <v/>
      </c>
      <c r="E21" s="4" t="n"/>
    </row>
    <row r="22">
      <c r="B22" s="4">
        <f>IFERROR(XLOOKUP(C22,MASTER_REGISTER!E:E,MASTER_REGISTER!C:C,""),"")</f>
        <v/>
      </c>
      <c r="C22" s="4" t="n"/>
      <c r="D22">
        <f>IFERROR(XLOOKUP(C22,MASTER_REGISTER!E:E,MASTER_REGISTER!F:F,""),"")</f>
        <v/>
      </c>
      <c r="E22" s="4" t="n"/>
    </row>
    <row r="23">
      <c r="B23" s="4">
        <f>IFERROR(XLOOKUP(C23,MASTER_REGISTER!E:E,MASTER_REGISTER!C:C,""),"")</f>
        <v/>
      </c>
      <c r="C23" s="4" t="n"/>
      <c r="D23">
        <f>IFERROR(XLOOKUP(C23,MASTER_REGISTER!E:E,MASTER_REGISTER!F:F,""),"")</f>
        <v/>
      </c>
      <c r="E23" s="4" t="n"/>
    </row>
    <row r="24">
      <c r="B24" s="4">
        <f>IFERROR(XLOOKUP(C24,MASTER_REGISTER!E:E,MASTER_REGISTER!C:C,""),"")</f>
        <v/>
      </c>
      <c r="C24" s="4" t="n"/>
      <c r="D24">
        <f>IFERROR(XLOOKUP(C24,MASTER_REGISTER!E:E,MASTER_REGISTER!F:F,""),"")</f>
        <v/>
      </c>
      <c r="E24" s="4" t="n"/>
    </row>
    <row r="25">
      <c r="B25" s="4">
        <f>IFERROR(XLOOKUP(C25,MASTER_REGISTER!E:E,MASTER_REGISTER!C:C,""),"")</f>
        <v/>
      </c>
      <c r="C25" s="4" t="n"/>
      <c r="D25">
        <f>IFERROR(XLOOKUP(C25,MASTER_REGISTER!E:E,MASTER_REGISTER!F:F,""),"")</f>
        <v/>
      </c>
      <c r="E25" s="4" t="n"/>
    </row>
    <row r="26">
      <c r="B26" s="4">
        <f>IFERROR(XLOOKUP(C26,MASTER_REGISTER!E:E,MASTER_REGISTER!C:C,""),"")</f>
        <v/>
      </c>
      <c r="C26" s="4" t="n"/>
      <c r="D26">
        <f>IFERROR(XLOOKUP(C26,MASTER_REGISTER!E:E,MASTER_REGISTER!F:F,""),"")</f>
        <v/>
      </c>
      <c r="E26" s="4" t="n"/>
    </row>
    <row r="27">
      <c r="B27" s="4">
        <f>IFERROR(XLOOKUP(C27,MASTER_REGISTER!E:E,MASTER_REGISTER!C:C,""),"")</f>
        <v/>
      </c>
      <c r="C27" s="4" t="n"/>
      <c r="D27">
        <f>IFERROR(XLOOKUP(C27,MASTER_REGISTER!E:E,MASTER_REGISTER!F:F,""),"")</f>
        <v/>
      </c>
      <c r="E27" s="4" t="n"/>
    </row>
    <row r="28">
      <c r="B28" s="4">
        <f>IFERROR(XLOOKUP(C28,MASTER_REGISTER!E:E,MASTER_REGISTER!C:C,""),"")</f>
        <v/>
      </c>
      <c r="C28" s="4" t="n"/>
      <c r="D28">
        <f>IFERROR(XLOOKUP(C28,MASTER_REGISTER!E:E,MASTER_REGISTER!F:F,""),"")</f>
        <v/>
      </c>
      <c r="E28" s="4" t="n"/>
    </row>
    <row r="29">
      <c r="B29" s="4">
        <f>IFERROR(XLOOKUP(C29,MASTER_REGISTER!E:E,MASTER_REGISTER!C:C,""),"")</f>
        <v/>
      </c>
      <c r="C29" s="4" t="n"/>
      <c r="D29">
        <f>IFERROR(XLOOKUP(C29,MASTER_REGISTER!E:E,MASTER_REGISTER!F:F,""),"")</f>
        <v/>
      </c>
      <c r="E29" s="4" t="n"/>
    </row>
    <row r="30">
      <c r="B30" s="4">
        <f>IFERROR(XLOOKUP(C30,MASTER_REGISTER!E:E,MASTER_REGISTER!C:C,""),"")</f>
        <v/>
      </c>
      <c r="C30" s="4" t="n"/>
      <c r="D30">
        <f>IFERROR(XLOOKUP(C30,MASTER_REGISTER!E:E,MASTER_REGISTER!F:F,""),"")</f>
        <v/>
      </c>
      <c r="E30" s="4" t="n"/>
    </row>
    <row r="31">
      <c r="B31" s="4">
        <f>IFERROR(XLOOKUP(C31,MASTER_REGISTER!E:E,MASTER_REGISTER!C:C,""),"")</f>
        <v/>
      </c>
      <c r="C31" s="4" t="n"/>
      <c r="D31">
        <f>IFERROR(XLOOKUP(C31,MASTER_REGISTER!E:E,MASTER_REGISTER!F:F,""),"")</f>
        <v/>
      </c>
      <c r="E31" s="4" t="n"/>
    </row>
    <row r="32">
      <c r="B32" s="4">
        <f>IFERROR(XLOOKUP(C32,MASTER_REGISTER!E:E,MASTER_REGISTER!C:C,""),"")</f>
        <v/>
      </c>
      <c r="C32" s="4" t="n"/>
      <c r="D32">
        <f>IFERROR(XLOOKUP(C32,MASTER_REGISTER!E:E,MASTER_REGISTER!F:F,""),"")</f>
        <v/>
      </c>
      <c r="E32" s="4" t="n"/>
    </row>
    <row r="33">
      <c r="B33" s="4">
        <f>IFERROR(XLOOKUP(C33,MASTER_REGISTER!E:E,MASTER_REGISTER!C:C,""),"")</f>
        <v/>
      </c>
      <c r="C33" s="4" t="n"/>
      <c r="D33">
        <f>IFERROR(XLOOKUP(C33,MASTER_REGISTER!E:E,MASTER_REGISTER!F:F,""),"")</f>
        <v/>
      </c>
      <c r="E33" s="4" t="n"/>
    </row>
    <row r="34">
      <c r="B34" s="4">
        <f>IFERROR(XLOOKUP(C34,MASTER_REGISTER!E:E,MASTER_REGISTER!C:C,""),"")</f>
        <v/>
      </c>
      <c r="C34" s="4" t="n"/>
      <c r="D34">
        <f>IFERROR(XLOOKUP(C34,MASTER_REGISTER!E:E,MASTER_REGISTER!F:F,""),"")</f>
        <v/>
      </c>
      <c r="E34" s="4" t="n"/>
    </row>
    <row r="35">
      <c r="B35" s="4">
        <f>IFERROR(XLOOKUP(C35,MASTER_REGISTER!E:E,MASTER_REGISTER!C:C,""),"")</f>
        <v/>
      </c>
      <c r="C35" s="4" t="n"/>
      <c r="D35">
        <f>IFERROR(XLOOKUP(C35,MASTER_REGISTER!E:E,MASTER_REGISTER!F:F,""),"")</f>
        <v/>
      </c>
      <c r="E35" s="4" t="n"/>
    </row>
    <row r="36">
      <c r="B36" s="4">
        <f>IFERROR(XLOOKUP(C36,MASTER_REGISTER!E:E,MASTER_REGISTER!C:C,""),"")</f>
        <v/>
      </c>
      <c r="C36" s="4" t="n"/>
      <c r="D36">
        <f>IFERROR(XLOOKUP(C36,MASTER_REGISTER!E:E,MASTER_REGISTER!F:F,""),"")</f>
        <v/>
      </c>
      <c r="E36" s="4" t="n"/>
    </row>
    <row r="37">
      <c r="B37" s="4">
        <f>IFERROR(XLOOKUP(C37,MASTER_REGISTER!E:E,MASTER_REGISTER!C:C,""),"")</f>
        <v/>
      </c>
      <c r="C37" s="4" t="n"/>
      <c r="D37">
        <f>IFERROR(XLOOKUP(C37,MASTER_REGISTER!E:E,MASTER_REGISTER!F:F,""),"")</f>
        <v/>
      </c>
      <c r="E37" s="4" t="n"/>
    </row>
    <row r="38">
      <c r="B38" s="4">
        <f>IFERROR(XLOOKUP(C38,MASTER_REGISTER!E:E,MASTER_REGISTER!C:C,""),"")</f>
        <v/>
      </c>
      <c r="C38" s="4" t="n"/>
      <c r="D38">
        <f>IFERROR(XLOOKUP(C38,MASTER_REGISTER!E:E,MASTER_REGISTER!F:F,""),"")</f>
        <v/>
      </c>
      <c r="E38" s="4" t="n"/>
    </row>
    <row r="39">
      <c r="B39" s="4">
        <f>IFERROR(XLOOKUP(C39,MASTER_REGISTER!E:E,MASTER_REGISTER!C:C,""),"")</f>
        <v/>
      </c>
      <c r="C39" s="4" t="n"/>
      <c r="D39">
        <f>IFERROR(XLOOKUP(C39,MASTER_REGISTER!E:E,MASTER_REGISTER!F:F,""),"")</f>
        <v/>
      </c>
      <c r="E39" s="4" t="n"/>
    </row>
    <row r="40">
      <c r="B40" s="4">
        <f>IFERROR(XLOOKUP(C40,MASTER_REGISTER!E:E,MASTER_REGISTER!C:C,""),"")</f>
        <v/>
      </c>
      <c r="C40" s="4" t="n"/>
      <c r="D40">
        <f>IFERROR(XLOOKUP(C40,MASTER_REGISTER!E:E,MASTER_REGISTER!F:F,""),"")</f>
        <v/>
      </c>
      <c r="E40" s="4" t="n"/>
    </row>
    <row r="41">
      <c r="B41" s="4">
        <f>IFERROR(XLOOKUP(C41,MASTER_REGISTER!E:E,MASTER_REGISTER!C:C,""),"")</f>
        <v/>
      </c>
      <c r="C41" s="4" t="n"/>
      <c r="D41">
        <f>IFERROR(XLOOKUP(C41,MASTER_REGISTER!E:E,MASTER_REGISTER!F:F,""),"")</f>
        <v/>
      </c>
      <c r="E41" s="4" t="n"/>
    </row>
    <row r="42">
      <c r="B42" s="4">
        <f>IFERROR(XLOOKUP(C42,MASTER_REGISTER!E:E,MASTER_REGISTER!C:C,""),"")</f>
        <v/>
      </c>
      <c r="C42" s="4" t="n"/>
      <c r="D42">
        <f>IFERROR(XLOOKUP(C42,MASTER_REGISTER!E:E,MASTER_REGISTER!F:F,""),"")</f>
        <v/>
      </c>
      <c r="E42" s="4" t="n"/>
    </row>
    <row r="43">
      <c r="B43" s="4">
        <f>IFERROR(XLOOKUP(C43,MASTER_REGISTER!E:E,MASTER_REGISTER!C:C,""),"")</f>
        <v/>
      </c>
      <c r="C43" s="4" t="n"/>
      <c r="D43">
        <f>IFERROR(XLOOKUP(C43,MASTER_REGISTER!E:E,MASTER_REGISTER!F:F,""),"")</f>
        <v/>
      </c>
      <c r="E43" s="4" t="n"/>
    </row>
    <row r="44">
      <c r="B44" s="4">
        <f>IFERROR(XLOOKUP(C44,MASTER_REGISTER!E:E,MASTER_REGISTER!C:C,""),"")</f>
        <v/>
      </c>
      <c r="C44" s="4" t="n"/>
      <c r="D44">
        <f>IFERROR(XLOOKUP(C44,MASTER_REGISTER!E:E,MASTER_REGISTER!F:F,""),"")</f>
        <v/>
      </c>
      <c r="E44" s="4" t="n"/>
    </row>
    <row r="45">
      <c r="B45" s="4">
        <f>IFERROR(XLOOKUP(C45,MASTER_REGISTER!E:E,MASTER_REGISTER!C:C,""),"")</f>
        <v/>
      </c>
      <c r="C45" s="4" t="n"/>
      <c r="D45">
        <f>IFERROR(XLOOKUP(C45,MASTER_REGISTER!E:E,MASTER_REGISTER!F:F,""),"")</f>
        <v/>
      </c>
      <c r="E45" s="4" t="n"/>
    </row>
    <row r="46">
      <c r="B46" s="4">
        <f>IFERROR(XLOOKUP(C46,MASTER_REGISTER!E:E,MASTER_REGISTER!C:C,""),"")</f>
        <v/>
      </c>
      <c r="C46" s="4" t="n"/>
      <c r="D46">
        <f>IFERROR(XLOOKUP(C46,MASTER_REGISTER!E:E,MASTER_REGISTER!F:F,""),"")</f>
        <v/>
      </c>
      <c r="E46" s="4" t="n"/>
    </row>
    <row r="47">
      <c r="B47" s="4">
        <f>IFERROR(XLOOKUP(C47,MASTER_REGISTER!E:E,MASTER_REGISTER!C:C,""),"")</f>
        <v/>
      </c>
      <c r="C47" s="4" t="n"/>
      <c r="D47">
        <f>IFERROR(XLOOKUP(C47,MASTER_REGISTER!E:E,MASTER_REGISTER!F:F,""),"")</f>
        <v/>
      </c>
      <c r="E47" s="4" t="n"/>
    </row>
    <row r="48">
      <c r="B48" s="4">
        <f>IFERROR(XLOOKUP(C48,MASTER_REGISTER!E:E,MASTER_REGISTER!C:C,""),"")</f>
        <v/>
      </c>
      <c r="C48" s="4" t="n"/>
      <c r="D48">
        <f>IFERROR(XLOOKUP(C48,MASTER_REGISTER!E:E,MASTER_REGISTER!F:F,""),"")</f>
        <v/>
      </c>
      <c r="E48" s="4" t="n"/>
    </row>
    <row r="49">
      <c r="B49" s="4">
        <f>IFERROR(XLOOKUP(C49,MASTER_REGISTER!E:E,MASTER_REGISTER!C:C,""),"")</f>
        <v/>
      </c>
      <c r="C49" s="4" t="n"/>
      <c r="D49">
        <f>IFERROR(XLOOKUP(C49,MASTER_REGISTER!E:E,MASTER_REGISTER!F:F,""),"")</f>
        <v/>
      </c>
      <c r="E49" s="4" t="n"/>
    </row>
    <row r="50">
      <c r="B50" s="4">
        <f>IFERROR(XLOOKUP(C50,MASTER_REGISTER!E:E,MASTER_REGISTER!C:C,""),"")</f>
        <v/>
      </c>
      <c r="C50" s="4" t="n"/>
      <c r="D50">
        <f>IFERROR(XLOOKUP(C50,MASTER_REGISTER!E:E,MASTER_REGISTER!F:F,""),"")</f>
        <v/>
      </c>
      <c r="E50" s="4" t="n"/>
    </row>
    <row r="51">
      <c r="B51" s="4">
        <f>IFERROR(XLOOKUP(C51,MASTER_REGISTER!E:E,MASTER_REGISTER!C:C,""),"")</f>
        <v/>
      </c>
      <c r="C51" s="4" t="n"/>
      <c r="D51">
        <f>IFERROR(XLOOKUP(C51,MASTER_REGISTER!E:E,MASTER_REGISTER!F:F,""),"")</f>
        <v/>
      </c>
      <c r="E51" s="4" t="n"/>
    </row>
    <row r="52">
      <c r="B52" s="4">
        <f>IFERROR(XLOOKUP(C52,MASTER_REGISTER!E:E,MASTER_REGISTER!C:C,""),"")</f>
        <v/>
      </c>
      <c r="C52" s="4" t="n"/>
      <c r="D52">
        <f>IFERROR(XLOOKUP(C52,MASTER_REGISTER!E:E,MASTER_REGISTER!F:F,""),"")</f>
        <v/>
      </c>
      <c r="E52" s="4" t="n"/>
    </row>
    <row r="53">
      <c r="B53" s="4">
        <f>IFERROR(XLOOKUP(C53,MASTER_REGISTER!E:E,MASTER_REGISTER!C:C,""),"")</f>
        <v/>
      </c>
      <c r="C53" s="4" t="n"/>
      <c r="D53">
        <f>IFERROR(XLOOKUP(C53,MASTER_REGISTER!E:E,MASTER_REGISTER!F:F,""),"")</f>
        <v/>
      </c>
      <c r="E53" s="4" t="n"/>
    </row>
    <row r="54">
      <c r="B54" s="4">
        <f>IFERROR(XLOOKUP(C54,MASTER_REGISTER!E:E,MASTER_REGISTER!C:C,""),"")</f>
        <v/>
      </c>
      <c r="C54" s="4" t="n"/>
      <c r="D54">
        <f>IFERROR(XLOOKUP(C54,MASTER_REGISTER!E:E,MASTER_REGISTER!F:F,""),"")</f>
        <v/>
      </c>
      <c r="E54" s="4" t="n"/>
    </row>
    <row r="55">
      <c r="B55" s="4">
        <f>IFERROR(XLOOKUP(C55,MASTER_REGISTER!E:E,MASTER_REGISTER!C:C,""),"")</f>
        <v/>
      </c>
      <c r="C55" s="4" t="n"/>
      <c r="D55">
        <f>IFERROR(XLOOKUP(C55,MASTER_REGISTER!E:E,MASTER_REGISTER!F:F,""),"")</f>
        <v/>
      </c>
      <c r="E55" s="4" t="n"/>
    </row>
    <row r="56">
      <c r="B56" s="4">
        <f>IFERROR(XLOOKUP(C56,MASTER_REGISTER!E:E,MASTER_REGISTER!C:C,""),"")</f>
        <v/>
      </c>
      <c r="C56" s="4" t="n"/>
      <c r="D56">
        <f>IFERROR(XLOOKUP(C56,MASTER_REGISTER!E:E,MASTER_REGISTER!F:F,""),"")</f>
        <v/>
      </c>
      <c r="E56" s="4" t="n"/>
    </row>
    <row r="57">
      <c r="B57" s="4">
        <f>IFERROR(XLOOKUP(C57,MASTER_REGISTER!E:E,MASTER_REGISTER!C:C,""),"")</f>
        <v/>
      </c>
      <c r="C57" s="4" t="n"/>
      <c r="D57">
        <f>IFERROR(XLOOKUP(C57,MASTER_REGISTER!E:E,MASTER_REGISTER!F:F,""),"")</f>
        <v/>
      </c>
      <c r="E57" s="4" t="n"/>
    </row>
    <row r="58">
      <c r="B58" s="4">
        <f>IFERROR(XLOOKUP(C58,MASTER_REGISTER!E:E,MASTER_REGISTER!C:C,""),"")</f>
        <v/>
      </c>
      <c r="C58" s="4" t="n"/>
      <c r="D58">
        <f>IFERROR(XLOOKUP(C58,MASTER_REGISTER!E:E,MASTER_REGISTER!F:F,""),"")</f>
        <v/>
      </c>
      <c r="E58" s="4" t="n"/>
    </row>
    <row r="59">
      <c r="B59" s="4">
        <f>IFERROR(XLOOKUP(C59,MASTER_REGISTER!E:E,MASTER_REGISTER!C:C,""),"")</f>
        <v/>
      </c>
      <c r="C59" s="4" t="n"/>
      <c r="D59">
        <f>IFERROR(XLOOKUP(C59,MASTER_REGISTER!E:E,MASTER_REGISTER!F:F,""),"")</f>
        <v/>
      </c>
      <c r="E59" s="4" t="n"/>
    </row>
    <row r="60">
      <c r="B60" s="4">
        <f>IFERROR(XLOOKUP(C60,MASTER_REGISTER!E:E,MASTER_REGISTER!C:C,""),"")</f>
        <v/>
      </c>
      <c r="C60" s="4" t="n"/>
      <c r="D60">
        <f>IFERROR(XLOOKUP(C60,MASTER_REGISTER!E:E,MASTER_REGISTER!F:F,""),"")</f>
        <v/>
      </c>
      <c r="E60" s="4" t="n"/>
    </row>
    <row r="61">
      <c r="B61" s="4">
        <f>IFERROR(XLOOKUP(C61,MASTER_REGISTER!E:E,MASTER_REGISTER!C:C,""),"")</f>
        <v/>
      </c>
      <c r="C61" s="4" t="n"/>
      <c r="D61">
        <f>IFERROR(XLOOKUP(C61,MASTER_REGISTER!E:E,MASTER_REGISTER!F:F,""),"")</f>
        <v/>
      </c>
      <c r="E61" s="4" t="n"/>
    </row>
    <row r="62">
      <c r="B62" s="4">
        <f>IFERROR(XLOOKUP(C62,MASTER_REGISTER!E:E,MASTER_REGISTER!C:C,""),"")</f>
        <v/>
      </c>
      <c r="C62" s="4" t="n"/>
      <c r="D62">
        <f>IFERROR(XLOOKUP(C62,MASTER_REGISTER!E:E,MASTER_REGISTER!F:F,""),"")</f>
        <v/>
      </c>
      <c r="E62" s="4" t="n"/>
    </row>
    <row r="63">
      <c r="B63" s="4">
        <f>IFERROR(XLOOKUP(C63,MASTER_REGISTER!E:E,MASTER_REGISTER!C:C,""),"")</f>
        <v/>
      </c>
      <c r="C63" s="4" t="n"/>
      <c r="D63">
        <f>IFERROR(XLOOKUP(C63,MASTER_REGISTER!E:E,MASTER_REGISTER!F:F,""),"")</f>
        <v/>
      </c>
      <c r="E63" s="4" t="n"/>
    </row>
    <row r="64">
      <c r="B64" s="4">
        <f>IFERROR(XLOOKUP(C64,MASTER_REGISTER!E:E,MASTER_REGISTER!C:C,""),"")</f>
        <v/>
      </c>
      <c r="C64" s="4" t="n"/>
      <c r="D64">
        <f>IFERROR(XLOOKUP(C64,MASTER_REGISTER!E:E,MASTER_REGISTER!F:F,""),"")</f>
        <v/>
      </c>
      <c r="E64" s="4" t="n"/>
    </row>
    <row r="65">
      <c r="B65" s="4">
        <f>IFERROR(XLOOKUP(C65,MASTER_REGISTER!E:E,MASTER_REGISTER!C:C,""),"")</f>
        <v/>
      </c>
      <c r="C65" s="4" t="n"/>
      <c r="D65">
        <f>IFERROR(XLOOKUP(C65,MASTER_REGISTER!E:E,MASTER_REGISTER!F:F,""),"")</f>
        <v/>
      </c>
      <c r="E65" s="4" t="n"/>
    </row>
    <row r="66">
      <c r="B66" s="4">
        <f>IFERROR(XLOOKUP(C66,MASTER_REGISTER!E:E,MASTER_REGISTER!C:C,""),"")</f>
        <v/>
      </c>
      <c r="C66" s="4" t="n"/>
      <c r="D66">
        <f>IFERROR(XLOOKUP(C66,MASTER_REGISTER!E:E,MASTER_REGISTER!F:F,""),"")</f>
        <v/>
      </c>
      <c r="E66" s="4" t="n"/>
    </row>
    <row r="67">
      <c r="B67" s="4">
        <f>IFERROR(XLOOKUP(C67,MASTER_REGISTER!E:E,MASTER_REGISTER!C:C,""),"")</f>
        <v/>
      </c>
      <c r="C67" s="4" t="n"/>
      <c r="D67">
        <f>IFERROR(XLOOKUP(C67,MASTER_REGISTER!E:E,MASTER_REGISTER!F:F,""),"")</f>
        <v/>
      </c>
      <c r="E67" s="4" t="n"/>
    </row>
    <row r="68">
      <c r="B68" s="4">
        <f>IFERROR(XLOOKUP(C68,MASTER_REGISTER!E:E,MASTER_REGISTER!C:C,""),"")</f>
        <v/>
      </c>
      <c r="C68" s="4" t="n"/>
      <c r="D68">
        <f>IFERROR(XLOOKUP(C68,MASTER_REGISTER!E:E,MASTER_REGISTER!F:F,""),"")</f>
        <v/>
      </c>
      <c r="E68" s="4" t="n"/>
    </row>
    <row r="69">
      <c r="B69" s="4">
        <f>IFERROR(XLOOKUP(C69,MASTER_REGISTER!E:E,MASTER_REGISTER!C:C,""),"")</f>
        <v/>
      </c>
      <c r="C69" s="4" t="n"/>
      <c r="D69">
        <f>IFERROR(XLOOKUP(C69,MASTER_REGISTER!E:E,MASTER_REGISTER!F:F,""),"")</f>
        <v/>
      </c>
      <c r="E69" s="4" t="n"/>
    </row>
    <row r="70">
      <c r="B70" s="4">
        <f>IFERROR(XLOOKUP(C70,MASTER_REGISTER!E:E,MASTER_REGISTER!C:C,""),"")</f>
        <v/>
      </c>
      <c r="C70" s="4" t="n"/>
      <c r="D70">
        <f>IFERROR(XLOOKUP(C70,MASTER_REGISTER!E:E,MASTER_REGISTER!F:F,""),"")</f>
        <v/>
      </c>
      <c r="E70" s="4" t="n"/>
    </row>
    <row r="71">
      <c r="B71" s="4">
        <f>IFERROR(XLOOKUP(C71,MASTER_REGISTER!E:E,MASTER_REGISTER!C:C,""),"")</f>
        <v/>
      </c>
      <c r="C71" s="4" t="n"/>
      <c r="D71">
        <f>IFERROR(XLOOKUP(C71,MASTER_REGISTER!E:E,MASTER_REGISTER!F:F,""),"")</f>
        <v/>
      </c>
      <c r="E71" s="4" t="n"/>
    </row>
    <row r="72">
      <c r="B72" s="4">
        <f>IFERROR(XLOOKUP(C72,MASTER_REGISTER!E:E,MASTER_REGISTER!C:C,""),"")</f>
        <v/>
      </c>
      <c r="C72" s="4" t="n"/>
      <c r="D72">
        <f>IFERROR(XLOOKUP(C72,MASTER_REGISTER!E:E,MASTER_REGISTER!F:F,""),"")</f>
        <v/>
      </c>
      <c r="E72" s="4" t="n"/>
    </row>
    <row r="73">
      <c r="B73" s="4">
        <f>IFERROR(XLOOKUP(C73,MASTER_REGISTER!E:E,MASTER_REGISTER!C:C,""),"")</f>
        <v/>
      </c>
      <c r="C73" s="4" t="n"/>
      <c r="D73">
        <f>IFERROR(XLOOKUP(C73,MASTER_REGISTER!E:E,MASTER_REGISTER!F:F,""),"")</f>
        <v/>
      </c>
      <c r="E73" s="4" t="n"/>
    </row>
    <row r="74">
      <c r="B74" s="4">
        <f>IFERROR(XLOOKUP(C74,MASTER_REGISTER!E:E,MASTER_REGISTER!C:C,""),"")</f>
        <v/>
      </c>
      <c r="C74" s="4" t="n"/>
      <c r="D74">
        <f>IFERROR(XLOOKUP(C74,MASTER_REGISTER!E:E,MASTER_REGISTER!F:F,""),"")</f>
        <v/>
      </c>
      <c r="E74" s="4" t="n"/>
    </row>
    <row r="75">
      <c r="B75" s="4">
        <f>IFERROR(XLOOKUP(C75,MASTER_REGISTER!E:E,MASTER_REGISTER!C:C,""),"")</f>
        <v/>
      </c>
      <c r="C75" s="4" t="n"/>
      <c r="D75">
        <f>IFERROR(XLOOKUP(C75,MASTER_REGISTER!E:E,MASTER_REGISTER!F:F,""),"")</f>
        <v/>
      </c>
      <c r="E75" s="4" t="n"/>
    </row>
    <row r="76">
      <c r="B76" s="4">
        <f>IFERROR(XLOOKUP(C76,MASTER_REGISTER!E:E,MASTER_REGISTER!C:C,""),"")</f>
        <v/>
      </c>
      <c r="C76" s="4" t="n"/>
      <c r="D76">
        <f>IFERROR(XLOOKUP(C76,MASTER_REGISTER!E:E,MASTER_REGISTER!F:F,""),"")</f>
        <v/>
      </c>
      <c r="E76" s="4" t="n"/>
    </row>
    <row r="77">
      <c r="B77" s="4">
        <f>IFERROR(XLOOKUP(C77,MASTER_REGISTER!E:E,MASTER_REGISTER!C:C,""),"")</f>
        <v/>
      </c>
      <c r="C77" s="4" t="n"/>
      <c r="D77">
        <f>IFERROR(XLOOKUP(C77,MASTER_REGISTER!E:E,MASTER_REGISTER!F:F,""),"")</f>
        <v/>
      </c>
      <c r="E77" s="4" t="n"/>
    </row>
    <row r="78">
      <c r="B78" s="4">
        <f>IFERROR(XLOOKUP(C78,MASTER_REGISTER!E:E,MASTER_REGISTER!C:C,""),"")</f>
        <v/>
      </c>
      <c r="C78" s="4" t="n"/>
      <c r="D78">
        <f>IFERROR(XLOOKUP(C78,MASTER_REGISTER!E:E,MASTER_REGISTER!F:F,""),"")</f>
        <v/>
      </c>
      <c r="E78" s="4" t="n"/>
    </row>
    <row r="79">
      <c r="B79" s="4">
        <f>IFERROR(XLOOKUP(C79,MASTER_REGISTER!E:E,MASTER_REGISTER!C:C,""),"")</f>
        <v/>
      </c>
      <c r="C79" s="4" t="n"/>
      <c r="D79">
        <f>IFERROR(XLOOKUP(C79,MASTER_REGISTER!E:E,MASTER_REGISTER!F:F,""),"")</f>
        <v/>
      </c>
      <c r="E79" s="4" t="n"/>
    </row>
    <row r="80">
      <c r="B80" s="4">
        <f>IFERROR(XLOOKUP(C80,MASTER_REGISTER!E:E,MASTER_REGISTER!C:C,""),"")</f>
        <v/>
      </c>
      <c r="C80" s="4" t="n"/>
      <c r="D80">
        <f>IFERROR(XLOOKUP(C80,MASTER_REGISTER!E:E,MASTER_REGISTER!F:F,""),"")</f>
        <v/>
      </c>
      <c r="E80" s="4" t="n"/>
    </row>
    <row r="81">
      <c r="B81" s="4">
        <f>IFERROR(XLOOKUP(C81,MASTER_REGISTER!E:E,MASTER_REGISTER!C:C,""),"")</f>
        <v/>
      </c>
      <c r="C81" s="4" t="n"/>
      <c r="D81">
        <f>IFERROR(XLOOKUP(C81,MASTER_REGISTER!E:E,MASTER_REGISTER!F:F,""),"")</f>
        <v/>
      </c>
      <c r="E81" s="4" t="n"/>
    </row>
    <row r="82">
      <c r="B82" s="4">
        <f>IFERROR(XLOOKUP(C82,MASTER_REGISTER!E:E,MASTER_REGISTER!C:C,""),"")</f>
        <v/>
      </c>
      <c r="C82" s="4" t="n"/>
      <c r="D82">
        <f>IFERROR(XLOOKUP(C82,MASTER_REGISTER!E:E,MASTER_REGISTER!F:F,""),"")</f>
        <v/>
      </c>
      <c r="E82" s="4" t="n"/>
    </row>
    <row r="83">
      <c r="B83" s="4">
        <f>IFERROR(XLOOKUP(C83,MASTER_REGISTER!E:E,MASTER_REGISTER!C:C,""),"")</f>
        <v/>
      </c>
      <c r="C83" s="4" t="n"/>
      <c r="D83">
        <f>IFERROR(XLOOKUP(C83,MASTER_REGISTER!E:E,MASTER_REGISTER!F:F,""),"")</f>
        <v/>
      </c>
      <c r="E83" s="4" t="n"/>
    </row>
    <row r="84">
      <c r="B84" s="4">
        <f>IFERROR(XLOOKUP(C84,MASTER_REGISTER!E:E,MASTER_REGISTER!C:C,""),"")</f>
        <v/>
      </c>
      <c r="C84" s="4" t="n"/>
      <c r="D84">
        <f>IFERROR(XLOOKUP(C84,MASTER_REGISTER!E:E,MASTER_REGISTER!F:F,""),"")</f>
        <v/>
      </c>
      <c r="E84" s="4" t="n"/>
    </row>
    <row r="85">
      <c r="B85" s="4">
        <f>IFERROR(XLOOKUP(C85,MASTER_REGISTER!E:E,MASTER_REGISTER!C:C,""),"")</f>
        <v/>
      </c>
      <c r="C85" s="4" t="n"/>
      <c r="D85">
        <f>IFERROR(XLOOKUP(C85,MASTER_REGISTER!E:E,MASTER_REGISTER!F:F,""),"")</f>
        <v/>
      </c>
      <c r="E85" s="4" t="n"/>
    </row>
    <row r="86">
      <c r="B86" s="4">
        <f>IFERROR(XLOOKUP(C86,MASTER_REGISTER!E:E,MASTER_REGISTER!C:C,""),"")</f>
        <v/>
      </c>
      <c r="C86" s="4" t="n"/>
      <c r="D86">
        <f>IFERROR(XLOOKUP(C86,MASTER_REGISTER!E:E,MASTER_REGISTER!F:F,""),"")</f>
        <v/>
      </c>
      <c r="E86" s="4" t="n"/>
    </row>
    <row r="87">
      <c r="B87" s="4">
        <f>IFERROR(XLOOKUP(C87,MASTER_REGISTER!E:E,MASTER_REGISTER!C:C,""),"")</f>
        <v/>
      </c>
      <c r="C87" s="4" t="n"/>
      <c r="D87">
        <f>IFERROR(XLOOKUP(C87,MASTER_REGISTER!E:E,MASTER_REGISTER!F:F,""),"")</f>
        <v/>
      </c>
      <c r="E87" s="4" t="n"/>
    </row>
    <row r="88">
      <c r="B88" s="4">
        <f>IFERROR(XLOOKUP(C88,MASTER_REGISTER!E:E,MASTER_REGISTER!C:C,""),"")</f>
        <v/>
      </c>
      <c r="C88" s="4" t="n"/>
      <c r="D88">
        <f>IFERROR(XLOOKUP(C88,MASTER_REGISTER!E:E,MASTER_REGISTER!F:F,""),"")</f>
        <v/>
      </c>
      <c r="E88" s="4" t="n"/>
    </row>
    <row r="89">
      <c r="B89" s="4">
        <f>IFERROR(XLOOKUP(C89,MASTER_REGISTER!E:E,MASTER_REGISTER!C:C,""),"")</f>
        <v/>
      </c>
      <c r="C89" s="4" t="n"/>
      <c r="D89">
        <f>IFERROR(XLOOKUP(C89,MASTER_REGISTER!E:E,MASTER_REGISTER!F:F,""),"")</f>
        <v/>
      </c>
      <c r="E89" s="4" t="n"/>
    </row>
    <row r="90">
      <c r="B90" s="4">
        <f>IFERROR(XLOOKUP(C90,MASTER_REGISTER!E:E,MASTER_REGISTER!C:C,""),"")</f>
        <v/>
      </c>
      <c r="C90" s="4" t="n"/>
      <c r="D90">
        <f>IFERROR(XLOOKUP(C90,MASTER_REGISTER!E:E,MASTER_REGISTER!F:F,""),"")</f>
        <v/>
      </c>
      <c r="E90" s="4" t="n"/>
    </row>
    <row r="91">
      <c r="B91" s="4">
        <f>IFERROR(XLOOKUP(C91,MASTER_REGISTER!E:E,MASTER_REGISTER!C:C,""),"")</f>
        <v/>
      </c>
      <c r="C91" s="4" t="n"/>
      <c r="D91">
        <f>IFERROR(XLOOKUP(C91,MASTER_REGISTER!E:E,MASTER_REGISTER!F:F,""),"")</f>
        <v/>
      </c>
      <c r="E91" s="4" t="n"/>
    </row>
    <row r="92">
      <c r="B92" s="4">
        <f>IFERROR(XLOOKUP(C92,MASTER_REGISTER!E:E,MASTER_REGISTER!C:C,""),"")</f>
        <v/>
      </c>
      <c r="C92" s="4" t="n"/>
      <c r="D92">
        <f>IFERROR(XLOOKUP(C92,MASTER_REGISTER!E:E,MASTER_REGISTER!F:F,""),"")</f>
        <v/>
      </c>
      <c r="E92" s="4" t="n"/>
    </row>
    <row r="93">
      <c r="B93" s="4">
        <f>IFERROR(XLOOKUP(C93,MASTER_REGISTER!E:E,MASTER_REGISTER!C:C,""),"")</f>
        <v/>
      </c>
      <c r="C93" s="4" t="n"/>
      <c r="D93">
        <f>IFERROR(XLOOKUP(C93,MASTER_REGISTER!E:E,MASTER_REGISTER!F:F,""),"")</f>
        <v/>
      </c>
      <c r="E93" s="4" t="n"/>
    </row>
    <row r="94">
      <c r="B94" s="4">
        <f>IFERROR(XLOOKUP(C94,MASTER_REGISTER!E:E,MASTER_REGISTER!C:C,""),"")</f>
        <v/>
      </c>
      <c r="C94" s="4" t="n"/>
      <c r="D94">
        <f>IFERROR(XLOOKUP(C94,MASTER_REGISTER!E:E,MASTER_REGISTER!F:F,""),"")</f>
        <v/>
      </c>
      <c r="E94" s="4" t="n"/>
    </row>
    <row r="95">
      <c r="B95" s="4">
        <f>IFERROR(XLOOKUP(C95,MASTER_REGISTER!E:E,MASTER_REGISTER!C:C,""),"")</f>
        <v/>
      </c>
      <c r="C95" s="4" t="n"/>
      <c r="D95">
        <f>IFERROR(XLOOKUP(C95,MASTER_REGISTER!E:E,MASTER_REGISTER!F:F,""),"")</f>
        <v/>
      </c>
      <c r="E95" s="4" t="n"/>
    </row>
    <row r="96">
      <c r="B96" s="4">
        <f>IFERROR(XLOOKUP(C96,MASTER_REGISTER!E:E,MASTER_REGISTER!C:C,""),"")</f>
        <v/>
      </c>
      <c r="C96" s="4" t="n"/>
      <c r="D96">
        <f>IFERROR(XLOOKUP(C96,MASTER_REGISTER!E:E,MASTER_REGISTER!F:F,""),"")</f>
        <v/>
      </c>
      <c r="E96" s="4" t="n"/>
    </row>
    <row r="97">
      <c r="B97" s="4">
        <f>IFERROR(XLOOKUP(C97,MASTER_REGISTER!E:E,MASTER_REGISTER!C:C,""),"")</f>
        <v/>
      </c>
      <c r="C97" s="4" t="n"/>
      <c r="D97">
        <f>IFERROR(XLOOKUP(C97,MASTER_REGISTER!E:E,MASTER_REGISTER!F:F,""),"")</f>
        <v/>
      </c>
      <c r="E97" s="4" t="n"/>
    </row>
    <row r="98">
      <c r="B98" s="4">
        <f>IFERROR(XLOOKUP(C98,MASTER_REGISTER!E:E,MASTER_REGISTER!C:C,""),"")</f>
        <v/>
      </c>
      <c r="C98" s="4" t="n"/>
      <c r="D98">
        <f>IFERROR(XLOOKUP(C98,MASTER_REGISTER!E:E,MASTER_REGISTER!F:F,""),"")</f>
        <v/>
      </c>
      <c r="E98" s="4" t="n"/>
    </row>
    <row r="99">
      <c r="B99" s="4">
        <f>IFERROR(XLOOKUP(C99,MASTER_REGISTER!E:E,MASTER_REGISTER!C:C,""),"")</f>
        <v/>
      </c>
      <c r="C99" s="4" t="n"/>
      <c r="D99">
        <f>IFERROR(XLOOKUP(C99,MASTER_REGISTER!E:E,MASTER_REGISTER!F:F,""),"")</f>
        <v/>
      </c>
      <c r="E99" s="4" t="n"/>
    </row>
    <row r="100">
      <c r="B100" s="4">
        <f>IFERROR(XLOOKUP(C100,MASTER_REGISTER!E:E,MASTER_REGISTER!C:C,""),"")</f>
        <v/>
      </c>
      <c r="C100" s="4" t="n"/>
      <c r="D100">
        <f>IFERROR(XLOOKUP(C100,MASTER_REGISTER!E:E,MASTER_REGISTER!F:F,""),"")</f>
        <v/>
      </c>
      <c r="E100" s="4" t="n"/>
    </row>
    <row r="101">
      <c r="B101" s="4">
        <f>IFERROR(XLOOKUP(C101,MASTER_REGISTER!E:E,MASTER_REGISTER!C:C,""),"")</f>
        <v/>
      </c>
      <c r="C101" s="4" t="n"/>
      <c r="D101">
        <f>IFERROR(XLOOKUP(C101,MASTER_REGISTER!E:E,MASTER_REGISTER!F:F,""),"")</f>
        <v/>
      </c>
      <c r="E101" s="4" t="n"/>
    </row>
    <row r="102">
      <c r="B102" s="4">
        <f>IFERROR(XLOOKUP(C102,MASTER_REGISTER!E:E,MASTER_REGISTER!C:C,""),"")</f>
        <v/>
      </c>
      <c r="C102" s="4" t="n"/>
      <c r="D102">
        <f>IFERROR(XLOOKUP(C102,MASTER_REGISTER!E:E,MASTER_REGISTER!F:F,""),"")</f>
        <v/>
      </c>
      <c r="E102" s="4" t="n"/>
    </row>
    <row r="103">
      <c r="B103" s="4">
        <f>IFERROR(XLOOKUP(C103,MASTER_REGISTER!E:E,MASTER_REGISTER!C:C,""),"")</f>
        <v/>
      </c>
      <c r="C103" s="4" t="n"/>
      <c r="D103">
        <f>IFERROR(XLOOKUP(C103,MASTER_REGISTER!E:E,MASTER_REGISTER!F:F,""),"")</f>
        <v/>
      </c>
      <c r="E103" s="4" t="n"/>
    </row>
    <row r="104">
      <c r="B104" s="4">
        <f>IFERROR(XLOOKUP(C104,MASTER_REGISTER!E:E,MASTER_REGISTER!C:C,""),"")</f>
        <v/>
      </c>
      <c r="C104" s="4" t="n"/>
      <c r="D104">
        <f>IFERROR(XLOOKUP(C104,MASTER_REGISTER!E:E,MASTER_REGISTER!F:F,""),"")</f>
        <v/>
      </c>
      <c r="E104" s="4" t="n"/>
    </row>
    <row r="105">
      <c r="B105" s="4">
        <f>IFERROR(XLOOKUP(C105,MASTER_REGISTER!E:E,MASTER_REGISTER!C:C,""),"")</f>
        <v/>
      </c>
      <c r="C105" s="4" t="n"/>
      <c r="D105">
        <f>IFERROR(XLOOKUP(C105,MASTER_REGISTER!E:E,MASTER_REGISTER!F:F,""),"")</f>
        <v/>
      </c>
      <c r="E105" s="4" t="n"/>
    </row>
    <row r="106">
      <c r="B106" s="4">
        <f>IFERROR(XLOOKUP(C106,MASTER_REGISTER!E:E,MASTER_REGISTER!C:C,""),"")</f>
        <v/>
      </c>
      <c r="C106" s="4" t="n"/>
      <c r="D106">
        <f>IFERROR(XLOOKUP(C106,MASTER_REGISTER!E:E,MASTER_REGISTER!F:F,""),"")</f>
        <v/>
      </c>
      <c r="E106" s="4" t="n"/>
    </row>
    <row r="107">
      <c r="B107" s="4">
        <f>IFERROR(XLOOKUP(C107,MASTER_REGISTER!E:E,MASTER_REGISTER!C:C,""),"")</f>
        <v/>
      </c>
      <c r="C107" s="4" t="n"/>
      <c r="D107">
        <f>IFERROR(XLOOKUP(C107,MASTER_REGISTER!E:E,MASTER_REGISTER!F:F,""),"")</f>
        <v/>
      </c>
      <c r="E107" s="4" t="n"/>
    </row>
    <row r="108">
      <c r="B108" s="4">
        <f>IFERROR(XLOOKUP(C108,MASTER_REGISTER!E:E,MASTER_REGISTER!C:C,""),"")</f>
        <v/>
      </c>
      <c r="C108" s="4" t="n"/>
      <c r="D108">
        <f>IFERROR(XLOOKUP(C108,MASTER_REGISTER!E:E,MASTER_REGISTER!F:F,""),"")</f>
        <v/>
      </c>
      <c r="E108" s="4" t="n"/>
    </row>
    <row r="109">
      <c r="B109" s="4">
        <f>IFERROR(XLOOKUP(C109,MASTER_REGISTER!E:E,MASTER_REGISTER!C:C,""),"")</f>
        <v/>
      </c>
      <c r="C109" s="4" t="n"/>
      <c r="D109">
        <f>IFERROR(XLOOKUP(C109,MASTER_REGISTER!E:E,MASTER_REGISTER!F:F,""),"")</f>
        <v/>
      </c>
      <c r="E109" s="4" t="n"/>
    </row>
    <row r="110">
      <c r="B110" s="4">
        <f>IFERROR(XLOOKUP(C110,MASTER_REGISTER!E:E,MASTER_REGISTER!C:C,""),"")</f>
        <v/>
      </c>
      <c r="C110" s="4" t="n"/>
      <c r="D110">
        <f>IFERROR(XLOOKUP(C110,MASTER_REGISTER!E:E,MASTER_REGISTER!F:F,""),"")</f>
        <v/>
      </c>
      <c r="E110" s="4" t="n"/>
    </row>
    <row r="111">
      <c r="B111" s="4">
        <f>IFERROR(XLOOKUP(C111,MASTER_REGISTER!E:E,MASTER_REGISTER!C:C,""),"")</f>
        <v/>
      </c>
      <c r="C111" s="4" t="n"/>
      <c r="D111">
        <f>IFERROR(XLOOKUP(C111,MASTER_REGISTER!E:E,MASTER_REGISTER!F:F,""),"")</f>
        <v/>
      </c>
      <c r="E111" s="4" t="n"/>
    </row>
    <row r="112">
      <c r="B112" s="4">
        <f>IFERROR(XLOOKUP(C112,MASTER_REGISTER!E:E,MASTER_REGISTER!C:C,""),"")</f>
        <v/>
      </c>
      <c r="C112" s="4" t="n"/>
      <c r="D112">
        <f>IFERROR(XLOOKUP(C112,MASTER_REGISTER!E:E,MASTER_REGISTER!F:F,""),"")</f>
        <v/>
      </c>
      <c r="E112" s="4" t="n"/>
    </row>
    <row r="113">
      <c r="B113" s="4">
        <f>IFERROR(XLOOKUP(C113,MASTER_REGISTER!E:E,MASTER_REGISTER!C:C,""),"")</f>
        <v/>
      </c>
      <c r="C113" s="4" t="n"/>
      <c r="D113">
        <f>IFERROR(XLOOKUP(C113,MASTER_REGISTER!E:E,MASTER_REGISTER!F:F,""),"")</f>
        <v/>
      </c>
      <c r="E113" s="4" t="n"/>
    </row>
    <row r="114">
      <c r="B114" s="4">
        <f>IFERROR(XLOOKUP(C114,MASTER_REGISTER!E:E,MASTER_REGISTER!C:C,""),"")</f>
        <v/>
      </c>
      <c r="C114" s="4" t="n"/>
      <c r="D114">
        <f>IFERROR(XLOOKUP(C114,MASTER_REGISTER!E:E,MASTER_REGISTER!F:F,""),"")</f>
        <v/>
      </c>
      <c r="E114" s="4" t="n"/>
    </row>
    <row r="115">
      <c r="B115" s="4">
        <f>IFERROR(XLOOKUP(C115,MASTER_REGISTER!E:E,MASTER_REGISTER!C:C,""),"")</f>
        <v/>
      </c>
      <c r="C115" s="4" t="n"/>
      <c r="D115">
        <f>IFERROR(XLOOKUP(C115,MASTER_REGISTER!E:E,MASTER_REGISTER!F:F,""),"")</f>
        <v/>
      </c>
      <c r="E115" s="4" t="n"/>
    </row>
    <row r="116">
      <c r="B116" s="4">
        <f>IFERROR(XLOOKUP(C116,MASTER_REGISTER!E:E,MASTER_REGISTER!C:C,""),"")</f>
        <v/>
      </c>
      <c r="C116" s="4" t="n"/>
      <c r="D116">
        <f>IFERROR(XLOOKUP(C116,MASTER_REGISTER!E:E,MASTER_REGISTER!F:F,""),"")</f>
        <v/>
      </c>
      <c r="E116" s="4" t="n"/>
    </row>
    <row r="117">
      <c r="B117" s="4">
        <f>IFERROR(XLOOKUP(C117,MASTER_REGISTER!E:E,MASTER_REGISTER!C:C,""),"")</f>
        <v/>
      </c>
      <c r="C117" s="4" t="n"/>
      <c r="D117">
        <f>IFERROR(XLOOKUP(C117,MASTER_REGISTER!E:E,MASTER_REGISTER!F:F,""),"")</f>
        <v/>
      </c>
      <c r="E117" s="4" t="n"/>
    </row>
    <row r="118">
      <c r="B118" s="4">
        <f>IFERROR(XLOOKUP(C118,MASTER_REGISTER!E:E,MASTER_REGISTER!C:C,""),"")</f>
        <v/>
      </c>
      <c r="C118" s="4" t="n"/>
      <c r="D118">
        <f>IFERROR(XLOOKUP(C118,MASTER_REGISTER!E:E,MASTER_REGISTER!F:F,""),"")</f>
        <v/>
      </c>
      <c r="E118" s="4" t="n"/>
    </row>
    <row r="119">
      <c r="B119" s="4">
        <f>IFERROR(XLOOKUP(C119,MASTER_REGISTER!E:E,MASTER_REGISTER!C:C,""),"")</f>
        <v/>
      </c>
      <c r="C119" s="4" t="n"/>
      <c r="D119">
        <f>IFERROR(XLOOKUP(C119,MASTER_REGISTER!E:E,MASTER_REGISTER!F:F,""),"")</f>
        <v/>
      </c>
      <c r="E119" s="4" t="n"/>
    </row>
    <row r="120">
      <c r="B120" s="4">
        <f>IFERROR(XLOOKUP(C120,MASTER_REGISTER!E:E,MASTER_REGISTER!C:C,""),"")</f>
        <v/>
      </c>
      <c r="C120" s="4" t="n"/>
      <c r="D120">
        <f>IFERROR(XLOOKUP(C120,MASTER_REGISTER!E:E,MASTER_REGISTER!F:F,""),"")</f>
        <v/>
      </c>
      <c r="E120" s="4" t="n"/>
    </row>
    <row r="121">
      <c r="B121" s="4">
        <f>IFERROR(XLOOKUP(C121,MASTER_REGISTER!E:E,MASTER_REGISTER!C:C,""),"")</f>
        <v/>
      </c>
      <c r="C121" s="4" t="n"/>
      <c r="D121">
        <f>IFERROR(XLOOKUP(C121,MASTER_REGISTER!E:E,MASTER_REGISTER!F:F,""),"")</f>
        <v/>
      </c>
      <c r="E121" s="4" t="n"/>
    </row>
    <row r="122">
      <c r="B122" s="4">
        <f>IFERROR(XLOOKUP(C122,MASTER_REGISTER!E:E,MASTER_REGISTER!C:C,""),"")</f>
        <v/>
      </c>
      <c r="C122" s="4" t="n"/>
      <c r="D122">
        <f>IFERROR(XLOOKUP(C122,MASTER_REGISTER!E:E,MASTER_REGISTER!F:F,""),"")</f>
        <v/>
      </c>
      <c r="E122" s="4" t="n"/>
    </row>
    <row r="123">
      <c r="B123" s="4">
        <f>IFERROR(XLOOKUP(C123,MASTER_REGISTER!E:E,MASTER_REGISTER!C:C,""),"")</f>
        <v/>
      </c>
      <c r="C123" s="4" t="n"/>
      <c r="D123">
        <f>IFERROR(XLOOKUP(C123,MASTER_REGISTER!E:E,MASTER_REGISTER!F:F,""),"")</f>
        <v/>
      </c>
      <c r="E123" s="4" t="n"/>
    </row>
    <row r="124">
      <c r="B124" s="4">
        <f>IFERROR(XLOOKUP(C124,MASTER_REGISTER!E:E,MASTER_REGISTER!C:C,""),"")</f>
        <v/>
      </c>
      <c r="C124" s="4" t="n"/>
      <c r="D124">
        <f>IFERROR(XLOOKUP(C124,MASTER_REGISTER!E:E,MASTER_REGISTER!F:F,""),"")</f>
        <v/>
      </c>
      <c r="E124" s="4" t="n"/>
    </row>
    <row r="125">
      <c r="B125" s="4">
        <f>IFERROR(XLOOKUP(C125,MASTER_REGISTER!E:E,MASTER_REGISTER!C:C,""),"")</f>
        <v/>
      </c>
      <c r="C125" s="4" t="n"/>
      <c r="D125">
        <f>IFERROR(XLOOKUP(C125,MASTER_REGISTER!E:E,MASTER_REGISTER!F:F,""),"")</f>
        <v/>
      </c>
      <c r="E125" s="4" t="n"/>
    </row>
    <row r="126">
      <c r="B126" s="4">
        <f>IFERROR(XLOOKUP(C126,MASTER_REGISTER!E:E,MASTER_REGISTER!C:C,""),"")</f>
        <v/>
      </c>
      <c r="C126" s="4" t="n"/>
      <c r="D126">
        <f>IFERROR(XLOOKUP(C126,MASTER_REGISTER!E:E,MASTER_REGISTER!F:F,""),"")</f>
        <v/>
      </c>
      <c r="E126" s="4" t="n"/>
    </row>
    <row r="127">
      <c r="B127" s="4">
        <f>IFERROR(XLOOKUP(C127,MASTER_REGISTER!E:E,MASTER_REGISTER!C:C,""),"")</f>
        <v/>
      </c>
      <c r="C127" s="4" t="n"/>
      <c r="D127">
        <f>IFERROR(XLOOKUP(C127,MASTER_REGISTER!E:E,MASTER_REGISTER!F:F,""),"")</f>
        <v/>
      </c>
      <c r="E127" s="4" t="n"/>
    </row>
    <row r="128">
      <c r="B128" s="4">
        <f>IFERROR(XLOOKUP(C128,MASTER_REGISTER!E:E,MASTER_REGISTER!C:C,""),"")</f>
        <v/>
      </c>
      <c r="C128" s="4" t="n"/>
      <c r="D128">
        <f>IFERROR(XLOOKUP(C128,MASTER_REGISTER!E:E,MASTER_REGISTER!F:F,""),"")</f>
        <v/>
      </c>
      <c r="E128" s="4" t="n"/>
    </row>
    <row r="129">
      <c r="B129" s="4">
        <f>IFERROR(XLOOKUP(C129,MASTER_REGISTER!E:E,MASTER_REGISTER!C:C,""),"")</f>
        <v/>
      </c>
      <c r="C129" s="4" t="n"/>
      <c r="D129">
        <f>IFERROR(XLOOKUP(C129,MASTER_REGISTER!E:E,MASTER_REGISTER!F:F,""),"")</f>
        <v/>
      </c>
      <c r="E129" s="4" t="n"/>
    </row>
    <row r="130">
      <c r="B130" s="4">
        <f>IFERROR(XLOOKUP(C130,MASTER_REGISTER!E:E,MASTER_REGISTER!C:C,""),"")</f>
        <v/>
      </c>
      <c r="C130" s="4" t="n"/>
      <c r="D130">
        <f>IFERROR(XLOOKUP(C130,MASTER_REGISTER!E:E,MASTER_REGISTER!F:F,""),"")</f>
        <v/>
      </c>
      <c r="E130" s="4" t="n"/>
    </row>
    <row r="131">
      <c r="B131" s="4">
        <f>IFERROR(XLOOKUP(C131,MASTER_REGISTER!E:E,MASTER_REGISTER!C:C,""),"")</f>
        <v/>
      </c>
      <c r="C131" s="4" t="n"/>
      <c r="D131">
        <f>IFERROR(XLOOKUP(C131,MASTER_REGISTER!E:E,MASTER_REGISTER!F:F,""),"")</f>
        <v/>
      </c>
      <c r="E131" s="4" t="n"/>
    </row>
    <row r="132">
      <c r="B132" s="4">
        <f>IFERROR(XLOOKUP(C132,MASTER_REGISTER!E:E,MASTER_REGISTER!C:C,""),"")</f>
        <v/>
      </c>
      <c r="C132" s="4" t="n"/>
      <c r="D132">
        <f>IFERROR(XLOOKUP(C132,MASTER_REGISTER!E:E,MASTER_REGISTER!F:F,""),"")</f>
        <v/>
      </c>
      <c r="E132" s="4" t="n"/>
    </row>
    <row r="133">
      <c r="B133" s="4">
        <f>IFERROR(XLOOKUP(C133,MASTER_REGISTER!E:E,MASTER_REGISTER!C:C,""),"")</f>
        <v/>
      </c>
      <c r="C133" s="4" t="n"/>
      <c r="D133">
        <f>IFERROR(XLOOKUP(C133,MASTER_REGISTER!E:E,MASTER_REGISTER!F:F,""),"")</f>
        <v/>
      </c>
      <c r="E133" s="4" t="n"/>
    </row>
    <row r="134">
      <c r="B134" s="4">
        <f>IFERROR(XLOOKUP(C134,MASTER_REGISTER!E:E,MASTER_REGISTER!C:C,""),"")</f>
        <v/>
      </c>
      <c r="C134" s="4" t="n"/>
      <c r="D134">
        <f>IFERROR(XLOOKUP(C134,MASTER_REGISTER!E:E,MASTER_REGISTER!F:F,""),"")</f>
        <v/>
      </c>
      <c r="E134" s="4" t="n"/>
    </row>
    <row r="135">
      <c r="B135" s="4">
        <f>IFERROR(XLOOKUP(C135,MASTER_REGISTER!E:E,MASTER_REGISTER!C:C,""),"")</f>
        <v/>
      </c>
      <c r="C135" s="4" t="n"/>
      <c r="D135">
        <f>IFERROR(XLOOKUP(C135,MASTER_REGISTER!E:E,MASTER_REGISTER!F:F,""),"")</f>
        <v/>
      </c>
      <c r="E135" s="4" t="n"/>
    </row>
    <row r="136">
      <c r="B136" s="4">
        <f>IFERROR(XLOOKUP(C136,MASTER_REGISTER!E:E,MASTER_REGISTER!C:C,""),"")</f>
        <v/>
      </c>
      <c r="C136" s="4" t="n"/>
      <c r="D136">
        <f>IFERROR(XLOOKUP(C136,MASTER_REGISTER!E:E,MASTER_REGISTER!F:F,""),"")</f>
        <v/>
      </c>
      <c r="E136" s="4" t="n"/>
    </row>
    <row r="137">
      <c r="B137" s="4">
        <f>IFERROR(XLOOKUP(C137,MASTER_REGISTER!E:E,MASTER_REGISTER!C:C,""),"")</f>
        <v/>
      </c>
      <c r="C137" s="4" t="n"/>
      <c r="D137">
        <f>IFERROR(XLOOKUP(C137,MASTER_REGISTER!E:E,MASTER_REGISTER!F:F,""),"")</f>
        <v/>
      </c>
      <c r="E137" s="4" t="n"/>
    </row>
    <row r="138">
      <c r="B138" s="4">
        <f>IFERROR(XLOOKUP(C138,MASTER_REGISTER!E:E,MASTER_REGISTER!C:C,""),"")</f>
        <v/>
      </c>
      <c r="C138" s="4" t="n"/>
      <c r="D138">
        <f>IFERROR(XLOOKUP(C138,MASTER_REGISTER!E:E,MASTER_REGISTER!F:F,""),"")</f>
        <v/>
      </c>
      <c r="E138" s="4" t="n"/>
    </row>
    <row r="139">
      <c r="B139" s="4">
        <f>IFERROR(XLOOKUP(C139,MASTER_REGISTER!E:E,MASTER_REGISTER!C:C,""),"")</f>
        <v/>
      </c>
      <c r="C139" s="4" t="n"/>
      <c r="D139">
        <f>IFERROR(XLOOKUP(C139,MASTER_REGISTER!E:E,MASTER_REGISTER!F:F,""),"")</f>
        <v/>
      </c>
      <c r="E139" s="4" t="n"/>
    </row>
    <row r="140">
      <c r="B140" s="4">
        <f>IFERROR(XLOOKUP(C140,MASTER_REGISTER!E:E,MASTER_REGISTER!C:C,""),"")</f>
        <v/>
      </c>
      <c r="C140" s="4" t="n"/>
      <c r="D140">
        <f>IFERROR(XLOOKUP(C140,MASTER_REGISTER!E:E,MASTER_REGISTER!F:F,""),"")</f>
        <v/>
      </c>
      <c r="E140" s="4" t="n"/>
    </row>
    <row r="141">
      <c r="B141" s="4">
        <f>IFERROR(XLOOKUP(C141,MASTER_REGISTER!E:E,MASTER_REGISTER!C:C,""),"")</f>
        <v/>
      </c>
      <c r="C141" s="4" t="n"/>
      <c r="D141">
        <f>IFERROR(XLOOKUP(C141,MASTER_REGISTER!E:E,MASTER_REGISTER!F:F,""),"")</f>
        <v/>
      </c>
      <c r="E141" s="4" t="n"/>
    </row>
    <row r="142">
      <c r="B142" s="4">
        <f>IFERROR(XLOOKUP(C142,MASTER_REGISTER!E:E,MASTER_REGISTER!C:C,""),"")</f>
        <v/>
      </c>
      <c r="C142" s="4" t="n"/>
      <c r="D142">
        <f>IFERROR(XLOOKUP(C142,MASTER_REGISTER!E:E,MASTER_REGISTER!F:F,""),"")</f>
        <v/>
      </c>
      <c r="E142" s="4" t="n"/>
    </row>
    <row r="143">
      <c r="B143" s="4">
        <f>IFERROR(XLOOKUP(C143,MASTER_REGISTER!E:E,MASTER_REGISTER!C:C,""),"")</f>
        <v/>
      </c>
      <c r="C143" s="4" t="n"/>
      <c r="D143">
        <f>IFERROR(XLOOKUP(C143,MASTER_REGISTER!E:E,MASTER_REGISTER!F:F,""),"")</f>
        <v/>
      </c>
      <c r="E143" s="4" t="n"/>
    </row>
    <row r="144">
      <c r="B144" s="4">
        <f>IFERROR(XLOOKUP(C144,MASTER_REGISTER!E:E,MASTER_REGISTER!C:C,""),"")</f>
        <v/>
      </c>
      <c r="C144" s="4" t="n"/>
      <c r="D144">
        <f>IFERROR(XLOOKUP(C144,MASTER_REGISTER!E:E,MASTER_REGISTER!F:F,""),"")</f>
        <v/>
      </c>
      <c r="E144" s="4" t="n"/>
    </row>
    <row r="145">
      <c r="B145" s="4">
        <f>IFERROR(XLOOKUP(C145,MASTER_REGISTER!E:E,MASTER_REGISTER!C:C,""),"")</f>
        <v/>
      </c>
      <c r="C145" s="4" t="n"/>
      <c r="D145">
        <f>IFERROR(XLOOKUP(C145,MASTER_REGISTER!E:E,MASTER_REGISTER!F:F,""),"")</f>
        <v/>
      </c>
      <c r="E145" s="4" t="n"/>
    </row>
    <row r="146">
      <c r="B146" s="4">
        <f>IFERROR(XLOOKUP(C146,MASTER_REGISTER!E:E,MASTER_REGISTER!C:C,""),"")</f>
        <v/>
      </c>
      <c r="C146" s="4" t="n"/>
      <c r="D146">
        <f>IFERROR(XLOOKUP(C146,MASTER_REGISTER!E:E,MASTER_REGISTER!F:F,""),"")</f>
        <v/>
      </c>
      <c r="E146" s="4" t="n"/>
    </row>
    <row r="147">
      <c r="B147" s="4">
        <f>IFERROR(XLOOKUP(C147,MASTER_REGISTER!E:E,MASTER_REGISTER!C:C,""),"")</f>
        <v/>
      </c>
      <c r="C147" s="4" t="n"/>
      <c r="D147">
        <f>IFERROR(XLOOKUP(C147,MASTER_REGISTER!E:E,MASTER_REGISTER!F:F,""),"")</f>
        <v/>
      </c>
      <c r="E147" s="4" t="n"/>
    </row>
    <row r="148">
      <c r="B148" s="4">
        <f>IFERROR(XLOOKUP(C148,MASTER_REGISTER!E:E,MASTER_REGISTER!C:C,""),"")</f>
        <v/>
      </c>
      <c r="C148" s="4" t="n"/>
      <c r="D148">
        <f>IFERROR(XLOOKUP(C148,MASTER_REGISTER!E:E,MASTER_REGISTER!F:F,""),"")</f>
        <v/>
      </c>
      <c r="E148" s="4" t="n"/>
    </row>
    <row r="149">
      <c r="B149" s="4">
        <f>IFERROR(XLOOKUP(C149,MASTER_REGISTER!E:E,MASTER_REGISTER!C:C,""),"")</f>
        <v/>
      </c>
      <c r="C149" s="4" t="n"/>
      <c r="D149">
        <f>IFERROR(XLOOKUP(C149,MASTER_REGISTER!E:E,MASTER_REGISTER!F:F,""),"")</f>
        <v/>
      </c>
      <c r="E149" s="4" t="n"/>
    </row>
    <row r="150">
      <c r="B150" s="4">
        <f>IFERROR(XLOOKUP(C150,MASTER_REGISTER!E:E,MASTER_REGISTER!C:C,""),"")</f>
        <v/>
      </c>
      <c r="C150" s="4" t="n"/>
      <c r="D150">
        <f>IFERROR(XLOOKUP(C150,MASTER_REGISTER!E:E,MASTER_REGISTER!F:F,""),"")</f>
        <v/>
      </c>
      <c r="E150" s="4" t="n"/>
    </row>
    <row r="151">
      <c r="B151" s="4">
        <f>IFERROR(XLOOKUP(C151,MASTER_REGISTER!E:E,MASTER_REGISTER!C:C,""),"")</f>
        <v/>
      </c>
      <c r="C151" s="4" t="n"/>
      <c r="D151">
        <f>IFERROR(XLOOKUP(C151,MASTER_REGISTER!E:E,MASTER_REGISTER!F:F,""),"")</f>
        <v/>
      </c>
      <c r="E151" s="4" t="n"/>
    </row>
    <row r="152">
      <c r="B152" s="4">
        <f>IFERROR(XLOOKUP(C152,MASTER_REGISTER!E:E,MASTER_REGISTER!C:C,""),"")</f>
        <v/>
      </c>
      <c r="C152" s="4" t="n"/>
      <c r="D152">
        <f>IFERROR(XLOOKUP(C152,MASTER_REGISTER!E:E,MASTER_REGISTER!F:F,""),"")</f>
        <v/>
      </c>
      <c r="E152" s="4" t="n"/>
    </row>
    <row r="153">
      <c r="B153" s="4">
        <f>IFERROR(XLOOKUP(C153,MASTER_REGISTER!E:E,MASTER_REGISTER!C:C,""),"")</f>
        <v/>
      </c>
      <c r="C153" s="4" t="n"/>
      <c r="D153">
        <f>IFERROR(XLOOKUP(C153,MASTER_REGISTER!E:E,MASTER_REGISTER!F:F,""),"")</f>
        <v/>
      </c>
      <c r="E153" s="4" t="n"/>
    </row>
    <row r="154">
      <c r="B154" s="4">
        <f>IFERROR(XLOOKUP(C154,MASTER_REGISTER!E:E,MASTER_REGISTER!C:C,""),"")</f>
        <v/>
      </c>
      <c r="C154" s="4" t="n"/>
      <c r="D154">
        <f>IFERROR(XLOOKUP(C154,MASTER_REGISTER!E:E,MASTER_REGISTER!F:F,""),"")</f>
        <v/>
      </c>
      <c r="E154" s="4" t="n"/>
    </row>
    <row r="155">
      <c r="B155" s="4">
        <f>IFERROR(XLOOKUP(C155,MASTER_REGISTER!E:E,MASTER_REGISTER!C:C,""),"")</f>
        <v/>
      </c>
      <c r="C155" s="4" t="n"/>
      <c r="D155">
        <f>IFERROR(XLOOKUP(C155,MASTER_REGISTER!E:E,MASTER_REGISTER!F:F,""),"")</f>
        <v/>
      </c>
      <c r="E155" s="4" t="n"/>
    </row>
    <row r="156">
      <c r="B156" s="4">
        <f>IFERROR(XLOOKUP(C156,MASTER_REGISTER!E:E,MASTER_REGISTER!C:C,""),"")</f>
        <v/>
      </c>
      <c r="C156" s="4" t="n"/>
      <c r="D156">
        <f>IFERROR(XLOOKUP(C156,MASTER_REGISTER!E:E,MASTER_REGISTER!F:F,""),"")</f>
        <v/>
      </c>
      <c r="E156" s="4" t="n"/>
    </row>
    <row r="157">
      <c r="B157" s="4">
        <f>IFERROR(XLOOKUP(C157,MASTER_REGISTER!E:E,MASTER_REGISTER!C:C,""),"")</f>
        <v/>
      </c>
      <c r="C157" s="4" t="n"/>
      <c r="D157">
        <f>IFERROR(XLOOKUP(C157,MASTER_REGISTER!E:E,MASTER_REGISTER!F:F,""),"")</f>
        <v/>
      </c>
      <c r="E157" s="4" t="n"/>
    </row>
    <row r="158">
      <c r="B158" s="4">
        <f>IFERROR(XLOOKUP(C158,MASTER_REGISTER!E:E,MASTER_REGISTER!C:C,""),"")</f>
        <v/>
      </c>
      <c r="C158" s="4" t="n"/>
      <c r="D158">
        <f>IFERROR(XLOOKUP(C158,MASTER_REGISTER!E:E,MASTER_REGISTER!F:F,""),"")</f>
        <v/>
      </c>
      <c r="E158" s="4" t="n"/>
    </row>
    <row r="159">
      <c r="B159" s="4">
        <f>IFERROR(XLOOKUP(C159,MASTER_REGISTER!E:E,MASTER_REGISTER!C:C,""),"")</f>
        <v/>
      </c>
      <c r="C159" s="4" t="n"/>
      <c r="D159">
        <f>IFERROR(XLOOKUP(C159,MASTER_REGISTER!E:E,MASTER_REGISTER!F:F,""),"")</f>
        <v/>
      </c>
      <c r="E159" s="4" t="n"/>
    </row>
    <row r="160">
      <c r="B160" s="4">
        <f>IFERROR(XLOOKUP(C160,MASTER_REGISTER!E:E,MASTER_REGISTER!C:C,""),"")</f>
        <v/>
      </c>
      <c r="C160" s="4" t="n"/>
      <c r="D160">
        <f>IFERROR(XLOOKUP(C160,MASTER_REGISTER!E:E,MASTER_REGISTER!F:F,""),"")</f>
        <v/>
      </c>
      <c r="E160" s="4" t="n"/>
    </row>
    <row r="161">
      <c r="B161" s="4">
        <f>IFERROR(XLOOKUP(C161,MASTER_REGISTER!E:E,MASTER_REGISTER!C:C,""),"")</f>
        <v/>
      </c>
      <c r="C161" s="4" t="n"/>
      <c r="D161">
        <f>IFERROR(XLOOKUP(C161,MASTER_REGISTER!E:E,MASTER_REGISTER!F:F,""),"")</f>
        <v/>
      </c>
      <c r="E161" s="4" t="n"/>
    </row>
    <row r="162">
      <c r="B162" s="4">
        <f>IFERROR(XLOOKUP(C162,MASTER_REGISTER!E:E,MASTER_REGISTER!C:C,""),"")</f>
        <v/>
      </c>
      <c r="C162" s="4" t="n"/>
      <c r="D162">
        <f>IFERROR(XLOOKUP(C162,MASTER_REGISTER!E:E,MASTER_REGISTER!F:F,""),"")</f>
        <v/>
      </c>
      <c r="E162" s="4" t="n"/>
    </row>
    <row r="163">
      <c r="B163" s="4">
        <f>IFERROR(XLOOKUP(C163,MASTER_REGISTER!E:E,MASTER_REGISTER!C:C,""),"")</f>
        <v/>
      </c>
      <c r="C163" s="4" t="n"/>
      <c r="D163">
        <f>IFERROR(XLOOKUP(C163,MASTER_REGISTER!E:E,MASTER_REGISTER!F:F,""),"")</f>
        <v/>
      </c>
      <c r="E163" s="4" t="n"/>
    </row>
    <row r="164">
      <c r="B164" s="4">
        <f>IFERROR(XLOOKUP(C164,MASTER_REGISTER!E:E,MASTER_REGISTER!C:C,""),"")</f>
        <v/>
      </c>
      <c r="C164" s="4" t="n"/>
      <c r="D164">
        <f>IFERROR(XLOOKUP(C164,MASTER_REGISTER!E:E,MASTER_REGISTER!F:F,""),"")</f>
        <v/>
      </c>
      <c r="E164" s="4" t="n"/>
    </row>
    <row r="165">
      <c r="B165" s="4">
        <f>IFERROR(XLOOKUP(C165,MASTER_REGISTER!E:E,MASTER_REGISTER!C:C,""),"")</f>
        <v/>
      </c>
      <c r="C165" s="4" t="n"/>
      <c r="D165">
        <f>IFERROR(XLOOKUP(C165,MASTER_REGISTER!E:E,MASTER_REGISTER!F:F,""),"")</f>
        <v/>
      </c>
      <c r="E165" s="4" t="n"/>
    </row>
    <row r="166">
      <c r="B166" s="4">
        <f>IFERROR(XLOOKUP(C166,MASTER_REGISTER!E:E,MASTER_REGISTER!C:C,""),"")</f>
        <v/>
      </c>
      <c r="C166" s="4" t="n"/>
      <c r="D166">
        <f>IFERROR(XLOOKUP(C166,MASTER_REGISTER!E:E,MASTER_REGISTER!F:F,""),"")</f>
        <v/>
      </c>
      <c r="E166" s="4" t="n"/>
    </row>
    <row r="167">
      <c r="B167" s="4">
        <f>IFERROR(XLOOKUP(C167,MASTER_REGISTER!E:E,MASTER_REGISTER!C:C,""),"")</f>
        <v/>
      </c>
      <c r="C167" s="4" t="n"/>
      <c r="D167">
        <f>IFERROR(XLOOKUP(C167,MASTER_REGISTER!E:E,MASTER_REGISTER!F:F,""),"")</f>
        <v/>
      </c>
      <c r="E167" s="4" t="n"/>
    </row>
    <row r="168">
      <c r="B168" s="4">
        <f>IFERROR(XLOOKUP(C168,MASTER_REGISTER!E:E,MASTER_REGISTER!C:C,""),"")</f>
        <v/>
      </c>
      <c r="C168" s="4" t="n"/>
      <c r="D168">
        <f>IFERROR(XLOOKUP(C168,MASTER_REGISTER!E:E,MASTER_REGISTER!F:F,""),"")</f>
        <v/>
      </c>
      <c r="E168" s="4" t="n"/>
    </row>
    <row r="169">
      <c r="B169" s="4">
        <f>IFERROR(XLOOKUP(C169,MASTER_REGISTER!E:E,MASTER_REGISTER!C:C,""),"")</f>
        <v/>
      </c>
      <c r="C169" s="4" t="n"/>
      <c r="D169">
        <f>IFERROR(XLOOKUP(C169,MASTER_REGISTER!E:E,MASTER_REGISTER!F:F,""),"")</f>
        <v/>
      </c>
      <c r="E169" s="4" t="n"/>
    </row>
    <row r="170">
      <c r="B170" s="4">
        <f>IFERROR(XLOOKUP(C170,MASTER_REGISTER!E:E,MASTER_REGISTER!C:C,""),"")</f>
        <v/>
      </c>
      <c r="C170" s="4" t="n"/>
      <c r="D170">
        <f>IFERROR(XLOOKUP(C170,MASTER_REGISTER!E:E,MASTER_REGISTER!F:F,""),"")</f>
        <v/>
      </c>
      <c r="E170" s="4" t="n"/>
    </row>
    <row r="171">
      <c r="B171" s="4">
        <f>IFERROR(XLOOKUP(C171,MASTER_REGISTER!E:E,MASTER_REGISTER!C:C,""),"")</f>
        <v/>
      </c>
      <c r="C171" s="4" t="n"/>
      <c r="D171">
        <f>IFERROR(XLOOKUP(C171,MASTER_REGISTER!E:E,MASTER_REGISTER!F:F,""),"")</f>
        <v/>
      </c>
      <c r="E171" s="4" t="n"/>
    </row>
    <row r="172">
      <c r="B172" s="4">
        <f>IFERROR(XLOOKUP(C172,MASTER_REGISTER!E:E,MASTER_REGISTER!C:C,""),"")</f>
        <v/>
      </c>
      <c r="C172" s="4" t="n"/>
      <c r="D172">
        <f>IFERROR(XLOOKUP(C172,MASTER_REGISTER!E:E,MASTER_REGISTER!F:F,""),"")</f>
        <v/>
      </c>
      <c r="E172" s="4" t="n"/>
    </row>
    <row r="173">
      <c r="B173" s="4">
        <f>IFERROR(XLOOKUP(C173,MASTER_REGISTER!E:E,MASTER_REGISTER!C:C,""),"")</f>
        <v/>
      </c>
      <c r="C173" s="4" t="n"/>
      <c r="D173">
        <f>IFERROR(XLOOKUP(C173,MASTER_REGISTER!E:E,MASTER_REGISTER!F:F,""),"")</f>
        <v/>
      </c>
      <c r="E173" s="4" t="n"/>
    </row>
    <row r="174">
      <c r="B174" s="4">
        <f>IFERROR(XLOOKUP(C174,MASTER_REGISTER!E:E,MASTER_REGISTER!C:C,""),"")</f>
        <v/>
      </c>
      <c r="C174" s="4" t="n"/>
      <c r="D174">
        <f>IFERROR(XLOOKUP(C174,MASTER_REGISTER!E:E,MASTER_REGISTER!F:F,""),"")</f>
        <v/>
      </c>
      <c r="E174" s="4" t="n"/>
    </row>
    <row r="175">
      <c r="B175" s="4">
        <f>IFERROR(XLOOKUP(C175,MASTER_REGISTER!E:E,MASTER_REGISTER!C:C,""),"")</f>
        <v/>
      </c>
      <c r="C175" s="4" t="n"/>
      <c r="D175">
        <f>IFERROR(XLOOKUP(C175,MASTER_REGISTER!E:E,MASTER_REGISTER!F:F,""),"")</f>
        <v/>
      </c>
      <c r="E175" s="4" t="n"/>
    </row>
    <row r="176">
      <c r="B176" s="4">
        <f>IFERROR(XLOOKUP(C176,MASTER_REGISTER!E:E,MASTER_REGISTER!C:C,""),"")</f>
        <v/>
      </c>
      <c r="C176" s="4" t="n"/>
      <c r="D176">
        <f>IFERROR(XLOOKUP(C176,MASTER_REGISTER!E:E,MASTER_REGISTER!F:F,""),"")</f>
        <v/>
      </c>
      <c r="E176" s="4" t="n"/>
    </row>
    <row r="177">
      <c r="B177" s="4">
        <f>IFERROR(XLOOKUP(C177,MASTER_REGISTER!E:E,MASTER_REGISTER!C:C,""),"")</f>
        <v/>
      </c>
      <c r="C177" s="4" t="n"/>
      <c r="D177">
        <f>IFERROR(XLOOKUP(C177,MASTER_REGISTER!E:E,MASTER_REGISTER!F:F,""),"")</f>
        <v/>
      </c>
      <c r="E177" s="4" t="n"/>
    </row>
    <row r="178">
      <c r="B178" s="4">
        <f>IFERROR(XLOOKUP(C178,MASTER_REGISTER!E:E,MASTER_REGISTER!C:C,""),"")</f>
        <v/>
      </c>
      <c r="C178" s="4" t="n"/>
      <c r="D178">
        <f>IFERROR(XLOOKUP(C178,MASTER_REGISTER!E:E,MASTER_REGISTER!F:F,""),"")</f>
        <v/>
      </c>
      <c r="E178" s="4" t="n"/>
    </row>
    <row r="179">
      <c r="B179" s="4">
        <f>IFERROR(XLOOKUP(C179,MASTER_REGISTER!E:E,MASTER_REGISTER!C:C,""),"")</f>
        <v/>
      </c>
      <c r="C179" s="4" t="n"/>
      <c r="D179">
        <f>IFERROR(XLOOKUP(C179,MASTER_REGISTER!E:E,MASTER_REGISTER!F:F,""),"")</f>
        <v/>
      </c>
      <c r="E179" s="4" t="n"/>
    </row>
    <row r="180">
      <c r="B180" s="4">
        <f>IFERROR(XLOOKUP(C180,MASTER_REGISTER!E:E,MASTER_REGISTER!C:C,""),"")</f>
        <v/>
      </c>
      <c r="C180" s="4" t="n"/>
      <c r="D180">
        <f>IFERROR(XLOOKUP(C180,MASTER_REGISTER!E:E,MASTER_REGISTER!F:F,""),"")</f>
        <v/>
      </c>
      <c r="E180" s="4" t="n"/>
    </row>
    <row r="181">
      <c r="B181" s="4">
        <f>IFERROR(XLOOKUP(C181,MASTER_REGISTER!E:E,MASTER_REGISTER!C:C,""),"")</f>
        <v/>
      </c>
      <c r="C181" s="4" t="n"/>
      <c r="D181">
        <f>IFERROR(XLOOKUP(C181,MASTER_REGISTER!E:E,MASTER_REGISTER!F:F,""),"")</f>
        <v/>
      </c>
      <c r="E181" s="4" t="n"/>
    </row>
    <row r="182">
      <c r="B182" s="4">
        <f>IFERROR(XLOOKUP(C182,MASTER_REGISTER!E:E,MASTER_REGISTER!C:C,""),"")</f>
        <v/>
      </c>
      <c r="C182" s="4" t="n"/>
      <c r="D182">
        <f>IFERROR(XLOOKUP(C182,MASTER_REGISTER!E:E,MASTER_REGISTER!F:F,""),"")</f>
        <v/>
      </c>
      <c r="E182" s="4" t="n"/>
    </row>
    <row r="183">
      <c r="B183" s="4">
        <f>IFERROR(XLOOKUP(C183,MASTER_REGISTER!E:E,MASTER_REGISTER!C:C,""),"")</f>
        <v/>
      </c>
      <c r="C183" s="4" t="n"/>
      <c r="D183">
        <f>IFERROR(XLOOKUP(C183,MASTER_REGISTER!E:E,MASTER_REGISTER!F:F,""),"")</f>
        <v/>
      </c>
      <c r="E183" s="4" t="n"/>
    </row>
    <row r="184">
      <c r="B184" s="4">
        <f>IFERROR(XLOOKUP(C184,MASTER_REGISTER!E:E,MASTER_REGISTER!C:C,""),"")</f>
        <v/>
      </c>
      <c r="C184" s="4" t="n"/>
      <c r="D184">
        <f>IFERROR(XLOOKUP(C184,MASTER_REGISTER!E:E,MASTER_REGISTER!F:F,""),"")</f>
        <v/>
      </c>
      <c r="E184" s="4" t="n"/>
    </row>
    <row r="185">
      <c r="B185" s="4">
        <f>IFERROR(XLOOKUP(C185,MASTER_REGISTER!E:E,MASTER_REGISTER!C:C,""),"")</f>
        <v/>
      </c>
      <c r="C185" s="4" t="n"/>
      <c r="D185">
        <f>IFERROR(XLOOKUP(C185,MASTER_REGISTER!E:E,MASTER_REGISTER!F:F,""),"")</f>
        <v/>
      </c>
      <c r="E185" s="4" t="n"/>
    </row>
    <row r="186">
      <c r="B186" s="4">
        <f>IFERROR(XLOOKUP(C186,MASTER_REGISTER!E:E,MASTER_REGISTER!C:C,""),"")</f>
        <v/>
      </c>
      <c r="C186" s="4" t="n"/>
      <c r="D186">
        <f>IFERROR(XLOOKUP(C186,MASTER_REGISTER!E:E,MASTER_REGISTER!F:F,""),"")</f>
        <v/>
      </c>
      <c r="E186" s="4" t="n"/>
    </row>
    <row r="187">
      <c r="B187" s="4">
        <f>IFERROR(XLOOKUP(C187,MASTER_REGISTER!E:E,MASTER_REGISTER!C:C,""),"")</f>
        <v/>
      </c>
      <c r="C187" s="4" t="n"/>
      <c r="D187">
        <f>IFERROR(XLOOKUP(C187,MASTER_REGISTER!E:E,MASTER_REGISTER!F:F,""),"")</f>
        <v/>
      </c>
      <c r="E187" s="4" t="n"/>
    </row>
    <row r="188">
      <c r="B188" s="4">
        <f>IFERROR(XLOOKUP(C188,MASTER_REGISTER!E:E,MASTER_REGISTER!C:C,""),"")</f>
        <v/>
      </c>
      <c r="C188" s="4" t="n"/>
      <c r="D188">
        <f>IFERROR(XLOOKUP(C188,MASTER_REGISTER!E:E,MASTER_REGISTER!F:F,""),"")</f>
        <v/>
      </c>
      <c r="E188" s="4" t="n"/>
    </row>
    <row r="189">
      <c r="B189" s="4">
        <f>IFERROR(XLOOKUP(C189,MASTER_REGISTER!E:E,MASTER_REGISTER!C:C,""),"")</f>
        <v/>
      </c>
      <c r="C189" s="4" t="n"/>
      <c r="D189">
        <f>IFERROR(XLOOKUP(C189,MASTER_REGISTER!E:E,MASTER_REGISTER!F:F,""),"")</f>
        <v/>
      </c>
      <c r="E189" s="4" t="n"/>
    </row>
    <row r="190">
      <c r="B190" s="4">
        <f>IFERROR(XLOOKUP(C190,MASTER_REGISTER!E:E,MASTER_REGISTER!C:C,""),"")</f>
        <v/>
      </c>
      <c r="C190" s="4" t="n"/>
      <c r="D190">
        <f>IFERROR(XLOOKUP(C190,MASTER_REGISTER!E:E,MASTER_REGISTER!F:F,""),"")</f>
        <v/>
      </c>
      <c r="E190" s="4" t="n"/>
    </row>
    <row r="191">
      <c r="B191" s="4">
        <f>IFERROR(XLOOKUP(C191,MASTER_REGISTER!E:E,MASTER_REGISTER!C:C,""),"")</f>
        <v/>
      </c>
      <c r="C191" s="4" t="n"/>
      <c r="D191">
        <f>IFERROR(XLOOKUP(C191,MASTER_REGISTER!E:E,MASTER_REGISTER!F:F,""),"")</f>
        <v/>
      </c>
      <c r="E191" s="4" t="n"/>
    </row>
    <row r="192">
      <c r="B192" s="4">
        <f>IFERROR(XLOOKUP(C192,MASTER_REGISTER!E:E,MASTER_REGISTER!C:C,""),"")</f>
        <v/>
      </c>
      <c r="C192" s="4" t="n"/>
      <c r="D192">
        <f>IFERROR(XLOOKUP(C192,MASTER_REGISTER!E:E,MASTER_REGISTER!F:F,""),"")</f>
        <v/>
      </c>
      <c r="E192" s="4" t="n"/>
    </row>
    <row r="193">
      <c r="B193" s="4">
        <f>IFERROR(XLOOKUP(C193,MASTER_REGISTER!E:E,MASTER_REGISTER!C:C,""),"")</f>
        <v/>
      </c>
      <c r="C193" s="4" t="n"/>
      <c r="D193">
        <f>IFERROR(XLOOKUP(C193,MASTER_REGISTER!E:E,MASTER_REGISTER!F:F,""),"")</f>
        <v/>
      </c>
      <c r="E193" s="4" t="n"/>
    </row>
    <row r="194">
      <c r="B194" s="4">
        <f>IFERROR(XLOOKUP(C194,MASTER_REGISTER!E:E,MASTER_REGISTER!C:C,""),"")</f>
        <v/>
      </c>
      <c r="C194" s="4" t="n"/>
      <c r="D194">
        <f>IFERROR(XLOOKUP(C194,MASTER_REGISTER!E:E,MASTER_REGISTER!F:F,""),"")</f>
        <v/>
      </c>
      <c r="E194" s="4" t="n"/>
    </row>
    <row r="195">
      <c r="B195" s="4">
        <f>IFERROR(XLOOKUP(C195,MASTER_REGISTER!E:E,MASTER_REGISTER!C:C,""),"")</f>
        <v/>
      </c>
      <c r="C195" s="4" t="n"/>
      <c r="D195">
        <f>IFERROR(XLOOKUP(C195,MASTER_REGISTER!E:E,MASTER_REGISTER!F:F,""),"")</f>
        <v/>
      </c>
      <c r="E195" s="4" t="n"/>
    </row>
    <row r="196">
      <c r="B196" s="4">
        <f>IFERROR(XLOOKUP(C196,MASTER_REGISTER!E:E,MASTER_REGISTER!C:C,""),"")</f>
        <v/>
      </c>
      <c r="C196" s="4" t="n"/>
      <c r="D196">
        <f>IFERROR(XLOOKUP(C196,MASTER_REGISTER!E:E,MASTER_REGISTER!F:F,""),"")</f>
        <v/>
      </c>
      <c r="E196" s="4" t="n"/>
    </row>
    <row r="197">
      <c r="B197" s="4">
        <f>IFERROR(XLOOKUP(C197,MASTER_REGISTER!E:E,MASTER_REGISTER!C:C,""),"")</f>
        <v/>
      </c>
      <c r="C197" s="4" t="n"/>
      <c r="D197">
        <f>IFERROR(XLOOKUP(C197,MASTER_REGISTER!E:E,MASTER_REGISTER!F:F,""),"")</f>
        <v/>
      </c>
      <c r="E197" s="4" t="n"/>
    </row>
    <row r="198">
      <c r="B198" s="4">
        <f>IFERROR(XLOOKUP(C198,MASTER_REGISTER!E:E,MASTER_REGISTER!C:C,""),"")</f>
        <v/>
      </c>
      <c r="C198" s="4" t="n"/>
      <c r="D198">
        <f>IFERROR(XLOOKUP(C198,MASTER_REGISTER!E:E,MASTER_REGISTER!F:F,""),"")</f>
        <v/>
      </c>
      <c r="E198" s="4" t="n"/>
    </row>
    <row r="199">
      <c r="B199" s="4">
        <f>IFERROR(XLOOKUP(C199,MASTER_REGISTER!E:E,MASTER_REGISTER!C:C,""),"")</f>
        <v/>
      </c>
      <c r="C199" s="4" t="n"/>
      <c r="D199">
        <f>IFERROR(XLOOKUP(C199,MASTER_REGISTER!E:E,MASTER_REGISTER!F:F,""),"")</f>
        <v/>
      </c>
      <c r="E199" s="4" t="n"/>
    </row>
    <row r="200">
      <c r="B200" s="4">
        <f>IFERROR(XLOOKUP(C200,MASTER_REGISTER!E:E,MASTER_REGISTER!C:C,""),"")</f>
        <v/>
      </c>
      <c r="C200" s="4" t="n"/>
      <c r="D200">
        <f>IFERROR(XLOOKUP(C200,MASTER_REGISTER!E:E,MASTER_REGISTER!F:F,""),"")</f>
        <v/>
      </c>
      <c r="E200" s="4" t="n"/>
    </row>
    <row r="201">
      <c r="B201" s="4">
        <f>IFERROR(XLOOKUP(C201,MASTER_REGISTER!E:E,MASTER_REGISTER!C:C,""),"")</f>
        <v/>
      </c>
      <c r="C201" s="4" t="n"/>
      <c r="D201">
        <f>IFERROR(XLOOKUP(C201,MASTER_REGISTER!E:E,MASTER_REGISTER!F:F,""),"")</f>
        <v/>
      </c>
      <c r="E201" s="4" t="n"/>
    </row>
    <row r="202">
      <c r="B202" s="4">
        <f>IFERROR(XLOOKUP(C202,MASTER_REGISTER!E:E,MASTER_REGISTER!C:C,""),"")</f>
        <v/>
      </c>
      <c r="C202" s="4" t="n"/>
      <c r="D202">
        <f>IFERROR(XLOOKUP(C202,MASTER_REGISTER!E:E,MASTER_REGISTER!F:F,""),"")</f>
        <v/>
      </c>
      <c r="E202" s="4" t="n"/>
    </row>
    <row r="203">
      <c r="B203" s="4">
        <f>IFERROR(XLOOKUP(C203,MASTER_REGISTER!E:E,MASTER_REGISTER!C:C,""),"")</f>
        <v/>
      </c>
      <c r="C203" s="4" t="n"/>
      <c r="D203">
        <f>IFERROR(XLOOKUP(C203,MASTER_REGISTER!E:E,MASTER_REGISTER!F:F,""),"")</f>
        <v/>
      </c>
      <c r="E203" s="4" t="n"/>
    </row>
    <row r="204">
      <c r="B204" s="4">
        <f>IFERROR(XLOOKUP(C204,MASTER_REGISTER!E:E,MASTER_REGISTER!C:C,""),"")</f>
        <v/>
      </c>
      <c r="C204" s="4" t="n"/>
      <c r="D204">
        <f>IFERROR(XLOOKUP(C204,MASTER_REGISTER!E:E,MASTER_REGISTER!F:F,""),"")</f>
        <v/>
      </c>
      <c r="E204" s="4" t="n"/>
    </row>
    <row r="205">
      <c r="B205" s="4">
        <f>IFERROR(XLOOKUP(C205,MASTER_REGISTER!E:E,MASTER_REGISTER!C:C,""),"")</f>
        <v/>
      </c>
      <c r="C205" s="4" t="n"/>
      <c r="D205">
        <f>IFERROR(XLOOKUP(C205,MASTER_REGISTER!E:E,MASTER_REGISTER!F:F,""),"")</f>
        <v/>
      </c>
      <c r="E205" s="4" t="n"/>
    </row>
    <row r="206">
      <c r="B206" s="4">
        <f>IFERROR(XLOOKUP(C206,MASTER_REGISTER!E:E,MASTER_REGISTER!C:C,""),"")</f>
        <v/>
      </c>
      <c r="C206" s="4" t="n"/>
      <c r="D206">
        <f>IFERROR(XLOOKUP(C206,MASTER_REGISTER!E:E,MASTER_REGISTER!F:F,""),"")</f>
        <v/>
      </c>
      <c r="E206" s="4" t="n"/>
    </row>
    <row r="207">
      <c r="B207" s="4">
        <f>IFERROR(XLOOKUP(C207,MASTER_REGISTER!E:E,MASTER_REGISTER!C:C,""),"")</f>
        <v/>
      </c>
      <c r="C207" s="4" t="n"/>
      <c r="D207">
        <f>IFERROR(XLOOKUP(C207,MASTER_REGISTER!E:E,MASTER_REGISTER!F:F,""),"")</f>
        <v/>
      </c>
      <c r="E207" s="4" t="n"/>
    </row>
    <row r="208">
      <c r="B208" s="4">
        <f>IFERROR(XLOOKUP(C208,MASTER_REGISTER!E:E,MASTER_REGISTER!C:C,""),"")</f>
        <v/>
      </c>
      <c r="C208" s="4" t="n"/>
      <c r="D208">
        <f>IFERROR(XLOOKUP(C208,MASTER_REGISTER!E:E,MASTER_REGISTER!F:F,""),"")</f>
        <v/>
      </c>
      <c r="E208" s="4" t="n"/>
    </row>
    <row r="209">
      <c r="B209" s="4">
        <f>IFERROR(XLOOKUP(C209,MASTER_REGISTER!E:E,MASTER_REGISTER!C:C,""),"")</f>
        <v/>
      </c>
      <c r="C209" s="4" t="n"/>
      <c r="D209">
        <f>IFERROR(XLOOKUP(C209,MASTER_REGISTER!E:E,MASTER_REGISTER!F:F,""),"")</f>
        <v/>
      </c>
      <c r="E209" s="4" t="n"/>
    </row>
    <row r="210">
      <c r="B210" s="4">
        <f>IFERROR(XLOOKUP(C210,MASTER_REGISTER!E:E,MASTER_REGISTER!C:C,""),"")</f>
        <v/>
      </c>
      <c r="C210" s="4" t="n"/>
      <c r="D210">
        <f>IFERROR(XLOOKUP(C210,MASTER_REGISTER!E:E,MASTER_REGISTER!F:F,""),"")</f>
        <v/>
      </c>
      <c r="E210" s="4" t="n"/>
    </row>
    <row r="211">
      <c r="B211" s="4">
        <f>IFERROR(XLOOKUP(C211,MASTER_REGISTER!E:E,MASTER_REGISTER!C:C,""),"")</f>
        <v/>
      </c>
      <c r="C211" s="4" t="n"/>
      <c r="D211">
        <f>IFERROR(XLOOKUP(C211,MASTER_REGISTER!E:E,MASTER_REGISTER!F:F,""),"")</f>
        <v/>
      </c>
      <c r="E211" s="4" t="n"/>
    </row>
    <row r="212">
      <c r="B212" s="4">
        <f>IFERROR(XLOOKUP(C212,MASTER_REGISTER!E:E,MASTER_REGISTER!C:C,""),"")</f>
        <v/>
      </c>
      <c r="C212" s="4" t="n"/>
      <c r="D212">
        <f>IFERROR(XLOOKUP(C212,MASTER_REGISTER!E:E,MASTER_REGISTER!F:F,""),"")</f>
        <v/>
      </c>
      <c r="E212" s="4" t="n"/>
    </row>
    <row r="213">
      <c r="B213" s="4">
        <f>IFERROR(XLOOKUP(C213,MASTER_REGISTER!E:E,MASTER_REGISTER!C:C,""),"")</f>
        <v/>
      </c>
      <c r="C213" s="4" t="n"/>
      <c r="D213">
        <f>IFERROR(XLOOKUP(C213,MASTER_REGISTER!E:E,MASTER_REGISTER!F:F,""),"")</f>
        <v/>
      </c>
      <c r="E213" s="4" t="n"/>
    </row>
    <row r="214">
      <c r="B214" s="4">
        <f>IFERROR(XLOOKUP(C214,MASTER_REGISTER!E:E,MASTER_REGISTER!C:C,""),"")</f>
        <v/>
      </c>
      <c r="C214" s="4" t="n"/>
      <c r="D214">
        <f>IFERROR(XLOOKUP(C214,MASTER_REGISTER!E:E,MASTER_REGISTER!F:F,""),"")</f>
        <v/>
      </c>
      <c r="E214" s="4" t="n"/>
    </row>
    <row r="215">
      <c r="B215" s="4">
        <f>IFERROR(XLOOKUP(C215,MASTER_REGISTER!E:E,MASTER_REGISTER!C:C,""),"")</f>
        <v/>
      </c>
      <c r="C215" s="4" t="n"/>
      <c r="D215">
        <f>IFERROR(XLOOKUP(C215,MASTER_REGISTER!E:E,MASTER_REGISTER!F:F,""),"")</f>
        <v/>
      </c>
      <c r="E215" s="4" t="n"/>
    </row>
    <row r="216">
      <c r="B216" s="4">
        <f>IFERROR(XLOOKUP(C216,MASTER_REGISTER!E:E,MASTER_REGISTER!C:C,""),"")</f>
        <v/>
      </c>
      <c r="C216" s="4" t="n"/>
      <c r="D216">
        <f>IFERROR(XLOOKUP(C216,MASTER_REGISTER!E:E,MASTER_REGISTER!F:F,""),"")</f>
        <v/>
      </c>
      <c r="E216" s="4" t="n"/>
    </row>
    <row r="217">
      <c r="B217" s="4">
        <f>IFERROR(XLOOKUP(C217,MASTER_REGISTER!E:E,MASTER_REGISTER!C:C,""),"")</f>
        <v/>
      </c>
      <c r="C217" s="4" t="n"/>
      <c r="D217">
        <f>IFERROR(XLOOKUP(C217,MASTER_REGISTER!E:E,MASTER_REGISTER!F:F,""),"")</f>
        <v/>
      </c>
      <c r="E217" s="4" t="n"/>
    </row>
    <row r="218">
      <c r="B218" s="4">
        <f>IFERROR(XLOOKUP(C218,MASTER_REGISTER!E:E,MASTER_REGISTER!C:C,""),"")</f>
        <v/>
      </c>
      <c r="C218" s="4" t="n"/>
      <c r="D218">
        <f>IFERROR(XLOOKUP(C218,MASTER_REGISTER!E:E,MASTER_REGISTER!F:F,""),"")</f>
        <v/>
      </c>
      <c r="E218" s="4" t="n"/>
    </row>
    <row r="219">
      <c r="B219" s="4">
        <f>IFERROR(XLOOKUP(C219,MASTER_REGISTER!E:E,MASTER_REGISTER!C:C,""),"")</f>
        <v/>
      </c>
      <c r="C219" s="4" t="n"/>
      <c r="D219">
        <f>IFERROR(XLOOKUP(C219,MASTER_REGISTER!E:E,MASTER_REGISTER!F:F,""),"")</f>
        <v/>
      </c>
      <c r="E219" s="4" t="n"/>
    </row>
    <row r="220">
      <c r="B220" s="4">
        <f>IFERROR(XLOOKUP(C220,MASTER_REGISTER!E:E,MASTER_REGISTER!C:C,""),"")</f>
        <v/>
      </c>
      <c r="C220" s="4" t="n"/>
      <c r="D220">
        <f>IFERROR(XLOOKUP(C220,MASTER_REGISTER!E:E,MASTER_REGISTER!F:F,""),"")</f>
        <v/>
      </c>
      <c r="E220" s="4" t="n"/>
    </row>
    <row r="221">
      <c r="B221" s="4">
        <f>IFERROR(XLOOKUP(C221,MASTER_REGISTER!E:E,MASTER_REGISTER!C:C,""),"")</f>
        <v/>
      </c>
      <c r="C221" s="4" t="n"/>
      <c r="D221">
        <f>IFERROR(XLOOKUP(C221,MASTER_REGISTER!E:E,MASTER_REGISTER!F:F,""),"")</f>
        <v/>
      </c>
      <c r="E221" s="4" t="n"/>
    </row>
    <row r="222">
      <c r="B222" s="4">
        <f>IFERROR(XLOOKUP(C222,MASTER_REGISTER!E:E,MASTER_REGISTER!C:C,""),"")</f>
        <v/>
      </c>
      <c r="C222" s="4" t="n"/>
      <c r="D222">
        <f>IFERROR(XLOOKUP(C222,MASTER_REGISTER!E:E,MASTER_REGISTER!F:F,""),"")</f>
        <v/>
      </c>
      <c r="E222" s="4" t="n"/>
    </row>
    <row r="223">
      <c r="B223" s="4">
        <f>IFERROR(XLOOKUP(C223,MASTER_REGISTER!E:E,MASTER_REGISTER!C:C,""),"")</f>
        <v/>
      </c>
      <c r="C223" s="4" t="n"/>
      <c r="D223">
        <f>IFERROR(XLOOKUP(C223,MASTER_REGISTER!E:E,MASTER_REGISTER!F:F,""),"")</f>
        <v/>
      </c>
      <c r="E223" s="4" t="n"/>
    </row>
    <row r="224">
      <c r="B224" s="4">
        <f>IFERROR(XLOOKUP(C224,MASTER_REGISTER!E:E,MASTER_REGISTER!C:C,""),"")</f>
        <v/>
      </c>
      <c r="C224" s="4" t="n"/>
      <c r="D224">
        <f>IFERROR(XLOOKUP(C224,MASTER_REGISTER!E:E,MASTER_REGISTER!F:F,""),"")</f>
        <v/>
      </c>
      <c r="E224" s="4" t="n"/>
    </row>
    <row r="225">
      <c r="B225" s="4">
        <f>IFERROR(XLOOKUP(C225,MASTER_REGISTER!E:E,MASTER_REGISTER!C:C,""),"")</f>
        <v/>
      </c>
      <c r="C225" s="4" t="n"/>
      <c r="D225">
        <f>IFERROR(XLOOKUP(C225,MASTER_REGISTER!E:E,MASTER_REGISTER!F:F,""),"")</f>
        <v/>
      </c>
      <c r="E225" s="4" t="n"/>
    </row>
    <row r="226">
      <c r="B226" s="4">
        <f>IFERROR(XLOOKUP(C226,MASTER_REGISTER!E:E,MASTER_REGISTER!C:C,""),"")</f>
        <v/>
      </c>
      <c r="C226" s="4" t="n"/>
      <c r="D226">
        <f>IFERROR(XLOOKUP(C226,MASTER_REGISTER!E:E,MASTER_REGISTER!F:F,""),"")</f>
        <v/>
      </c>
      <c r="E226" s="4" t="n"/>
    </row>
    <row r="227">
      <c r="B227" s="4">
        <f>IFERROR(XLOOKUP(C227,MASTER_REGISTER!E:E,MASTER_REGISTER!C:C,""),"")</f>
        <v/>
      </c>
      <c r="C227" s="4" t="n"/>
      <c r="D227">
        <f>IFERROR(XLOOKUP(C227,MASTER_REGISTER!E:E,MASTER_REGISTER!F:F,""),"")</f>
        <v/>
      </c>
      <c r="E227" s="4" t="n"/>
    </row>
    <row r="228">
      <c r="B228" s="4">
        <f>IFERROR(XLOOKUP(C228,MASTER_REGISTER!E:E,MASTER_REGISTER!C:C,""),"")</f>
        <v/>
      </c>
      <c r="C228" s="4" t="n"/>
      <c r="D228">
        <f>IFERROR(XLOOKUP(C228,MASTER_REGISTER!E:E,MASTER_REGISTER!F:F,""),"")</f>
        <v/>
      </c>
      <c r="E228" s="4" t="n"/>
    </row>
    <row r="229">
      <c r="B229" s="4">
        <f>IFERROR(XLOOKUP(C229,MASTER_REGISTER!E:E,MASTER_REGISTER!C:C,""),"")</f>
        <v/>
      </c>
      <c r="C229" s="4" t="n"/>
      <c r="D229">
        <f>IFERROR(XLOOKUP(C229,MASTER_REGISTER!E:E,MASTER_REGISTER!F:F,""),"")</f>
        <v/>
      </c>
      <c r="E229" s="4" t="n"/>
    </row>
    <row r="230">
      <c r="B230" s="4">
        <f>IFERROR(XLOOKUP(C230,MASTER_REGISTER!E:E,MASTER_REGISTER!C:C,""),"")</f>
        <v/>
      </c>
      <c r="C230" s="4" t="n"/>
      <c r="D230">
        <f>IFERROR(XLOOKUP(C230,MASTER_REGISTER!E:E,MASTER_REGISTER!F:F,""),"")</f>
        <v/>
      </c>
      <c r="E230" s="4" t="n"/>
    </row>
    <row r="231">
      <c r="B231" s="4">
        <f>IFERROR(XLOOKUP(C231,MASTER_REGISTER!E:E,MASTER_REGISTER!C:C,""),"")</f>
        <v/>
      </c>
      <c r="C231" s="4" t="n"/>
      <c r="D231">
        <f>IFERROR(XLOOKUP(C231,MASTER_REGISTER!E:E,MASTER_REGISTER!F:F,""),"")</f>
        <v/>
      </c>
      <c r="E231" s="4" t="n"/>
    </row>
    <row r="232">
      <c r="B232" s="4">
        <f>IFERROR(XLOOKUP(C232,MASTER_REGISTER!E:E,MASTER_REGISTER!C:C,""),"")</f>
        <v/>
      </c>
      <c r="C232" s="4" t="n"/>
      <c r="D232">
        <f>IFERROR(XLOOKUP(C232,MASTER_REGISTER!E:E,MASTER_REGISTER!F:F,""),"")</f>
        <v/>
      </c>
      <c r="E232" s="4" t="n"/>
    </row>
    <row r="233">
      <c r="B233" s="4">
        <f>IFERROR(XLOOKUP(C233,MASTER_REGISTER!E:E,MASTER_REGISTER!C:C,""),"")</f>
        <v/>
      </c>
      <c r="C233" s="4" t="n"/>
      <c r="D233">
        <f>IFERROR(XLOOKUP(C233,MASTER_REGISTER!E:E,MASTER_REGISTER!F:F,""),"")</f>
        <v/>
      </c>
      <c r="E233" s="4" t="n"/>
    </row>
    <row r="234">
      <c r="B234" s="4">
        <f>IFERROR(XLOOKUP(C234,MASTER_REGISTER!E:E,MASTER_REGISTER!C:C,""),"")</f>
        <v/>
      </c>
      <c r="C234" s="4" t="n"/>
      <c r="D234">
        <f>IFERROR(XLOOKUP(C234,MASTER_REGISTER!E:E,MASTER_REGISTER!F:F,""),"")</f>
        <v/>
      </c>
      <c r="E234" s="4" t="n"/>
    </row>
    <row r="235">
      <c r="B235" s="4">
        <f>IFERROR(XLOOKUP(C235,MASTER_REGISTER!E:E,MASTER_REGISTER!C:C,""),"")</f>
        <v/>
      </c>
      <c r="C235" s="4" t="n"/>
      <c r="D235">
        <f>IFERROR(XLOOKUP(C235,MASTER_REGISTER!E:E,MASTER_REGISTER!F:F,""),"")</f>
        <v/>
      </c>
      <c r="E235" s="4" t="n"/>
    </row>
    <row r="236">
      <c r="B236" s="4">
        <f>IFERROR(XLOOKUP(C236,MASTER_REGISTER!E:E,MASTER_REGISTER!C:C,""),"")</f>
        <v/>
      </c>
      <c r="C236" s="4" t="n"/>
      <c r="D236">
        <f>IFERROR(XLOOKUP(C236,MASTER_REGISTER!E:E,MASTER_REGISTER!F:F,""),"")</f>
        <v/>
      </c>
      <c r="E236" s="4" t="n"/>
    </row>
    <row r="237">
      <c r="B237" s="4">
        <f>IFERROR(XLOOKUP(C237,MASTER_REGISTER!E:E,MASTER_REGISTER!C:C,""),"")</f>
        <v/>
      </c>
      <c r="C237" s="4" t="n"/>
      <c r="D237">
        <f>IFERROR(XLOOKUP(C237,MASTER_REGISTER!E:E,MASTER_REGISTER!F:F,""),"")</f>
        <v/>
      </c>
      <c r="E237" s="4" t="n"/>
    </row>
    <row r="238">
      <c r="B238" s="4">
        <f>IFERROR(XLOOKUP(C238,MASTER_REGISTER!E:E,MASTER_REGISTER!C:C,""),"")</f>
        <v/>
      </c>
      <c r="C238" s="4" t="n"/>
      <c r="D238">
        <f>IFERROR(XLOOKUP(C238,MASTER_REGISTER!E:E,MASTER_REGISTER!F:F,""),"")</f>
        <v/>
      </c>
      <c r="E238" s="4" t="n"/>
    </row>
    <row r="239">
      <c r="B239" s="4">
        <f>IFERROR(XLOOKUP(C239,MASTER_REGISTER!E:E,MASTER_REGISTER!C:C,""),"")</f>
        <v/>
      </c>
      <c r="C239" s="4" t="n"/>
      <c r="D239">
        <f>IFERROR(XLOOKUP(C239,MASTER_REGISTER!E:E,MASTER_REGISTER!F:F,""),"")</f>
        <v/>
      </c>
      <c r="E239" s="4" t="n"/>
    </row>
    <row r="240">
      <c r="B240" s="4">
        <f>IFERROR(XLOOKUP(C240,MASTER_REGISTER!E:E,MASTER_REGISTER!C:C,""),"")</f>
        <v/>
      </c>
      <c r="C240" s="4" t="n"/>
      <c r="D240">
        <f>IFERROR(XLOOKUP(C240,MASTER_REGISTER!E:E,MASTER_REGISTER!F:F,""),"")</f>
        <v/>
      </c>
      <c r="E240" s="4" t="n"/>
    </row>
    <row r="241">
      <c r="B241" s="4">
        <f>IFERROR(XLOOKUP(C241,MASTER_REGISTER!E:E,MASTER_REGISTER!C:C,""),"")</f>
        <v/>
      </c>
      <c r="C241" s="4" t="n"/>
      <c r="D241">
        <f>IFERROR(XLOOKUP(C241,MASTER_REGISTER!E:E,MASTER_REGISTER!F:F,""),"")</f>
        <v/>
      </c>
      <c r="E241" s="4" t="n"/>
    </row>
    <row r="242">
      <c r="B242" s="4">
        <f>IFERROR(XLOOKUP(C242,MASTER_REGISTER!E:E,MASTER_REGISTER!C:C,""),"")</f>
        <v/>
      </c>
      <c r="C242" s="4" t="n"/>
      <c r="D242">
        <f>IFERROR(XLOOKUP(C242,MASTER_REGISTER!E:E,MASTER_REGISTER!F:F,""),"")</f>
        <v/>
      </c>
      <c r="E242" s="4" t="n"/>
    </row>
    <row r="243">
      <c r="B243" s="4">
        <f>IFERROR(XLOOKUP(C243,MASTER_REGISTER!E:E,MASTER_REGISTER!C:C,""),"")</f>
        <v/>
      </c>
      <c r="C243" s="4" t="n"/>
      <c r="D243">
        <f>IFERROR(XLOOKUP(C243,MASTER_REGISTER!E:E,MASTER_REGISTER!F:F,""),"")</f>
        <v/>
      </c>
      <c r="E243" s="4" t="n"/>
    </row>
    <row r="244">
      <c r="B244" s="4">
        <f>IFERROR(XLOOKUP(C244,MASTER_REGISTER!E:E,MASTER_REGISTER!C:C,""),"")</f>
        <v/>
      </c>
      <c r="C244" s="4" t="n"/>
      <c r="D244">
        <f>IFERROR(XLOOKUP(C244,MASTER_REGISTER!E:E,MASTER_REGISTER!F:F,""),"")</f>
        <v/>
      </c>
      <c r="E244" s="4" t="n"/>
    </row>
    <row r="245">
      <c r="B245" s="4">
        <f>IFERROR(XLOOKUP(C245,MASTER_REGISTER!E:E,MASTER_REGISTER!C:C,""),"")</f>
        <v/>
      </c>
      <c r="C245" s="4" t="n"/>
      <c r="D245">
        <f>IFERROR(XLOOKUP(C245,MASTER_REGISTER!E:E,MASTER_REGISTER!F:F,""),"")</f>
        <v/>
      </c>
      <c r="E245" s="4" t="n"/>
    </row>
    <row r="246">
      <c r="B246" s="4">
        <f>IFERROR(XLOOKUP(C246,MASTER_REGISTER!E:E,MASTER_REGISTER!C:C,""),"")</f>
        <v/>
      </c>
      <c r="C246" s="4" t="n"/>
      <c r="D246">
        <f>IFERROR(XLOOKUP(C246,MASTER_REGISTER!E:E,MASTER_REGISTER!F:F,""),"")</f>
        <v/>
      </c>
      <c r="E246" s="4" t="n"/>
    </row>
    <row r="247">
      <c r="B247" s="4">
        <f>IFERROR(XLOOKUP(C247,MASTER_REGISTER!E:E,MASTER_REGISTER!C:C,""),"")</f>
        <v/>
      </c>
      <c r="C247" s="4" t="n"/>
      <c r="D247">
        <f>IFERROR(XLOOKUP(C247,MASTER_REGISTER!E:E,MASTER_REGISTER!F:F,""),"")</f>
        <v/>
      </c>
      <c r="E247" s="4" t="n"/>
    </row>
    <row r="248">
      <c r="B248" s="4">
        <f>IFERROR(XLOOKUP(C248,MASTER_REGISTER!E:E,MASTER_REGISTER!C:C,""),"")</f>
        <v/>
      </c>
      <c r="C248" s="4" t="n"/>
      <c r="D248">
        <f>IFERROR(XLOOKUP(C248,MASTER_REGISTER!E:E,MASTER_REGISTER!F:F,""),"")</f>
        <v/>
      </c>
      <c r="E248" s="4" t="n"/>
    </row>
    <row r="249">
      <c r="B249" s="4">
        <f>IFERROR(XLOOKUP(C249,MASTER_REGISTER!E:E,MASTER_REGISTER!C:C,""),"")</f>
        <v/>
      </c>
      <c r="C249" s="4" t="n"/>
      <c r="D249">
        <f>IFERROR(XLOOKUP(C249,MASTER_REGISTER!E:E,MASTER_REGISTER!F:F,""),"")</f>
        <v/>
      </c>
      <c r="E249" s="4" t="n"/>
    </row>
    <row r="250">
      <c r="B250" s="4">
        <f>IFERROR(XLOOKUP(C250,MASTER_REGISTER!E:E,MASTER_REGISTER!C:C,""),"")</f>
        <v/>
      </c>
      <c r="C250" s="4" t="n"/>
      <c r="D250">
        <f>IFERROR(XLOOKUP(C250,MASTER_REGISTER!E:E,MASTER_REGISTER!F:F,""),"")</f>
        <v/>
      </c>
      <c r="E250" s="4" t="n"/>
    </row>
    <row r="251">
      <c r="B251" s="4">
        <f>IFERROR(XLOOKUP(C251,MASTER_REGISTER!E:E,MASTER_REGISTER!C:C,""),"")</f>
        <v/>
      </c>
      <c r="C251" s="4" t="n"/>
      <c r="D251">
        <f>IFERROR(XLOOKUP(C251,MASTER_REGISTER!E:E,MASTER_REGISTER!F:F,""),"")</f>
        <v/>
      </c>
      <c r="E251" s="4" t="n"/>
    </row>
    <row r="252">
      <c r="B252" s="4">
        <f>IFERROR(XLOOKUP(C252,MASTER_REGISTER!E:E,MASTER_REGISTER!C:C,""),"")</f>
        <v/>
      </c>
      <c r="C252" s="4" t="n"/>
      <c r="D252">
        <f>IFERROR(XLOOKUP(C252,MASTER_REGISTER!E:E,MASTER_REGISTER!F:F,""),"")</f>
        <v/>
      </c>
      <c r="E252" s="4" t="n"/>
    </row>
    <row r="253">
      <c r="B253" s="4">
        <f>IFERROR(XLOOKUP(C253,MASTER_REGISTER!E:E,MASTER_REGISTER!C:C,""),"")</f>
        <v/>
      </c>
      <c r="C253" s="4" t="n"/>
      <c r="D253">
        <f>IFERROR(XLOOKUP(C253,MASTER_REGISTER!E:E,MASTER_REGISTER!F:F,""),"")</f>
        <v/>
      </c>
      <c r="E253" s="4" t="n"/>
    </row>
    <row r="254">
      <c r="B254" s="4">
        <f>IFERROR(XLOOKUP(C254,MASTER_REGISTER!E:E,MASTER_REGISTER!C:C,""),"")</f>
        <v/>
      </c>
      <c r="C254" s="4" t="n"/>
      <c r="D254">
        <f>IFERROR(XLOOKUP(C254,MASTER_REGISTER!E:E,MASTER_REGISTER!F:F,""),"")</f>
        <v/>
      </c>
      <c r="E254" s="4" t="n"/>
    </row>
    <row r="255">
      <c r="B255" s="4">
        <f>IFERROR(XLOOKUP(C255,MASTER_REGISTER!E:E,MASTER_REGISTER!C:C,""),"")</f>
        <v/>
      </c>
      <c r="C255" s="4" t="n"/>
      <c r="D255">
        <f>IFERROR(XLOOKUP(C255,MASTER_REGISTER!E:E,MASTER_REGISTER!F:F,""),"")</f>
        <v/>
      </c>
      <c r="E255" s="4" t="n"/>
    </row>
    <row r="256">
      <c r="B256" s="4">
        <f>IFERROR(XLOOKUP(C256,MASTER_REGISTER!E:E,MASTER_REGISTER!C:C,""),"")</f>
        <v/>
      </c>
      <c r="C256" s="4" t="n"/>
      <c r="D256">
        <f>IFERROR(XLOOKUP(C256,MASTER_REGISTER!E:E,MASTER_REGISTER!F:F,""),"")</f>
        <v/>
      </c>
      <c r="E256" s="4" t="n"/>
    </row>
    <row r="257">
      <c r="B257" s="4">
        <f>IFERROR(XLOOKUP(C257,MASTER_REGISTER!E:E,MASTER_REGISTER!C:C,""),"")</f>
        <v/>
      </c>
      <c r="C257" s="4" t="n"/>
      <c r="D257">
        <f>IFERROR(XLOOKUP(C257,MASTER_REGISTER!E:E,MASTER_REGISTER!F:F,""),"")</f>
        <v/>
      </c>
      <c r="E257" s="4" t="n"/>
    </row>
    <row r="258">
      <c r="B258" s="4">
        <f>IFERROR(XLOOKUP(C258,MASTER_REGISTER!E:E,MASTER_REGISTER!C:C,""),"")</f>
        <v/>
      </c>
      <c r="C258" s="4" t="n"/>
      <c r="D258">
        <f>IFERROR(XLOOKUP(C258,MASTER_REGISTER!E:E,MASTER_REGISTER!F:F,""),"")</f>
        <v/>
      </c>
      <c r="E258" s="4" t="n"/>
    </row>
    <row r="259">
      <c r="B259" s="4">
        <f>IFERROR(XLOOKUP(C259,MASTER_REGISTER!E:E,MASTER_REGISTER!C:C,""),"")</f>
        <v/>
      </c>
      <c r="C259" s="4" t="n"/>
      <c r="D259">
        <f>IFERROR(XLOOKUP(C259,MASTER_REGISTER!E:E,MASTER_REGISTER!F:F,""),"")</f>
        <v/>
      </c>
      <c r="E259" s="4" t="n"/>
    </row>
    <row r="260">
      <c r="B260" s="4">
        <f>IFERROR(XLOOKUP(C260,MASTER_REGISTER!E:E,MASTER_REGISTER!C:C,""),"")</f>
        <v/>
      </c>
      <c r="C260" s="4" t="n"/>
      <c r="D260">
        <f>IFERROR(XLOOKUP(C260,MASTER_REGISTER!E:E,MASTER_REGISTER!F:F,""),"")</f>
        <v/>
      </c>
      <c r="E260" s="4" t="n"/>
    </row>
    <row r="261">
      <c r="B261" s="4">
        <f>IFERROR(XLOOKUP(C261,MASTER_REGISTER!E:E,MASTER_REGISTER!C:C,""),"")</f>
        <v/>
      </c>
      <c r="C261" s="4" t="n"/>
      <c r="D261">
        <f>IFERROR(XLOOKUP(C261,MASTER_REGISTER!E:E,MASTER_REGISTER!F:F,""),"")</f>
        <v/>
      </c>
      <c r="E261" s="4" t="n"/>
    </row>
    <row r="262">
      <c r="B262" s="4">
        <f>IFERROR(XLOOKUP(C262,MASTER_REGISTER!E:E,MASTER_REGISTER!C:C,""),"")</f>
        <v/>
      </c>
      <c r="C262" s="4" t="n"/>
      <c r="D262">
        <f>IFERROR(XLOOKUP(C262,MASTER_REGISTER!E:E,MASTER_REGISTER!F:F,""),"")</f>
        <v/>
      </c>
      <c r="E262" s="4" t="n"/>
    </row>
    <row r="263">
      <c r="B263" s="4">
        <f>IFERROR(XLOOKUP(C263,MASTER_REGISTER!E:E,MASTER_REGISTER!C:C,""),"")</f>
        <v/>
      </c>
      <c r="C263" s="4" t="n"/>
      <c r="D263">
        <f>IFERROR(XLOOKUP(C263,MASTER_REGISTER!E:E,MASTER_REGISTER!F:F,""),"")</f>
        <v/>
      </c>
      <c r="E263" s="4" t="n"/>
    </row>
    <row r="264">
      <c r="B264" s="4">
        <f>IFERROR(XLOOKUP(C264,MASTER_REGISTER!E:E,MASTER_REGISTER!C:C,""),"")</f>
        <v/>
      </c>
      <c r="C264" s="4" t="n"/>
      <c r="D264">
        <f>IFERROR(XLOOKUP(C264,MASTER_REGISTER!E:E,MASTER_REGISTER!F:F,""),"")</f>
        <v/>
      </c>
      <c r="E264" s="4" t="n"/>
    </row>
    <row r="265">
      <c r="B265" s="4">
        <f>IFERROR(XLOOKUP(C265,MASTER_REGISTER!E:E,MASTER_REGISTER!C:C,""),"")</f>
        <v/>
      </c>
      <c r="C265" s="4" t="n"/>
      <c r="D265">
        <f>IFERROR(XLOOKUP(C265,MASTER_REGISTER!E:E,MASTER_REGISTER!F:F,""),"")</f>
        <v/>
      </c>
      <c r="E265" s="4" t="n"/>
    </row>
    <row r="266">
      <c r="B266" s="4">
        <f>IFERROR(XLOOKUP(C266,MASTER_REGISTER!E:E,MASTER_REGISTER!C:C,""),"")</f>
        <v/>
      </c>
      <c r="C266" s="4" t="n"/>
      <c r="D266">
        <f>IFERROR(XLOOKUP(C266,MASTER_REGISTER!E:E,MASTER_REGISTER!F:F,""),"")</f>
        <v/>
      </c>
      <c r="E266" s="4" t="n"/>
    </row>
    <row r="267">
      <c r="B267" s="4">
        <f>IFERROR(XLOOKUP(C267,MASTER_REGISTER!E:E,MASTER_REGISTER!C:C,""),"")</f>
        <v/>
      </c>
      <c r="C267" s="4" t="n"/>
      <c r="D267">
        <f>IFERROR(XLOOKUP(C267,MASTER_REGISTER!E:E,MASTER_REGISTER!F:F,""),"")</f>
        <v/>
      </c>
      <c r="E267" s="4" t="n"/>
    </row>
    <row r="268">
      <c r="B268" s="4">
        <f>IFERROR(XLOOKUP(C268,MASTER_REGISTER!E:E,MASTER_REGISTER!C:C,""),"")</f>
        <v/>
      </c>
      <c r="C268" s="4" t="n"/>
      <c r="D268">
        <f>IFERROR(XLOOKUP(C268,MASTER_REGISTER!E:E,MASTER_REGISTER!F:F,""),"")</f>
        <v/>
      </c>
      <c r="E268" s="4" t="n"/>
    </row>
    <row r="269">
      <c r="B269" s="4">
        <f>IFERROR(XLOOKUP(C269,MASTER_REGISTER!E:E,MASTER_REGISTER!C:C,""),"")</f>
        <v/>
      </c>
      <c r="C269" s="4" t="n"/>
      <c r="D269">
        <f>IFERROR(XLOOKUP(C269,MASTER_REGISTER!E:E,MASTER_REGISTER!F:F,""),"")</f>
        <v/>
      </c>
      <c r="E269" s="4" t="n"/>
    </row>
    <row r="270">
      <c r="B270" s="4">
        <f>IFERROR(XLOOKUP(C270,MASTER_REGISTER!E:E,MASTER_REGISTER!C:C,""),"")</f>
        <v/>
      </c>
      <c r="C270" s="4" t="n"/>
      <c r="D270">
        <f>IFERROR(XLOOKUP(C270,MASTER_REGISTER!E:E,MASTER_REGISTER!F:F,""),"")</f>
        <v/>
      </c>
      <c r="E270" s="4" t="n"/>
    </row>
    <row r="271">
      <c r="B271" s="4">
        <f>IFERROR(XLOOKUP(C271,MASTER_REGISTER!E:E,MASTER_REGISTER!C:C,""),"")</f>
        <v/>
      </c>
      <c r="C271" s="4" t="n"/>
      <c r="D271">
        <f>IFERROR(XLOOKUP(C271,MASTER_REGISTER!E:E,MASTER_REGISTER!F:F,""),"")</f>
        <v/>
      </c>
      <c r="E271" s="4" t="n"/>
    </row>
    <row r="272">
      <c r="B272" s="4">
        <f>IFERROR(XLOOKUP(C272,MASTER_REGISTER!E:E,MASTER_REGISTER!C:C,""),"")</f>
        <v/>
      </c>
      <c r="C272" s="4" t="n"/>
      <c r="D272">
        <f>IFERROR(XLOOKUP(C272,MASTER_REGISTER!E:E,MASTER_REGISTER!F:F,""),"")</f>
        <v/>
      </c>
      <c r="E272" s="4" t="n"/>
    </row>
    <row r="273">
      <c r="B273" s="4">
        <f>IFERROR(XLOOKUP(C273,MASTER_REGISTER!E:E,MASTER_REGISTER!C:C,""),"")</f>
        <v/>
      </c>
      <c r="C273" s="4" t="n"/>
      <c r="D273">
        <f>IFERROR(XLOOKUP(C273,MASTER_REGISTER!E:E,MASTER_REGISTER!F:F,""),"")</f>
        <v/>
      </c>
      <c r="E273" s="4" t="n"/>
    </row>
    <row r="274">
      <c r="B274" s="4">
        <f>IFERROR(XLOOKUP(C274,MASTER_REGISTER!E:E,MASTER_REGISTER!C:C,""),"")</f>
        <v/>
      </c>
      <c r="C274" s="4" t="n"/>
      <c r="D274">
        <f>IFERROR(XLOOKUP(C274,MASTER_REGISTER!E:E,MASTER_REGISTER!F:F,""),"")</f>
        <v/>
      </c>
      <c r="E274" s="4" t="n"/>
    </row>
    <row r="275">
      <c r="B275" s="4">
        <f>IFERROR(XLOOKUP(C275,MASTER_REGISTER!E:E,MASTER_REGISTER!C:C,""),"")</f>
        <v/>
      </c>
      <c r="C275" s="4" t="n"/>
      <c r="D275">
        <f>IFERROR(XLOOKUP(C275,MASTER_REGISTER!E:E,MASTER_REGISTER!F:F,""),"")</f>
        <v/>
      </c>
      <c r="E275" s="4" t="n"/>
    </row>
    <row r="276">
      <c r="B276" s="4">
        <f>IFERROR(XLOOKUP(C276,MASTER_REGISTER!E:E,MASTER_REGISTER!C:C,""),"")</f>
        <v/>
      </c>
      <c r="C276" s="4" t="n"/>
      <c r="D276">
        <f>IFERROR(XLOOKUP(C276,MASTER_REGISTER!E:E,MASTER_REGISTER!F:F,""),"")</f>
        <v/>
      </c>
      <c r="E276" s="4" t="n"/>
    </row>
    <row r="277">
      <c r="B277" s="4">
        <f>IFERROR(XLOOKUP(C277,MASTER_REGISTER!E:E,MASTER_REGISTER!C:C,""),"")</f>
        <v/>
      </c>
      <c r="C277" s="4" t="n"/>
      <c r="D277">
        <f>IFERROR(XLOOKUP(C277,MASTER_REGISTER!E:E,MASTER_REGISTER!F:F,""),"")</f>
        <v/>
      </c>
      <c r="E277" s="4" t="n"/>
    </row>
    <row r="278">
      <c r="B278" s="4">
        <f>IFERROR(XLOOKUP(C278,MASTER_REGISTER!E:E,MASTER_REGISTER!C:C,""),"")</f>
        <v/>
      </c>
      <c r="C278" s="4" t="n"/>
      <c r="D278">
        <f>IFERROR(XLOOKUP(C278,MASTER_REGISTER!E:E,MASTER_REGISTER!F:F,""),"")</f>
        <v/>
      </c>
      <c r="E278" s="4" t="n"/>
    </row>
    <row r="279">
      <c r="B279" s="4">
        <f>IFERROR(XLOOKUP(C279,MASTER_REGISTER!E:E,MASTER_REGISTER!C:C,""),"")</f>
        <v/>
      </c>
      <c r="C279" s="4" t="n"/>
      <c r="D279">
        <f>IFERROR(XLOOKUP(C279,MASTER_REGISTER!E:E,MASTER_REGISTER!F:F,""),"")</f>
        <v/>
      </c>
      <c r="E279" s="4" t="n"/>
    </row>
    <row r="280">
      <c r="B280" s="4">
        <f>IFERROR(XLOOKUP(C280,MASTER_REGISTER!E:E,MASTER_REGISTER!C:C,""),"")</f>
        <v/>
      </c>
      <c r="C280" s="4" t="n"/>
      <c r="D280">
        <f>IFERROR(XLOOKUP(C280,MASTER_REGISTER!E:E,MASTER_REGISTER!F:F,""),"")</f>
        <v/>
      </c>
      <c r="E280" s="4" t="n"/>
    </row>
    <row r="281">
      <c r="B281" s="4">
        <f>IFERROR(XLOOKUP(C281,MASTER_REGISTER!E:E,MASTER_REGISTER!C:C,""),"")</f>
        <v/>
      </c>
      <c r="C281" s="4" t="n"/>
      <c r="D281">
        <f>IFERROR(XLOOKUP(C281,MASTER_REGISTER!E:E,MASTER_REGISTER!F:F,""),"")</f>
        <v/>
      </c>
      <c r="E281" s="4" t="n"/>
    </row>
    <row r="282">
      <c r="B282" s="4">
        <f>IFERROR(XLOOKUP(C282,MASTER_REGISTER!E:E,MASTER_REGISTER!C:C,""),"")</f>
        <v/>
      </c>
      <c r="C282" s="4" t="n"/>
      <c r="D282">
        <f>IFERROR(XLOOKUP(C282,MASTER_REGISTER!E:E,MASTER_REGISTER!F:F,""),"")</f>
        <v/>
      </c>
      <c r="E282" s="4" t="n"/>
    </row>
    <row r="283">
      <c r="B283" s="4">
        <f>IFERROR(XLOOKUP(C283,MASTER_REGISTER!E:E,MASTER_REGISTER!C:C,""),"")</f>
        <v/>
      </c>
      <c r="C283" s="4" t="n"/>
      <c r="D283">
        <f>IFERROR(XLOOKUP(C283,MASTER_REGISTER!E:E,MASTER_REGISTER!F:F,""),"")</f>
        <v/>
      </c>
      <c r="E283" s="4" t="n"/>
    </row>
    <row r="284">
      <c r="B284" s="4">
        <f>IFERROR(XLOOKUP(C284,MASTER_REGISTER!E:E,MASTER_REGISTER!C:C,""),"")</f>
        <v/>
      </c>
      <c r="C284" s="4" t="n"/>
      <c r="D284">
        <f>IFERROR(XLOOKUP(C284,MASTER_REGISTER!E:E,MASTER_REGISTER!F:F,""),"")</f>
        <v/>
      </c>
      <c r="E284" s="4" t="n"/>
    </row>
    <row r="285">
      <c r="B285" s="4">
        <f>IFERROR(XLOOKUP(C285,MASTER_REGISTER!E:E,MASTER_REGISTER!C:C,""),"")</f>
        <v/>
      </c>
      <c r="C285" s="4" t="n"/>
      <c r="D285">
        <f>IFERROR(XLOOKUP(C285,MASTER_REGISTER!E:E,MASTER_REGISTER!F:F,""),"")</f>
        <v/>
      </c>
      <c r="E285" s="4" t="n"/>
    </row>
    <row r="286">
      <c r="B286" s="4">
        <f>IFERROR(XLOOKUP(C286,MASTER_REGISTER!E:E,MASTER_REGISTER!C:C,""),"")</f>
        <v/>
      </c>
      <c r="C286" s="4" t="n"/>
      <c r="D286">
        <f>IFERROR(XLOOKUP(C286,MASTER_REGISTER!E:E,MASTER_REGISTER!F:F,""),"")</f>
        <v/>
      </c>
      <c r="E286" s="4" t="n"/>
    </row>
    <row r="287">
      <c r="B287" s="4">
        <f>IFERROR(XLOOKUP(C287,MASTER_REGISTER!E:E,MASTER_REGISTER!C:C,""),"")</f>
        <v/>
      </c>
      <c r="C287" s="4" t="n"/>
      <c r="D287">
        <f>IFERROR(XLOOKUP(C287,MASTER_REGISTER!E:E,MASTER_REGISTER!F:F,""),"")</f>
        <v/>
      </c>
      <c r="E287" s="4" t="n"/>
    </row>
    <row r="288">
      <c r="B288" s="4">
        <f>IFERROR(XLOOKUP(C288,MASTER_REGISTER!E:E,MASTER_REGISTER!C:C,""),"")</f>
        <v/>
      </c>
      <c r="C288" s="4" t="n"/>
      <c r="D288">
        <f>IFERROR(XLOOKUP(C288,MASTER_REGISTER!E:E,MASTER_REGISTER!F:F,""),"")</f>
        <v/>
      </c>
      <c r="E288" s="4" t="n"/>
    </row>
    <row r="289">
      <c r="B289" s="4">
        <f>IFERROR(XLOOKUP(C289,MASTER_REGISTER!E:E,MASTER_REGISTER!C:C,""),"")</f>
        <v/>
      </c>
      <c r="C289" s="4" t="n"/>
      <c r="D289">
        <f>IFERROR(XLOOKUP(C289,MASTER_REGISTER!E:E,MASTER_REGISTER!F:F,""),"")</f>
        <v/>
      </c>
      <c r="E289" s="4" t="n"/>
    </row>
    <row r="290">
      <c r="B290" s="4">
        <f>IFERROR(XLOOKUP(C290,MASTER_REGISTER!E:E,MASTER_REGISTER!C:C,""),"")</f>
        <v/>
      </c>
      <c r="C290" s="4" t="n"/>
      <c r="D290">
        <f>IFERROR(XLOOKUP(C290,MASTER_REGISTER!E:E,MASTER_REGISTER!F:F,""),"")</f>
        <v/>
      </c>
      <c r="E290" s="4" t="n"/>
    </row>
    <row r="291">
      <c r="B291" s="4">
        <f>IFERROR(XLOOKUP(C291,MASTER_REGISTER!E:E,MASTER_REGISTER!C:C,""),"")</f>
        <v/>
      </c>
      <c r="C291" s="4" t="n"/>
      <c r="D291">
        <f>IFERROR(XLOOKUP(C291,MASTER_REGISTER!E:E,MASTER_REGISTER!F:F,""),"")</f>
        <v/>
      </c>
      <c r="E291" s="4" t="n"/>
    </row>
    <row r="292">
      <c r="B292" s="4">
        <f>IFERROR(XLOOKUP(C292,MASTER_REGISTER!E:E,MASTER_REGISTER!C:C,""),"")</f>
        <v/>
      </c>
      <c r="C292" s="4" t="n"/>
      <c r="D292">
        <f>IFERROR(XLOOKUP(C292,MASTER_REGISTER!E:E,MASTER_REGISTER!F:F,""),"")</f>
        <v/>
      </c>
      <c r="E292" s="4" t="n"/>
    </row>
    <row r="293">
      <c r="B293" s="4">
        <f>IFERROR(XLOOKUP(C293,MASTER_REGISTER!E:E,MASTER_REGISTER!C:C,""),"")</f>
        <v/>
      </c>
      <c r="C293" s="4" t="n"/>
      <c r="D293">
        <f>IFERROR(XLOOKUP(C293,MASTER_REGISTER!E:E,MASTER_REGISTER!F:F,""),"")</f>
        <v/>
      </c>
      <c r="E293" s="4" t="n"/>
    </row>
    <row r="294">
      <c r="B294" s="4">
        <f>IFERROR(XLOOKUP(C294,MASTER_REGISTER!E:E,MASTER_REGISTER!C:C,""),"")</f>
        <v/>
      </c>
      <c r="C294" s="4" t="n"/>
      <c r="D294">
        <f>IFERROR(XLOOKUP(C294,MASTER_REGISTER!E:E,MASTER_REGISTER!F:F,""),"")</f>
        <v/>
      </c>
      <c r="E294" s="4" t="n"/>
    </row>
    <row r="295">
      <c r="B295" s="4">
        <f>IFERROR(XLOOKUP(C295,MASTER_REGISTER!E:E,MASTER_REGISTER!C:C,""),"")</f>
        <v/>
      </c>
      <c r="C295" s="4" t="n"/>
      <c r="D295">
        <f>IFERROR(XLOOKUP(C295,MASTER_REGISTER!E:E,MASTER_REGISTER!F:F,""),"")</f>
        <v/>
      </c>
      <c r="E295" s="4" t="n"/>
    </row>
    <row r="296">
      <c r="B296" s="4">
        <f>IFERROR(XLOOKUP(C296,MASTER_REGISTER!E:E,MASTER_REGISTER!C:C,""),"")</f>
        <v/>
      </c>
      <c r="C296" s="4" t="n"/>
      <c r="D296">
        <f>IFERROR(XLOOKUP(C296,MASTER_REGISTER!E:E,MASTER_REGISTER!F:F,""),"")</f>
        <v/>
      </c>
      <c r="E296" s="4" t="n"/>
    </row>
    <row r="297">
      <c r="B297" s="4">
        <f>IFERROR(XLOOKUP(C297,MASTER_REGISTER!E:E,MASTER_REGISTER!C:C,""),"")</f>
        <v/>
      </c>
      <c r="C297" s="4" t="n"/>
      <c r="D297">
        <f>IFERROR(XLOOKUP(C297,MASTER_REGISTER!E:E,MASTER_REGISTER!F:F,""),"")</f>
        <v/>
      </c>
      <c r="E297" s="4" t="n"/>
    </row>
    <row r="298">
      <c r="B298" s="4">
        <f>IFERROR(XLOOKUP(C298,MASTER_REGISTER!E:E,MASTER_REGISTER!C:C,""),"")</f>
        <v/>
      </c>
      <c r="C298" s="4" t="n"/>
      <c r="D298">
        <f>IFERROR(XLOOKUP(C298,MASTER_REGISTER!E:E,MASTER_REGISTER!F:F,""),"")</f>
        <v/>
      </c>
      <c r="E298" s="4" t="n"/>
    </row>
    <row r="299">
      <c r="B299" s="4">
        <f>IFERROR(XLOOKUP(C299,MASTER_REGISTER!E:E,MASTER_REGISTER!C:C,""),"")</f>
        <v/>
      </c>
      <c r="C299" s="4" t="n"/>
      <c r="D299">
        <f>IFERROR(XLOOKUP(C299,MASTER_REGISTER!E:E,MASTER_REGISTER!F:F,""),"")</f>
        <v/>
      </c>
      <c r="E299" s="4" t="n"/>
    </row>
    <row r="300">
      <c r="B300" s="4">
        <f>IFERROR(XLOOKUP(C300,MASTER_REGISTER!E:E,MASTER_REGISTER!C:C,""),"")</f>
        <v/>
      </c>
      <c r="C300" s="4" t="n"/>
      <c r="D300">
        <f>IFERROR(XLOOKUP(C300,MASTER_REGISTER!E:E,MASTER_REGISTER!F:F,""),"")</f>
        <v/>
      </c>
      <c r="E300" s="4" t="n"/>
    </row>
    <row r="301">
      <c r="B301" s="4">
        <f>IFERROR(XLOOKUP(C301,MASTER_REGISTER!E:E,MASTER_REGISTER!C:C,""),"")</f>
        <v/>
      </c>
      <c r="C301" s="4" t="n"/>
      <c r="D301">
        <f>IFERROR(XLOOKUP(C301,MASTER_REGISTER!E:E,MASTER_REGISTER!F:F,""),"")</f>
        <v/>
      </c>
      <c r="E301" s="4" t="n"/>
    </row>
    <row r="302">
      <c r="B302" s="4">
        <f>IFERROR(XLOOKUP(C302,MASTER_REGISTER!E:E,MASTER_REGISTER!C:C,""),"")</f>
        <v/>
      </c>
      <c r="C302" s="4" t="n"/>
      <c r="D302">
        <f>IFERROR(XLOOKUP(C302,MASTER_REGISTER!E:E,MASTER_REGISTER!F:F,""),"")</f>
        <v/>
      </c>
      <c r="E302" s="4" t="n"/>
    </row>
    <row r="303">
      <c r="B303" s="4">
        <f>IFERROR(XLOOKUP(C303,MASTER_REGISTER!E:E,MASTER_REGISTER!C:C,""),"")</f>
        <v/>
      </c>
      <c r="C303" s="4" t="n"/>
      <c r="D303">
        <f>IFERROR(XLOOKUP(C303,MASTER_REGISTER!E:E,MASTER_REGISTER!F:F,""),"")</f>
        <v/>
      </c>
      <c r="E303" s="4" t="n"/>
    </row>
    <row r="304">
      <c r="B304" s="4">
        <f>IFERROR(XLOOKUP(C304,MASTER_REGISTER!E:E,MASTER_REGISTER!C:C,""),"")</f>
        <v/>
      </c>
      <c r="C304" s="4" t="n"/>
      <c r="D304">
        <f>IFERROR(XLOOKUP(C304,MASTER_REGISTER!E:E,MASTER_REGISTER!F:F,""),"")</f>
        <v/>
      </c>
      <c r="E304" s="4" t="n"/>
    </row>
    <row r="305">
      <c r="B305" s="4">
        <f>IFERROR(XLOOKUP(C305,MASTER_REGISTER!E:E,MASTER_REGISTER!C:C,""),"")</f>
        <v/>
      </c>
      <c r="C305" s="4" t="n"/>
      <c r="D305">
        <f>IFERROR(XLOOKUP(C305,MASTER_REGISTER!E:E,MASTER_REGISTER!F:F,""),"")</f>
        <v/>
      </c>
      <c r="E305" s="4" t="n"/>
    </row>
    <row r="306">
      <c r="B306" s="4">
        <f>IFERROR(XLOOKUP(C306,MASTER_REGISTER!E:E,MASTER_REGISTER!C:C,""),"")</f>
        <v/>
      </c>
      <c r="C306" s="4" t="n"/>
      <c r="D306">
        <f>IFERROR(XLOOKUP(C306,MASTER_REGISTER!E:E,MASTER_REGISTER!F:F,""),"")</f>
        <v/>
      </c>
      <c r="E306" s="4" t="n"/>
    </row>
    <row r="307">
      <c r="B307" s="4">
        <f>IFERROR(XLOOKUP(C307,MASTER_REGISTER!E:E,MASTER_REGISTER!C:C,""),"")</f>
        <v/>
      </c>
      <c r="C307" s="4" t="n"/>
      <c r="D307">
        <f>IFERROR(XLOOKUP(C307,MASTER_REGISTER!E:E,MASTER_REGISTER!F:F,""),"")</f>
        <v/>
      </c>
      <c r="E307" s="4" t="n"/>
    </row>
    <row r="308">
      <c r="B308" s="4">
        <f>IFERROR(XLOOKUP(C308,MASTER_REGISTER!E:E,MASTER_REGISTER!C:C,""),"")</f>
        <v/>
      </c>
      <c r="C308" s="4" t="n"/>
      <c r="D308">
        <f>IFERROR(XLOOKUP(C308,MASTER_REGISTER!E:E,MASTER_REGISTER!F:F,""),"")</f>
        <v/>
      </c>
      <c r="E308" s="4" t="n"/>
    </row>
    <row r="309">
      <c r="B309" s="4">
        <f>IFERROR(XLOOKUP(C309,MASTER_REGISTER!E:E,MASTER_REGISTER!C:C,""),"")</f>
        <v/>
      </c>
      <c r="C309" s="4" t="n"/>
      <c r="D309">
        <f>IFERROR(XLOOKUP(C309,MASTER_REGISTER!E:E,MASTER_REGISTER!F:F,""),"")</f>
        <v/>
      </c>
      <c r="E309" s="4" t="n"/>
    </row>
    <row r="310">
      <c r="B310" s="4">
        <f>IFERROR(XLOOKUP(C310,MASTER_REGISTER!E:E,MASTER_REGISTER!C:C,""),"")</f>
        <v/>
      </c>
      <c r="C310" s="4" t="n"/>
      <c r="D310">
        <f>IFERROR(XLOOKUP(C310,MASTER_REGISTER!E:E,MASTER_REGISTER!F:F,""),"")</f>
        <v/>
      </c>
      <c r="E310" s="4" t="n"/>
    </row>
    <row r="311">
      <c r="B311" s="4">
        <f>IFERROR(XLOOKUP(C311,MASTER_REGISTER!E:E,MASTER_REGISTER!C:C,""),"")</f>
        <v/>
      </c>
      <c r="C311" s="4" t="n"/>
      <c r="D311">
        <f>IFERROR(XLOOKUP(C311,MASTER_REGISTER!E:E,MASTER_REGISTER!F:F,""),"")</f>
        <v/>
      </c>
      <c r="E311" s="4" t="n"/>
    </row>
    <row r="312">
      <c r="B312" s="4">
        <f>IFERROR(XLOOKUP(C312,MASTER_REGISTER!E:E,MASTER_REGISTER!C:C,""),"")</f>
        <v/>
      </c>
      <c r="C312" s="4" t="n"/>
      <c r="D312">
        <f>IFERROR(XLOOKUP(C312,MASTER_REGISTER!E:E,MASTER_REGISTER!F:F,""),"")</f>
        <v/>
      </c>
      <c r="E312" s="4" t="n"/>
    </row>
    <row r="313">
      <c r="B313" s="4">
        <f>IFERROR(XLOOKUP(C313,MASTER_REGISTER!E:E,MASTER_REGISTER!C:C,""),"")</f>
        <v/>
      </c>
      <c r="C313" s="4" t="n"/>
      <c r="D313">
        <f>IFERROR(XLOOKUP(C313,MASTER_REGISTER!E:E,MASTER_REGISTER!F:F,""),"")</f>
        <v/>
      </c>
      <c r="E313" s="4" t="n"/>
    </row>
    <row r="314">
      <c r="B314" s="4">
        <f>IFERROR(XLOOKUP(C314,MASTER_REGISTER!E:E,MASTER_REGISTER!C:C,""),"")</f>
        <v/>
      </c>
      <c r="C314" s="4" t="n"/>
      <c r="D314">
        <f>IFERROR(XLOOKUP(C314,MASTER_REGISTER!E:E,MASTER_REGISTER!F:F,""),"")</f>
        <v/>
      </c>
      <c r="E314" s="4" t="n"/>
    </row>
    <row r="315">
      <c r="B315" s="4">
        <f>IFERROR(XLOOKUP(C315,MASTER_REGISTER!E:E,MASTER_REGISTER!C:C,""),"")</f>
        <v/>
      </c>
      <c r="C315" s="4" t="n"/>
      <c r="D315">
        <f>IFERROR(XLOOKUP(C315,MASTER_REGISTER!E:E,MASTER_REGISTER!F:F,""),"")</f>
        <v/>
      </c>
      <c r="E315" s="4" t="n"/>
    </row>
    <row r="316">
      <c r="B316" s="4">
        <f>IFERROR(XLOOKUP(C316,MASTER_REGISTER!E:E,MASTER_REGISTER!C:C,""),"")</f>
        <v/>
      </c>
      <c r="C316" s="4" t="n"/>
      <c r="D316">
        <f>IFERROR(XLOOKUP(C316,MASTER_REGISTER!E:E,MASTER_REGISTER!F:F,""),"")</f>
        <v/>
      </c>
      <c r="E316" s="4" t="n"/>
    </row>
    <row r="317">
      <c r="B317" s="4">
        <f>IFERROR(XLOOKUP(C317,MASTER_REGISTER!E:E,MASTER_REGISTER!C:C,""),"")</f>
        <v/>
      </c>
      <c r="C317" s="4" t="n"/>
      <c r="D317">
        <f>IFERROR(XLOOKUP(C317,MASTER_REGISTER!E:E,MASTER_REGISTER!F:F,""),"")</f>
        <v/>
      </c>
      <c r="E317" s="4" t="n"/>
    </row>
    <row r="318">
      <c r="B318" s="4">
        <f>IFERROR(XLOOKUP(C318,MASTER_REGISTER!E:E,MASTER_REGISTER!C:C,""),"")</f>
        <v/>
      </c>
      <c r="C318" s="4" t="n"/>
      <c r="D318">
        <f>IFERROR(XLOOKUP(C318,MASTER_REGISTER!E:E,MASTER_REGISTER!F:F,""),"")</f>
        <v/>
      </c>
      <c r="E318" s="4" t="n"/>
    </row>
    <row r="319">
      <c r="B319" s="4">
        <f>IFERROR(XLOOKUP(C319,MASTER_REGISTER!E:E,MASTER_REGISTER!C:C,""),"")</f>
        <v/>
      </c>
      <c r="C319" s="4" t="n"/>
      <c r="D319">
        <f>IFERROR(XLOOKUP(C319,MASTER_REGISTER!E:E,MASTER_REGISTER!F:F,""),"")</f>
        <v/>
      </c>
      <c r="E319" s="4" t="n"/>
    </row>
    <row r="320">
      <c r="B320" s="4">
        <f>IFERROR(XLOOKUP(C320,MASTER_REGISTER!E:E,MASTER_REGISTER!C:C,""),"")</f>
        <v/>
      </c>
      <c r="C320" s="4" t="n"/>
      <c r="D320">
        <f>IFERROR(XLOOKUP(C320,MASTER_REGISTER!E:E,MASTER_REGISTER!F:F,""),"")</f>
        <v/>
      </c>
      <c r="E320" s="4" t="n"/>
    </row>
    <row r="321">
      <c r="B321" s="4">
        <f>IFERROR(XLOOKUP(C321,MASTER_REGISTER!E:E,MASTER_REGISTER!C:C,""),"")</f>
        <v/>
      </c>
      <c r="C321" s="4" t="n"/>
      <c r="D321">
        <f>IFERROR(XLOOKUP(C321,MASTER_REGISTER!E:E,MASTER_REGISTER!F:F,""),"")</f>
        <v/>
      </c>
      <c r="E321" s="4" t="n"/>
    </row>
    <row r="322">
      <c r="B322" s="4">
        <f>IFERROR(XLOOKUP(C322,MASTER_REGISTER!E:E,MASTER_REGISTER!C:C,""),"")</f>
        <v/>
      </c>
      <c r="C322" s="4" t="n"/>
      <c r="D322">
        <f>IFERROR(XLOOKUP(C322,MASTER_REGISTER!E:E,MASTER_REGISTER!F:F,""),"")</f>
        <v/>
      </c>
      <c r="E322" s="4" t="n"/>
    </row>
    <row r="323">
      <c r="B323" s="4">
        <f>IFERROR(XLOOKUP(C323,MASTER_REGISTER!E:E,MASTER_REGISTER!C:C,""),"")</f>
        <v/>
      </c>
      <c r="C323" s="4" t="n"/>
      <c r="D323">
        <f>IFERROR(XLOOKUP(C323,MASTER_REGISTER!E:E,MASTER_REGISTER!F:F,""),"")</f>
        <v/>
      </c>
      <c r="E323" s="4" t="n"/>
    </row>
    <row r="324">
      <c r="B324" s="4">
        <f>IFERROR(XLOOKUP(C324,MASTER_REGISTER!E:E,MASTER_REGISTER!C:C,""),"")</f>
        <v/>
      </c>
      <c r="C324" s="4" t="n"/>
      <c r="D324">
        <f>IFERROR(XLOOKUP(C324,MASTER_REGISTER!E:E,MASTER_REGISTER!F:F,""),"")</f>
        <v/>
      </c>
      <c r="E324" s="4" t="n"/>
    </row>
    <row r="325">
      <c r="B325" s="4">
        <f>IFERROR(XLOOKUP(C325,MASTER_REGISTER!E:E,MASTER_REGISTER!C:C,""),"")</f>
        <v/>
      </c>
      <c r="C325" s="4" t="n"/>
      <c r="D325">
        <f>IFERROR(XLOOKUP(C325,MASTER_REGISTER!E:E,MASTER_REGISTER!F:F,""),"")</f>
        <v/>
      </c>
      <c r="E325" s="4" t="n"/>
    </row>
    <row r="326">
      <c r="B326" s="4">
        <f>IFERROR(XLOOKUP(C326,MASTER_REGISTER!E:E,MASTER_REGISTER!C:C,""),"")</f>
        <v/>
      </c>
      <c r="C326" s="4" t="n"/>
      <c r="D326">
        <f>IFERROR(XLOOKUP(C326,MASTER_REGISTER!E:E,MASTER_REGISTER!F:F,""),"")</f>
        <v/>
      </c>
      <c r="E326" s="4" t="n"/>
    </row>
    <row r="327">
      <c r="B327" s="4">
        <f>IFERROR(XLOOKUP(C327,MASTER_REGISTER!E:E,MASTER_REGISTER!C:C,""),"")</f>
        <v/>
      </c>
      <c r="C327" s="4" t="n"/>
      <c r="D327">
        <f>IFERROR(XLOOKUP(C327,MASTER_REGISTER!E:E,MASTER_REGISTER!F:F,""),"")</f>
        <v/>
      </c>
      <c r="E327" s="4" t="n"/>
    </row>
    <row r="328">
      <c r="B328" s="4">
        <f>IFERROR(XLOOKUP(C328,MASTER_REGISTER!E:E,MASTER_REGISTER!C:C,""),"")</f>
        <v/>
      </c>
      <c r="C328" s="4" t="n"/>
      <c r="D328">
        <f>IFERROR(XLOOKUP(C328,MASTER_REGISTER!E:E,MASTER_REGISTER!F:F,""),"")</f>
        <v/>
      </c>
      <c r="E328" s="4" t="n"/>
    </row>
    <row r="329">
      <c r="B329" s="4">
        <f>IFERROR(XLOOKUP(C329,MASTER_REGISTER!E:E,MASTER_REGISTER!C:C,""),"")</f>
        <v/>
      </c>
      <c r="C329" s="4" t="n"/>
      <c r="D329">
        <f>IFERROR(XLOOKUP(C329,MASTER_REGISTER!E:E,MASTER_REGISTER!F:F,""),"")</f>
        <v/>
      </c>
      <c r="E329" s="4" t="n"/>
    </row>
    <row r="330">
      <c r="B330" s="4">
        <f>IFERROR(XLOOKUP(C330,MASTER_REGISTER!E:E,MASTER_REGISTER!C:C,""),"")</f>
        <v/>
      </c>
      <c r="C330" s="4" t="n"/>
      <c r="D330">
        <f>IFERROR(XLOOKUP(C330,MASTER_REGISTER!E:E,MASTER_REGISTER!F:F,""),"")</f>
        <v/>
      </c>
      <c r="E330" s="4" t="n"/>
    </row>
    <row r="331">
      <c r="B331" s="4">
        <f>IFERROR(XLOOKUP(C331,MASTER_REGISTER!E:E,MASTER_REGISTER!C:C,""),"")</f>
        <v/>
      </c>
      <c r="C331" s="4" t="n"/>
      <c r="D331">
        <f>IFERROR(XLOOKUP(C331,MASTER_REGISTER!E:E,MASTER_REGISTER!F:F,""),"")</f>
        <v/>
      </c>
      <c r="E331" s="4" t="n"/>
    </row>
    <row r="332">
      <c r="B332" s="4">
        <f>IFERROR(XLOOKUP(C332,MASTER_REGISTER!E:E,MASTER_REGISTER!C:C,""),"")</f>
        <v/>
      </c>
      <c r="C332" s="4" t="n"/>
      <c r="D332">
        <f>IFERROR(XLOOKUP(C332,MASTER_REGISTER!E:E,MASTER_REGISTER!F:F,""),"")</f>
        <v/>
      </c>
      <c r="E332" s="4" t="n"/>
    </row>
    <row r="333">
      <c r="B333" s="4">
        <f>IFERROR(XLOOKUP(C333,MASTER_REGISTER!E:E,MASTER_REGISTER!C:C,""),"")</f>
        <v/>
      </c>
      <c r="C333" s="4" t="n"/>
      <c r="D333">
        <f>IFERROR(XLOOKUP(C333,MASTER_REGISTER!E:E,MASTER_REGISTER!F:F,""),"")</f>
        <v/>
      </c>
      <c r="E333" s="4" t="n"/>
    </row>
    <row r="334">
      <c r="B334" s="4">
        <f>IFERROR(XLOOKUP(C334,MASTER_REGISTER!E:E,MASTER_REGISTER!C:C,""),"")</f>
        <v/>
      </c>
      <c r="C334" s="4" t="n"/>
      <c r="D334">
        <f>IFERROR(XLOOKUP(C334,MASTER_REGISTER!E:E,MASTER_REGISTER!F:F,""),"")</f>
        <v/>
      </c>
      <c r="E334" s="4" t="n"/>
    </row>
    <row r="335">
      <c r="B335" s="4">
        <f>IFERROR(XLOOKUP(C335,MASTER_REGISTER!E:E,MASTER_REGISTER!C:C,""),"")</f>
        <v/>
      </c>
      <c r="C335" s="4" t="n"/>
      <c r="D335">
        <f>IFERROR(XLOOKUP(C335,MASTER_REGISTER!E:E,MASTER_REGISTER!F:F,""),"")</f>
        <v/>
      </c>
      <c r="E335" s="4" t="n"/>
    </row>
    <row r="336">
      <c r="B336" s="4">
        <f>IFERROR(XLOOKUP(C336,MASTER_REGISTER!E:E,MASTER_REGISTER!C:C,""),"")</f>
        <v/>
      </c>
      <c r="C336" s="4" t="n"/>
      <c r="D336">
        <f>IFERROR(XLOOKUP(C336,MASTER_REGISTER!E:E,MASTER_REGISTER!F:F,""),"")</f>
        <v/>
      </c>
      <c r="E336" s="4" t="n"/>
    </row>
    <row r="337">
      <c r="B337" s="4">
        <f>IFERROR(XLOOKUP(C337,MASTER_REGISTER!E:E,MASTER_REGISTER!C:C,""),"")</f>
        <v/>
      </c>
      <c r="C337" s="4" t="n"/>
      <c r="D337">
        <f>IFERROR(XLOOKUP(C337,MASTER_REGISTER!E:E,MASTER_REGISTER!F:F,""),"")</f>
        <v/>
      </c>
      <c r="E337" s="4" t="n"/>
    </row>
    <row r="338">
      <c r="B338" s="4">
        <f>IFERROR(XLOOKUP(C338,MASTER_REGISTER!E:E,MASTER_REGISTER!C:C,""),"")</f>
        <v/>
      </c>
      <c r="C338" s="4" t="n"/>
      <c r="D338">
        <f>IFERROR(XLOOKUP(C338,MASTER_REGISTER!E:E,MASTER_REGISTER!F:F,""),"")</f>
        <v/>
      </c>
      <c r="E338" s="4" t="n"/>
    </row>
    <row r="339">
      <c r="B339" s="4">
        <f>IFERROR(XLOOKUP(C339,MASTER_REGISTER!E:E,MASTER_REGISTER!C:C,""),"")</f>
        <v/>
      </c>
      <c r="C339" s="4" t="n"/>
      <c r="D339">
        <f>IFERROR(XLOOKUP(C339,MASTER_REGISTER!E:E,MASTER_REGISTER!F:F,""),"")</f>
        <v/>
      </c>
      <c r="E339" s="4" t="n"/>
    </row>
    <row r="340">
      <c r="B340" s="4">
        <f>IFERROR(XLOOKUP(C340,MASTER_REGISTER!E:E,MASTER_REGISTER!C:C,""),"")</f>
        <v/>
      </c>
      <c r="C340" s="4" t="n"/>
      <c r="D340">
        <f>IFERROR(XLOOKUP(C340,MASTER_REGISTER!E:E,MASTER_REGISTER!F:F,""),"")</f>
        <v/>
      </c>
      <c r="E340" s="4" t="n"/>
    </row>
    <row r="341">
      <c r="B341" s="4">
        <f>IFERROR(XLOOKUP(C341,MASTER_REGISTER!E:E,MASTER_REGISTER!C:C,""),"")</f>
        <v/>
      </c>
      <c r="C341" s="4" t="n"/>
      <c r="D341">
        <f>IFERROR(XLOOKUP(C341,MASTER_REGISTER!E:E,MASTER_REGISTER!F:F,""),"")</f>
        <v/>
      </c>
      <c r="E341" s="4" t="n"/>
    </row>
    <row r="342">
      <c r="B342" s="4">
        <f>IFERROR(XLOOKUP(C342,MASTER_REGISTER!E:E,MASTER_REGISTER!C:C,""),"")</f>
        <v/>
      </c>
      <c r="C342" s="4" t="n"/>
      <c r="D342">
        <f>IFERROR(XLOOKUP(C342,MASTER_REGISTER!E:E,MASTER_REGISTER!F:F,""),"")</f>
        <v/>
      </c>
      <c r="E342" s="4" t="n"/>
    </row>
    <row r="343">
      <c r="B343" s="4">
        <f>IFERROR(XLOOKUP(C343,MASTER_REGISTER!E:E,MASTER_REGISTER!C:C,""),"")</f>
        <v/>
      </c>
      <c r="C343" s="4" t="n"/>
      <c r="D343">
        <f>IFERROR(XLOOKUP(C343,MASTER_REGISTER!E:E,MASTER_REGISTER!F:F,""),"")</f>
        <v/>
      </c>
      <c r="E343" s="4" t="n"/>
    </row>
    <row r="344">
      <c r="B344" s="4">
        <f>IFERROR(XLOOKUP(C344,MASTER_REGISTER!E:E,MASTER_REGISTER!C:C,""),"")</f>
        <v/>
      </c>
      <c r="C344" s="4" t="n"/>
      <c r="D344">
        <f>IFERROR(XLOOKUP(C344,MASTER_REGISTER!E:E,MASTER_REGISTER!F:F,""),"")</f>
        <v/>
      </c>
      <c r="E344" s="4" t="n"/>
    </row>
    <row r="345">
      <c r="B345" s="4">
        <f>IFERROR(XLOOKUP(C345,MASTER_REGISTER!E:E,MASTER_REGISTER!C:C,""),"")</f>
        <v/>
      </c>
      <c r="C345" s="4" t="n"/>
      <c r="D345">
        <f>IFERROR(XLOOKUP(C345,MASTER_REGISTER!E:E,MASTER_REGISTER!F:F,""),"")</f>
        <v/>
      </c>
      <c r="E345" s="4" t="n"/>
    </row>
    <row r="346">
      <c r="B346" s="4">
        <f>IFERROR(XLOOKUP(C346,MASTER_REGISTER!E:E,MASTER_REGISTER!C:C,""),"")</f>
        <v/>
      </c>
      <c r="C346" s="4" t="n"/>
      <c r="D346">
        <f>IFERROR(XLOOKUP(C346,MASTER_REGISTER!E:E,MASTER_REGISTER!F:F,""),"")</f>
        <v/>
      </c>
      <c r="E346" s="4" t="n"/>
    </row>
    <row r="347">
      <c r="B347" s="4">
        <f>IFERROR(XLOOKUP(C347,MASTER_REGISTER!E:E,MASTER_REGISTER!C:C,""),"")</f>
        <v/>
      </c>
      <c r="C347" s="4" t="n"/>
      <c r="D347">
        <f>IFERROR(XLOOKUP(C347,MASTER_REGISTER!E:E,MASTER_REGISTER!F:F,""),"")</f>
        <v/>
      </c>
      <c r="E347" s="4" t="n"/>
    </row>
    <row r="348">
      <c r="B348" s="4">
        <f>IFERROR(XLOOKUP(C348,MASTER_REGISTER!E:E,MASTER_REGISTER!C:C,""),"")</f>
        <v/>
      </c>
      <c r="C348" s="4" t="n"/>
      <c r="D348">
        <f>IFERROR(XLOOKUP(C348,MASTER_REGISTER!E:E,MASTER_REGISTER!F:F,""),"")</f>
        <v/>
      </c>
      <c r="E348" s="4" t="n"/>
    </row>
    <row r="349">
      <c r="B349" s="4">
        <f>IFERROR(XLOOKUP(C349,MASTER_REGISTER!E:E,MASTER_REGISTER!C:C,""),"")</f>
        <v/>
      </c>
      <c r="C349" s="4" t="n"/>
      <c r="D349">
        <f>IFERROR(XLOOKUP(C349,MASTER_REGISTER!E:E,MASTER_REGISTER!F:F,""),"")</f>
        <v/>
      </c>
      <c r="E349" s="4" t="n"/>
    </row>
    <row r="350">
      <c r="B350" s="4">
        <f>IFERROR(XLOOKUP(C350,MASTER_REGISTER!E:E,MASTER_REGISTER!C:C,""),"")</f>
        <v/>
      </c>
      <c r="C350" s="4" t="n"/>
      <c r="D350">
        <f>IFERROR(XLOOKUP(C350,MASTER_REGISTER!E:E,MASTER_REGISTER!F:F,""),"")</f>
        <v/>
      </c>
      <c r="E350" s="4" t="n"/>
    </row>
    <row r="351">
      <c r="B351" s="4">
        <f>IFERROR(XLOOKUP(C351,MASTER_REGISTER!E:E,MASTER_REGISTER!C:C,""),"")</f>
        <v/>
      </c>
      <c r="C351" s="4" t="n"/>
      <c r="D351">
        <f>IFERROR(XLOOKUP(C351,MASTER_REGISTER!E:E,MASTER_REGISTER!F:F,""),"")</f>
        <v/>
      </c>
      <c r="E351" s="4" t="n"/>
    </row>
    <row r="352">
      <c r="B352" s="4">
        <f>IFERROR(XLOOKUP(C352,MASTER_REGISTER!E:E,MASTER_REGISTER!C:C,""),"")</f>
        <v/>
      </c>
      <c r="C352" s="4" t="n"/>
      <c r="D352">
        <f>IFERROR(XLOOKUP(C352,MASTER_REGISTER!E:E,MASTER_REGISTER!F:F,""),"")</f>
        <v/>
      </c>
      <c r="E352" s="4" t="n"/>
    </row>
    <row r="353">
      <c r="B353" s="4">
        <f>IFERROR(XLOOKUP(C353,MASTER_REGISTER!E:E,MASTER_REGISTER!C:C,""),"")</f>
        <v/>
      </c>
      <c r="C353" s="4" t="n"/>
      <c r="D353">
        <f>IFERROR(XLOOKUP(C353,MASTER_REGISTER!E:E,MASTER_REGISTER!F:F,""),"")</f>
        <v/>
      </c>
      <c r="E353" s="4" t="n"/>
    </row>
    <row r="354">
      <c r="B354" s="4">
        <f>IFERROR(XLOOKUP(C354,MASTER_REGISTER!E:E,MASTER_REGISTER!C:C,""),"")</f>
        <v/>
      </c>
      <c r="C354" s="4" t="n"/>
      <c r="D354">
        <f>IFERROR(XLOOKUP(C354,MASTER_REGISTER!E:E,MASTER_REGISTER!F:F,""),"")</f>
        <v/>
      </c>
      <c r="E354" s="4" t="n"/>
    </row>
    <row r="355">
      <c r="B355" s="4">
        <f>IFERROR(XLOOKUP(C355,MASTER_REGISTER!E:E,MASTER_REGISTER!C:C,""),"")</f>
        <v/>
      </c>
      <c r="C355" s="4" t="n"/>
      <c r="D355">
        <f>IFERROR(XLOOKUP(C355,MASTER_REGISTER!E:E,MASTER_REGISTER!F:F,""),"")</f>
        <v/>
      </c>
      <c r="E355" s="4" t="n"/>
    </row>
    <row r="356">
      <c r="B356" s="4">
        <f>IFERROR(XLOOKUP(C356,MASTER_REGISTER!E:E,MASTER_REGISTER!C:C,""),"")</f>
        <v/>
      </c>
      <c r="C356" s="4" t="n"/>
      <c r="D356">
        <f>IFERROR(XLOOKUP(C356,MASTER_REGISTER!E:E,MASTER_REGISTER!F:F,""),"")</f>
        <v/>
      </c>
      <c r="E356" s="4" t="n"/>
    </row>
    <row r="357">
      <c r="B357" s="4">
        <f>IFERROR(XLOOKUP(C357,MASTER_REGISTER!E:E,MASTER_REGISTER!C:C,""),"")</f>
        <v/>
      </c>
      <c r="C357" s="4" t="n"/>
      <c r="D357">
        <f>IFERROR(XLOOKUP(C357,MASTER_REGISTER!E:E,MASTER_REGISTER!F:F,""),"")</f>
        <v/>
      </c>
      <c r="E357" s="4" t="n"/>
    </row>
    <row r="358">
      <c r="B358" s="4">
        <f>IFERROR(XLOOKUP(C358,MASTER_REGISTER!E:E,MASTER_REGISTER!C:C,""),"")</f>
        <v/>
      </c>
      <c r="C358" s="4" t="n"/>
      <c r="D358">
        <f>IFERROR(XLOOKUP(C358,MASTER_REGISTER!E:E,MASTER_REGISTER!F:F,""),"")</f>
        <v/>
      </c>
      <c r="E358" s="4" t="n"/>
    </row>
    <row r="359">
      <c r="B359" s="4">
        <f>IFERROR(XLOOKUP(C359,MASTER_REGISTER!E:E,MASTER_REGISTER!C:C,""),"")</f>
        <v/>
      </c>
      <c r="C359" s="4" t="n"/>
      <c r="D359">
        <f>IFERROR(XLOOKUP(C359,MASTER_REGISTER!E:E,MASTER_REGISTER!F:F,""),"")</f>
        <v/>
      </c>
      <c r="E359" s="4" t="n"/>
    </row>
    <row r="360">
      <c r="B360" s="4">
        <f>IFERROR(XLOOKUP(C360,MASTER_REGISTER!E:E,MASTER_REGISTER!C:C,""),"")</f>
        <v/>
      </c>
      <c r="C360" s="4" t="n"/>
      <c r="D360">
        <f>IFERROR(XLOOKUP(C360,MASTER_REGISTER!E:E,MASTER_REGISTER!F:F,""),"")</f>
        <v/>
      </c>
      <c r="E360" s="4" t="n"/>
    </row>
    <row r="361">
      <c r="B361" s="4">
        <f>IFERROR(XLOOKUP(C361,MASTER_REGISTER!E:E,MASTER_REGISTER!C:C,""),"")</f>
        <v/>
      </c>
      <c r="C361" s="4" t="n"/>
      <c r="D361">
        <f>IFERROR(XLOOKUP(C361,MASTER_REGISTER!E:E,MASTER_REGISTER!F:F,""),"")</f>
        <v/>
      </c>
      <c r="E361" s="4" t="n"/>
    </row>
    <row r="362">
      <c r="B362" s="4">
        <f>IFERROR(XLOOKUP(C362,MASTER_REGISTER!E:E,MASTER_REGISTER!C:C,""),"")</f>
        <v/>
      </c>
      <c r="C362" s="4" t="n"/>
      <c r="D362">
        <f>IFERROR(XLOOKUP(C362,MASTER_REGISTER!E:E,MASTER_REGISTER!F:F,""),"")</f>
        <v/>
      </c>
      <c r="E362" s="4" t="n"/>
    </row>
    <row r="363">
      <c r="B363" s="4">
        <f>IFERROR(XLOOKUP(C363,MASTER_REGISTER!E:E,MASTER_REGISTER!C:C,""),"")</f>
        <v/>
      </c>
      <c r="C363" s="4" t="n"/>
      <c r="D363">
        <f>IFERROR(XLOOKUP(C363,MASTER_REGISTER!E:E,MASTER_REGISTER!F:F,""),"")</f>
        <v/>
      </c>
      <c r="E363" s="4" t="n"/>
    </row>
    <row r="364">
      <c r="B364" s="4">
        <f>IFERROR(XLOOKUP(C364,MASTER_REGISTER!E:E,MASTER_REGISTER!C:C,""),"")</f>
        <v/>
      </c>
      <c r="C364" s="4" t="n"/>
      <c r="D364">
        <f>IFERROR(XLOOKUP(C364,MASTER_REGISTER!E:E,MASTER_REGISTER!F:F,""),"")</f>
        <v/>
      </c>
      <c r="E364" s="4" t="n"/>
    </row>
    <row r="365">
      <c r="B365" s="4">
        <f>IFERROR(XLOOKUP(C365,MASTER_REGISTER!E:E,MASTER_REGISTER!C:C,""),"")</f>
        <v/>
      </c>
      <c r="C365" s="4" t="n"/>
      <c r="D365">
        <f>IFERROR(XLOOKUP(C365,MASTER_REGISTER!E:E,MASTER_REGISTER!F:F,""),"")</f>
        <v/>
      </c>
      <c r="E365" s="4" t="n"/>
    </row>
    <row r="366">
      <c r="B366" s="4">
        <f>IFERROR(XLOOKUP(C366,MASTER_REGISTER!E:E,MASTER_REGISTER!C:C,""),"")</f>
        <v/>
      </c>
      <c r="C366" s="4" t="n"/>
      <c r="D366">
        <f>IFERROR(XLOOKUP(C366,MASTER_REGISTER!E:E,MASTER_REGISTER!F:F,""),"")</f>
        <v/>
      </c>
      <c r="E366" s="4" t="n"/>
    </row>
    <row r="367">
      <c r="B367" s="4">
        <f>IFERROR(XLOOKUP(C367,MASTER_REGISTER!E:E,MASTER_REGISTER!C:C,""),"")</f>
        <v/>
      </c>
      <c r="C367" s="4" t="n"/>
      <c r="D367">
        <f>IFERROR(XLOOKUP(C367,MASTER_REGISTER!E:E,MASTER_REGISTER!F:F,""),"")</f>
        <v/>
      </c>
      <c r="E367" s="4" t="n"/>
    </row>
    <row r="368">
      <c r="B368" s="4">
        <f>IFERROR(XLOOKUP(C368,MASTER_REGISTER!E:E,MASTER_REGISTER!C:C,""),"")</f>
        <v/>
      </c>
      <c r="C368" s="4" t="n"/>
      <c r="D368">
        <f>IFERROR(XLOOKUP(C368,MASTER_REGISTER!E:E,MASTER_REGISTER!F:F,""),"")</f>
        <v/>
      </c>
      <c r="E368" s="4" t="n"/>
    </row>
    <row r="369">
      <c r="B369" s="4">
        <f>IFERROR(XLOOKUP(C369,MASTER_REGISTER!E:E,MASTER_REGISTER!C:C,""),"")</f>
        <v/>
      </c>
      <c r="C369" s="4" t="n"/>
      <c r="D369">
        <f>IFERROR(XLOOKUP(C369,MASTER_REGISTER!E:E,MASTER_REGISTER!F:F,""),"")</f>
        <v/>
      </c>
      <c r="E369" s="4" t="n"/>
    </row>
    <row r="370">
      <c r="B370" s="4">
        <f>IFERROR(XLOOKUP(C370,MASTER_REGISTER!E:E,MASTER_REGISTER!C:C,""),"")</f>
        <v/>
      </c>
      <c r="C370" s="4" t="n"/>
      <c r="D370">
        <f>IFERROR(XLOOKUP(C370,MASTER_REGISTER!E:E,MASTER_REGISTER!F:F,""),"")</f>
        <v/>
      </c>
      <c r="E370" s="4" t="n"/>
    </row>
    <row r="371">
      <c r="B371" s="4">
        <f>IFERROR(XLOOKUP(C371,MASTER_REGISTER!E:E,MASTER_REGISTER!C:C,""),"")</f>
        <v/>
      </c>
      <c r="C371" s="4" t="n"/>
      <c r="D371">
        <f>IFERROR(XLOOKUP(C371,MASTER_REGISTER!E:E,MASTER_REGISTER!F:F,""),"")</f>
        <v/>
      </c>
      <c r="E371" s="4" t="n"/>
    </row>
    <row r="372">
      <c r="B372" s="4">
        <f>IFERROR(XLOOKUP(C372,MASTER_REGISTER!E:E,MASTER_REGISTER!C:C,""),"")</f>
        <v/>
      </c>
      <c r="C372" s="4" t="n"/>
      <c r="D372">
        <f>IFERROR(XLOOKUP(C372,MASTER_REGISTER!E:E,MASTER_REGISTER!F:F,""),"")</f>
        <v/>
      </c>
      <c r="E372" s="4" t="n"/>
    </row>
    <row r="373">
      <c r="B373" s="4">
        <f>IFERROR(XLOOKUP(C373,MASTER_REGISTER!E:E,MASTER_REGISTER!C:C,""),"")</f>
        <v/>
      </c>
      <c r="C373" s="4" t="n"/>
      <c r="D373">
        <f>IFERROR(XLOOKUP(C373,MASTER_REGISTER!E:E,MASTER_REGISTER!F:F,""),"")</f>
        <v/>
      </c>
      <c r="E373" s="4" t="n"/>
    </row>
    <row r="374">
      <c r="B374" s="4">
        <f>IFERROR(XLOOKUP(C374,MASTER_REGISTER!E:E,MASTER_REGISTER!C:C,""),"")</f>
        <v/>
      </c>
      <c r="C374" s="4" t="n"/>
      <c r="D374">
        <f>IFERROR(XLOOKUP(C374,MASTER_REGISTER!E:E,MASTER_REGISTER!F:F,""),"")</f>
        <v/>
      </c>
      <c r="E374" s="4" t="n"/>
    </row>
    <row r="375">
      <c r="B375" s="4">
        <f>IFERROR(XLOOKUP(C375,MASTER_REGISTER!E:E,MASTER_REGISTER!C:C,""),"")</f>
        <v/>
      </c>
      <c r="C375" s="4" t="n"/>
      <c r="D375">
        <f>IFERROR(XLOOKUP(C375,MASTER_REGISTER!E:E,MASTER_REGISTER!F:F,""),"")</f>
        <v/>
      </c>
      <c r="E375" s="4" t="n"/>
    </row>
    <row r="376">
      <c r="B376" s="4">
        <f>IFERROR(XLOOKUP(C376,MASTER_REGISTER!E:E,MASTER_REGISTER!C:C,""),"")</f>
        <v/>
      </c>
      <c r="C376" s="4" t="n"/>
      <c r="D376">
        <f>IFERROR(XLOOKUP(C376,MASTER_REGISTER!E:E,MASTER_REGISTER!F:F,""),"")</f>
        <v/>
      </c>
      <c r="E376" s="4" t="n"/>
    </row>
    <row r="377">
      <c r="B377" s="4">
        <f>IFERROR(XLOOKUP(C377,MASTER_REGISTER!E:E,MASTER_REGISTER!C:C,""),"")</f>
        <v/>
      </c>
      <c r="C377" s="4" t="n"/>
      <c r="D377">
        <f>IFERROR(XLOOKUP(C377,MASTER_REGISTER!E:E,MASTER_REGISTER!F:F,""),"")</f>
        <v/>
      </c>
      <c r="E377" s="4" t="n"/>
    </row>
    <row r="378">
      <c r="B378" s="4">
        <f>IFERROR(XLOOKUP(C378,MASTER_REGISTER!E:E,MASTER_REGISTER!C:C,""),"")</f>
        <v/>
      </c>
      <c r="C378" s="4" t="n"/>
      <c r="D378">
        <f>IFERROR(XLOOKUP(C378,MASTER_REGISTER!E:E,MASTER_REGISTER!F:F,""),"")</f>
        <v/>
      </c>
      <c r="E378" s="4" t="n"/>
    </row>
    <row r="379">
      <c r="B379" s="4">
        <f>IFERROR(XLOOKUP(C379,MASTER_REGISTER!E:E,MASTER_REGISTER!C:C,""),"")</f>
        <v/>
      </c>
      <c r="C379" s="4" t="n"/>
      <c r="D379">
        <f>IFERROR(XLOOKUP(C379,MASTER_REGISTER!E:E,MASTER_REGISTER!F:F,""),"")</f>
        <v/>
      </c>
      <c r="E379" s="4" t="n"/>
    </row>
    <row r="380">
      <c r="B380" s="4">
        <f>IFERROR(XLOOKUP(C380,MASTER_REGISTER!E:E,MASTER_REGISTER!C:C,""),"")</f>
        <v/>
      </c>
      <c r="C380" s="4" t="n"/>
      <c r="D380">
        <f>IFERROR(XLOOKUP(C380,MASTER_REGISTER!E:E,MASTER_REGISTER!F:F,""),"")</f>
        <v/>
      </c>
      <c r="E380" s="4" t="n"/>
    </row>
    <row r="381">
      <c r="B381" s="4">
        <f>IFERROR(XLOOKUP(C381,MASTER_REGISTER!E:E,MASTER_REGISTER!C:C,""),"")</f>
        <v/>
      </c>
      <c r="C381" s="4" t="n"/>
      <c r="D381">
        <f>IFERROR(XLOOKUP(C381,MASTER_REGISTER!E:E,MASTER_REGISTER!F:F,""),"")</f>
        <v/>
      </c>
      <c r="E381" s="4" t="n"/>
    </row>
    <row r="382">
      <c r="B382" s="4">
        <f>IFERROR(XLOOKUP(C382,MASTER_REGISTER!E:E,MASTER_REGISTER!C:C,""),"")</f>
        <v/>
      </c>
      <c r="C382" s="4" t="n"/>
      <c r="D382">
        <f>IFERROR(XLOOKUP(C382,MASTER_REGISTER!E:E,MASTER_REGISTER!F:F,""),"")</f>
        <v/>
      </c>
      <c r="E382" s="4" t="n"/>
    </row>
    <row r="383">
      <c r="B383" s="4">
        <f>IFERROR(XLOOKUP(C383,MASTER_REGISTER!E:E,MASTER_REGISTER!C:C,""),"")</f>
        <v/>
      </c>
      <c r="C383" s="4" t="n"/>
      <c r="D383">
        <f>IFERROR(XLOOKUP(C383,MASTER_REGISTER!E:E,MASTER_REGISTER!F:F,""),"")</f>
        <v/>
      </c>
      <c r="E383" s="4" t="n"/>
    </row>
    <row r="384">
      <c r="B384" s="4">
        <f>IFERROR(XLOOKUP(C384,MASTER_REGISTER!E:E,MASTER_REGISTER!C:C,""),"")</f>
        <v/>
      </c>
      <c r="C384" s="4" t="n"/>
      <c r="D384">
        <f>IFERROR(XLOOKUP(C384,MASTER_REGISTER!E:E,MASTER_REGISTER!F:F,""),"")</f>
        <v/>
      </c>
      <c r="E384" s="4" t="n"/>
    </row>
    <row r="385">
      <c r="B385" s="4">
        <f>IFERROR(XLOOKUP(C385,MASTER_REGISTER!E:E,MASTER_REGISTER!C:C,""),"")</f>
        <v/>
      </c>
      <c r="C385" s="4" t="n"/>
      <c r="D385">
        <f>IFERROR(XLOOKUP(C385,MASTER_REGISTER!E:E,MASTER_REGISTER!F:F,""),"")</f>
        <v/>
      </c>
      <c r="E385" s="4" t="n"/>
    </row>
    <row r="386">
      <c r="B386" s="4">
        <f>IFERROR(XLOOKUP(C386,MASTER_REGISTER!E:E,MASTER_REGISTER!C:C,""),"")</f>
        <v/>
      </c>
      <c r="C386" s="4" t="n"/>
      <c r="D386">
        <f>IFERROR(XLOOKUP(C386,MASTER_REGISTER!E:E,MASTER_REGISTER!F:F,""),"")</f>
        <v/>
      </c>
      <c r="E386" s="4" t="n"/>
    </row>
    <row r="387">
      <c r="B387" s="4">
        <f>IFERROR(XLOOKUP(C387,MASTER_REGISTER!E:E,MASTER_REGISTER!C:C,""),"")</f>
        <v/>
      </c>
      <c r="C387" s="4" t="n"/>
      <c r="D387">
        <f>IFERROR(XLOOKUP(C387,MASTER_REGISTER!E:E,MASTER_REGISTER!F:F,""),"")</f>
        <v/>
      </c>
      <c r="E387" s="4" t="n"/>
    </row>
    <row r="388">
      <c r="B388" s="4">
        <f>IFERROR(XLOOKUP(C388,MASTER_REGISTER!E:E,MASTER_REGISTER!C:C,""),"")</f>
        <v/>
      </c>
      <c r="C388" s="4" t="n"/>
      <c r="D388">
        <f>IFERROR(XLOOKUP(C388,MASTER_REGISTER!E:E,MASTER_REGISTER!F:F,""),"")</f>
        <v/>
      </c>
      <c r="E388" s="4" t="n"/>
    </row>
    <row r="389">
      <c r="B389" s="4">
        <f>IFERROR(XLOOKUP(C389,MASTER_REGISTER!E:E,MASTER_REGISTER!C:C,""),"")</f>
        <v/>
      </c>
      <c r="C389" s="4" t="n"/>
      <c r="D389">
        <f>IFERROR(XLOOKUP(C389,MASTER_REGISTER!E:E,MASTER_REGISTER!F:F,""),"")</f>
        <v/>
      </c>
      <c r="E389" s="4" t="n"/>
    </row>
    <row r="390">
      <c r="B390" s="4">
        <f>IFERROR(XLOOKUP(C390,MASTER_REGISTER!E:E,MASTER_REGISTER!C:C,""),"")</f>
        <v/>
      </c>
      <c r="C390" s="4" t="n"/>
      <c r="D390">
        <f>IFERROR(XLOOKUP(C390,MASTER_REGISTER!E:E,MASTER_REGISTER!F:F,""),"")</f>
        <v/>
      </c>
      <c r="E390" s="4" t="n"/>
    </row>
    <row r="391">
      <c r="B391" s="4">
        <f>IFERROR(XLOOKUP(C391,MASTER_REGISTER!E:E,MASTER_REGISTER!C:C,""),"")</f>
        <v/>
      </c>
      <c r="C391" s="4" t="n"/>
      <c r="D391">
        <f>IFERROR(XLOOKUP(C391,MASTER_REGISTER!E:E,MASTER_REGISTER!F:F,""),"")</f>
        <v/>
      </c>
      <c r="E391" s="4" t="n"/>
    </row>
    <row r="392">
      <c r="B392" s="4">
        <f>IFERROR(XLOOKUP(C392,MASTER_REGISTER!E:E,MASTER_REGISTER!C:C,""),"")</f>
        <v/>
      </c>
      <c r="C392" s="4" t="n"/>
      <c r="D392">
        <f>IFERROR(XLOOKUP(C392,MASTER_REGISTER!E:E,MASTER_REGISTER!F:F,""),"")</f>
        <v/>
      </c>
      <c r="E392" s="4" t="n"/>
    </row>
    <row r="393">
      <c r="B393" s="4">
        <f>IFERROR(XLOOKUP(C393,MASTER_REGISTER!E:E,MASTER_REGISTER!C:C,""),"")</f>
        <v/>
      </c>
      <c r="C393" s="4" t="n"/>
      <c r="D393">
        <f>IFERROR(XLOOKUP(C393,MASTER_REGISTER!E:E,MASTER_REGISTER!F:F,""),"")</f>
        <v/>
      </c>
      <c r="E393" s="4" t="n"/>
    </row>
    <row r="394">
      <c r="B394" s="4">
        <f>IFERROR(XLOOKUP(C394,MASTER_REGISTER!E:E,MASTER_REGISTER!C:C,""),"")</f>
        <v/>
      </c>
      <c r="C394" s="4" t="n"/>
      <c r="D394">
        <f>IFERROR(XLOOKUP(C394,MASTER_REGISTER!E:E,MASTER_REGISTER!F:F,""),"")</f>
        <v/>
      </c>
      <c r="E394" s="4" t="n"/>
    </row>
    <row r="395">
      <c r="B395" s="4">
        <f>IFERROR(XLOOKUP(C395,MASTER_REGISTER!E:E,MASTER_REGISTER!C:C,""),"")</f>
        <v/>
      </c>
      <c r="C395" s="4" t="n"/>
      <c r="D395">
        <f>IFERROR(XLOOKUP(C395,MASTER_REGISTER!E:E,MASTER_REGISTER!F:F,""),"")</f>
        <v/>
      </c>
      <c r="E395" s="4" t="n"/>
    </row>
    <row r="396">
      <c r="B396" s="4">
        <f>IFERROR(XLOOKUP(C396,MASTER_REGISTER!E:E,MASTER_REGISTER!C:C,""),"")</f>
        <v/>
      </c>
      <c r="C396" s="4" t="n"/>
      <c r="D396">
        <f>IFERROR(XLOOKUP(C396,MASTER_REGISTER!E:E,MASTER_REGISTER!F:F,""),"")</f>
        <v/>
      </c>
      <c r="E396" s="4" t="n"/>
    </row>
    <row r="397">
      <c r="B397" s="4">
        <f>IFERROR(XLOOKUP(C397,MASTER_REGISTER!E:E,MASTER_REGISTER!C:C,""),"")</f>
        <v/>
      </c>
      <c r="C397" s="4" t="n"/>
      <c r="D397">
        <f>IFERROR(XLOOKUP(C397,MASTER_REGISTER!E:E,MASTER_REGISTER!F:F,""),"")</f>
        <v/>
      </c>
      <c r="E397" s="4" t="n"/>
    </row>
    <row r="398">
      <c r="B398" s="4">
        <f>IFERROR(XLOOKUP(C398,MASTER_REGISTER!E:E,MASTER_REGISTER!C:C,""),"")</f>
        <v/>
      </c>
      <c r="C398" s="4" t="n"/>
      <c r="D398">
        <f>IFERROR(XLOOKUP(C398,MASTER_REGISTER!E:E,MASTER_REGISTER!F:F,""),"")</f>
        <v/>
      </c>
      <c r="E398" s="4" t="n"/>
    </row>
    <row r="399">
      <c r="B399" s="4">
        <f>IFERROR(XLOOKUP(C399,MASTER_REGISTER!E:E,MASTER_REGISTER!C:C,""),"")</f>
        <v/>
      </c>
      <c r="C399" s="4" t="n"/>
      <c r="D399">
        <f>IFERROR(XLOOKUP(C399,MASTER_REGISTER!E:E,MASTER_REGISTER!F:F,""),"")</f>
        <v/>
      </c>
      <c r="E399" s="4" t="n"/>
    </row>
    <row r="400">
      <c r="B400" s="4">
        <f>IFERROR(XLOOKUP(C400,MASTER_REGISTER!E:E,MASTER_REGISTER!C:C,""),"")</f>
        <v/>
      </c>
      <c r="C400" s="4" t="n"/>
      <c r="D400">
        <f>IFERROR(XLOOKUP(C400,MASTER_REGISTER!E:E,MASTER_REGISTER!F:F,""),"")</f>
        <v/>
      </c>
      <c r="E400" s="4" t="n"/>
    </row>
    <row r="401">
      <c r="B401" s="4">
        <f>IFERROR(XLOOKUP(C401,MASTER_REGISTER!E:E,MASTER_REGISTER!C:C,""),"")</f>
        <v/>
      </c>
      <c r="C401" s="4" t="n"/>
      <c r="D401">
        <f>IFERROR(XLOOKUP(C401,MASTER_REGISTER!E:E,MASTER_REGISTER!F:F,""),"")</f>
        <v/>
      </c>
      <c r="E401" s="4" t="n"/>
    </row>
    <row r="402">
      <c r="B402" s="4">
        <f>IFERROR(XLOOKUP(C402,MASTER_REGISTER!E:E,MASTER_REGISTER!C:C,""),"")</f>
        <v/>
      </c>
      <c r="C402" s="4" t="n"/>
      <c r="D402">
        <f>IFERROR(XLOOKUP(C402,MASTER_REGISTER!E:E,MASTER_REGISTER!F:F,""),"")</f>
        <v/>
      </c>
      <c r="E402" s="4" t="n"/>
    </row>
    <row r="403">
      <c r="B403" s="4">
        <f>IFERROR(XLOOKUP(C403,MASTER_REGISTER!E:E,MASTER_REGISTER!C:C,""),"")</f>
        <v/>
      </c>
      <c r="C403" s="4" t="n"/>
      <c r="D403">
        <f>IFERROR(XLOOKUP(C403,MASTER_REGISTER!E:E,MASTER_REGISTER!F:F,""),"")</f>
        <v/>
      </c>
      <c r="E403" s="4" t="n"/>
    </row>
    <row r="404">
      <c r="B404" s="4">
        <f>IFERROR(XLOOKUP(C404,MASTER_REGISTER!E:E,MASTER_REGISTER!C:C,""),"")</f>
        <v/>
      </c>
      <c r="C404" s="4" t="n"/>
      <c r="D404">
        <f>IFERROR(XLOOKUP(C404,MASTER_REGISTER!E:E,MASTER_REGISTER!F:F,""),"")</f>
        <v/>
      </c>
      <c r="E404" s="4" t="n"/>
    </row>
    <row r="405">
      <c r="B405" s="4">
        <f>IFERROR(XLOOKUP(C405,MASTER_REGISTER!E:E,MASTER_REGISTER!C:C,""),"")</f>
        <v/>
      </c>
      <c r="C405" s="4" t="n"/>
      <c r="D405">
        <f>IFERROR(XLOOKUP(C405,MASTER_REGISTER!E:E,MASTER_REGISTER!F:F,""),"")</f>
        <v/>
      </c>
      <c r="E405" s="4" t="n"/>
    </row>
    <row r="406">
      <c r="B406" s="4">
        <f>IFERROR(XLOOKUP(C406,MASTER_REGISTER!E:E,MASTER_REGISTER!C:C,""),"")</f>
        <v/>
      </c>
      <c r="C406" s="4" t="n"/>
      <c r="D406">
        <f>IFERROR(XLOOKUP(C406,MASTER_REGISTER!E:E,MASTER_REGISTER!F:F,""),"")</f>
        <v/>
      </c>
      <c r="E406" s="4" t="n"/>
    </row>
    <row r="407">
      <c r="B407" s="4">
        <f>IFERROR(XLOOKUP(C407,MASTER_REGISTER!E:E,MASTER_REGISTER!C:C,""),"")</f>
        <v/>
      </c>
      <c r="C407" s="4" t="n"/>
      <c r="D407">
        <f>IFERROR(XLOOKUP(C407,MASTER_REGISTER!E:E,MASTER_REGISTER!F:F,""),"")</f>
        <v/>
      </c>
      <c r="E407" s="4" t="n"/>
    </row>
    <row r="408">
      <c r="B408" s="4">
        <f>IFERROR(XLOOKUP(C408,MASTER_REGISTER!E:E,MASTER_REGISTER!C:C,""),"")</f>
        <v/>
      </c>
      <c r="C408" s="4" t="n"/>
      <c r="D408">
        <f>IFERROR(XLOOKUP(C408,MASTER_REGISTER!E:E,MASTER_REGISTER!F:F,""),"")</f>
        <v/>
      </c>
      <c r="E408" s="4" t="n"/>
    </row>
    <row r="409">
      <c r="B409" s="4">
        <f>IFERROR(XLOOKUP(C409,MASTER_REGISTER!E:E,MASTER_REGISTER!C:C,""),"")</f>
        <v/>
      </c>
      <c r="C409" s="4" t="n"/>
      <c r="D409">
        <f>IFERROR(XLOOKUP(C409,MASTER_REGISTER!E:E,MASTER_REGISTER!F:F,""),"")</f>
        <v/>
      </c>
      <c r="E409" s="4" t="n"/>
    </row>
    <row r="410">
      <c r="B410" s="4">
        <f>IFERROR(XLOOKUP(C410,MASTER_REGISTER!E:E,MASTER_REGISTER!C:C,""),"")</f>
        <v/>
      </c>
      <c r="C410" s="4" t="n"/>
      <c r="D410">
        <f>IFERROR(XLOOKUP(C410,MASTER_REGISTER!E:E,MASTER_REGISTER!F:F,""),"")</f>
        <v/>
      </c>
      <c r="E410" s="4" t="n"/>
    </row>
    <row r="411">
      <c r="B411" s="4">
        <f>IFERROR(XLOOKUP(C411,MASTER_REGISTER!E:E,MASTER_REGISTER!C:C,""),"")</f>
        <v/>
      </c>
      <c r="C411" s="4" t="n"/>
      <c r="D411">
        <f>IFERROR(XLOOKUP(C411,MASTER_REGISTER!E:E,MASTER_REGISTER!F:F,""),"")</f>
        <v/>
      </c>
      <c r="E411" s="4" t="n"/>
    </row>
    <row r="412">
      <c r="B412" s="4">
        <f>IFERROR(XLOOKUP(C412,MASTER_REGISTER!E:E,MASTER_REGISTER!C:C,""),"")</f>
        <v/>
      </c>
      <c r="C412" s="4" t="n"/>
      <c r="D412">
        <f>IFERROR(XLOOKUP(C412,MASTER_REGISTER!E:E,MASTER_REGISTER!F:F,""),"")</f>
        <v/>
      </c>
      <c r="E412" s="4" t="n"/>
    </row>
    <row r="413">
      <c r="B413" s="4">
        <f>IFERROR(XLOOKUP(C413,MASTER_REGISTER!E:E,MASTER_REGISTER!C:C,""),"")</f>
        <v/>
      </c>
      <c r="C413" s="4" t="n"/>
      <c r="D413">
        <f>IFERROR(XLOOKUP(C413,MASTER_REGISTER!E:E,MASTER_REGISTER!F:F,""),"")</f>
        <v/>
      </c>
      <c r="E413" s="4" t="n"/>
    </row>
    <row r="414">
      <c r="B414" s="4">
        <f>IFERROR(XLOOKUP(C414,MASTER_REGISTER!E:E,MASTER_REGISTER!C:C,""),"")</f>
        <v/>
      </c>
      <c r="C414" s="4" t="n"/>
      <c r="D414">
        <f>IFERROR(XLOOKUP(C414,MASTER_REGISTER!E:E,MASTER_REGISTER!F:F,""),"")</f>
        <v/>
      </c>
      <c r="E414" s="4" t="n"/>
    </row>
    <row r="415">
      <c r="B415" s="4">
        <f>IFERROR(XLOOKUP(C415,MASTER_REGISTER!E:E,MASTER_REGISTER!C:C,""),"")</f>
        <v/>
      </c>
      <c r="C415" s="4" t="n"/>
      <c r="D415">
        <f>IFERROR(XLOOKUP(C415,MASTER_REGISTER!E:E,MASTER_REGISTER!F:F,""),"")</f>
        <v/>
      </c>
      <c r="E415" s="4" t="n"/>
    </row>
    <row r="416">
      <c r="B416" s="4">
        <f>IFERROR(XLOOKUP(C416,MASTER_REGISTER!E:E,MASTER_REGISTER!C:C,""),"")</f>
        <v/>
      </c>
      <c r="C416" s="4" t="n"/>
      <c r="D416">
        <f>IFERROR(XLOOKUP(C416,MASTER_REGISTER!E:E,MASTER_REGISTER!F:F,""),"")</f>
        <v/>
      </c>
      <c r="E416" s="4" t="n"/>
    </row>
    <row r="417">
      <c r="B417" s="4">
        <f>IFERROR(XLOOKUP(C417,MASTER_REGISTER!E:E,MASTER_REGISTER!C:C,""),"")</f>
        <v/>
      </c>
      <c r="C417" s="4" t="n"/>
      <c r="D417">
        <f>IFERROR(XLOOKUP(C417,MASTER_REGISTER!E:E,MASTER_REGISTER!F:F,""),"")</f>
        <v/>
      </c>
      <c r="E417" s="4" t="n"/>
    </row>
    <row r="418">
      <c r="B418" s="4">
        <f>IFERROR(XLOOKUP(C418,MASTER_REGISTER!E:E,MASTER_REGISTER!C:C,""),"")</f>
        <v/>
      </c>
      <c r="C418" s="4" t="n"/>
      <c r="D418">
        <f>IFERROR(XLOOKUP(C418,MASTER_REGISTER!E:E,MASTER_REGISTER!F:F,""),"")</f>
        <v/>
      </c>
      <c r="E418" s="4" t="n"/>
    </row>
    <row r="419">
      <c r="B419" s="4">
        <f>IFERROR(XLOOKUP(C419,MASTER_REGISTER!E:E,MASTER_REGISTER!C:C,""),"")</f>
        <v/>
      </c>
      <c r="C419" s="4" t="n"/>
      <c r="D419">
        <f>IFERROR(XLOOKUP(C419,MASTER_REGISTER!E:E,MASTER_REGISTER!F:F,""),"")</f>
        <v/>
      </c>
      <c r="E419" s="4" t="n"/>
    </row>
    <row r="420">
      <c r="B420" s="4">
        <f>IFERROR(XLOOKUP(C420,MASTER_REGISTER!E:E,MASTER_REGISTER!C:C,""),"")</f>
        <v/>
      </c>
      <c r="C420" s="4" t="n"/>
      <c r="D420">
        <f>IFERROR(XLOOKUP(C420,MASTER_REGISTER!E:E,MASTER_REGISTER!F:F,""),"")</f>
        <v/>
      </c>
      <c r="E420" s="4" t="n"/>
    </row>
    <row r="421">
      <c r="B421" s="4">
        <f>IFERROR(XLOOKUP(C421,MASTER_REGISTER!E:E,MASTER_REGISTER!C:C,""),"")</f>
        <v/>
      </c>
      <c r="C421" s="4" t="n"/>
      <c r="D421">
        <f>IFERROR(XLOOKUP(C421,MASTER_REGISTER!E:E,MASTER_REGISTER!F:F,""),"")</f>
        <v/>
      </c>
      <c r="E421" s="4" t="n"/>
    </row>
    <row r="422">
      <c r="B422" s="4">
        <f>IFERROR(XLOOKUP(C422,MASTER_REGISTER!E:E,MASTER_REGISTER!C:C,""),"")</f>
        <v/>
      </c>
      <c r="C422" s="4" t="n"/>
      <c r="D422">
        <f>IFERROR(XLOOKUP(C422,MASTER_REGISTER!E:E,MASTER_REGISTER!F:F,""),"")</f>
        <v/>
      </c>
      <c r="E422" s="4" t="n"/>
    </row>
    <row r="423">
      <c r="B423" s="4">
        <f>IFERROR(XLOOKUP(C423,MASTER_REGISTER!E:E,MASTER_REGISTER!C:C,""),"")</f>
        <v/>
      </c>
      <c r="C423" s="4" t="n"/>
      <c r="D423">
        <f>IFERROR(XLOOKUP(C423,MASTER_REGISTER!E:E,MASTER_REGISTER!F:F,""),"")</f>
        <v/>
      </c>
      <c r="E423" s="4" t="n"/>
    </row>
    <row r="424">
      <c r="B424" s="4">
        <f>IFERROR(XLOOKUP(C424,MASTER_REGISTER!E:E,MASTER_REGISTER!C:C,""),"")</f>
        <v/>
      </c>
      <c r="C424" s="4" t="n"/>
      <c r="D424">
        <f>IFERROR(XLOOKUP(C424,MASTER_REGISTER!E:E,MASTER_REGISTER!F:F,""),"")</f>
        <v/>
      </c>
      <c r="E424" s="4" t="n"/>
    </row>
    <row r="425">
      <c r="B425" s="4">
        <f>IFERROR(XLOOKUP(C425,MASTER_REGISTER!E:E,MASTER_REGISTER!C:C,""),"")</f>
        <v/>
      </c>
      <c r="C425" s="4" t="n"/>
      <c r="D425">
        <f>IFERROR(XLOOKUP(C425,MASTER_REGISTER!E:E,MASTER_REGISTER!F:F,""),"")</f>
        <v/>
      </c>
      <c r="E425" s="4" t="n"/>
    </row>
    <row r="426">
      <c r="B426" s="4">
        <f>IFERROR(XLOOKUP(C426,MASTER_REGISTER!E:E,MASTER_REGISTER!C:C,""),"")</f>
        <v/>
      </c>
      <c r="C426" s="4" t="n"/>
      <c r="D426">
        <f>IFERROR(XLOOKUP(C426,MASTER_REGISTER!E:E,MASTER_REGISTER!F:F,""),"")</f>
        <v/>
      </c>
      <c r="E426" s="4" t="n"/>
    </row>
    <row r="427">
      <c r="B427" s="4">
        <f>IFERROR(XLOOKUP(C427,MASTER_REGISTER!E:E,MASTER_REGISTER!C:C,""),"")</f>
        <v/>
      </c>
      <c r="C427" s="4" t="n"/>
      <c r="D427">
        <f>IFERROR(XLOOKUP(C427,MASTER_REGISTER!E:E,MASTER_REGISTER!F:F,""),"")</f>
        <v/>
      </c>
      <c r="E427" s="4" t="n"/>
    </row>
    <row r="428">
      <c r="B428" s="4">
        <f>IFERROR(XLOOKUP(C428,MASTER_REGISTER!E:E,MASTER_REGISTER!C:C,""),"")</f>
        <v/>
      </c>
      <c r="C428" s="4" t="n"/>
      <c r="D428">
        <f>IFERROR(XLOOKUP(C428,MASTER_REGISTER!E:E,MASTER_REGISTER!F:F,""),"")</f>
        <v/>
      </c>
      <c r="E428" s="4" t="n"/>
    </row>
    <row r="429">
      <c r="B429" s="4">
        <f>IFERROR(XLOOKUP(C429,MASTER_REGISTER!E:E,MASTER_REGISTER!C:C,""),"")</f>
        <v/>
      </c>
      <c r="C429" s="4" t="n"/>
      <c r="D429">
        <f>IFERROR(XLOOKUP(C429,MASTER_REGISTER!E:E,MASTER_REGISTER!F:F,""),"")</f>
        <v/>
      </c>
      <c r="E429" s="4" t="n"/>
    </row>
    <row r="430">
      <c r="B430" s="4">
        <f>IFERROR(XLOOKUP(C430,MASTER_REGISTER!E:E,MASTER_REGISTER!C:C,""),"")</f>
        <v/>
      </c>
      <c r="C430" s="4" t="n"/>
      <c r="D430">
        <f>IFERROR(XLOOKUP(C430,MASTER_REGISTER!E:E,MASTER_REGISTER!F:F,""),"")</f>
        <v/>
      </c>
      <c r="E430" s="4" t="n"/>
    </row>
    <row r="431">
      <c r="B431" s="4">
        <f>IFERROR(XLOOKUP(C431,MASTER_REGISTER!E:E,MASTER_REGISTER!C:C,""),"")</f>
        <v/>
      </c>
      <c r="C431" s="4" t="n"/>
      <c r="D431">
        <f>IFERROR(XLOOKUP(C431,MASTER_REGISTER!E:E,MASTER_REGISTER!F:F,""),"")</f>
        <v/>
      </c>
      <c r="E431" s="4" t="n"/>
    </row>
    <row r="432">
      <c r="B432" s="4">
        <f>IFERROR(XLOOKUP(C432,MASTER_REGISTER!E:E,MASTER_REGISTER!C:C,""),"")</f>
        <v/>
      </c>
      <c r="C432" s="4" t="n"/>
      <c r="D432">
        <f>IFERROR(XLOOKUP(C432,MASTER_REGISTER!E:E,MASTER_REGISTER!F:F,""),"")</f>
        <v/>
      </c>
      <c r="E432" s="4" t="n"/>
    </row>
    <row r="433">
      <c r="B433" s="4">
        <f>IFERROR(XLOOKUP(C433,MASTER_REGISTER!E:E,MASTER_REGISTER!C:C,""),"")</f>
        <v/>
      </c>
      <c r="C433" s="4" t="n"/>
      <c r="D433">
        <f>IFERROR(XLOOKUP(C433,MASTER_REGISTER!E:E,MASTER_REGISTER!F:F,""),"")</f>
        <v/>
      </c>
      <c r="E433" s="4" t="n"/>
    </row>
    <row r="434">
      <c r="B434" s="4">
        <f>IFERROR(XLOOKUP(C434,MASTER_REGISTER!E:E,MASTER_REGISTER!C:C,""),"")</f>
        <v/>
      </c>
      <c r="C434" s="4" t="n"/>
      <c r="D434">
        <f>IFERROR(XLOOKUP(C434,MASTER_REGISTER!E:E,MASTER_REGISTER!F:F,""),"")</f>
        <v/>
      </c>
      <c r="E434" s="4" t="n"/>
    </row>
    <row r="435">
      <c r="B435" s="4">
        <f>IFERROR(XLOOKUP(C435,MASTER_REGISTER!E:E,MASTER_REGISTER!C:C,""),"")</f>
        <v/>
      </c>
      <c r="C435" s="4" t="n"/>
      <c r="D435">
        <f>IFERROR(XLOOKUP(C435,MASTER_REGISTER!E:E,MASTER_REGISTER!F:F,""),"")</f>
        <v/>
      </c>
      <c r="E435" s="4" t="n"/>
    </row>
    <row r="436">
      <c r="B436" s="4">
        <f>IFERROR(XLOOKUP(C436,MASTER_REGISTER!E:E,MASTER_REGISTER!C:C,""),"")</f>
        <v/>
      </c>
      <c r="C436" s="4" t="n"/>
      <c r="D436">
        <f>IFERROR(XLOOKUP(C436,MASTER_REGISTER!E:E,MASTER_REGISTER!F:F,""),"")</f>
        <v/>
      </c>
      <c r="E436" s="4" t="n"/>
    </row>
    <row r="437">
      <c r="B437" s="4">
        <f>IFERROR(XLOOKUP(C437,MASTER_REGISTER!E:E,MASTER_REGISTER!C:C,""),"")</f>
        <v/>
      </c>
      <c r="C437" s="4" t="n"/>
      <c r="D437">
        <f>IFERROR(XLOOKUP(C437,MASTER_REGISTER!E:E,MASTER_REGISTER!F:F,""),"")</f>
        <v/>
      </c>
      <c r="E437" s="4" t="n"/>
    </row>
    <row r="438">
      <c r="B438" s="4">
        <f>IFERROR(XLOOKUP(C438,MASTER_REGISTER!E:E,MASTER_REGISTER!C:C,""),"")</f>
        <v/>
      </c>
      <c r="C438" s="4" t="n"/>
      <c r="D438">
        <f>IFERROR(XLOOKUP(C438,MASTER_REGISTER!E:E,MASTER_REGISTER!F:F,""),"")</f>
        <v/>
      </c>
      <c r="E438" s="4" t="n"/>
    </row>
    <row r="439">
      <c r="B439" s="4">
        <f>IFERROR(XLOOKUP(C439,MASTER_REGISTER!E:E,MASTER_REGISTER!C:C,""),"")</f>
        <v/>
      </c>
      <c r="C439" s="4" t="n"/>
      <c r="D439">
        <f>IFERROR(XLOOKUP(C439,MASTER_REGISTER!E:E,MASTER_REGISTER!F:F,""),"")</f>
        <v/>
      </c>
      <c r="E439" s="4" t="n"/>
    </row>
    <row r="440">
      <c r="B440" s="4">
        <f>IFERROR(XLOOKUP(C440,MASTER_REGISTER!E:E,MASTER_REGISTER!C:C,""),"")</f>
        <v/>
      </c>
      <c r="C440" s="4" t="n"/>
      <c r="D440">
        <f>IFERROR(XLOOKUP(C440,MASTER_REGISTER!E:E,MASTER_REGISTER!F:F,""),"")</f>
        <v/>
      </c>
      <c r="E440" s="4" t="n"/>
    </row>
    <row r="441">
      <c r="B441" s="4">
        <f>IFERROR(XLOOKUP(C441,MASTER_REGISTER!E:E,MASTER_REGISTER!C:C,""),"")</f>
        <v/>
      </c>
      <c r="C441" s="4" t="n"/>
      <c r="D441">
        <f>IFERROR(XLOOKUP(C441,MASTER_REGISTER!E:E,MASTER_REGISTER!F:F,""),"")</f>
        <v/>
      </c>
      <c r="E441" s="4" t="n"/>
    </row>
    <row r="442">
      <c r="B442" s="4">
        <f>IFERROR(XLOOKUP(C442,MASTER_REGISTER!E:E,MASTER_REGISTER!C:C,""),"")</f>
        <v/>
      </c>
      <c r="C442" s="4" t="n"/>
      <c r="D442">
        <f>IFERROR(XLOOKUP(C442,MASTER_REGISTER!E:E,MASTER_REGISTER!F:F,""),"")</f>
        <v/>
      </c>
      <c r="E442" s="4" t="n"/>
    </row>
    <row r="443">
      <c r="B443" s="4">
        <f>IFERROR(XLOOKUP(C443,MASTER_REGISTER!E:E,MASTER_REGISTER!C:C,""),"")</f>
        <v/>
      </c>
      <c r="C443" s="4" t="n"/>
      <c r="D443">
        <f>IFERROR(XLOOKUP(C443,MASTER_REGISTER!E:E,MASTER_REGISTER!F:F,""),"")</f>
        <v/>
      </c>
      <c r="E443" s="4" t="n"/>
    </row>
    <row r="444">
      <c r="B444" s="4">
        <f>IFERROR(XLOOKUP(C444,MASTER_REGISTER!E:E,MASTER_REGISTER!C:C,""),"")</f>
        <v/>
      </c>
      <c r="C444" s="4" t="n"/>
      <c r="D444">
        <f>IFERROR(XLOOKUP(C444,MASTER_REGISTER!E:E,MASTER_REGISTER!F:F,""),"")</f>
        <v/>
      </c>
      <c r="E444" s="4" t="n"/>
    </row>
    <row r="445">
      <c r="B445" s="4">
        <f>IFERROR(XLOOKUP(C445,MASTER_REGISTER!E:E,MASTER_REGISTER!C:C,""),"")</f>
        <v/>
      </c>
      <c r="C445" s="4" t="n"/>
      <c r="D445">
        <f>IFERROR(XLOOKUP(C445,MASTER_REGISTER!E:E,MASTER_REGISTER!F:F,""),"")</f>
        <v/>
      </c>
      <c r="E445" s="4" t="n"/>
    </row>
    <row r="446">
      <c r="B446" s="4">
        <f>IFERROR(XLOOKUP(C446,MASTER_REGISTER!E:E,MASTER_REGISTER!C:C,""),"")</f>
        <v/>
      </c>
      <c r="C446" s="4" t="n"/>
      <c r="D446">
        <f>IFERROR(XLOOKUP(C446,MASTER_REGISTER!E:E,MASTER_REGISTER!F:F,""),"")</f>
        <v/>
      </c>
      <c r="E446" s="4" t="n"/>
    </row>
    <row r="447">
      <c r="B447" s="4">
        <f>IFERROR(XLOOKUP(C447,MASTER_REGISTER!E:E,MASTER_REGISTER!C:C,""),"")</f>
        <v/>
      </c>
      <c r="C447" s="4" t="n"/>
      <c r="D447">
        <f>IFERROR(XLOOKUP(C447,MASTER_REGISTER!E:E,MASTER_REGISTER!F:F,""),"")</f>
        <v/>
      </c>
      <c r="E447" s="4" t="n"/>
    </row>
    <row r="448">
      <c r="B448" s="4">
        <f>IFERROR(XLOOKUP(C448,MASTER_REGISTER!E:E,MASTER_REGISTER!C:C,""),"")</f>
        <v/>
      </c>
      <c r="C448" s="4" t="n"/>
      <c r="D448">
        <f>IFERROR(XLOOKUP(C448,MASTER_REGISTER!E:E,MASTER_REGISTER!F:F,""),"")</f>
        <v/>
      </c>
      <c r="E448" s="4" t="n"/>
    </row>
    <row r="449">
      <c r="B449" s="4">
        <f>IFERROR(XLOOKUP(C449,MASTER_REGISTER!E:E,MASTER_REGISTER!C:C,""),"")</f>
        <v/>
      </c>
      <c r="C449" s="4" t="n"/>
      <c r="D449">
        <f>IFERROR(XLOOKUP(C449,MASTER_REGISTER!E:E,MASTER_REGISTER!F:F,""),"")</f>
        <v/>
      </c>
      <c r="E449" s="4" t="n"/>
    </row>
    <row r="450">
      <c r="B450" s="4">
        <f>IFERROR(XLOOKUP(C450,MASTER_REGISTER!E:E,MASTER_REGISTER!C:C,""),"")</f>
        <v/>
      </c>
      <c r="C450" s="4" t="n"/>
      <c r="D450">
        <f>IFERROR(XLOOKUP(C450,MASTER_REGISTER!E:E,MASTER_REGISTER!F:F,""),"")</f>
        <v/>
      </c>
      <c r="E450" s="4" t="n"/>
    </row>
    <row r="451">
      <c r="B451" s="4">
        <f>IFERROR(XLOOKUP(C451,MASTER_REGISTER!E:E,MASTER_REGISTER!C:C,""),"")</f>
        <v/>
      </c>
      <c r="C451" s="4" t="n"/>
      <c r="D451">
        <f>IFERROR(XLOOKUP(C451,MASTER_REGISTER!E:E,MASTER_REGISTER!F:F,""),"")</f>
        <v/>
      </c>
      <c r="E451" s="4" t="n"/>
    </row>
    <row r="452">
      <c r="B452" s="4">
        <f>IFERROR(XLOOKUP(C452,MASTER_REGISTER!E:E,MASTER_REGISTER!C:C,""),"")</f>
        <v/>
      </c>
      <c r="C452" s="4" t="n"/>
      <c r="D452">
        <f>IFERROR(XLOOKUP(C452,MASTER_REGISTER!E:E,MASTER_REGISTER!F:F,""),"")</f>
        <v/>
      </c>
      <c r="E452" s="4" t="n"/>
    </row>
    <row r="453">
      <c r="B453" s="4">
        <f>IFERROR(XLOOKUP(C453,MASTER_REGISTER!E:E,MASTER_REGISTER!C:C,""),"")</f>
        <v/>
      </c>
      <c r="C453" s="4" t="n"/>
      <c r="D453">
        <f>IFERROR(XLOOKUP(C453,MASTER_REGISTER!E:E,MASTER_REGISTER!F:F,""),"")</f>
        <v/>
      </c>
      <c r="E453" s="4" t="n"/>
    </row>
    <row r="454">
      <c r="B454" s="4">
        <f>IFERROR(XLOOKUP(C454,MASTER_REGISTER!E:E,MASTER_REGISTER!C:C,""),"")</f>
        <v/>
      </c>
      <c r="C454" s="4" t="n"/>
      <c r="D454">
        <f>IFERROR(XLOOKUP(C454,MASTER_REGISTER!E:E,MASTER_REGISTER!F:F,""),"")</f>
        <v/>
      </c>
      <c r="E454" s="4" t="n"/>
    </row>
    <row r="455">
      <c r="B455" s="4">
        <f>IFERROR(XLOOKUP(C455,MASTER_REGISTER!E:E,MASTER_REGISTER!C:C,""),"")</f>
        <v/>
      </c>
      <c r="C455" s="4" t="n"/>
      <c r="D455">
        <f>IFERROR(XLOOKUP(C455,MASTER_REGISTER!E:E,MASTER_REGISTER!F:F,""),"")</f>
        <v/>
      </c>
      <c r="E455" s="4" t="n"/>
    </row>
    <row r="456">
      <c r="B456" s="4">
        <f>IFERROR(XLOOKUP(C456,MASTER_REGISTER!E:E,MASTER_REGISTER!C:C,""),"")</f>
        <v/>
      </c>
      <c r="C456" s="4" t="n"/>
      <c r="D456">
        <f>IFERROR(XLOOKUP(C456,MASTER_REGISTER!E:E,MASTER_REGISTER!F:F,""),"")</f>
        <v/>
      </c>
      <c r="E456" s="4" t="n"/>
    </row>
    <row r="457">
      <c r="B457" s="4">
        <f>IFERROR(XLOOKUP(C457,MASTER_REGISTER!E:E,MASTER_REGISTER!C:C,""),"")</f>
        <v/>
      </c>
      <c r="C457" s="4" t="n"/>
      <c r="D457">
        <f>IFERROR(XLOOKUP(C457,MASTER_REGISTER!E:E,MASTER_REGISTER!F:F,""),"")</f>
        <v/>
      </c>
      <c r="E457" s="4" t="n"/>
    </row>
    <row r="458">
      <c r="B458" s="4">
        <f>IFERROR(XLOOKUP(C458,MASTER_REGISTER!E:E,MASTER_REGISTER!C:C,""),"")</f>
        <v/>
      </c>
      <c r="C458" s="4" t="n"/>
      <c r="D458">
        <f>IFERROR(XLOOKUP(C458,MASTER_REGISTER!E:E,MASTER_REGISTER!F:F,""),"")</f>
        <v/>
      </c>
      <c r="E458" s="4" t="n"/>
    </row>
    <row r="459">
      <c r="B459" s="4">
        <f>IFERROR(XLOOKUP(C459,MASTER_REGISTER!E:E,MASTER_REGISTER!C:C,""),"")</f>
        <v/>
      </c>
      <c r="C459" s="4" t="n"/>
      <c r="D459">
        <f>IFERROR(XLOOKUP(C459,MASTER_REGISTER!E:E,MASTER_REGISTER!F:F,""),"")</f>
        <v/>
      </c>
      <c r="E459" s="4" t="n"/>
    </row>
    <row r="460">
      <c r="B460" s="4">
        <f>IFERROR(XLOOKUP(C460,MASTER_REGISTER!E:E,MASTER_REGISTER!C:C,""),"")</f>
        <v/>
      </c>
      <c r="C460" s="4" t="n"/>
      <c r="D460">
        <f>IFERROR(XLOOKUP(C460,MASTER_REGISTER!E:E,MASTER_REGISTER!F:F,""),"")</f>
        <v/>
      </c>
      <c r="E460" s="4" t="n"/>
    </row>
    <row r="461">
      <c r="B461" s="4">
        <f>IFERROR(XLOOKUP(C461,MASTER_REGISTER!E:E,MASTER_REGISTER!C:C,""),"")</f>
        <v/>
      </c>
      <c r="C461" s="4" t="n"/>
      <c r="D461">
        <f>IFERROR(XLOOKUP(C461,MASTER_REGISTER!E:E,MASTER_REGISTER!F:F,""),"")</f>
        <v/>
      </c>
      <c r="E461" s="4" t="n"/>
    </row>
    <row r="462">
      <c r="B462" s="4">
        <f>IFERROR(XLOOKUP(C462,MASTER_REGISTER!E:E,MASTER_REGISTER!C:C,""),"")</f>
        <v/>
      </c>
      <c r="C462" s="4" t="n"/>
      <c r="D462">
        <f>IFERROR(XLOOKUP(C462,MASTER_REGISTER!E:E,MASTER_REGISTER!F:F,""),"")</f>
        <v/>
      </c>
      <c r="E462" s="4" t="n"/>
    </row>
    <row r="463">
      <c r="B463" s="4">
        <f>IFERROR(XLOOKUP(C463,MASTER_REGISTER!E:E,MASTER_REGISTER!C:C,""),"")</f>
        <v/>
      </c>
      <c r="C463" s="4" t="n"/>
      <c r="D463">
        <f>IFERROR(XLOOKUP(C463,MASTER_REGISTER!E:E,MASTER_REGISTER!F:F,""),"")</f>
        <v/>
      </c>
      <c r="E463" s="4" t="n"/>
    </row>
    <row r="464">
      <c r="B464" s="4">
        <f>IFERROR(XLOOKUP(C464,MASTER_REGISTER!E:E,MASTER_REGISTER!C:C,""),"")</f>
        <v/>
      </c>
      <c r="C464" s="4" t="n"/>
      <c r="D464">
        <f>IFERROR(XLOOKUP(C464,MASTER_REGISTER!E:E,MASTER_REGISTER!F:F,""),"")</f>
        <v/>
      </c>
      <c r="E464" s="4" t="n"/>
    </row>
    <row r="465">
      <c r="B465" s="4">
        <f>IFERROR(XLOOKUP(C465,MASTER_REGISTER!E:E,MASTER_REGISTER!C:C,""),"")</f>
        <v/>
      </c>
      <c r="C465" s="4" t="n"/>
      <c r="D465">
        <f>IFERROR(XLOOKUP(C465,MASTER_REGISTER!E:E,MASTER_REGISTER!F:F,""),"")</f>
        <v/>
      </c>
      <c r="E465" s="4" t="n"/>
    </row>
    <row r="466">
      <c r="B466" s="4">
        <f>IFERROR(XLOOKUP(C466,MASTER_REGISTER!E:E,MASTER_REGISTER!C:C,""),"")</f>
        <v/>
      </c>
      <c r="C466" s="4" t="n"/>
      <c r="D466">
        <f>IFERROR(XLOOKUP(C466,MASTER_REGISTER!E:E,MASTER_REGISTER!F:F,""),"")</f>
        <v/>
      </c>
      <c r="E466" s="4" t="n"/>
    </row>
    <row r="467">
      <c r="B467" s="4">
        <f>IFERROR(XLOOKUP(C467,MASTER_REGISTER!E:E,MASTER_REGISTER!C:C,""),"")</f>
        <v/>
      </c>
      <c r="C467" s="4" t="n"/>
      <c r="D467">
        <f>IFERROR(XLOOKUP(C467,MASTER_REGISTER!E:E,MASTER_REGISTER!F:F,""),"")</f>
        <v/>
      </c>
      <c r="E467" s="4" t="n"/>
    </row>
    <row r="468">
      <c r="B468" s="4">
        <f>IFERROR(XLOOKUP(C468,MASTER_REGISTER!E:E,MASTER_REGISTER!C:C,""),"")</f>
        <v/>
      </c>
      <c r="C468" s="4" t="n"/>
      <c r="D468">
        <f>IFERROR(XLOOKUP(C468,MASTER_REGISTER!E:E,MASTER_REGISTER!F:F,""),"")</f>
        <v/>
      </c>
      <c r="E468" s="4" t="n"/>
    </row>
    <row r="469">
      <c r="B469" s="4">
        <f>IFERROR(XLOOKUP(C469,MASTER_REGISTER!E:E,MASTER_REGISTER!C:C,""),"")</f>
        <v/>
      </c>
      <c r="C469" s="4" t="n"/>
      <c r="D469">
        <f>IFERROR(XLOOKUP(C469,MASTER_REGISTER!E:E,MASTER_REGISTER!F:F,""),"")</f>
        <v/>
      </c>
      <c r="E469" s="4" t="n"/>
    </row>
    <row r="470">
      <c r="B470" s="4">
        <f>IFERROR(XLOOKUP(C470,MASTER_REGISTER!E:E,MASTER_REGISTER!C:C,""),"")</f>
        <v/>
      </c>
      <c r="C470" s="4" t="n"/>
      <c r="D470">
        <f>IFERROR(XLOOKUP(C470,MASTER_REGISTER!E:E,MASTER_REGISTER!F:F,""),"")</f>
        <v/>
      </c>
      <c r="E470" s="4" t="n"/>
    </row>
    <row r="471">
      <c r="B471" s="4">
        <f>IFERROR(XLOOKUP(C471,MASTER_REGISTER!E:E,MASTER_REGISTER!C:C,""),"")</f>
        <v/>
      </c>
      <c r="C471" s="4" t="n"/>
      <c r="D471">
        <f>IFERROR(XLOOKUP(C471,MASTER_REGISTER!E:E,MASTER_REGISTER!F:F,""),"")</f>
        <v/>
      </c>
      <c r="E471" s="4" t="n"/>
    </row>
    <row r="472">
      <c r="B472" s="4">
        <f>IFERROR(XLOOKUP(C472,MASTER_REGISTER!E:E,MASTER_REGISTER!C:C,""),"")</f>
        <v/>
      </c>
      <c r="C472" s="4" t="n"/>
      <c r="D472">
        <f>IFERROR(XLOOKUP(C472,MASTER_REGISTER!E:E,MASTER_REGISTER!F:F,""),"")</f>
        <v/>
      </c>
      <c r="E472" s="4" t="n"/>
    </row>
    <row r="473">
      <c r="B473" s="4">
        <f>IFERROR(XLOOKUP(C473,MASTER_REGISTER!E:E,MASTER_REGISTER!C:C,""),"")</f>
        <v/>
      </c>
      <c r="C473" s="4" t="n"/>
      <c r="D473">
        <f>IFERROR(XLOOKUP(C473,MASTER_REGISTER!E:E,MASTER_REGISTER!F:F,""),"")</f>
        <v/>
      </c>
      <c r="E473" s="4" t="n"/>
    </row>
    <row r="474">
      <c r="B474" s="4">
        <f>IFERROR(XLOOKUP(C474,MASTER_REGISTER!E:E,MASTER_REGISTER!C:C,""),"")</f>
        <v/>
      </c>
      <c r="C474" s="4" t="n"/>
      <c r="D474">
        <f>IFERROR(XLOOKUP(C474,MASTER_REGISTER!E:E,MASTER_REGISTER!F:F,""),"")</f>
        <v/>
      </c>
      <c r="E474" s="4" t="n"/>
    </row>
    <row r="475">
      <c r="B475" s="4">
        <f>IFERROR(XLOOKUP(C475,MASTER_REGISTER!E:E,MASTER_REGISTER!C:C,""),"")</f>
        <v/>
      </c>
      <c r="C475" s="4" t="n"/>
      <c r="D475">
        <f>IFERROR(XLOOKUP(C475,MASTER_REGISTER!E:E,MASTER_REGISTER!F:F,""),"")</f>
        <v/>
      </c>
      <c r="E475" s="4" t="n"/>
    </row>
    <row r="476">
      <c r="B476" s="4">
        <f>IFERROR(XLOOKUP(C476,MASTER_REGISTER!E:E,MASTER_REGISTER!C:C,""),"")</f>
        <v/>
      </c>
      <c r="C476" s="4" t="n"/>
      <c r="D476">
        <f>IFERROR(XLOOKUP(C476,MASTER_REGISTER!E:E,MASTER_REGISTER!F:F,""),"")</f>
        <v/>
      </c>
      <c r="E476" s="4" t="n"/>
    </row>
    <row r="477">
      <c r="B477" s="4">
        <f>IFERROR(XLOOKUP(C477,MASTER_REGISTER!E:E,MASTER_REGISTER!C:C,""),"")</f>
        <v/>
      </c>
      <c r="C477" s="4" t="n"/>
      <c r="D477">
        <f>IFERROR(XLOOKUP(C477,MASTER_REGISTER!E:E,MASTER_REGISTER!F:F,""),"")</f>
        <v/>
      </c>
      <c r="E477" s="4" t="n"/>
    </row>
    <row r="478">
      <c r="B478" s="4">
        <f>IFERROR(XLOOKUP(C478,MASTER_REGISTER!E:E,MASTER_REGISTER!C:C,""),"")</f>
        <v/>
      </c>
      <c r="C478" s="4" t="n"/>
      <c r="D478">
        <f>IFERROR(XLOOKUP(C478,MASTER_REGISTER!E:E,MASTER_REGISTER!F:F,""),"")</f>
        <v/>
      </c>
      <c r="E478" s="4" t="n"/>
    </row>
    <row r="479">
      <c r="B479" s="4">
        <f>IFERROR(XLOOKUP(C479,MASTER_REGISTER!E:E,MASTER_REGISTER!C:C,""),"")</f>
        <v/>
      </c>
      <c r="C479" s="4" t="n"/>
      <c r="D479">
        <f>IFERROR(XLOOKUP(C479,MASTER_REGISTER!E:E,MASTER_REGISTER!F:F,""),"")</f>
        <v/>
      </c>
      <c r="E479" s="4" t="n"/>
    </row>
    <row r="480">
      <c r="B480" s="4">
        <f>IFERROR(XLOOKUP(C480,MASTER_REGISTER!E:E,MASTER_REGISTER!C:C,""),"")</f>
        <v/>
      </c>
      <c r="C480" s="4" t="n"/>
      <c r="D480">
        <f>IFERROR(XLOOKUP(C480,MASTER_REGISTER!E:E,MASTER_REGISTER!F:F,""),"")</f>
        <v/>
      </c>
      <c r="E480" s="4" t="n"/>
    </row>
    <row r="481">
      <c r="B481" s="4">
        <f>IFERROR(XLOOKUP(C481,MASTER_REGISTER!E:E,MASTER_REGISTER!C:C,""),"")</f>
        <v/>
      </c>
      <c r="C481" s="4" t="n"/>
      <c r="D481">
        <f>IFERROR(XLOOKUP(C481,MASTER_REGISTER!E:E,MASTER_REGISTER!F:F,""),"")</f>
        <v/>
      </c>
      <c r="E481" s="4" t="n"/>
    </row>
    <row r="482">
      <c r="B482" s="4">
        <f>IFERROR(XLOOKUP(C482,MASTER_REGISTER!E:E,MASTER_REGISTER!C:C,""),"")</f>
        <v/>
      </c>
      <c r="C482" s="4" t="n"/>
      <c r="D482">
        <f>IFERROR(XLOOKUP(C482,MASTER_REGISTER!E:E,MASTER_REGISTER!F:F,""),"")</f>
        <v/>
      </c>
      <c r="E482" s="4" t="n"/>
    </row>
    <row r="483">
      <c r="B483" s="4">
        <f>IFERROR(XLOOKUP(C483,MASTER_REGISTER!E:E,MASTER_REGISTER!C:C,""),"")</f>
        <v/>
      </c>
      <c r="C483" s="4" t="n"/>
      <c r="D483">
        <f>IFERROR(XLOOKUP(C483,MASTER_REGISTER!E:E,MASTER_REGISTER!F:F,""),"")</f>
        <v/>
      </c>
      <c r="E483" s="4" t="n"/>
    </row>
    <row r="484">
      <c r="B484" s="4">
        <f>IFERROR(XLOOKUP(C484,MASTER_REGISTER!E:E,MASTER_REGISTER!C:C,""),"")</f>
        <v/>
      </c>
      <c r="C484" s="4" t="n"/>
      <c r="D484">
        <f>IFERROR(XLOOKUP(C484,MASTER_REGISTER!E:E,MASTER_REGISTER!F:F,""),"")</f>
        <v/>
      </c>
      <c r="E484" s="4" t="n"/>
    </row>
    <row r="485">
      <c r="B485" s="4">
        <f>IFERROR(XLOOKUP(C485,MASTER_REGISTER!E:E,MASTER_REGISTER!C:C,""),"")</f>
        <v/>
      </c>
      <c r="C485" s="4" t="n"/>
      <c r="D485">
        <f>IFERROR(XLOOKUP(C485,MASTER_REGISTER!E:E,MASTER_REGISTER!F:F,""),"")</f>
        <v/>
      </c>
      <c r="E485" s="4" t="n"/>
    </row>
    <row r="486">
      <c r="B486" s="4">
        <f>IFERROR(XLOOKUP(C486,MASTER_REGISTER!E:E,MASTER_REGISTER!C:C,""),"")</f>
        <v/>
      </c>
      <c r="C486" s="4" t="n"/>
      <c r="D486">
        <f>IFERROR(XLOOKUP(C486,MASTER_REGISTER!E:E,MASTER_REGISTER!F:F,""),"")</f>
        <v/>
      </c>
      <c r="E486" s="4" t="n"/>
    </row>
    <row r="487">
      <c r="B487" s="4">
        <f>IFERROR(XLOOKUP(C487,MASTER_REGISTER!E:E,MASTER_REGISTER!C:C,""),"")</f>
        <v/>
      </c>
      <c r="C487" s="4" t="n"/>
      <c r="D487">
        <f>IFERROR(XLOOKUP(C487,MASTER_REGISTER!E:E,MASTER_REGISTER!F:F,""),"")</f>
        <v/>
      </c>
      <c r="E487" s="4" t="n"/>
    </row>
    <row r="488">
      <c r="B488" s="4">
        <f>IFERROR(XLOOKUP(C488,MASTER_REGISTER!E:E,MASTER_REGISTER!C:C,""),"")</f>
        <v/>
      </c>
      <c r="C488" s="4" t="n"/>
      <c r="D488">
        <f>IFERROR(XLOOKUP(C488,MASTER_REGISTER!E:E,MASTER_REGISTER!F:F,""),"")</f>
        <v/>
      </c>
      <c r="E488" s="4" t="n"/>
    </row>
    <row r="489">
      <c r="B489" s="4">
        <f>IFERROR(XLOOKUP(C489,MASTER_REGISTER!E:E,MASTER_REGISTER!C:C,""),"")</f>
        <v/>
      </c>
      <c r="C489" s="4" t="n"/>
      <c r="D489">
        <f>IFERROR(XLOOKUP(C489,MASTER_REGISTER!E:E,MASTER_REGISTER!F:F,""),"")</f>
        <v/>
      </c>
      <c r="E489" s="4" t="n"/>
    </row>
    <row r="490">
      <c r="B490" s="4">
        <f>IFERROR(XLOOKUP(C490,MASTER_REGISTER!E:E,MASTER_REGISTER!C:C,""),"")</f>
        <v/>
      </c>
      <c r="C490" s="4" t="n"/>
      <c r="D490">
        <f>IFERROR(XLOOKUP(C490,MASTER_REGISTER!E:E,MASTER_REGISTER!F:F,""),"")</f>
        <v/>
      </c>
      <c r="E490" s="4" t="n"/>
    </row>
    <row r="491">
      <c r="B491" s="4">
        <f>IFERROR(XLOOKUP(C491,MASTER_REGISTER!E:E,MASTER_REGISTER!C:C,""),"")</f>
        <v/>
      </c>
      <c r="C491" s="4" t="n"/>
      <c r="D491">
        <f>IFERROR(XLOOKUP(C491,MASTER_REGISTER!E:E,MASTER_REGISTER!F:F,""),"")</f>
        <v/>
      </c>
      <c r="E491" s="4" t="n"/>
    </row>
    <row r="492">
      <c r="B492" s="4">
        <f>IFERROR(XLOOKUP(C492,MASTER_REGISTER!E:E,MASTER_REGISTER!C:C,""),"")</f>
        <v/>
      </c>
      <c r="C492" s="4" t="n"/>
      <c r="D492">
        <f>IFERROR(XLOOKUP(C492,MASTER_REGISTER!E:E,MASTER_REGISTER!F:F,""),"")</f>
        <v/>
      </c>
      <c r="E492" s="4" t="n"/>
    </row>
    <row r="493">
      <c r="B493" s="4">
        <f>IFERROR(XLOOKUP(C493,MASTER_REGISTER!E:E,MASTER_REGISTER!C:C,""),"")</f>
        <v/>
      </c>
      <c r="C493" s="4" t="n"/>
      <c r="D493">
        <f>IFERROR(XLOOKUP(C493,MASTER_REGISTER!E:E,MASTER_REGISTER!F:F,""),"")</f>
        <v/>
      </c>
      <c r="E493" s="4" t="n"/>
    </row>
    <row r="494">
      <c r="B494" s="4">
        <f>IFERROR(XLOOKUP(C494,MASTER_REGISTER!E:E,MASTER_REGISTER!C:C,""),"")</f>
        <v/>
      </c>
      <c r="C494" s="4" t="n"/>
      <c r="D494">
        <f>IFERROR(XLOOKUP(C494,MASTER_REGISTER!E:E,MASTER_REGISTER!F:F,""),"")</f>
        <v/>
      </c>
      <c r="E494" s="4" t="n"/>
    </row>
    <row r="495">
      <c r="B495" s="4">
        <f>IFERROR(XLOOKUP(C495,MASTER_REGISTER!E:E,MASTER_REGISTER!C:C,""),"")</f>
        <v/>
      </c>
      <c r="C495" s="4" t="n"/>
      <c r="D495">
        <f>IFERROR(XLOOKUP(C495,MASTER_REGISTER!E:E,MASTER_REGISTER!F:F,""),"")</f>
        <v/>
      </c>
      <c r="E495" s="4" t="n"/>
    </row>
    <row r="496">
      <c r="B496" s="4">
        <f>IFERROR(XLOOKUP(C496,MASTER_REGISTER!E:E,MASTER_REGISTER!C:C,""),"")</f>
        <v/>
      </c>
      <c r="C496" s="4" t="n"/>
      <c r="D496">
        <f>IFERROR(XLOOKUP(C496,MASTER_REGISTER!E:E,MASTER_REGISTER!F:F,""),"")</f>
        <v/>
      </c>
      <c r="E496" s="4" t="n"/>
    </row>
    <row r="497">
      <c r="B497" s="4">
        <f>IFERROR(XLOOKUP(C497,MASTER_REGISTER!E:E,MASTER_REGISTER!C:C,""),"")</f>
        <v/>
      </c>
      <c r="C497" s="4" t="n"/>
      <c r="D497">
        <f>IFERROR(XLOOKUP(C497,MASTER_REGISTER!E:E,MASTER_REGISTER!F:F,""),"")</f>
        <v/>
      </c>
      <c r="E497" s="4" t="n"/>
    </row>
    <row r="498">
      <c r="B498" s="4">
        <f>IFERROR(XLOOKUP(C498,MASTER_REGISTER!E:E,MASTER_REGISTER!C:C,""),"")</f>
        <v/>
      </c>
      <c r="C498" s="4" t="n"/>
      <c r="D498">
        <f>IFERROR(XLOOKUP(C498,MASTER_REGISTER!E:E,MASTER_REGISTER!F:F,""),"")</f>
        <v/>
      </c>
      <c r="E498" s="4" t="n"/>
    </row>
    <row r="499">
      <c r="B499" s="4">
        <f>IFERROR(XLOOKUP(C499,MASTER_REGISTER!E:E,MASTER_REGISTER!C:C,""),"")</f>
        <v/>
      </c>
      <c r="C499" s="4" t="n"/>
      <c r="D499">
        <f>IFERROR(XLOOKUP(C499,MASTER_REGISTER!E:E,MASTER_REGISTER!F:F,""),"")</f>
        <v/>
      </c>
      <c r="E499" s="4" t="n"/>
    </row>
    <row r="500">
      <c r="B500" s="4">
        <f>IFERROR(XLOOKUP(C500,MASTER_REGISTER!E:E,MASTER_REGISTER!C:C,""),"")</f>
        <v/>
      </c>
      <c r="C500" s="4" t="n"/>
      <c r="D500">
        <f>IFERROR(XLOOKUP(C500,MASTER_REGISTER!E:E,MASTER_REGISTER!F:F,""),"")</f>
        <v/>
      </c>
      <c r="E500" s="4" t="n"/>
    </row>
    <row r="501">
      <c r="B501" s="4">
        <f>IFERROR(XLOOKUP(C501,MASTER_REGISTER!E:E,MASTER_REGISTER!C:C,""),"")</f>
        <v/>
      </c>
      <c r="C501" s="4" t="n"/>
      <c r="D501">
        <f>IFERROR(XLOOKUP(C501,MASTER_REGISTER!E:E,MASTER_REGISTER!F:F,""),"")</f>
        <v/>
      </c>
      <c r="E501" s="4" t="n"/>
    </row>
  </sheetData>
  <dataValidations count="1">
    <dataValidation sqref="E2:E5000" showDropDown="0" showInputMessage="0" showErrorMessage="0" allowBlank="0" type="list">
      <formula1>"Present,Absent"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style="10" min="1" max="1"/>
    <col width="28" customWidth="1" style="10" min="2" max="2"/>
    <col width="10" customWidth="1" style="10" min="3" max="3"/>
    <col width="18" customWidth="1" style="10" min="4" max="4"/>
    <col width="12" customWidth="1" style="10" min="5" max="6"/>
    <col width="14" customWidth="1" style="10" min="7" max="7"/>
    <col width="18" customWidth="1" style="10" min="8" max="8"/>
  </cols>
  <sheetData>
    <row r="1">
      <c r="A1" s="12" t="inlineStr">
        <is>
          <t>Student Number</t>
        </is>
      </c>
      <c r="B1" s="12" t="inlineStr">
        <is>
          <t>Learner Name</t>
        </is>
      </c>
      <c r="C1" s="12" t="inlineStr">
        <is>
          <t>Grade</t>
        </is>
      </c>
      <c r="D1" s="12" t="inlineStr">
        <is>
          <t>Sessions Recorded</t>
        </is>
      </c>
      <c r="E1" s="12" t="inlineStr">
        <is>
          <t>Days Present</t>
        </is>
      </c>
      <c r="F1" s="12" t="inlineStr">
        <is>
          <t>Days Absent</t>
        </is>
      </c>
      <c r="G1" s="12" t="inlineStr">
        <is>
          <t>Attendance %</t>
        </is>
      </c>
      <c r="H1" s="12" t="inlineStr">
        <is>
          <t>Attendance Flag</t>
        </is>
      </c>
    </row>
    <row r="2">
      <c r="A2">
        <f>IF(MASTER_REGISTER!E2="","",MASTER_REGISTER!E2)</f>
        <v/>
      </c>
      <c r="B2">
        <f>IF(A2="","",MASTER_REGISTER!F2)</f>
        <v/>
      </c>
      <c r="C2">
        <f>IF(A2="","",MASTER_REGISTER!C2)</f>
        <v/>
      </c>
      <c r="D2">
        <f>IF(A2="","",COUNTIF(ATTENDANCE_DAILY!C:C,A2))</f>
        <v/>
      </c>
      <c r="E2">
        <f>IF(A2="","",COUNTIFS(ATTENDANCE_DAILY!C:C,A2,ATTENDANCE_DAILY!E:E,"Present"))</f>
        <v/>
      </c>
      <c r="F2">
        <f>IF(A2="","",COUNTIFS(ATTENDANCE_DAILY!C:C,A2,ATTENDANCE_DAILY!E:E,"Absent"))</f>
        <v/>
      </c>
      <c r="G2" s="5">
        <f>IF(D2=0,"",E2/D2)</f>
        <v/>
      </c>
      <c r="H2" s="4">
        <f>IF(G2="","",IF(G2&lt;0.75,"Low Attendance","OK"))</f>
        <v/>
      </c>
    </row>
    <row r="3">
      <c r="A3">
        <f>IF(MASTER_REGISTER!E3="","",MASTER_REGISTER!E3)</f>
        <v/>
      </c>
      <c r="B3">
        <f>IF(A3="","",MASTER_REGISTER!F3)</f>
        <v/>
      </c>
      <c r="C3">
        <f>IF(A3="","",MASTER_REGISTER!C3)</f>
        <v/>
      </c>
      <c r="D3">
        <f>IF(A3="","",COUNTIF(ATTENDANCE_DAILY!C:C,A3))</f>
        <v/>
      </c>
      <c r="E3">
        <f>IF(A3="","",COUNTIFS(ATTENDANCE_DAILY!C:C,A3,ATTENDANCE_DAILY!E:E,"Present"))</f>
        <v/>
      </c>
      <c r="F3">
        <f>IF(A3="","",COUNTIFS(ATTENDANCE_DAILY!C:C,A3,ATTENDANCE_DAILY!E:E,"Absent"))</f>
        <v/>
      </c>
      <c r="G3" s="5">
        <f>IF(D3=0,"",E3/D3)</f>
        <v/>
      </c>
      <c r="H3" s="4">
        <f>IF(G3="","",IF(G3&lt;0.75,"Low Attendance","OK"))</f>
        <v/>
      </c>
    </row>
    <row r="4">
      <c r="A4">
        <f>IF(MASTER_REGISTER!E4="","",MASTER_REGISTER!E4)</f>
        <v/>
      </c>
      <c r="B4">
        <f>IF(A4="","",MASTER_REGISTER!F4)</f>
        <v/>
      </c>
      <c r="C4">
        <f>IF(A4="","",MASTER_REGISTER!C4)</f>
        <v/>
      </c>
      <c r="D4">
        <f>IF(A4="","",COUNTIF(ATTENDANCE_DAILY!C:C,A4))</f>
        <v/>
      </c>
      <c r="E4">
        <f>IF(A4="","",COUNTIFS(ATTENDANCE_DAILY!C:C,A4,ATTENDANCE_DAILY!E:E,"Present"))</f>
        <v/>
      </c>
      <c r="F4">
        <f>IF(A4="","",COUNTIFS(ATTENDANCE_DAILY!C:C,A4,ATTENDANCE_DAILY!E:E,"Absent"))</f>
        <v/>
      </c>
      <c r="G4" s="5">
        <f>IF(D4=0,"",E4/D4)</f>
        <v/>
      </c>
      <c r="H4" s="4">
        <f>IF(G4="","",IF(G4&lt;0.75,"Low Attendance","OK"))</f>
        <v/>
      </c>
    </row>
    <row r="5">
      <c r="A5">
        <f>IF(MASTER_REGISTER!E5="","",MASTER_REGISTER!E5)</f>
        <v/>
      </c>
      <c r="B5">
        <f>IF(A5="","",MASTER_REGISTER!F5)</f>
        <v/>
      </c>
      <c r="C5">
        <f>IF(A5="","",MASTER_REGISTER!C5)</f>
        <v/>
      </c>
      <c r="D5">
        <f>IF(A5="","",COUNTIF(ATTENDANCE_DAILY!C:C,A5))</f>
        <v/>
      </c>
      <c r="E5">
        <f>IF(A5="","",COUNTIFS(ATTENDANCE_DAILY!C:C,A5,ATTENDANCE_DAILY!E:E,"Present"))</f>
        <v/>
      </c>
      <c r="F5">
        <f>IF(A5="","",COUNTIFS(ATTENDANCE_DAILY!C:C,A5,ATTENDANCE_DAILY!E:E,"Absent"))</f>
        <v/>
      </c>
      <c r="G5" s="5">
        <f>IF(D5=0,"",E5/D5)</f>
        <v/>
      </c>
      <c r="H5" s="4">
        <f>IF(G5="","",IF(G5&lt;0.75,"Low Attendance","OK"))</f>
        <v/>
      </c>
    </row>
    <row r="6">
      <c r="A6">
        <f>IF(MASTER_REGISTER!E6="","",MASTER_REGISTER!E6)</f>
        <v/>
      </c>
      <c r="B6">
        <f>IF(A6="","",MASTER_REGISTER!F6)</f>
        <v/>
      </c>
      <c r="C6">
        <f>IF(A6="","",MASTER_REGISTER!C6)</f>
        <v/>
      </c>
      <c r="D6">
        <f>IF(A6="","",COUNTIF(ATTENDANCE_DAILY!C:C,A6))</f>
        <v/>
      </c>
      <c r="E6">
        <f>IF(A6="","",COUNTIFS(ATTENDANCE_DAILY!C:C,A6,ATTENDANCE_DAILY!E:E,"Present"))</f>
        <v/>
      </c>
      <c r="F6">
        <f>IF(A6="","",COUNTIFS(ATTENDANCE_DAILY!C:C,A6,ATTENDANCE_DAILY!E:E,"Absent"))</f>
        <v/>
      </c>
      <c r="G6" s="5">
        <f>IF(D6=0,"",E6/D6)</f>
        <v/>
      </c>
      <c r="H6" s="4">
        <f>IF(G6="","",IF(G6&lt;0.75,"Low Attendance","OK"))</f>
        <v/>
      </c>
    </row>
    <row r="7">
      <c r="A7">
        <f>IF(MASTER_REGISTER!E7="","",MASTER_REGISTER!E7)</f>
        <v/>
      </c>
      <c r="B7">
        <f>IF(A7="","",MASTER_REGISTER!F7)</f>
        <v/>
      </c>
      <c r="C7">
        <f>IF(A7="","",MASTER_REGISTER!C7)</f>
        <v/>
      </c>
      <c r="D7">
        <f>IF(A7="","",COUNTIF(ATTENDANCE_DAILY!C:C,A7))</f>
        <v/>
      </c>
      <c r="E7">
        <f>IF(A7="","",COUNTIFS(ATTENDANCE_DAILY!C:C,A7,ATTENDANCE_DAILY!E:E,"Present"))</f>
        <v/>
      </c>
      <c r="F7">
        <f>IF(A7="","",COUNTIFS(ATTENDANCE_DAILY!C:C,A7,ATTENDANCE_DAILY!E:E,"Absent"))</f>
        <v/>
      </c>
      <c r="G7" s="5">
        <f>IF(D7=0,"",E7/D7)</f>
        <v/>
      </c>
      <c r="H7" s="4">
        <f>IF(G7="","",IF(G7&lt;0.75,"Low Attendance","OK"))</f>
        <v/>
      </c>
    </row>
    <row r="8">
      <c r="A8">
        <f>IF(MASTER_REGISTER!E8="","",MASTER_REGISTER!E8)</f>
        <v/>
      </c>
      <c r="B8">
        <f>IF(A8="","",MASTER_REGISTER!F8)</f>
        <v/>
      </c>
      <c r="C8">
        <f>IF(A8="","",MASTER_REGISTER!C8)</f>
        <v/>
      </c>
      <c r="D8">
        <f>IF(A8="","",COUNTIF(ATTENDANCE_DAILY!C:C,A8))</f>
        <v/>
      </c>
      <c r="E8">
        <f>IF(A8="","",COUNTIFS(ATTENDANCE_DAILY!C:C,A8,ATTENDANCE_DAILY!E:E,"Present"))</f>
        <v/>
      </c>
      <c r="F8">
        <f>IF(A8="","",COUNTIFS(ATTENDANCE_DAILY!C:C,A8,ATTENDANCE_DAILY!E:E,"Absent"))</f>
        <v/>
      </c>
      <c r="G8" s="5">
        <f>IF(D8=0,"",E8/D8)</f>
        <v/>
      </c>
      <c r="H8" s="4">
        <f>IF(G8="","",IF(G8&lt;0.75,"Low Attendance","OK"))</f>
        <v/>
      </c>
    </row>
    <row r="9">
      <c r="A9">
        <f>IF(MASTER_REGISTER!E9="","",MASTER_REGISTER!E9)</f>
        <v/>
      </c>
      <c r="B9">
        <f>IF(A9="","",MASTER_REGISTER!F9)</f>
        <v/>
      </c>
      <c r="C9">
        <f>IF(A9="","",MASTER_REGISTER!C9)</f>
        <v/>
      </c>
      <c r="D9">
        <f>IF(A9="","",COUNTIF(ATTENDANCE_DAILY!C:C,A9))</f>
        <v/>
      </c>
      <c r="E9">
        <f>IF(A9="","",COUNTIFS(ATTENDANCE_DAILY!C:C,A9,ATTENDANCE_DAILY!E:E,"Present"))</f>
        <v/>
      </c>
      <c r="F9">
        <f>IF(A9="","",COUNTIFS(ATTENDANCE_DAILY!C:C,A9,ATTENDANCE_DAILY!E:E,"Absent"))</f>
        <v/>
      </c>
      <c r="G9" s="5">
        <f>IF(D9=0,"",E9/D9)</f>
        <v/>
      </c>
      <c r="H9" s="4">
        <f>IF(G9="","",IF(G9&lt;0.75,"Low Attendance","OK"))</f>
        <v/>
      </c>
    </row>
    <row r="10">
      <c r="A10">
        <f>IF(MASTER_REGISTER!E10="","",MASTER_REGISTER!E10)</f>
        <v/>
      </c>
      <c r="B10">
        <f>IF(A10="","",MASTER_REGISTER!F10)</f>
        <v/>
      </c>
      <c r="C10">
        <f>IF(A10="","",MASTER_REGISTER!C10)</f>
        <v/>
      </c>
      <c r="D10">
        <f>IF(A10="","",COUNTIF(ATTENDANCE_DAILY!C:C,A10))</f>
        <v/>
      </c>
      <c r="E10">
        <f>IF(A10="","",COUNTIFS(ATTENDANCE_DAILY!C:C,A10,ATTENDANCE_DAILY!E:E,"Present"))</f>
        <v/>
      </c>
      <c r="F10">
        <f>IF(A10="","",COUNTIFS(ATTENDANCE_DAILY!C:C,A10,ATTENDANCE_DAILY!E:E,"Absent"))</f>
        <v/>
      </c>
      <c r="G10" s="5">
        <f>IF(D10=0,"",E10/D10)</f>
        <v/>
      </c>
      <c r="H10" s="4">
        <f>IF(G10="","",IF(G10&lt;0.75,"Low Attendance","OK"))</f>
        <v/>
      </c>
    </row>
    <row r="11">
      <c r="A11">
        <f>IF(MASTER_REGISTER!E11="","",MASTER_REGISTER!E11)</f>
        <v/>
      </c>
      <c r="B11">
        <f>IF(A11="","",MASTER_REGISTER!F11)</f>
        <v/>
      </c>
      <c r="C11">
        <f>IF(A11="","",MASTER_REGISTER!C11)</f>
        <v/>
      </c>
      <c r="D11">
        <f>IF(A11="","",COUNTIF(ATTENDANCE_DAILY!C:C,A11))</f>
        <v/>
      </c>
      <c r="E11">
        <f>IF(A11="","",COUNTIFS(ATTENDANCE_DAILY!C:C,A11,ATTENDANCE_DAILY!E:E,"Present"))</f>
        <v/>
      </c>
      <c r="F11">
        <f>IF(A11="","",COUNTIFS(ATTENDANCE_DAILY!C:C,A11,ATTENDANCE_DAILY!E:E,"Absent"))</f>
        <v/>
      </c>
      <c r="G11" s="5">
        <f>IF(D11=0,"",E11/D11)</f>
        <v/>
      </c>
      <c r="H11" s="4">
        <f>IF(G11="","",IF(G11&lt;0.75,"Low Attendance","OK"))</f>
        <v/>
      </c>
    </row>
    <row r="12">
      <c r="A12">
        <f>IF(MASTER_REGISTER!E12="","",MASTER_REGISTER!E12)</f>
        <v/>
      </c>
      <c r="B12">
        <f>IF(A12="","",MASTER_REGISTER!F12)</f>
        <v/>
      </c>
      <c r="C12">
        <f>IF(A12="","",MASTER_REGISTER!C12)</f>
        <v/>
      </c>
      <c r="D12">
        <f>IF(A12="","",COUNTIF(ATTENDANCE_DAILY!C:C,A12))</f>
        <v/>
      </c>
      <c r="E12">
        <f>IF(A12="","",COUNTIFS(ATTENDANCE_DAILY!C:C,A12,ATTENDANCE_DAILY!E:E,"Present"))</f>
        <v/>
      </c>
      <c r="F12">
        <f>IF(A12="","",COUNTIFS(ATTENDANCE_DAILY!C:C,A12,ATTENDANCE_DAILY!E:E,"Absent"))</f>
        <v/>
      </c>
      <c r="G12" s="5">
        <f>IF(D12=0,"",E12/D12)</f>
        <v/>
      </c>
      <c r="H12" s="4">
        <f>IF(G12="","",IF(G12&lt;0.75,"Low Attendance","OK"))</f>
        <v/>
      </c>
    </row>
    <row r="13">
      <c r="A13">
        <f>IF(MASTER_REGISTER!E13="","",MASTER_REGISTER!E13)</f>
        <v/>
      </c>
      <c r="B13">
        <f>IF(A13="","",MASTER_REGISTER!F13)</f>
        <v/>
      </c>
      <c r="C13">
        <f>IF(A13="","",MASTER_REGISTER!C13)</f>
        <v/>
      </c>
      <c r="D13">
        <f>IF(A13="","",COUNTIF(ATTENDANCE_DAILY!C:C,A13))</f>
        <v/>
      </c>
      <c r="E13">
        <f>IF(A13="","",COUNTIFS(ATTENDANCE_DAILY!C:C,A13,ATTENDANCE_DAILY!E:E,"Present"))</f>
        <v/>
      </c>
      <c r="F13">
        <f>IF(A13="","",COUNTIFS(ATTENDANCE_DAILY!C:C,A13,ATTENDANCE_DAILY!E:E,"Absent"))</f>
        <v/>
      </c>
      <c r="G13" s="5">
        <f>IF(D13=0,"",E13/D13)</f>
        <v/>
      </c>
      <c r="H13" s="4">
        <f>IF(G13="","",IF(G13&lt;0.75,"Low Attendance","OK"))</f>
        <v/>
      </c>
    </row>
    <row r="14">
      <c r="A14">
        <f>IF(MASTER_REGISTER!E14="","",MASTER_REGISTER!E14)</f>
        <v/>
      </c>
      <c r="B14">
        <f>IF(A14="","",MASTER_REGISTER!F14)</f>
        <v/>
      </c>
      <c r="C14">
        <f>IF(A14="","",MASTER_REGISTER!C14)</f>
        <v/>
      </c>
      <c r="D14">
        <f>IF(A14="","",COUNTIF(ATTENDANCE_DAILY!C:C,A14))</f>
        <v/>
      </c>
      <c r="E14">
        <f>IF(A14="","",COUNTIFS(ATTENDANCE_DAILY!C:C,A14,ATTENDANCE_DAILY!E:E,"Present"))</f>
        <v/>
      </c>
      <c r="F14">
        <f>IF(A14="","",COUNTIFS(ATTENDANCE_DAILY!C:C,A14,ATTENDANCE_DAILY!E:E,"Absent"))</f>
        <v/>
      </c>
      <c r="G14" s="5">
        <f>IF(D14=0,"",E14/D14)</f>
        <v/>
      </c>
      <c r="H14" s="4">
        <f>IF(G14="","",IF(G14&lt;0.75,"Low Attendance","OK"))</f>
        <v/>
      </c>
    </row>
    <row r="15">
      <c r="A15">
        <f>IF(MASTER_REGISTER!E15="","",MASTER_REGISTER!E15)</f>
        <v/>
      </c>
      <c r="B15">
        <f>IF(A15="","",MASTER_REGISTER!F15)</f>
        <v/>
      </c>
      <c r="C15">
        <f>IF(A15="","",MASTER_REGISTER!C15)</f>
        <v/>
      </c>
      <c r="D15">
        <f>IF(A15="","",COUNTIF(ATTENDANCE_DAILY!C:C,A15))</f>
        <v/>
      </c>
      <c r="E15">
        <f>IF(A15="","",COUNTIFS(ATTENDANCE_DAILY!C:C,A15,ATTENDANCE_DAILY!E:E,"Present"))</f>
        <v/>
      </c>
      <c r="F15">
        <f>IF(A15="","",COUNTIFS(ATTENDANCE_DAILY!C:C,A15,ATTENDANCE_DAILY!E:E,"Absent"))</f>
        <v/>
      </c>
      <c r="G15" s="5">
        <f>IF(D15=0,"",E15/D15)</f>
        <v/>
      </c>
      <c r="H15" s="4">
        <f>IF(G15="","",IF(G15&lt;0.75,"Low Attendance","OK"))</f>
        <v/>
      </c>
    </row>
    <row r="16">
      <c r="A16">
        <f>IF(MASTER_REGISTER!E16="","",MASTER_REGISTER!E16)</f>
        <v/>
      </c>
      <c r="B16">
        <f>IF(A16="","",MASTER_REGISTER!F16)</f>
        <v/>
      </c>
      <c r="C16">
        <f>IF(A16="","",MASTER_REGISTER!C16)</f>
        <v/>
      </c>
      <c r="D16">
        <f>IF(A16="","",COUNTIF(ATTENDANCE_DAILY!C:C,A16))</f>
        <v/>
      </c>
      <c r="E16">
        <f>IF(A16="","",COUNTIFS(ATTENDANCE_DAILY!C:C,A16,ATTENDANCE_DAILY!E:E,"Present"))</f>
        <v/>
      </c>
      <c r="F16">
        <f>IF(A16="","",COUNTIFS(ATTENDANCE_DAILY!C:C,A16,ATTENDANCE_DAILY!E:E,"Absent"))</f>
        <v/>
      </c>
      <c r="G16" s="5">
        <f>IF(D16=0,"",E16/D16)</f>
        <v/>
      </c>
      <c r="H16" s="4">
        <f>IF(G16="","",IF(G16&lt;0.75,"Low Attendance","OK"))</f>
        <v/>
      </c>
    </row>
    <row r="17">
      <c r="A17">
        <f>IF(MASTER_REGISTER!E17="","",MASTER_REGISTER!E17)</f>
        <v/>
      </c>
      <c r="B17">
        <f>IF(A17="","",MASTER_REGISTER!F17)</f>
        <v/>
      </c>
      <c r="C17">
        <f>IF(A17="","",MASTER_REGISTER!C17)</f>
        <v/>
      </c>
      <c r="D17">
        <f>IF(A17="","",COUNTIF(ATTENDANCE_DAILY!C:C,A17))</f>
        <v/>
      </c>
      <c r="E17">
        <f>IF(A17="","",COUNTIFS(ATTENDANCE_DAILY!C:C,A17,ATTENDANCE_DAILY!E:E,"Present"))</f>
        <v/>
      </c>
      <c r="F17">
        <f>IF(A17="","",COUNTIFS(ATTENDANCE_DAILY!C:C,A17,ATTENDANCE_DAILY!E:E,"Absent"))</f>
        <v/>
      </c>
      <c r="G17" s="5">
        <f>IF(D17=0,"",E17/D17)</f>
        <v/>
      </c>
      <c r="H17" s="4">
        <f>IF(G17="","",IF(G17&lt;0.75,"Low Attendance","OK"))</f>
        <v/>
      </c>
    </row>
    <row r="18">
      <c r="A18">
        <f>IF(MASTER_REGISTER!E18="","",MASTER_REGISTER!E18)</f>
        <v/>
      </c>
      <c r="B18">
        <f>IF(A18="","",MASTER_REGISTER!F18)</f>
        <v/>
      </c>
      <c r="C18">
        <f>IF(A18="","",MASTER_REGISTER!C18)</f>
        <v/>
      </c>
      <c r="D18">
        <f>IF(A18="","",COUNTIF(ATTENDANCE_DAILY!C:C,A18))</f>
        <v/>
      </c>
      <c r="E18">
        <f>IF(A18="","",COUNTIFS(ATTENDANCE_DAILY!C:C,A18,ATTENDANCE_DAILY!E:E,"Present"))</f>
        <v/>
      </c>
      <c r="F18">
        <f>IF(A18="","",COUNTIFS(ATTENDANCE_DAILY!C:C,A18,ATTENDANCE_DAILY!E:E,"Absent"))</f>
        <v/>
      </c>
      <c r="G18" s="5">
        <f>IF(D18=0,"",E18/D18)</f>
        <v/>
      </c>
      <c r="H18" s="4">
        <f>IF(G18="","",IF(G18&lt;0.75,"Low Attendance","OK"))</f>
        <v/>
      </c>
    </row>
    <row r="19">
      <c r="A19">
        <f>IF(MASTER_REGISTER!E19="","",MASTER_REGISTER!E19)</f>
        <v/>
      </c>
      <c r="B19">
        <f>IF(A19="","",MASTER_REGISTER!F19)</f>
        <v/>
      </c>
      <c r="C19">
        <f>IF(A19="","",MASTER_REGISTER!C19)</f>
        <v/>
      </c>
      <c r="D19">
        <f>IF(A19="","",COUNTIF(ATTENDANCE_DAILY!C:C,A19))</f>
        <v/>
      </c>
      <c r="E19">
        <f>IF(A19="","",COUNTIFS(ATTENDANCE_DAILY!C:C,A19,ATTENDANCE_DAILY!E:E,"Present"))</f>
        <v/>
      </c>
      <c r="F19">
        <f>IF(A19="","",COUNTIFS(ATTENDANCE_DAILY!C:C,A19,ATTENDANCE_DAILY!E:E,"Absent"))</f>
        <v/>
      </c>
      <c r="G19" s="5">
        <f>IF(D19=0,"",E19/D19)</f>
        <v/>
      </c>
      <c r="H19" s="4">
        <f>IF(G19="","",IF(G19&lt;0.75,"Low Attendance","OK"))</f>
        <v/>
      </c>
    </row>
    <row r="20">
      <c r="A20">
        <f>IF(MASTER_REGISTER!E20="","",MASTER_REGISTER!E20)</f>
        <v/>
      </c>
      <c r="B20">
        <f>IF(A20="","",MASTER_REGISTER!F20)</f>
        <v/>
      </c>
      <c r="C20">
        <f>IF(A20="","",MASTER_REGISTER!C20)</f>
        <v/>
      </c>
      <c r="D20">
        <f>IF(A20="","",COUNTIF(ATTENDANCE_DAILY!C:C,A20))</f>
        <v/>
      </c>
      <c r="E20">
        <f>IF(A20="","",COUNTIFS(ATTENDANCE_DAILY!C:C,A20,ATTENDANCE_DAILY!E:E,"Present"))</f>
        <v/>
      </c>
      <c r="F20">
        <f>IF(A20="","",COUNTIFS(ATTENDANCE_DAILY!C:C,A20,ATTENDANCE_DAILY!E:E,"Absent"))</f>
        <v/>
      </c>
      <c r="G20" s="5">
        <f>IF(D20=0,"",E20/D20)</f>
        <v/>
      </c>
      <c r="H20" s="4">
        <f>IF(G20="","",IF(G20&lt;0.75,"Low Attendance","OK"))</f>
        <v/>
      </c>
    </row>
    <row r="21">
      <c r="A21">
        <f>IF(MASTER_REGISTER!E21="","",MASTER_REGISTER!E21)</f>
        <v/>
      </c>
      <c r="B21">
        <f>IF(A21="","",MASTER_REGISTER!F21)</f>
        <v/>
      </c>
      <c r="C21">
        <f>IF(A21="","",MASTER_REGISTER!C21)</f>
        <v/>
      </c>
      <c r="D21">
        <f>IF(A21="","",COUNTIF(ATTENDANCE_DAILY!C:C,A21))</f>
        <v/>
      </c>
      <c r="E21">
        <f>IF(A21="","",COUNTIFS(ATTENDANCE_DAILY!C:C,A21,ATTENDANCE_DAILY!E:E,"Present"))</f>
        <v/>
      </c>
      <c r="F21">
        <f>IF(A21="","",COUNTIFS(ATTENDANCE_DAILY!C:C,A21,ATTENDANCE_DAILY!E:E,"Absent"))</f>
        <v/>
      </c>
      <c r="G21" s="5">
        <f>IF(D21=0,"",E21/D21)</f>
        <v/>
      </c>
      <c r="H21" s="4">
        <f>IF(G21="","",IF(G21&lt;0.75,"Low Attendance","OK"))</f>
        <v/>
      </c>
    </row>
    <row r="22">
      <c r="A22">
        <f>IF(MASTER_REGISTER!E22="","",MASTER_REGISTER!E22)</f>
        <v/>
      </c>
      <c r="B22">
        <f>IF(A22="","",MASTER_REGISTER!F22)</f>
        <v/>
      </c>
      <c r="C22">
        <f>IF(A22="","",MASTER_REGISTER!C22)</f>
        <v/>
      </c>
      <c r="D22">
        <f>IF(A22="","",COUNTIF(ATTENDANCE_DAILY!C:C,A22))</f>
        <v/>
      </c>
      <c r="E22">
        <f>IF(A22="","",COUNTIFS(ATTENDANCE_DAILY!C:C,A22,ATTENDANCE_DAILY!E:E,"Present"))</f>
        <v/>
      </c>
      <c r="F22">
        <f>IF(A22="","",COUNTIFS(ATTENDANCE_DAILY!C:C,A22,ATTENDANCE_DAILY!E:E,"Absent"))</f>
        <v/>
      </c>
      <c r="G22" s="5">
        <f>IF(D22=0,"",E22/D22)</f>
        <v/>
      </c>
      <c r="H22" s="4">
        <f>IF(G22="","",IF(G22&lt;0.75,"Low Attendance","OK"))</f>
        <v/>
      </c>
    </row>
    <row r="23">
      <c r="A23">
        <f>IF(MASTER_REGISTER!E23="","",MASTER_REGISTER!E23)</f>
        <v/>
      </c>
      <c r="B23">
        <f>IF(A23="","",MASTER_REGISTER!F23)</f>
        <v/>
      </c>
      <c r="C23">
        <f>IF(A23="","",MASTER_REGISTER!C23)</f>
        <v/>
      </c>
      <c r="D23">
        <f>IF(A23="","",COUNTIF(ATTENDANCE_DAILY!C:C,A23))</f>
        <v/>
      </c>
      <c r="E23">
        <f>IF(A23="","",COUNTIFS(ATTENDANCE_DAILY!C:C,A23,ATTENDANCE_DAILY!E:E,"Present"))</f>
        <v/>
      </c>
      <c r="F23">
        <f>IF(A23="","",COUNTIFS(ATTENDANCE_DAILY!C:C,A23,ATTENDANCE_DAILY!E:E,"Absent"))</f>
        <v/>
      </c>
      <c r="G23" s="5">
        <f>IF(D23=0,"",E23/D23)</f>
        <v/>
      </c>
      <c r="H23" s="4">
        <f>IF(G23="","",IF(G23&lt;0.75,"Low Attendance","OK"))</f>
        <v/>
      </c>
    </row>
    <row r="24">
      <c r="A24">
        <f>IF(MASTER_REGISTER!E24="","",MASTER_REGISTER!E24)</f>
        <v/>
      </c>
      <c r="B24">
        <f>IF(A24="","",MASTER_REGISTER!F24)</f>
        <v/>
      </c>
      <c r="C24">
        <f>IF(A24="","",MASTER_REGISTER!C24)</f>
        <v/>
      </c>
      <c r="D24">
        <f>IF(A24="","",COUNTIF(ATTENDANCE_DAILY!C:C,A24))</f>
        <v/>
      </c>
      <c r="E24">
        <f>IF(A24="","",COUNTIFS(ATTENDANCE_DAILY!C:C,A24,ATTENDANCE_DAILY!E:E,"Present"))</f>
        <v/>
      </c>
      <c r="F24">
        <f>IF(A24="","",COUNTIFS(ATTENDANCE_DAILY!C:C,A24,ATTENDANCE_DAILY!E:E,"Absent"))</f>
        <v/>
      </c>
      <c r="G24" s="5">
        <f>IF(D24=0,"",E24/D24)</f>
        <v/>
      </c>
      <c r="H24" s="4">
        <f>IF(G24="","",IF(G24&lt;0.75,"Low Attendance","OK"))</f>
        <v/>
      </c>
    </row>
    <row r="25">
      <c r="A25">
        <f>IF(MASTER_REGISTER!E25="","",MASTER_REGISTER!E25)</f>
        <v/>
      </c>
      <c r="B25">
        <f>IF(A25="","",MASTER_REGISTER!F25)</f>
        <v/>
      </c>
      <c r="C25">
        <f>IF(A25="","",MASTER_REGISTER!C25)</f>
        <v/>
      </c>
      <c r="D25">
        <f>IF(A25="","",COUNTIF(ATTENDANCE_DAILY!C:C,A25))</f>
        <v/>
      </c>
      <c r="E25">
        <f>IF(A25="","",COUNTIFS(ATTENDANCE_DAILY!C:C,A25,ATTENDANCE_DAILY!E:E,"Present"))</f>
        <v/>
      </c>
      <c r="F25">
        <f>IF(A25="","",COUNTIFS(ATTENDANCE_DAILY!C:C,A25,ATTENDANCE_DAILY!E:E,"Absent"))</f>
        <v/>
      </c>
      <c r="G25" s="5">
        <f>IF(D25=0,"",E25/D25)</f>
        <v/>
      </c>
      <c r="H25" s="4">
        <f>IF(G25="","",IF(G25&lt;0.75,"Low Attendance","OK"))</f>
        <v/>
      </c>
    </row>
    <row r="26">
      <c r="A26">
        <f>IF(MASTER_REGISTER!E26="","",MASTER_REGISTER!E26)</f>
        <v/>
      </c>
      <c r="B26">
        <f>IF(A26="","",MASTER_REGISTER!F26)</f>
        <v/>
      </c>
      <c r="C26">
        <f>IF(A26="","",MASTER_REGISTER!C26)</f>
        <v/>
      </c>
      <c r="D26">
        <f>IF(A26="","",COUNTIF(ATTENDANCE_DAILY!C:C,A26))</f>
        <v/>
      </c>
      <c r="E26">
        <f>IF(A26="","",COUNTIFS(ATTENDANCE_DAILY!C:C,A26,ATTENDANCE_DAILY!E:E,"Present"))</f>
        <v/>
      </c>
      <c r="F26">
        <f>IF(A26="","",COUNTIFS(ATTENDANCE_DAILY!C:C,A26,ATTENDANCE_DAILY!E:E,"Absent"))</f>
        <v/>
      </c>
      <c r="G26" s="5">
        <f>IF(D26=0,"",E26/D26)</f>
        <v/>
      </c>
      <c r="H26" s="4">
        <f>IF(G26="","",IF(G26&lt;0.75,"Low Attendance","OK"))</f>
        <v/>
      </c>
    </row>
    <row r="27">
      <c r="A27">
        <f>IF(MASTER_REGISTER!E27="","",MASTER_REGISTER!E27)</f>
        <v/>
      </c>
      <c r="B27">
        <f>IF(A27="","",MASTER_REGISTER!F27)</f>
        <v/>
      </c>
      <c r="C27">
        <f>IF(A27="","",MASTER_REGISTER!C27)</f>
        <v/>
      </c>
      <c r="D27">
        <f>IF(A27="","",COUNTIF(ATTENDANCE_DAILY!C:C,A27))</f>
        <v/>
      </c>
      <c r="E27">
        <f>IF(A27="","",COUNTIFS(ATTENDANCE_DAILY!C:C,A27,ATTENDANCE_DAILY!E:E,"Present"))</f>
        <v/>
      </c>
      <c r="F27">
        <f>IF(A27="","",COUNTIFS(ATTENDANCE_DAILY!C:C,A27,ATTENDANCE_DAILY!E:E,"Absent"))</f>
        <v/>
      </c>
      <c r="G27" s="5">
        <f>IF(D27=0,"",E27/D27)</f>
        <v/>
      </c>
      <c r="H27" s="4">
        <f>IF(G27="","",IF(G27&lt;0.75,"Low Attendance","OK"))</f>
        <v/>
      </c>
    </row>
    <row r="28">
      <c r="A28">
        <f>IF(MASTER_REGISTER!E28="","",MASTER_REGISTER!E28)</f>
        <v/>
      </c>
      <c r="B28">
        <f>IF(A28="","",MASTER_REGISTER!F28)</f>
        <v/>
      </c>
      <c r="C28">
        <f>IF(A28="","",MASTER_REGISTER!C28)</f>
        <v/>
      </c>
      <c r="D28">
        <f>IF(A28="","",COUNTIF(ATTENDANCE_DAILY!C:C,A28))</f>
        <v/>
      </c>
      <c r="E28">
        <f>IF(A28="","",COUNTIFS(ATTENDANCE_DAILY!C:C,A28,ATTENDANCE_DAILY!E:E,"Present"))</f>
        <v/>
      </c>
      <c r="F28">
        <f>IF(A28="","",COUNTIFS(ATTENDANCE_DAILY!C:C,A28,ATTENDANCE_DAILY!E:E,"Absent"))</f>
        <v/>
      </c>
      <c r="G28" s="5">
        <f>IF(D28=0,"",E28/D28)</f>
        <v/>
      </c>
      <c r="H28" s="4">
        <f>IF(G28="","",IF(G28&lt;0.75,"Low Attendance","OK"))</f>
        <v/>
      </c>
    </row>
    <row r="29">
      <c r="A29">
        <f>IF(MASTER_REGISTER!E29="","",MASTER_REGISTER!E29)</f>
        <v/>
      </c>
      <c r="B29">
        <f>IF(A29="","",MASTER_REGISTER!F29)</f>
        <v/>
      </c>
      <c r="C29">
        <f>IF(A29="","",MASTER_REGISTER!C29)</f>
        <v/>
      </c>
      <c r="D29">
        <f>IF(A29="","",COUNTIF(ATTENDANCE_DAILY!C:C,A29))</f>
        <v/>
      </c>
      <c r="E29">
        <f>IF(A29="","",COUNTIFS(ATTENDANCE_DAILY!C:C,A29,ATTENDANCE_DAILY!E:E,"Present"))</f>
        <v/>
      </c>
      <c r="F29">
        <f>IF(A29="","",COUNTIFS(ATTENDANCE_DAILY!C:C,A29,ATTENDANCE_DAILY!E:E,"Absent"))</f>
        <v/>
      </c>
      <c r="G29" s="5">
        <f>IF(D29=0,"",E29/D29)</f>
        <v/>
      </c>
      <c r="H29" s="4">
        <f>IF(G29="","",IF(G29&lt;0.75,"Low Attendance","OK"))</f>
        <v/>
      </c>
    </row>
    <row r="30">
      <c r="A30">
        <f>IF(MASTER_REGISTER!E30="","",MASTER_REGISTER!E30)</f>
        <v/>
      </c>
      <c r="B30">
        <f>IF(A30="","",MASTER_REGISTER!F30)</f>
        <v/>
      </c>
      <c r="C30">
        <f>IF(A30="","",MASTER_REGISTER!C30)</f>
        <v/>
      </c>
      <c r="D30">
        <f>IF(A30="","",COUNTIF(ATTENDANCE_DAILY!C:C,A30))</f>
        <v/>
      </c>
      <c r="E30">
        <f>IF(A30="","",COUNTIFS(ATTENDANCE_DAILY!C:C,A30,ATTENDANCE_DAILY!E:E,"Present"))</f>
        <v/>
      </c>
      <c r="F30">
        <f>IF(A30="","",COUNTIFS(ATTENDANCE_DAILY!C:C,A30,ATTENDANCE_DAILY!E:E,"Absent"))</f>
        <v/>
      </c>
      <c r="G30" s="5">
        <f>IF(D30=0,"",E30/D30)</f>
        <v/>
      </c>
      <c r="H30" s="4">
        <f>IF(G30="","",IF(G30&lt;0.75,"Low Attendance","OK"))</f>
        <v/>
      </c>
    </row>
    <row r="31">
      <c r="A31">
        <f>IF(MASTER_REGISTER!E31="","",MASTER_REGISTER!E31)</f>
        <v/>
      </c>
      <c r="B31">
        <f>IF(A31="","",MASTER_REGISTER!F31)</f>
        <v/>
      </c>
      <c r="C31">
        <f>IF(A31="","",MASTER_REGISTER!C31)</f>
        <v/>
      </c>
      <c r="D31">
        <f>IF(A31="","",COUNTIF(ATTENDANCE_DAILY!C:C,A31))</f>
        <v/>
      </c>
      <c r="E31">
        <f>IF(A31="","",COUNTIFS(ATTENDANCE_DAILY!C:C,A31,ATTENDANCE_DAILY!E:E,"Present"))</f>
        <v/>
      </c>
      <c r="F31">
        <f>IF(A31="","",COUNTIFS(ATTENDANCE_DAILY!C:C,A31,ATTENDANCE_DAILY!E:E,"Absent"))</f>
        <v/>
      </c>
      <c r="G31" s="5">
        <f>IF(D31=0,"",E31/D31)</f>
        <v/>
      </c>
      <c r="H31" s="4">
        <f>IF(G31="","",IF(G31&lt;0.75,"Low Attendance","OK"))</f>
        <v/>
      </c>
    </row>
    <row r="32">
      <c r="A32">
        <f>IF(MASTER_REGISTER!E32="","",MASTER_REGISTER!E32)</f>
        <v/>
      </c>
      <c r="B32">
        <f>IF(A32="","",MASTER_REGISTER!F32)</f>
        <v/>
      </c>
      <c r="C32">
        <f>IF(A32="","",MASTER_REGISTER!C32)</f>
        <v/>
      </c>
      <c r="D32">
        <f>IF(A32="","",COUNTIF(ATTENDANCE_DAILY!C:C,A32))</f>
        <v/>
      </c>
      <c r="E32">
        <f>IF(A32="","",COUNTIFS(ATTENDANCE_DAILY!C:C,A32,ATTENDANCE_DAILY!E:E,"Present"))</f>
        <v/>
      </c>
      <c r="F32">
        <f>IF(A32="","",COUNTIFS(ATTENDANCE_DAILY!C:C,A32,ATTENDANCE_DAILY!E:E,"Absent"))</f>
        <v/>
      </c>
      <c r="G32" s="5">
        <f>IF(D32=0,"",E32/D32)</f>
        <v/>
      </c>
      <c r="H32" s="4">
        <f>IF(G32="","",IF(G32&lt;0.75,"Low Attendance","OK"))</f>
        <v/>
      </c>
    </row>
    <row r="33">
      <c r="A33">
        <f>IF(MASTER_REGISTER!E33="","",MASTER_REGISTER!E33)</f>
        <v/>
      </c>
      <c r="B33">
        <f>IF(A33="","",MASTER_REGISTER!F33)</f>
        <v/>
      </c>
      <c r="C33">
        <f>IF(A33="","",MASTER_REGISTER!C33)</f>
        <v/>
      </c>
      <c r="D33">
        <f>IF(A33="","",COUNTIF(ATTENDANCE_DAILY!C:C,A33))</f>
        <v/>
      </c>
      <c r="E33">
        <f>IF(A33="","",COUNTIFS(ATTENDANCE_DAILY!C:C,A33,ATTENDANCE_DAILY!E:E,"Present"))</f>
        <v/>
      </c>
      <c r="F33">
        <f>IF(A33="","",COUNTIFS(ATTENDANCE_DAILY!C:C,A33,ATTENDANCE_DAILY!E:E,"Absent"))</f>
        <v/>
      </c>
      <c r="G33" s="5">
        <f>IF(D33=0,"",E33/D33)</f>
        <v/>
      </c>
      <c r="H33" s="4">
        <f>IF(G33="","",IF(G33&lt;0.75,"Low Attendance","OK"))</f>
        <v/>
      </c>
    </row>
    <row r="34">
      <c r="A34">
        <f>IF(MASTER_REGISTER!E34="","",MASTER_REGISTER!E34)</f>
        <v/>
      </c>
      <c r="B34">
        <f>IF(A34="","",MASTER_REGISTER!F34)</f>
        <v/>
      </c>
      <c r="C34">
        <f>IF(A34="","",MASTER_REGISTER!C34)</f>
        <v/>
      </c>
      <c r="D34">
        <f>IF(A34="","",COUNTIF(ATTENDANCE_DAILY!C:C,A34))</f>
        <v/>
      </c>
      <c r="E34">
        <f>IF(A34="","",COUNTIFS(ATTENDANCE_DAILY!C:C,A34,ATTENDANCE_DAILY!E:E,"Present"))</f>
        <v/>
      </c>
      <c r="F34">
        <f>IF(A34="","",COUNTIFS(ATTENDANCE_DAILY!C:C,A34,ATTENDANCE_DAILY!E:E,"Absent"))</f>
        <v/>
      </c>
      <c r="G34" s="5">
        <f>IF(D34=0,"",E34/D34)</f>
        <v/>
      </c>
      <c r="H34" s="4">
        <f>IF(G34="","",IF(G34&lt;0.75,"Low Attendance","OK"))</f>
        <v/>
      </c>
    </row>
    <row r="35">
      <c r="A35">
        <f>IF(MASTER_REGISTER!E35="","",MASTER_REGISTER!E35)</f>
        <v/>
      </c>
      <c r="B35">
        <f>IF(A35="","",MASTER_REGISTER!F35)</f>
        <v/>
      </c>
      <c r="C35">
        <f>IF(A35="","",MASTER_REGISTER!C35)</f>
        <v/>
      </c>
      <c r="D35">
        <f>IF(A35="","",COUNTIF(ATTENDANCE_DAILY!C:C,A35))</f>
        <v/>
      </c>
      <c r="E35">
        <f>IF(A35="","",COUNTIFS(ATTENDANCE_DAILY!C:C,A35,ATTENDANCE_DAILY!E:E,"Present"))</f>
        <v/>
      </c>
      <c r="F35">
        <f>IF(A35="","",COUNTIFS(ATTENDANCE_DAILY!C:C,A35,ATTENDANCE_DAILY!E:E,"Absent"))</f>
        <v/>
      </c>
      <c r="G35" s="5">
        <f>IF(D35=0,"",E35/D35)</f>
        <v/>
      </c>
      <c r="H35" s="4">
        <f>IF(G35="","",IF(G35&lt;0.75,"Low Attendance","OK"))</f>
        <v/>
      </c>
    </row>
    <row r="36">
      <c r="A36">
        <f>IF(MASTER_REGISTER!E36="","",MASTER_REGISTER!E36)</f>
        <v/>
      </c>
      <c r="B36">
        <f>IF(A36="","",MASTER_REGISTER!F36)</f>
        <v/>
      </c>
      <c r="C36">
        <f>IF(A36="","",MASTER_REGISTER!C36)</f>
        <v/>
      </c>
      <c r="D36">
        <f>IF(A36="","",COUNTIF(ATTENDANCE_DAILY!C:C,A36))</f>
        <v/>
      </c>
      <c r="E36">
        <f>IF(A36="","",COUNTIFS(ATTENDANCE_DAILY!C:C,A36,ATTENDANCE_DAILY!E:E,"Present"))</f>
        <v/>
      </c>
      <c r="F36">
        <f>IF(A36="","",COUNTIFS(ATTENDANCE_DAILY!C:C,A36,ATTENDANCE_DAILY!E:E,"Absent"))</f>
        <v/>
      </c>
      <c r="G36" s="5">
        <f>IF(D36=0,"",E36/D36)</f>
        <v/>
      </c>
      <c r="H36" s="4">
        <f>IF(G36="","",IF(G36&lt;0.75,"Low Attendance","OK"))</f>
        <v/>
      </c>
    </row>
    <row r="37">
      <c r="A37">
        <f>IF(MASTER_REGISTER!E37="","",MASTER_REGISTER!E37)</f>
        <v/>
      </c>
      <c r="B37">
        <f>IF(A37="","",MASTER_REGISTER!F37)</f>
        <v/>
      </c>
      <c r="C37">
        <f>IF(A37="","",MASTER_REGISTER!C37)</f>
        <v/>
      </c>
      <c r="D37">
        <f>IF(A37="","",COUNTIF(ATTENDANCE_DAILY!C:C,A37))</f>
        <v/>
      </c>
      <c r="E37">
        <f>IF(A37="","",COUNTIFS(ATTENDANCE_DAILY!C:C,A37,ATTENDANCE_DAILY!E:E,"Present"))</f>
        <v/>
      </c>
      <c r="F37">
        <f>IF(A37="","",COUNTIFS(ATTENDANCE_DAILY!C:C,A37,ATTENDANCE_DAILY!E:E,"Absent"))</f>
        <v/>
      </c>
      <c r="G37" s="5">
        <f>IF(D37=0,"",E37/D37)</f>
        <v/>
      </c>
      <c r="H37" s="4">
        <f>IF(G37="","",IF(G37&lt;0.75,"Low Attendance","OK"))</f>
        <v/>
      </c>
    </row>
    <row r="38">
      <c r="A38">
        <f>IF(MASTER_REGISTER!E38="","",MASTER_REGISTER!E38)</f>
        <v/>
      </c>
      <c r="B38">
        <f>IF(A38="","",MASTER_REGISTER!F38)</f>
        <v/>
      </c>
      <c r="C38">
        <f>IF(A38="","",MASTER_REGISTER!C38)</f>
        <v/>
      </c>
      <c r="D38">
        <f>IF(A38="","",COUNTIF(ATTENDANCE_DAILY!C:C,A38))</f>
        <v/>
      </c>
      <c r="E38">
        <f>IF(A38="","",COUNTIFS(ATTENDANCE_DAILY!C:C,A38,ATTENDANCE_DAILY!E:E,"Present"))</f>
        <v/>
      </c>
      <c r="F38">
        <f>IF(A38="","",COUNTIFS(ATTENDANCE_DAILY!C:C,A38,ATTENDANCE_DAILY!E:E,"Absent"))</f>
        <v/>
      </c>
      <c r="G38" s="5">
        <f>IF(D38=0,"",E38/D38)</f>
        <v/>
      </c>
      <c r="H38" s="4">
        <f>IF(G38="","",IF(G38&lt;0.75,"Low Attendance","OK"))</f>
        <v/>
      </c>
    </row>
    <row r="39">
      <c r="A39">
        <f>IF(MASTER_REGISTER!E39="","",MASTER_REGISTER!E39)</f>
        <v/>
      </c>
      <c r="B39">
        <f>IF(A39="","",MASTER_REGISTER!F39)</f>
        <v/>
      </c>
      <c r="C39">
        <f>IF(A39="","",MASTER_REGISTER!C39)</f>
        <v/>
      </c>
      <c r="D39">
        <f>IF(A39="","",COUNTIF(ATTENDANCE_DAILY!C:C,A39))</f>
        <v/>
      </c>
      <c r="E39">
        <f>IF(A39="","",COUNTIFS(ATTENDANCE_DAILY!C:C,A39,ATTENDANCE_DAILY!E:E,"Present"))</f>
        <v/>
      </c>
      <c r="F39">
        <f>IF(A39="","",COUNTIFS(ATTENDANCE_DAILY!C:C,A39,ATTENDANCE_DAILY!E:E,"Absent"))</f>
        <v/>
      </c>
      <c r="G39" s="5">
        <f>IF(D39=0,"",E39/D39)</f>
        <v/>
      </c>
      <c r="H39" s="4">
        <f>IF(G39="","",IF(G39&lt;0.75,"Low Attendance","OK"))</f>
        <v/>
      </c>
    </row>
    <row r="40">
      <c r="A40">
        <f>IF(MASTER_REGISTER!E40="","",MASTER_REGISTER!E40)</f>
        <v/>
      </c>
      <c r="B40">
        <f>IF(A40="","",MASTER_REGISTER!F40)</f>
        <v/>
      </c>
      <c r="C40">
        <f>IF(A40="","",MASTER_REGISTER!C40)</f>
        <v/>
      </c>
      <c r="D40">
        <f>IF(A40="","",COUNTIF(ATTENDANCE_DAILY!C:C,A40))</f>
        <v/>
      </c>
      <c r="E40">
        <f>IF(A40="","",COUNTIFS(ATTENDANCE_DAILY!C:C,A40,ATTENDANCE_DAILY!E:E,"Present"))</f>
        <v/>
      </c>
      <c r="F40">
        <f>IF(A40="","",COUNTIFS(ATTENDANCE_DAILY!C:C,A40,ATTENDANCE_DAILY!E:E,"Absent"))</f>
        <v/>
      </c>
      <c r="G40" s="5">
        <f>IF(D40=0,"",E40/D40)</f>
        <v/>
      </c>
      <c r="H40" s="4">
        <f>IF(G40="","",IF(G40&lt;0.75,"Low Attendance","OK"))</f>
        <v/>
      </c>
    </row>
    <row r="41">
      <c r="A41">
        <f>IF(MASTER_REGISTER!E41="","",MASTER_REGISTER!E41)</f>
        <v/>
      </c>
      <c r="B41">
        <f>IF(A41="","",MASTER_REGISTER!F41)</f>
        <v/>
      </c>
      <c r="C41">
        <f>IF(A41="","",MASTER_REGISTER!C41)</f>
        <v/>
      </c>
      <c r="D41">
        <f>IF(A41="","",COUNTIF(ATTENDANCE_DAILY!C:C,A41))</f>
        <v/>
      </c>
      <c r="E41">
        <f>IF(A41="","",COUNTIFS(ATTENDANCE_DAILY!C:C,A41,ATTENDANCE_DAILY!E:E,"Present"))</f>
        <v/>
      </c>
      <c r="F41">
        <f>IF(A41="","",COUNTIFS(ATTENDANCE_DAILY!C:C,A41,ATTENDANCE_DAILY!E:E,"Absent"))</f>
        <v/>
      </c>
      <c r="G41" s="5">
        <f>IF(D41=0,"",E41/D41)</f>
        <v/>
      </c>
      <c r="H41" s="4">
        <f>IF(G41="","",IF(G41&lt;0.75,"Low Attendance","OK"))</f>
        <v/>
      </c>
    </row>
    <row r="42">
      <c r="A42">
        <f>IF(MASTER_REGISTER!E42="","",MASTER_REGISTER!E42)</f>
        <v/>
      </c>
      <c r="B42">
        <f>IF(A42="","",MASTER_REGISTER!F42)</f>
        <v/>
      </c>
      <c r="C42">
        <f>IF(A42="","",MASTER_REGISTER!C42)</f>
        <v/>
      </c>
      <c r="D42">
        <f>IF(A42="","",COUNTIF(ATTENDANCE_DAILY!C:C,A42))</f>
        <v/>
      </c>
      <c r="E42">
        <f>IF(A42="","",COUNTIFS(ATTENDANCE_DAILY!C:C,A42,ATTENDANCE_DAILY!E:E,"Present"))</f>
        <v/>
      </c>
      <c r="F42">
        <f>IF(A42="","",COUNTIFS(ATTENDANCE_DAILY!C:C,A42,ATTENDANCE_DAILY!E:E,"Absent"))</f>
        <v/>
      </c>
      <c r="G42" s="5">
        <f>IF(D42=0,"",E42/D42)</f>
        <v/>
      </c>
      <c r="H42" s="4">
        <f>IF(G42="","",IF(G42&lt;0.75,"Low Attendance","OK"))</f>
        <v/>
      </c>
    </row>
    <row r="43">
      <c r="A43">
        <f>IF(MASTER_REGISTER!E43="","",MASTER_REGISTER!E43)</f>
        <v/>
      </c>
      <c r="B43">
        <f>IF(A43="","",MASTER_REGISTER!F43)</f>
        <v/>
      </c>
      <c r="C43">
        <f>IF(A43="","",MASTER_REGISTER!C43)</f>
        <v/>
      </c>
      <c r="D43">
        <f>IF(A43="","",COUNTIF(ATTENDANCE_DAILY!C:C,A43))</f>
        <v/>
      </c>
      <c r="E43">
        <f>IF(A43="","",COUNTIFS(ATTENDANCE_DAILY!C:C,A43,ATTENDANCE_DAILY!E:E,"Present"))</f>
        <v/>
      </c>
      <c r="F43">
        <f>IF(A43="","",COUNTIFS(ATTENDANCE_DAILY!C:C,A43,ATTENDANCE_DAILY!E:E,"Absent"))</f>
        <v/>
      </c>
      <c r="G43" s="5">
        <f>IF(D43=0,"",E43/D43)</f>
        <v/>
      </c>
      <c r="H43" s="4">
        <f>IF(G43="","",IF(G43&lt;0.75,"Low Attendance","OK"))</f>
        <v/>
      </c>
    </row>
    <row r="44">
      <c r="A44">
        <f>IF(MASTER_REGISTER!E44="","",MASTER_REGISTER!E44)</f>
        <v/>
      </c>
      <c r="B44">
        <f>IF(A44="","",MASTER_REGISTER!F44)</f>
        <v/>
      </c>
      <c r="C44">
        <f>IF(A44="","",MASTER_REGISTER!C44)</f>
        <v/>
      </c>
      <c r="D44">
        <f>IF(A44="","",COUNTIF(ATTENDANCE_DAILY!C:C,A44))</f>
        <v/>
      </c>
      <c r="E44">
        <f>IF(A44="","",COUNTIFS(ATTENDANCE_DAILY!C:C,A44,ATTENDANCE_DAILY!E:E,"Present"))</f>
        <v/>
      </c>
      <c r="F44">
        <f>IF(A44="","",COUNTIFS(ATTENDANCE_DAILY!C:C,A44,ATTENDANCE_DAILY!E:E,"Absent"))</f>
        <v/>
      </c>
      <c r="G44" s="5">
        <f>IF(D44=0,"",E44/D44)</f>
        <v/>
      </c>
      <c r="H44" s="4">
        <f>IF(G44="","",IF(G44&lt;0.75,"Low Attendance","OK"))</f>
        <v/>
      </c>
    </row>
    <row r="45">
      <c r="A45">
        <f>IF(MASTER_REGISTER!E45="","",MASTER_REGISTER!E45)</f>
        <v/>
      </c>
      <c r="B45">
        <f>IF(A45="","",MASTER_REGISTER!F45)</f>
        <v/>
      </c>
      <c r="C45">
        <f>IF(A45="","",MASTER_REGISTER!C45)</f>
        <v/>
      </c>
      <c r="D45">
        <f>IF(A45="","",COUNTIF(ATTENDANCE_DAILY!C:C,A45))</f>
        <v/>
      </c>
      <c r="E45">
        <f>IF(A45="","",COUNTIFS(ATTENDANCE_DAILY!C:C,A45,ATTENDANCE_DAILY!E:E,"Present"))</f>
        <v/>
      </c>
      <c r="F45">
        <f>IF(A45="","",COUNTIFS(ATTENDANCE_DAILY!C:C,A45,ATTENDANCE_DAILY!E:E,"Absent"))</f>
        <v/>
      </c>
      <c r="G45" s="5">
        <f>IF(D45=0,"",E45/D45)</f>
        <v/>
      </c>
      <c r="H45" s="4">
        <f>IF(G45="","",IF(G45&lt;0.75,"Low Attendance","OK"))</f>
        <v/>
      </c>
    </row>
    <row r="46">
      <c r="A46">
        <f>IF(MASTER_REGISTER!E46="","",MASTER_REGISTER!E46)</f>
        <v/>
      </c>
      <c r="B46">
        <f>IF(A46="","",MASTER_REGISTER!F46)</f>
        <v/>
      </c>
      <c r="C46">
        <f>IF(A46="","",MASTER_REGISTER!C46)</f>
        <v/>
      </c>
      <c r="D46">
        <f>IF(A46="","",COUNTIF(ATTENDANCE_DAILY!C:C,A46))</f>
        <v/>
      </c>
      <c r="E46">
        <f>IF(A46="","",COUNTIFS(ATTENDANCE_DAILY!C:C,A46,ATTENDANCE_DAILY!E:E,"Present"))</f>
        <v/>
      </c>
      <c r="F46">
        <f>IF(A46="","",COUNTIFS(ATTENDANCE_DAILY!C:C,A46,ATTENDANCE_DAILY!E:E,"Absent"))</f>
        <v/>
      </c>
      <c r="G46" s="5">
        <f>IF(D46=0,"",E46/D46)</f>
        <v/>
      </c>
      <c r="H46" s="4">
        <f>IF(G46="","",IF(G46&lt;0.75,"Low Attendance","OK"))</f>
        <v/>
      </c>
    </row>
    <row r="47">
      <c r="A47">
        <f>IF(MASTER_REGISTER!E47="","",MASTER_REGISTER!E47)</f>
        <v/>
      </c>
      <c r="B47">
        <f>IF(A47="","",MASTER_REGISTER!F47)</f>
        <v/>
      </c>
      <c r="C47">
        <f>IF(A47="","",MASTER_REGISTER!C47)</f>
        <v/>
      </c>
      <c r="D47">
        <f>IF(A47="","",COUNTIF(ATTENDANCE_DAILY!C:C,A47))</f>
        <v/>
      </c>
      <c r="E47">
        <f>IF(A47="","",COUNTIFS(ATTENDANCE_DAILY!C:C,A47,ATTENDANCE_DAILY!E:E,"Present"))</f>
        <v/>
      </c>
      <c r="F47">
        <f>IF(A47="","",COUNTIFS(ATTENDANCE_DAILY!C:C,A47,ATTENDANCE_DAILY!E:E,"Absent"))</f>
        <v/>
      </c>
      <c r="G47" s="5">
        <f>IF(D47=0,"",E47/D47)</f>
        <v/>
      </c>
      <c r="H47" s="4">
        <f>IF(G47="","",IF(G47&lt;0.75,"Low Attendance","OK"))</f>
        <v/>
      </c>
    </row>
    <row r="48">
      <c r="A48">
        <f>IF(MASTER_REGISTER!E48="","",MASTER_REGISTER!E48)</f>
        <v/>
      </c>
      <c r="B48">
        <f>IF(A48="","",MASTER_REGISTER!F48)</f>
        <v/>
      </c>
      <c r="C48">
        <f>IF(A48="","",MASTER_REGISTER!C48)</f>
        <v/>
      </c>
      <c r="D48">
        <f>IF(A48="","",COUNTIF(ATTENDANCE_DAILY!C:C,A48))</f>
        <v/>
      </c>
      <c r="E48">
        <f>IF(A48="","",COUNTIFS(ATTENDANCE_DAILY!C:C,A48,ATTENDANCE_DAILY!E:E,"Present"))</f>
        <v/>
      </c>
      <c r="F48">
        <f>IF(A48="","",COUNTIFS(ATTENDANCE_DAILY!C:C,A48,ATTENDANCE_DAILY!E:E,"Absent"))</f>
        <v/>
      </c>
      <c r="G48" s="5">
        <f>IF(D48=0,"",E48/D48)</f>
        <v/>
      </c>
      <c r="H48" s="4">
        <f>IF(G48="","",IF(G48&lt;0.75,"Low Attendance","OK"))</f>
        <v/>
      </c>
    </row>
    <row r="49">
      <c r="A49">
        <f>IF(MASTER_REGISTER!E49="","",MASTER_REGISTER!E49)</f>
        <v/>
      </c>
      <c r="B49">
        <f>IF(A49="","",MASTER_REGISTER!F49)</f>
        <v/>
      </c>
      <c r="C49">
        <f>IF(A49="","",MASTER_REGISTER!C49)</f>
        <v/>
      </c>
      <c r="D49">
        <f>IF(A49="","",COUNTIF(ATTENDANCE_DAILY!C:C,A49))</f>
        <v/>
      </c>
      <c r="E49">
        <f>IF(A49="","",COUNTIFS(ATTENDANCE_DAILY!C:C,A49,ATTENDANCE_DAILY!E:E,"Present"))</f>
        <v/>
      </c>
      <c r="F49">
        <f>IF(A49="","",COUNTIFS(ATTENDANCE_DAILY!C:C,A49,ATTENDANCE_DAILY!E:E,"Absent"))</f>
        <v/>
      </c>
      <c r="G49" s="5">
        <f>IF(D49=0,"",E49/D49)</f>
        <v/>
      </c>
      <c r="H49" s="4">
        <f>IF(G49="","",IF(G49&lt;0.75,"Low Attendance","OK"))</f>
        <v/>
      </c>
    </row>
    <row r="50">
      <c r="A50">
        <f>IF(MASTER_REGISTER!E50="","",MASTER_REGISTER!E50)</f>
        <v/>
      </c>
      <c r="B50">
        <f>IF(A50="","",MASTER_REGISTER!F50)</f>
        <v/>
      </c>
      <c r="C50">
        <f>IF(A50="","",MASTER_REGISTER!C50)</f>
        <v/>
      </c>
      <c r="D50">
        <f>IF(A50="","",COUNTIF(ATTENDANCE_DAILY!C:C,A50))</f>
        <v/>
      </c>
      <c r="E50">
        <f>IF(A50="","",COUNTIFS(ATTENDANCE_DAILY!C:C,A50,ATTENDANCE_DAILY!E:E,"Present"))</f>
        <v/>
      </c>
      <c r="F50">
        <f>IF(A50="","",COUNTIFS(ATTENDANCE_DAILY!C:C,A50,ATTENDANCE_DAILY!E:E,"Absent"))</f>
        <v/>
      </c>
      <c r="G50" s="5">
        <f>IF(D50=0,"",E50/D50)</f>
        <v/>
      </c>
      <c r="H50" s="4">
        <f>IF(G50="","",IF(G50&lt;0.75,"Low Attendance","OK"))</f>
        <v/>
      </c>
    </row>
    <row r="51">
      <c r="A51">
        <f>IF(MASTER_REGISTER!E51="","",MASTER_REGISTER!E51)</f>
        <v/>
      </c>
      <c r="B51">
        <f>IF(A51="","",MASTER_REGISTER!F51)</f>
        <v/>
      </c>
      <c r="C51">
        <f>IF(A51="","",MASTER_REGISTER!C51)</f>
        <v/>
      </c>
      <c r="D51">
        <f>IF(A51="","",COUNTIF(ATTENDANCE_DAILY!C:C,A51))</f>
        <v/>
      </c>
      <c r="E51">
        <f>IF(A51="","",COUNTIFS(ATTENDANCE_DAILY!C:C,A51,ATTENDANCE_DAILY!E:E,"Present"))</f>
        <v/>
      </c>
      <c r="F51">
        <f>IF(A51="","",COUNTIFS(ATTENDANCE_DAILY!C:C,A51,ATTENDANCE_DAILY!E:E,"Absent"))</f>
        <v/>
      </c>
      <c r="G51" s="5">
        <f>IF(D51=0,"",E51/D51)</f>
        <v/>
      </c>
      <c r="H51" s="4">
        <f>IF(G51="","",IF(G51&lt;0.75,"Low Attendance","OK"))</f>
        <v/>
      </c>
    </row>
    <row r="52">
      <c r="A52">
        <f>IF(MASTER_REGISTER!E52="","",MASTER_REGISTER!E52)</f>
        <v/>
      </c>
      <c r="B52">
        <f>IF(A52="","",MASTER_REGISTER!F52)</f>
        <v/>
      </c>
      <c r="C52">
        <f>IF(A52="","",MASTER_REGISTER!C52)</f>
        <v/>
      </c>
      <c r="D52">
        <f>IF(A52="","",COUNTIF(ATTENDANCE_DAILY!C:C,A52))</f>
        <v/>
      </c>
      <c r="E52">
        <f>IF(A52="","",COUNTIFS(ATTENDANCE_DAILY!C:C,A52,ATTENDANCE_DAILY!E:E,"Present"))</f>
        <v/>
      </c>
      <c r="F52">
        <f>IF(A52="","",COUNTIFS(ATTENDANCE_DAILY!C:C,A52,ATTENDANCE_DAILY!E:E,"Absent"))</f>
        <v/>
      </c>
      <c r="G52" s="5">
        <f>IF(D52=0,"",E52/D52)</f>
        <v/>
      </c>
      <c r="H52" s="4">
        <f>IF(G52="","",IF(G52&lt;0.75,"Low Attendance","OK"))</f>
        <v/>
      </c>
    </row>
    <row r="53">
      <c r="A53">
        <f>IF(MASTER_REGISTER!E53="","",MASTER_REGISTER!E53)</f>
        <v/>
      </c>
      <c r="B53">
        <f>IF(A53="","",MASTER_REGISTER!F53)</f>
        <v/>
      </c>
      <c r="C53">
        <f>IF(A53="","",MASTER_REGISTER!C53)</f>
        <v/>
      </c>
      <c r="D53">
        <f>IF(A53="","",COUNTIF(ATTENDANCE_DAILY!C:C,A53))</f>
        <v/>
      </c>
      <c r="E53">
        <f>IF(A53="","",COUNTIFS(ATTENDANCE_DAILY!C:C,A53,ATTENDANCE_DAILY!E:E,"Present"))</f>
        <v/>
      </c>
      <c r="F53">
        <f>IF(A53="","",COUNTIFS(ATTENDANCE_DAILY!C:C,A53,ATTENDANCE_DAILY!E:E,"Absent"))</f>
        <v/>
      </c>
      <c r="G53" s="5">
        <f>IF(D53=0,"",E53/D53)</f>
        <v/>
      </c>
      <c r="H53" s="4">
        <f>IF(G53="","",IF(G53&lt;0.75,"Low Attendance","OK"))</f>
        <v/>
      </c>
    </row>
    <row r="54">
      <c r="A54">
        <f>IF(MASTER_REGISTER!E54="","",MASTER_REGISTER!E54)</f>
        <v/>
      </c>
      <c r="B54">
        <f>IF(A54="","",MASTER_REGISTER!F54)</f>
        <v/>
      </c>
      <c r="C54">
        <f>IF(A54="","",MASTER_REGISTER!C54)</f>
        <v/>
      </c>
      <c r="D54">
        <f>IF(A54="","",COUNTIF(ATTENDANCE_DAILY!C:C,A54))</f>
        <v/>
      </c>
      <c r="E54">
        <f>IF(A54="","",COUNTIFS(ATTENDANCE_DAILY!C:C,A54,ATTENDANCE_DAILY!E:E,"Present"))</f>
        <v/>
      </c>
      <c r="F54">
        <f>IF(A54="","",COUNTIFS(ATTENDANCE_DAILY!C:C,A54,ATTENDANCE_DAILY!E:E,"Absent"))</f>
        <v/>
      </c>
      <c r="G54" s="5">
        <f>IF(D54=0,"",E54/D54)</f>
        <v/>
      </c>
      <c r="H54" s="4">
        <f>IF(G54="","",IF(G54&lt;0.75,"Low Attendance","OK"))</f>
        <v/>
      </c>
    </row>
    <row r="55">
      <c r="A55">
        <f>IF(MASTER_REGISTER!E55="","",MASTER_REGISTER!E55)</f>
        <v/>
      </c>
      <c r="B55">
        <f>IF(A55="","",MASTER_REGISTER!F55)</f>
        <v/>
      </c>
      <c r="C55">
        <f>IF(A55="","",MASTER_REGISTER!C55)</f>
        <v/>
      </c>
      <c r="D55">
        <f>IF(A55="","",COUNTIF(ATTENDANCE_DAILY!C:C,A55))</f>
        <v/>
      </c>
      <c r="E55">
        <f>IF(A55="","",COUNTIFS(ATTENDANCE_DAILY!C:C,A55,ATTENDANCE_DAILY!E:E,"Present"))</f>
        <v/>
      </c>
      <c r="F55">
        <f>IF(A55="","",COUNTIFS(ATTENDANCE_DAILY!C:C,A55,ATTENDANCE_DAILY!E:E,"Absent"))</f>
        <v/>
      </c>
      <c r="G55" s="5">
        <f>IF(D55=0,"",E55/D55)</f>
        <v/>
      </c>
      <c r="H55" s="4">
        <f>IF(G55="","",IF(G55&lt;0.75,"Low Attendance","OK"))</f>
        <v/>
      </c>
    </row>
    <row r="56">
      <c r="A56">
        <f>IF(MASTER_REGISTER!E56="","",MASTER_REGISTER!E56)</f>
        <v/>
      </c>
      <c r="B56">
        <f>IF(A56="","",MASTER_REGISTER!F56)</f>
        <v/>
      </c>
      <c r="C56">
        <f>IF(A56="","",MASTER_REGISTER!C56)</f>
        <v/>
      </c>
      <c r="D56">
        <f>IF(A56="","",COUNTIF(ATTENDANCE_DAILY!C:C,A56))</f>
        <v/>
      </c>
      <c r="E56">
        <f>IF(A56="","",COUNTIFS(ATTENDANCE_DAILY!C:C,A56,ATTENDANCE_DAILY!E:E,"Present"))</f>
        <v/>
      </c>
      <c r="F56">
        <f>IF(A56="","",COUNTIFS(ATTENDANCE_DAILY!C:C,A56,ATTENDANCE_DAILY!E:E,"Absent"))</f>
        <v/>
      </c>
      <c r="G56" s="5">
        <f>IF(D56=0,"",E56/D56)</f>
        <v/>
      </c>
      <c r="H56" s="4">
        <f>IF(G56="","",IF(G56&lt;0.75,"Low Attendance","OK"))</f>
        <v/>
      </c>
    </row>
    <row r="57">
      <c r="A57">
        <f>IF(MASTER_REGISTER!E57="","",MASTER_REGISTER!E57)</f>
        <v/>
      </c>
      <c r="B57">
        <f>IF(A57="","",MASTER_REGISTER!F57)</f>
        <v/>
      </c>
      <c r="C57">
        <f>IF(A57="","",MASTER_REGISTER!C57)</f>
        <v/>
      </c>
      <c r="D57">
        <f>IF(A57="","",COUNTIF(ATTENDANCE_DAILY!C:C,A57))</f>
        <v/>
      </c>
      <c r="E57">
        <f>IF(A57="","",COUNTIFS(ATTENDANCE_DAILY!C:C,A57,ATTENDANCE_DAILY!E:E,"Present"))</f>
        <v/>
      </c>
      <c r="F57">
        <f>IF(A57="","",COUNTIFS(ATTENDANCE_DAILY!C:C,A57,ATTENDANCE_DAILY!E:E,"Absent"))</f>
        <v/>
      </c>
      <c r="G57" s="5">
        <f>IF(D57=0,"",E57/D57)</f>
        <v/>
      </c>
      <c r="H57" s="4">
        <f>IF(G57="","",IF(G57&lt;0.75,"Low Attendance","OK"))</f>
        <v/>
      </c>
    </row>
    <row r="58">
      <c r="A58">
        <f>IF(MASTER_REGISTER!E58="","",MASTER_REGISTER!E58)</f>
        <v/>
      </c>
      <c r="B58">
        <f>IF(A58="","",MASTER_REGISTER!F58)</f>
        <v/>
      </c>
      <c r="C58">
        <f>IF(A58="","",MASTER_REGISTER!C58)</f>
        <v/>
      </c>
      <c r="D58">
        <f>IF(A58="","",COUNTIF(ATTENDANCE_DAILY!C:C,A58))</f>
        <v/>
      </c>
      <c r="E58">
        <f>IF(A58="","",COUNTIFS(ATTENDANCE_DAILY!C:C,A58,ATTENDANCE_DAILY!E:E,"Present"))</f>
        <v/>
      </c>
      <c r="F58">
        <f>IF(A58="","",COUNTIFS(ATTENDANCE_DAILY!C:C,A58,ATTENDANCE_DAILY!E:E,"Absent"))</f>
        <v/>
      </c>
      <c r="G58" s="5">
        <f>IF(D58=0,"",E58/D58)</f>
        <v/>
      </c>
      <c r="H58" s="4">
        <f>IF(G58="","",IF(G58&lt;0.75,"Low Attendance","OK"))</f>
        <v/>
      </c>
    </row>
    <row r="59">
      <c r="A59">
        <f>IF(MASTER_REGISTER!E59="","",MASTER_REGISTER!E59)</f>
        <v/>
      </c>
      <c r="B59">
        <f>IF(A59="","",MASTER_REGISTER!F59)</f>
        <v/>
      </c>
      <c r="C59">
        <f>IF(A59="","",MASTER_REGISTER!C59)</f>
        <v/>
      </c>
      <c r="D59">
        <f>IF(A59="","",COUNTIF(ATTENDANCE_DAILY!C:C,A59))</f>
        <v/>
      </c>
      <c r="E59">
        <f>IF(A59="","",COUNTIFS(ATTENDANCE_DAILY!C:C,A59,ATTENDANCE_DAILY!E:E,"Present"))</f>
        <v/>
      </c>
      <c r="F59">
        <f>IF(A59="","",COUNTIFS(ATTENDANCE_DAILY!C:C,A59,ATTENDANCE_DAILY!E:E,"Absent"))</f>
        <v/>
      </c>
      <c r="G59" s="5">
        <f>IF(D59=0,"",E59/D59)</f>
        <v/>
      </c>
      <c r="H59" s="4">
        <f>IF(G59="","",IF(G59&lt;0.75,"Low Attendance","OK"))</f>
        <v/>
      </c>
    </row>
    <row r="60">
      <c r="A60">
        <f>IF(MASTER_REGISTER!E60="","",MASTER_REGISTER!E60)</f>
        <v/>
      </c>
      <c r="B60">
        <f>IF(A60="","",MASTER_REGISTER!F60)</f>
        <v/>
      </c>
      <c r="C60">
        <f>IF(A60="","",MASTER_REGISTER!C60)</f>
        <v/>
      </c>
      <c r="D60">
        <f>IF(A60="","",COUNTIF(ATTENDANCE_DAILY!C:C,A60))</f>
        <v/>
      </c>
      <c r="E60">
        <f>IF(A60="","",COUNTIFS(ATTENDANCE_DAILY!C:C,A60,ATTENDANCE_DAILY!E:E,"Present"))</f>
        <v/>
      </c>
      <c r="F60">
        <f>IF(A60="","",COUNTIFS(ATTENDANCE_DAILY!C:C,A60,ATTENDANCE_DAILY!E:E,"Absent"))</f>
        <v/>
      </c>
      <c r="G60" s="5">
        <f>IF(D60=0,"",E60/D60)</f>
        <v/>
      </c>
      <c r="H60" s="4">
        <f>IF(G60="","",IF(G60&lt;0.75,"Low Attendance","OK"))</f>
        <v/>
      </c>
    </row>
    <row r="61">
      <c r="A61">
        <f>IF(MASTER_REGISTER!E61="","",MASTER_REGISTER!E61)</f>
        <v/>
      </c>
      <c r="B61">
        <f>IF(A61="","",MASTER_REGISTER!F61)</f>
        <v/>
      </c>
      <c r="C61">
        <f>IF(A61="","",MASTER_REGISTER!C61)</f>
        <v/>
      </c>
      <c r="D61">
        <f>IF(A61="","",COUNTIF(ATTENDANCE_DAILY!C:C,A61))</f>
        <v/>
      </c>
      <c r="E61">
        <f>IF(A61="","",COUNTIFS(ATTENDANCE_DAILY!C:C,A61,ATTENDANCE_DAILY!E:E,"Present"))</f>
        <v/>
      </c>
      <c r="F61">
        <f>IF(A61="","",COUNTIFS(ATTENDANCE_DAILY!C:C,A61,ATTENDANCE_DAILY!E:E,"Absent"))</f>
        <v/>
      </c>
      <c r="G61" s="5">
        <f>IF(D61=0,"",E61/D61)</f>
        <v/>
      </c>
      <c r="H61" s="4">
        <f>IF(G61="","",IF(G61&lt;0.75,"Low Attendance","OK"))</f>
        <v/>
      </c>
    </row>
    <row r="62">
      <c r="A62">
        <f>IF(MASTER_REGISTER!E62="","",MASTER_REGISTER!E62)</f>
        <v/>
      </c>
      <c r="B62">
        <f>IF(A62="","",MASTER_REGISTER!F62)</f>
        <v/>
      </c>
      <c r="C62">
        <f>IF(A62="","",MASTER_REGISTER!C62)</f>
        <v/>
      </c>
      <c r="D62">
        <f>IF(A62="","",COUNTIF(ATTENDANCE_DAILY!C:C,A62))</f>
        <v/>
      </c>
      <c r="E62">
        <f>IF(A62="","",COUNTIFS(ATTENDANCE_DAILY!C:C,A62,ATTENDANCE_DAILY!E:E,"Present"))</f>
        <v/>
      </c>
      <c r="F62">
        <f>IF(A62="","",COUNTIFS(ATTENDANCE_DAILY!C:C,A62,ATTENDANCE_DAILY!E:E,"Absent"))</f>
        <v/>
      </c>
      <c r="G62" s="5">
        <f>IF(D62=0,"",E62/D62)</f>
        <v/>
      </c>
      <c r="H62" s="4">
        <f>IF(G62="","",IF(G62&lt;0.75,"Low Attendance","OK"))</f>
        <v/>
      </c>
    </row>
    <row r="63">
      <c r="A63">
        <f>IF(MASTER_REGISTER!E63="","",MASTER_REGISTER!E63)</f>
        <v/>
      </c>
      <c r="B63">
        <f>IF(A63="","",MASTER_REGISTER!F63)</f>
        <v/>
      </c>
      <c r="C63">
        <f>IF(A63="","",MASTER_REGISTER!C63)</f>
        <v/>
      </c>
      <c r="D63">
        <f>IF(A63="","",COUNTIF(ATTENDANCE_DAILY!C:C,A63))</f>
        <v/>
      </c>
      <c r="E63">
        <f>IF(A63="","",COUNTIFS(ATTENDANCE_DAILY!C:C,A63,ATTENDANCE_DAILY!E:E,"Present"))</f>
        <v/>
      </c>
      <c r="F63">
        <f>IF(A63="","",COUNTIFS(ATTENDANCE_DAILY!C:C,A63,ATTENDANCE_DAILY!E:E,"Absent"))</f>
        <v/>
      </c>
      <c r="G63" s="5">
        <f>IF(D63=0,"",E63/D63)</f>
        <v/>
      </c>
      <c r="H63" s="4">
        <f>IF(G63="","",IF(G63&lt;0.75,"Low Attendance","OK"))</f>
        <v/>
      </c>
    </row>
    <row r="64">
      <c r="A64">
        <f>IF(MASTER_REGISTER!E64="","",MASTER_REGISTER!E64)</f>
        <v/>
      </c>
      <c r="B64">
        <f>IF(A64="","",MASTER_REGISTER!F64)</f>
        <v/>
      </c>
      <c r="C64">
        <f>IF(A64="","",MASTER_REGISTER!C64)</f>
        <v/>
      </c>
      <c r="D64">
        <f>IF(A64="","",COUNTIF(ATTENDANCE_DAILY!C:C,A64))</f>
        <v/>
      </c>
      <c r="E64">
        <f>IF(A64="","",COUNTIFS(ATTENDANCE_DAILY!C:C,A64,ATTENDANCE_DAILY!E:E,"Present"))</f>
        <v/>
      </c>
      <c r="F64">
        <f>IF(A64="","",COUNTIFS(ATTENDANCE_DAILY!C:C,A64,ATTENDANCE_DAILY!E:E,"Absent"))</f>
        <v/>
      </c>
      <c r="G64" s="5">
        <f>IF(D64=0,"",E64/D64)</f>
        <v/>
      </c>
      <c r="H64" s="4">
        <f>IF(G64="","",IF(G64&lt;0.75,"Low Attendance","OK"))</f>
        <v/>
      </c>
    </row>
    <row r="65">
      <c r="A65">
        <f>IF(MASTER_REGISTER!E65="","",MASTER_REGISTER!E65)</f>
        <v/>
      </c>
      <c r="B65">
        <f>IF(A65="","",MASTER_REGISTER!F65)</f>
        <v/>
      </c>
      <c r="C65">
        <f>IF(A65="","",MASTER_REGISTER!C65)</f>
        <v/>
      </c>
      <c r="D65">
        <f>IF(A65="","",COUNTIF(ATTENDANCE_DAILY!C:C,A65))</f>
        <v/>
      </c>
      <c r="E65">
        <f>IF(A65="","",COUNTIFS(ATTENDANCE_DAILY!C:C,A65,ATTENDANCE_DAILY!E:E,"Present"))</f>
        <v/>
      </c>
      <c r="F65">
        <f>IF(A65="","",COUNTIFS(ATTENDANCE_DAILY!C:C,A65,ATTENDANCE_DAILY!E:E,"Absent"))</f>
        <v/>
      </c>
      <c r="G65" s="5">
        <f>IF(D65=0,"",E65/D65)</f>
        <v/>
      </c>
      <c r="H65" s="4">
        <f>IF(G65="","",IF(G65&lt;0.75,"Low Attendance","OK"))</f>
        <v/>
      </c>
    </row>
    <row r="66">
      <c r="A66">
        <f>IF(MASTER_REGISTER!E66="","",MASTER_REGISTER!E66)</f>
        <v/>
      </c>
      <c r="B66">
        <f>IF(A66="","",MASTER_REGISTER!F66)</f>
        <v/>
      </c>
      <c r="C66">
        <f>IF(A66="","",MASTER_REGISTER!C66)</f>
        <v/>
      </c>
      <c r="D66">
        <f>IF(A66="","",COUNTIF(ATTENDANCE_DAILY!C:C,A66))</f>
        <v/>
      </c>
      <c r="E66">
        <f>IF(A66="","",COUNTIFS(ATTENDANCE_DAILY!C:C,A66,ATTENDANCE_DAILY!E:E,"Present"))</f>
        <v/>
      </c>
      <c r="F66">
        <f>IF(A66="","",COUNTIFS(ATTENDANCE_DAILY!C:C,A66,ATTENDANCE_DAILY!E:E,"Absent"))</f>
        <v/>
      </c>
      <c r="G66" s="5">
        <f>IF(D66=0,"",E66/D66)</f>
        <v/>
      </c>
      <c r="H66" s="4">
        <f>IF(G66="","",IF(G66&lt;0.75,"Low Attendance","OK"))</f>
        <v/>
      </c>
    </row>
    <row r="67">
      <c r="A67">
        <f>IF(MASTER_REGISTER!E67="","",MASTER_REGISTER!E67)</f>
        <v/>
      </c>
      <c r="B67">
        <f>IF(A67="","",MASTER_REGISTER!F67)</f>
        <v/>
      </c>
      <c r="C67">
        <f>IF(A67="","",MASTER_REGISTER!C67)</f>
        <v/>
      </c>
      <c r="D67">
        <f>IF(A67="","",COUNTIF(ATTENDANCE_DAILY!C:C,A67))</f>
        <v/>
      </c>
      <c r="E67">
        <f>IF(A67="","",COUNTIFS(ATTENDANCE_DAILY!C:C,A67,ATTENDANCE_DAILY!E:E,"Present"))</f>
        <v/>
      </c>
      <c r="F67">
        <f>IF(A67="","",COUNTIFS(ATTENDANCE_DAILY!C:C,A67,ATTENDANCE_DAILY!E:E,"Absent"))</f>
        <v/>
      </c>
      <c r="G67" s="5">
        <f>IF(D67=0,"",E67/D67)</f>
        <v/>
      </c>
      <c r="H67" s="4">
        <f>IF(G67="","",IF(G67&lt;0.75,"Low Attendance","OK"))</f>
        <v/>
      </c>
    </row>
    <row r="68">
      <c r="A68">
        <f>IF(MASTER_REGISTER!E68="","",MASTER_REGISTER!E68)</f>
        <v/>
      </c>
      <c r="B68">
        <f>IF(A68="","",MASTER_REGISTER!F68)</f>
        <v/>
      </c>
      <c r="C68">
        <f>IF(A68="","",MASTER_REGISTER!C68)</f>
        <v/>
      </c>
      <c r="D68">
        <f>IF(A68="","",COUNTIF(ATTENDANCE_DAILY!C:C,A68))</f>
        <v/>
      </c>
      <c r="E68">
        <f>IF(A68="","",COUNTIFS(ATTENDANCE_DAILY!C:C,A68,ATTENDANCE_DAILY!E:E,"Present"))</f>
        <v/>
      </c>
      <c r="F68">
        <f>IF(A68="","",COUNTIFS(ATTENDANCE_DAILY!C:C,A68,ATTENDANCE_DAILY!E:E,"Absent"))</f>
        <v/>
      </c>
      <c r="G68" s="5">
        <f>IF(D68=0,"",E68/D68)</f>
        <v/>
      </c>
      <c r="H68" s="4">
        <f>IF(G68="","",IF(G68&lt;0.75,"Low Attendance","OK"))</f>
        <v/>
      </c>
    </row>
    <row r="69">
      <c r="A69">
        <f>IF(MASTER_REGISTER!E69="","",MASTER_REGISTER!E69)</f>
        <v/>
      </c>
      <c r="B69">
        <f>IF(A69="","",MASTER_REGISTER!F69)</f>
        <v/>
      </c>
      <c r="C69">
        <f>IF(A69="","",MASTER_REGISTER!C69)</f>
        <v/>
      </c>
      <c r="D69">
        <f>IF(A69="","",COUNTIF(ATTENDANCE_DAILY!C:C,A69))</f>
        <v/>
      </c>
      <c r="E69">
        <f>IF(A69="","",COUNTIFS(ATTENDANCE_DAILY!C:C,A69,ATTENDANCE_DAILY!E:E,"Present"))</f>
        <v/>
      </c>
      <c r="F69">
        <f>IF(A69="","",COUNTIFS(ATTENDANCE_DAILY!C:C,A69,ATTENDANCE_DAILY!E:E,"Absent"))</f>
        <v/>
      </c>
      <c r="G69" s="5">
        <f>IF(D69=0,"",E69/D69)</f>
        <v/>
      </c>
      <c r="H69" s="4">
        <f>IF(G69="","",IF(G69&lt;0.75,"Low Attendance","OK"))</f>
        <v/>
      </c>
    </row>
    <row r="70">
      <c r="A70">
        <f>IF(MASTER_REGISTER!E70="","",MASTER_REGISTER!E70)</f>
        <v/>
      </c>
      <c r="B70">
        <f>IF(A70="","",MASTER_REGISTER!F70)</f>
        <v/>
      </c>
      <c r="C70">
        <f>IF(A70="","",MASTER_REGISTER!C70)</f>
        <v/>
      </c>
      <c r="D70">
        <f>IF(A70="","",COUNTIF(ATTENDANCE_DAILY!C:C,A70))</f>
        <v/>
      </c>
      <c r="E70">
        <f>IF(A70="","",COUNTIFS(ATTENDANCE_DAILY!C:C,A70,ATTENDANCE_DAILY!E:E,"Present"))</f>
        <v/>
      </c>
      <c r="F70">
        <f>IF(A70="","",COUNTIFS(ATTENDANCE_DAILY!C:C,A70,ATTENDANCE_DAILY!E:E,"Absent"))</f>
        <v/>
      </c>
      <c r="G70" s="5">
        <f>IF(D70=0,"",E70/D70)</f>
        <v/>
      </c>
      <c r="H70" s="4">
        <f>IF(G70="","",IF(G70&lt;0.75,"Low Attendance","OK"))</f>
        <v/>
      </c>
    </row>
    <row r="71">
      <c r="A71">
        <f>IF(MASTER_REGISTER!E71="","",MASTER_REGISTER!E71)</f>
        <v/>
      </c>
      <c r="B71">
        <f>IF(A71="","",MASTER_REGISTER!F71)</f>
        <v/>
      </c>
      <c r="C71">
        <f>IF(A71="","",MASTER_REGISTER!C71)</f>
        <v/>
      </c>
      <c r="D71">
        <f>IF(A71="","",COUNTIF(ATTENDANCE_DAILY!C:C,A71))</f>
        <v/>
      </c>
      <c r="E71">
        <f>IF(A71="","",COUNTIFS(ATTENDANCE_DAILY!C:C,A71,ATTENDANCE_DAILY!E:E,"Present"))</f>
        <v/>
      </c>
      <c r="F71">
        <f>IF(A71="","",COUNTIFS(ATTENDANCE_DAILY!C:C,A71,ATTENDANCE_DAILY!E:E,"Absent"))</f>
        <v/>
      </c>
      <c r="G71" s="5">
        <f>IF(D71=0,"",E71/D71)</f>
        <v/>
      </c>
      <c r="H71" s="4">
        <f>IF(G71="","",IF(G71&lt;0.75,"Low Attendance","OK"))</f>
        <v/>
      </c>
    </row>
    <row r="72">
      <c r="A72">
        <f>IF(MASTER_REGISTER!E72="","",MASTER_REGISTER!E72)</f>
        <v/>
      </c>
      <c r="B72">
        <f>IF(A72="","",MASTER_REGISTER!F72)</f>
        <v/>
      </c>
      <c r="C72">
        <f>IF(A72="","",MASTER_REGISTER!C72)</f>
        <v/>
      </c>
      <c r="D72">
        <f>IF(A72="","",COUNTIF(ATTENDANCE_DAILY!C:C,A72))</f>
        <v/>
      </c>
      <c r="E72">
        <f>IF(A72="","",COUNTIFS(ATTENDANCE_DAILY!C:C,A72,ATTENDANCE_DAILY!E:E,"Present"))</f>
        <v/>
      </c>
      <c r="F72">
        <f>IF(A72="","",COUNTIFS(ATTENDANCE_DAILY!C:C,A72,ATTENDANCE_DAILY!E:E,"Absent"))</f>
        <v/>
      </c>
      <c r="G72" s="5">
        <f>IF(D72=0,"",E72/D72)</f>
        <v/>
      </c>
      <c r="H72" s="4">
        <f>IF(G72="","",IF(G72&lt;0.75,"Low Attendance","OK"))</f>
        <v/>
      </c>
    </row>
    <row r="73">
      <c r="A73">
        <f>IF(MASTER_REGISTER!E73="","",MASTER_REGISTER!E73)</f>
        <v/>
      </c>
      <c r="B73">
        <f>IF(A73="","",MASTER_REGISTER!F73)</f>
        <v/>
      </c>
      <c r="C73">
        <f>IF(A73="","",MASTER_REGISTER!C73)</f>
        <v/>
      </c>
      <c r="D73">
        <f>IF(A73="","",COUNTIF(ATTENDANCE_DAILY!C:C,A73))</f>
        <v/>
      </c>
      <c r="E73">
        <f>IF(A73="","",COUNTIFS(ATTENDANCE_DAILY!C:C,A73,ATTENDANCE_DAILY!E:E,"Present"))</f>
        <v/>
      </c>
      <c r="F73">
        <f>IF(A73="","",COUNTIFS(ATTENDANCE_DAILY!C:C,A73,ATTENDANCE_DAILY!E:E,"Absent"))</f>
        <v/>
      </c>
      <c r="G73" s="5">
        <f>IF(D73=0,"",E73/D73)</f>
        <v/>
      </c>
      <c r="H73" s="4">
        <f>IF(G73="","",IF(G73&lt;0.75,"Low Attendance","OK"))</f>
        <v/>
      </c>
    </row>
    <row r="74">
      <c r="A74">
        <f>IF(MASTER_REGISTER!E74="","",MASTER_REGISTER!E74)</f>
        <v/>
      </c>
      <c r="B74">
        <f>IF(A74="","",MASTER_REGISTER!F74)</f>
        <v/>
      </c>
      <c r="C74">
        <f>IF(A74="","",MASTER_REGISTER!C74)</f>
        <v/>
      </c>
      <c r="D74">
        <f>IF(A74="","",COUNTIF(ATTENDANCE_DAILY!C:C,A74))</f>
        <v/>
      </c>
      <c r="E74">
        <f>IF(A74="","",COUNTIFS(ATTENDANCE_DAILY!C:C,A74,ATTENDANCE_DAILY!E:E,"Present"))</f>
        <v/>
      </c>
      <c r="F74">
        <f>IF(A74="","",COUNTIFS(ATTENDANCE_DAILY!C:C,A74,ATTENDANCE_DAILY!E:E,"Absent"))</f>
        <v/>
      </c>
      <c r="G74" s="5">
        <f>IF(D74=0,"",E74/D74)</f>
        <v/>
      </c>
      <c r="H74" s="4">
        <f>IF(G74="","",IF(G74&lt;0.75,"Low Attendance","OK"))</f>
        <v/>
      </c>
    </row>
    <row r="75">
      <c r="A75">
        <f>IF(MASTER_REGISTER!E75="","",MASTER_REGISTER!E75)</f>
        <v/>
      </c>
      <c r="B75">
        <f>IF(A75="","",MASTER_REGISTER!F75)</f>
        <v/>
      </c>
      <c r="C75">
        <f>IF(A75="","",MASTER_REGISTER!C75)</f>
        <v/>
      </c>
      <c r="D75">
        <f>IF(A75="","",COUNTIF(ATTENDANCE_DAILY!C:C,A75))</f>
        <v/>
      </c>
      <c r="E75">
        <f>IF(A75="","",COUNTIFS(ATTENDANCE_DAILY!C:C,A75,ATTENDANCE_DAILY!E:E,"Present"))</f>
        <v/>
      </c>
      <c r="F75">
        <f>IF(A75="","",COUNTIFS(ATTENDANCE_DAILY!C:C,A75,ATTENDANCE_DAILY!E:E,"Absent"))</f>
        <v/>
      </c>
      <c r="G75" s="5">
        <f>IF(D75=0,"",E75/D75)</f>
        <v/>
      </c>
      <c r="H75" s="4">
        <f>IF(G75="","",IF(G75&lt;0.75,"Low Attendance","OK"))</f>
        <v/>
      </c>
    </row>
    <row r="76">
      <c r="A76">
        <f>IF(MASTER_REGISTER!E76="","",MASTER_REGISTER!E76)</f>
        <v/>
      </c>
      <c r="B76">
        <f>IF(A76="","",MASTER_REGISTER!F76)</f>
        <v/>
      </c>
      <c r="C76">
        <f>IF(A76="","",MASTER_REGISTER!C76)</f>
        <v/>
      </c>
      <c r="D76">
        <f>IF(A76="","",COUNTIF(ATTENDANCE_DAILY!C:C,A76))</f>
        <v/>
      </c>
      <c r="E76">
        <f>IF(A76="","",COUNTIFS(ATTENDANCE_DAILY!C:C,A76,ATTENDANCE_DAILY!E:E,"Present"))</f>
        <v/>
      </c>
      <c r="F76">
        <f>IF(A76="","",COUNTIFS(ATTENDANCE_DAILY!C:C,A76,ATTENDANCE_DAILY!E:E,"Absent"))</f>
        <v/>
      </c>
      <c r="G76" s="5">
        <f>IF(D76=0,"",E76/D76)</f>
        <v/>
      </c>
      <c r="H76" s="4">
        <f>IF(G76="","",IF(G76&lt;0.75,"Low Attendance","OK"))</f>
        <v/>
      </c>
    </row>
    <row r="77">
      <c r="A77">
        <f>IF(MASTER_REGISTER!E77="","",MASTER_REGISTER!E77)</f>
        <v/>
      </c>
      <c r="B77">
        <f>IF(A77="","",MASTER_REGISTER!F77)</f>
        <v/>
      </c>
      <c r="C77">
        <f>IF(A77="","",MASTER_REGISTER!C77)</f>
        <v/>
      </c>
      <c r="D77">
        <f>IF(A77="","",COUNTIF(ATTENDANCE_DAILY!C:C,A77))</f>
        <v/>
      </c>
      <c r="E77">
        <f>IF(A77="","",COUNTIFS(ATTENDANCE_DAILY!C:C,A77,ATTENDANCE_DAILY!E:E,"Present"))</f>
        <v/>
      </c>
      <c r="F77">
        <f>IF(A77="","",COUNTIFS(ATTENDANCE_DAILY!C:C,A77,ATTENDANCE_DAILY!E:E,"Absent"))</f>
        <v/>
      </c>
      <c r="G77" s="5">
        <f>IF(D77=0,"",E77/D77)</f>
        <v/>
      </c>
      <c r="H77" s="4">
        <f>IF(G77="","",IF(G77&lt;0.75,"Low Attendance","OK"))</f>
        <v/>
      </c>
    </row>
    <row r="78">
      <c r="A78">
        <f>IF(MASTER_REGISTER!E78="","",MASTER_REGISTER!E78)</f>
        <v/>
      </c>
      <c r="B78">
        <f>IF(A78="","",MASTER_REGISTER!F78)</f>
        <v/>
      </c>
      <c r="C78">
        <f>IF(A78="","",MASTER_REGISTER!C78)</f>
        <v/>
      </c>
      <c r="D78">
        <f>IF(A78="","",COUNTIF(ATTENDANCE_DAILY!C:C,A78))</f>
        <v/>
      </c>
      <c r="E78">
        <f>IF(A78="","",COUNTIFS(ATTENDANCE_DAILY!C:C,A78,ATTENDANCE_DAILY!E:E,"Present"))</f>
        <v/>
      </c>
      <c r="F78">
        <f>IF(A78="","",COUNTIFS(ATTENDANCE_DAILY!C:C,A78,ATTENDANCE_DAILY!E:E,"Absent"))</f>
        <v/>
      </c>
      <c r="G78" s="5">
        <f>IF(D78=0,"",E78/D78)</f>
        <v/>
      </c>
      <c r="H78" s="4">
        <f>IF(G78="","",IF(G78&lt;0.75,"Low Attendance","OK"))</f>
        <v/>
      </c>
    </row>
    <row r="79">
      <c r="A79">
        <f>IF(MASTER_REGISTER!E79="","",MASTER_REGISTER!E79)</f>
        <v/>
      </c>
      <c r="B79">
        <f>IF(A79="","",MASTER_REGISTER!F79)</f>
        <v/>
      </c>
      <c r="C79">
        <f>IF(A79="","",MASTER_REGISTER!C79)</f>
        <v/>
      </c>
      <c r="D79">
        <f>IF(A79="","",COUNTIF(ATTENDANCE_DAILY!C:C,A79))</f>
        <v/>
      </c>
      <c r="E79">
        <f>IF(A79="","",COUNTIFS(ATTENDANCE_DAILY!C:C,A79,ATTENDANCE_DAILY!E:E,"Present"))</f>
        <v/>
      </c>
      <c r="F79">
        <f>IF(A79="","",COUNTIFS(ATTENDANCE_DAILY!C:C,A79,ATTENDANCE_DAILY!E:E,"Absent"))</f>
        <v/>
      </c>
      <c r="G79" s="5">
        <f>IF(D79=0,"",E79/D79)</f>
        <v/>
      </c>
      <c r="H79" s="4">
        <f>IF(G79="","",IF(G79&lt;0.75,"Low Attendance","OK"))</f>
        <v/>
      </c>
    </row>
    <row r="80">
      <c r="A80">
        <f>IF(MASTER_REGISTER!E80="","",MASTER_REGISTER!E80)</f>
        <v/>
      </c>
      <c r="B80">
        <f>IF(A80="","",MASTER_REGISTER!F80)</f>
        <v/>
      </c>
      <c r="C80">
        <f>IF(A80="","",MASTER_REGISTER!C80)</f>
        <v/>
      </c>
      <c r="D80">
        <f>IF(A80="","",COUNTIF(ATTENDANCE_DAILY!C:C,A80))</f>
        <v/>
      </c>
      <c r="E80">
        <f>IF(A80="","",COUNTIFS(ATTENDANCE_DAILY!C:C,A80,ATTENDANCE_DAILY!E:E,"Present"))</f>
        <v/>
      </c>
      <c r="F80">
        <f>IF(A80="","",COUNTIFS(ATTENDANCE_DAILY!C:C,A80,ATTENDANCE_DAILY!E:E,"Absent"))</f>
        <v/>
      </c>
      <c r="G80" s="5">
        <f>IF(D80=0,"",E80/D80)</f>
        <v/>
      </c>
      <c r="H80" s="4">
        <f>IF(G80="","",IF(G80&lt;0.75,"Low Attendance","OK"))</f>
        <v/>
      </c>
    </row>
    <row r="81">
      <c r="A81">
        <f>IF(MASTER_REGISTER!E81="","",MASTER_REGISTER!E81)</f>
        <v/>
      </c>
      <c r="B81">
        <f>IF(A81="","",MASTER_REGISTER!F81)</f>
        <v/>
      </c>
      <c r="C81">
        <f>IF(A81="","",MASTER_REGISTER!C81)</f>
        <v/>
      </c>
      <c r="D81">
        <f>IF(A81="","",COUNTIF(ATTENDANCE_DAILY!C:C,A81))</f>
        <v/>
      </c>
      <c r="E81">
        <f>IF(A81="","",COUNTIFS(ATTENDANCE_DAILY!C:C,A81,ATTENDANCE_DAILY!E:E,"Present"))</f>
        <v/>
      </c>
      <c r="F81">
        <f>IF(A81="","",COUNTIFS(ATTENDANCE_DAILY!C:C,A81,ATTENDANCE_DAILY!E:E,"Absent"))</f>
        <v/>
      </c>
      <c r="G81" s="5">
        <f>IF(D81=0,"",E81/D81)</f>
        <v/>
      </c>
      <c r="H81" s="4">
        <f>IF(G81="","",IF(G81&lt;0.75,"Low Attendance","OK"))</f>
        <v/>
      </c>
    </row>
    <row r="82">
      <c r="A82">
        <f>IF(MASTER_REGISTER!E82="","",MASTER_REGISTER!E82)</f>
        <v/>
      </c>
      <c r="B82">
        <f>IF(A82="","",MASTER_REGISTER!F82)</f>
        <v/>
      </c>
      <c r="C82">
        <f>IF(A82="","",MASTER_REGISTER!C82)</f>
        <v/>
      </c>
      <c r="D82">
        <f>IF(A82="","",COUNTIF(ATTENDANCE_DAILY!C:C,A82))</f>
        <v/>
      </c>
      <c r="E82">
        <f>IF(A82="","",COUNTIFS(ATTENDANCE_DAILY!C:C,A82,ATTENDANCE_DAILY!E:E,"Present"))</f>
        <v/>
      </c>
      <c r="F82">
        <f>IF(A82="","",COUNTIFS(ATTENDANCE_DAILY!C:C,A82,ATTENDANCE_DAILY!E:E,"Absent"))</f>
        <v/>
      </c>
      <c r="G82" s="5">
        <f>IF(D82=0,"",E82/D82)</f>
        <v/>
      </c>
      <c r="H82" s="4">
        <f>IF(G82="","",IF(G82&lt;0.75,"Low Attendance","OK"))</f>
        <v/>
      </c>
    </row>
    <row r="83">
      <c r="A83">
        <f>IF(MASTER_REGISTER!E83="","",MASTER_REGISTER!E83)</f>
        <v/>
      </c>
      <c r="B83">
        <f>IF(A83="","",MASTER_REGISTER!F83)</f>
        <v/>
      </c>
      <c r="C83">
        <f>IF(A83="","",MASTER_REGISTER!C83)</f>
        <v/>
      </c>
      <c r="D83">
        <f>IF(A83="","",COUNTIF(ATTENDANCE_DAILY!C:C,A83))</f>
        <v/>
      </c>
      <c r="E83">
        <f>IF(A83="","",COUNTIFS(ATTENDANCE_DAILY!C:C,A83,ATTENDANCE_DAILY!E:E,"Present"))</f>
        <v/>
      </c>
      <c r="F83">
        <f>IF(A83="","",COUNTIFS(ATTENDANCE_DAILY!C:C,A83,ATTENDANCE_DAILY!E:E,"Absent"))</f>
        <v/>
      </c>
      <c r="G83" s="5">
        <f>IF(D83=0,"",E83/D83)</f>
        <v/>
      </c>
      <c r="H83" s="4">
        <f>IF(G83="","",IF(G83&lt;0.75,"Low Attendance","OK"))</f>
        <v/>
      </c>
    </row>
    <row r="84">
      <c r="A84">
        <f>IF(MASTER_REGISTER!E84="","",MASTER_REGISTER!E84)</f>
        <v/>
      </c>
      <c r="B84">
        <f>IF(A84="","",MASTER_REGISTER!F84)</f>
        <v/>
      </c>
      <c r="C84">
        <f>IF(A84="","",MASTER_REGISTER!C84)</f>
        <v/>
      </c>
      <c r="D84">
        <f>IF(A84="","",COUNTIF(ATTENDANCE_DAILY!C:C,A84))</f>
        <v/>
      </c>
      <c r="E84">
        <f>IF(A84="","",COUNTIFS(ATTENDANCE_DAILY!C:C,A84,ATTENDANCE_DAILY!E:E,"Present"))</f>
        <v/>
      </c>
      <c r="F84">
        <f>IF(A84="","",COUNTIFS(ATTENDANCE_DAILY!C:C,A84,ATTENDANCE_DAILY!E:E,"Absent"))</f>
        <v/>
      </c>
      <c r="G84" s="5">
        <f>IF(D84=0,"",E84/D84)</f>
        <v/>
      </c>
      <c r="H84" s="4">
        <f>IF(G84="","",IF(G84&lt;0.75,"Low Attendance","OK"))</f>
        <v/>
      </c>
    </row>
    <row r="85">
      <c r="A85">
        <f>IF(MASTER_REGISTER!E85="","",MASTER_REGISTER!E85)</f>
        <v/>
      </c>
      <c r="B85">
        <f>IF(A85="","",MASTER_REGISTER!F85)</f>
        <v/>
      </c>
      <c r="C85">
        <f>IF(A85="","",MASTER_REGISTER!C85)</f>
        <v/>
      </c>
      <c r="D85">
        <f>IF(A85="","",COUNTIF(ATTENDANCE_DAILY!C:C,A85))</f>
        <v/>
      </c>
      <c r="E85">
        <f>IF(A85="","",COUNTIFS(ATTENDANCE_DAILY!C:C,A85,ATTENDANCE_DAILY!E:E,"Present"))</f>
        <v/>
      </c>
      <c r="F85">
        <f>IF(A85="","",COUNTIFS(ATTENDANCE_DAILY!C:C,A85,ATTENDANCE_DAILY!E:E,"Absent"))</f>
        <v/>
      </c>
      <c r="G85" s="5">
        <f>IF(D85=0,"",E85/D85)</f>
        <v/>
      </c>
      <c r="H85" s="4">
        <f>IF(G85="","",IF(G85&lt;0.75,"Low Attendance","OK"))</f>
        <v/>
      </c>
    </row>
    <row r="86">
      <c r="A86">
        <f>IF(MASTER_REGISTER!E86="","",MASTER_REGISTER!E86)</f>
        <v/>
      </c>
      <c r="B86">
        <f>IF(A86="","",MASTER_REGISTER!F86)</f>
        <v/>
      </c>
      <c r="C86">
        <f>IF(A86="","",MASTER_REGISTER!C86)</f>
        <v/>
      </c>
      <c r="D86">
        <f>IF(A86="","",COUNTIF(ATTENDANCE_DAILY!C:C,A86))</f>
        <v/>
      </c>
      <c r="E86">
        <f>IF(A86="","",COUNTIFS(ATTENDANCE_DAILY!C:C,A86,ATTENDANCE_DAILY!E:E,"Present"))</f>
        <v/>
      </c>
      <c r="F86">
        <f>IF(A86="","",COUNTIFS(ATTENDANCE_DAILY!C:C,A86,ATTENDANCE_DAILY!E:E,"Absent"))</f>
        <v/>
      </c>
      <c r="G86" s="5">
        <f>IF(D86=0,"",E86/D86)</f>
        <v/>
      </c>
      <c r="H86" s="4">
        <f>IF(G86="","",IF(G86&lt;0.75,"Low Attendance","OK"))</f>
        <v/>
      </c>
    </row>
    <row r="87">
      <c r="A87">
        <f>IF(MASTER_REGISTER!E87="","",MASTER_REGISTER!E87)</f>
        <v/>
      </c>
      <c r="B87">
        <f>IF(A87="","",MASTER_REGISTER!F87)</f>
        <v/>
      </c>
      <c r="C87">
        <f>IF(A87="","",MASTER_REGISTER!C87)</f>
        <v/>
      </c>
      <c r="D87">
        <f>IF(A87="","",COUNTIF(ATTENDANCE_DAILY!C:C,A87))</f>
        <v/>
      </c>
      <c r="E87">
        <f>IF(A87="","",COUNTIFS(ATTENDANCE_DAILY!C:C,A87,ATTENDANCE_DAILY!E:E,"Present"))</f>
        <v/>
      </c>
      <c r="F87">
        <f>IF(A87="","",COUNTIFS(ATTENDANCE_DAILY!C:C,A87,ATTENDANCE_DAILY!E:E,"Absent"))</f>
        <v/>
      </c>
      <c r="G87" s="5">
        <f>IF(D87=0,"",E87/D87)</f>
        <v/>
      </c>
      <c r="H87" s="4">
        <f>IF(G87="","",IF(G87&lt;0.75,"Low Attendance","OK"))</f>
        <v/>
      </c>
    </row>
    <row r="88">
      <c r="A88">
        <f>IF(MASTER_REGISTER!E88="","",MASTER_REGISTER!E88)</f>
        <v/>
      </c>
      <c r="B88">
        <f>IF(A88="","",MASTER_REGISTER!F88)</f>
        <v/>
      </c>
      <c r="C88">
        <f>IF(A88="","",MASTER_REGISTER!C88)</f>
        <v/>
      </c>
      <c r="D88">
        <f>IF(A88="","",COUNTIF(ATTENDANCE_DAILY!C:C,A88))</f>
        <v/>
      </c>
      <c r="E88">
        <f>IF(A88="","",COUNTIFS(ATTENDANCE_DAILY!C:C,A88,ATTENDANCE_DAILY!E:E,"Present"))</f>
        <v/>
      </c>
      <c r="F88">
        <f>IF(A88="","",COUNTIFS(ATTENDANCE_DAILY!C:C,A88,ATTENDANCE_DAILY!E:E,"Absent"))</f>
        <v/>
      </c>
      <c r="G88" s="5">
        <f>IF(D88=0,"",E88/D88)</f>
        <v/>
      </c>
      <c r="H88" s="4">
        <f>IF(G88="","",IF(G88&lt;0.75,"Low Attendance","OK"))</f>
        <v/>
      </c>
    </row>
    <row r="89">
      <c r="A89">
        <f>IF(MASTER_REGISTER!E89="","",MASTER_REGISTER!E89)</f>
        <v/>
      </c>
      <c r="B89">
        <f>IF(A89="","",MASTER_REGISTER!F89)</f>
        <v/>
      </c>
      <c r="C89">
        <f>IF(A89="","",MASTER_REGISTER!C89)</f>
        <v/>
      </c>
      <c r="D89">
        <f>IF(A89="","",COUNTIF(ATTENDANCE_DAILY!C:C,A89))</f>
        <v/>
      </c>
      <c r="E89">
        <f>IF(A89="","",COUNTIFS(ATTENDANCE_DAILY!C:C,A89,ATTENDANCE_DAILY!E:E,"Present"))</f>
        <v/>
      </c>
      <c r="F89">
        <f>IF(A89="","",COUNTIFS(ATTENDANCE_DAILY!C:C,A89,ATTENDANCE_DAILY!E:E,"Absent"))</f>
        <v/>
      </c>
      <c r="G89" s="5">
        <f>IF(D89=0,"",E89/D89)</f>
        <v/>
      </c>
      <c r="H89" s="4">
        <f>IF(G89="","",IF(G89&lt;0.75,"Low Attendance","OK"))</f>
        <v/>
      </c>
    </row>
    <row r="90">
      <c r="A90">
        <f>IF(MASTER_REGISTER!E90="","",MASTER_REGISTER!E90)</f>
        <v/>
      </c>
      <c r="B90">
        <f>IF(A90="","",MASTER_REGISTER!F90)</f>
        <v/>
      </c>
      <c r="C90">
        <f>IF(A90="","",MASTER_REGISTER!C90)</f>
        <v/>
      </c>
      <c r="D90">
        <f>IF(A90="","",COUNTIF(ATTENDANCE_DAILY!C:C,A90))</f>
        <v/>
      </c>
      <c r="E90">
        <f>IF(A90="","",COUNTIFS(ATTENDANCE_DAILY!C:C,A90,ATTENDANCE_DAILY!E:E,"Present"))</f>
        <v/>
      </c>
      <c r="F90">
        <f>IF(A90="","",COUNTIFS(ATTENDANCE_DAILY!C:C,A90,ATTENDANCE_DAILY!E:E,"Absent"))</f>
        <v/>
      </c>
      <c r="G90" s="5">
        <f>IF(D90=0,"",E90/D90)</f>
        <v/>
      </c>
      <c r="H90" s="4">
        <f>IF(G90="","",IF(G90&lt;0.75,"Low Attendance","OK"))</f>
        <v/>
      </c>
    </row>
    <row r="91">
      <c r="A91">
        <f>IF(MASTER_REGISTER!E91="","",MASTER_REGISTER!E91)</f>
        <v/>
      </c>
      <c r="B91">
        <f>IF(A91="","",MASTER_REGISTER!F91)</f>
        <v/>
      </c>
      <c r="C91">
        <f>IF(A91="","",MASTER_REGISTER!C91)</f>
        <v/>
      </c>
      <c r="D91">
        <f>IF(A91="","",COUNTIF(ATTENDANCE_DAILY!C:C,A91))</f>
        <v/>
      </c>
      <c r="E91">
        <f>IF(A91="","",COUNTIFS(ATTENDANCE_DAILY!C:C,A91,ATTENDANCE_DAILY!E:E,"Present"))</f>
        <v/>
      </c>
      <c r="F91">
        <f>IF(A91="","",COUNTIFS(ATTENDANCE_DAILY!C:C,A91,ATTENDANCE_DAILY!E:E,"Absent"))</f>
        <v/>
      </c>
      <c r="G91" s="5">
        <f>IF(D91=0,"",E91/D91)</f>
        <v/>
      </c>
      <c r="H91" s="4">
        <f>IF(G91="","",IF(G91&lt;0.75,"Low Attendance","OK"))</f>
        <v/>
      </c>
    </row>
    <row r="92">
      <c r="A92">
        <f>IF(MASTER_REGISTER!E92="","",MASTER_REGISTER!E92)</f>
        <v/>
      </c>
      <c r="B92">
        <f>IF(A92="","",MASTER_REGISTER!F92)</f>
        <v/>
      </c>
      <c r="C92">
        <f>IF(A92="","",MASTER_REGISTER!C92)</f>
        <v/>
      </c>
      <c r="D92">
        <f>IF(A92="","",COUNTIF(ATTENDANCE_DAILY!C:C,A92))</f>
        <v/>
      </c>
      <c r="E92">
        <f>IF(A92="","",COUNTIFS(ATTENDANCE_DAILY!C:C,A92,ATTENDANCE_DAILY!E:E,"Present"))</f>
        <v/>
      </c>
      <c r="F92">
        <f>IF(A92="","",COUNTIFS(ATTENDANCE_DAILY!C:C,A92,ATTENDANCE_DAILY!E:E,"Absent"))</f>
        <v/>
      </c>
      <c r="G92" s="5">
        <f>IF(D92=0,"",E92/D92)</f>
        <v/>
      </c>
      <c r="H92" s="4">
        <f>IF(G92="","",IF(G92&lt;0.75,"Low Attendance","OK"))</f>
        <v/>
      </c>
    </row>
    <row r="93">
      <c r="A93">
        <f>IF(MASTER_REGISTER!E93="","",MASTER_REGISTER!E93)</f>
        <v/>
      </c>
      <c r="B93">
        <f>IF(A93="","",MASTER_REGISTER!F93)</f>
        <v/>
      </c>
      <c r="C93">
        <f>IF(A93="","",MASTER_REGISTER!C93)</f>
        <v/>
      </c>
      <c r="D93">
        <f>IF(A93="","",COUNTIF(ATTENDANCE_DAILY!C:C,A93))</f>
        <v/>
      </c>
      <c r="E93">
        <f>IF(A93="","",COUNTIFS(ATTENDANCE_DAILY!C:C,A93,ATTENDANCE_DAILY!E:E,"Present"))</f>
        <v/>
      </c>
      <c r="F93">
        <f>IF(A93="","",COUNTIFS(ATTENDANCE_DAILY!C:C,A93,ATTENDANCE_DAILY!E:E,"Absent"))</f>
        <v/>
      </c>
      <c r="G93" s="5">
        <f>IF(D93=0,"",E93/D93)</f>
        <v/>
      </c>
      <c r="H93" s="4">
        <f>IF(G93="","",IF(G93&lt;0.75,"Low Attendance","OK"))</f>
        <v/>
      </c>
    </row>
    <row r="94">
      <c r="A94">
        <f>IF(MASTER_REGISTER!E94="","",MASTER_REGISTER!E94)</f>
        <v/>
      </c>
      <c r="B94">
        <f>IF(A94="","",MASTER_REGISTER!F94)</f>
        <v/>
      </c>
      <c r="C94">
        <f>IF(A94="","",MASTER_REGISTER!C94)</f>
        <v/>
      </c>
      <c r="D94">
        <f>IF(A94="","",COUNTIF(ATTENDANCE_DAILY!C:C,A94))</f>
        <v/>
      </c>
      <c r="E94">
        <f>IF(A94="","",COUNTIFS(ATTENDANCE_DAILY!C:C,A94,ATTENDANCE_DAILY!E:E,"Present"))</f>
        <v/>
      </c>
      <c r="F94">
        <f>IF(A94="","",COUNTIFS(ATTENDANCE_DAILY!C:C,A94,ATTENDANCE_DAILY!E:E,"Absent"))</f>
        <v/>
      </c>
      <c r="G94" s="5">
        <f>IF(D94=0,"",E94/D94)</f>
        <v/>
      </c>
      <c r="H94" s="4">
        <f>IF(G94="","",IF(G94&lt;0.75,"Low Attendance","OK"))</f>
        <v/>
      </c>
    </row>
    <row r="95">
      <c r="A95">
        <f>IF(MASTER_REGISTER!E95="","",MASTER_REGISTER!E95)</f>
        <v/>
      </c>
      <c r="B95">
        <f>IF(A95="","",MASTER_REGISTER!F95)</f>
        <v/>
      </c>
      <c r="C95">
        <f>IF(A95="","",MASTER_REGISTER!C95)</f>
        <v/>
      </c>
      <c r="D95">
        <f>IF(A95="","",COUNTIF(ATTENDANCE_DAILY!C:C,A95))</f>
        <v/>
      </c>
      <c r="E95">
        <f>IF(A95="","",COUNTIFS(ATTENDANCE_DAILY!C:C,A95,ATTENDANCE_DAILY!E:E,"Present"))</f>
        <v/>
      </c>
      <c r="F95">
        <f>IF(A95="","",COUNTIFS(ATTENDANCE_DAILY!C:C,A95,ATTENDANCE_DAILY!E:E,"Absent"))</f>
        <v/>
      </c>
      <c r="G95" s="5">
        <f>IF(D95=0,"",E95/D95)</f>
        <v/>
      </c>
      <c r="H95" s="4">
        <f>IF(G95="","",IF(G95&lt;0.75,"Low Attendance","OK"))</f>
        <v/>
      </c>
    </row>
    <row r="96">
      <c r="A96">
        <f>IF(MASTER_REGISTER!E96="","",MASTER_REGISTER!E96)</f>
        <v/>
      </c>
      <c r="B96">
        <f>IF(A96="","",MASTER_REGISTER!F96)</f>
        <v/>
      </c>
      <c r="C96">
        <f>IF(A96="","",MASTER_REGISTER!C96)</f>
        <v/>
      </c>
      <c r="D96">
        <f>IF(A96="","",COUNTIF(ATTENDANCE_DAILY!C:C,A96))</f>
        <v/>
      </c>
      <c r="E96">
        <f>IF(A96="","",COUNTIFS(ATTENDANCE_DAILY!C:C,A96,ATTENDANCE_DAILY!E:E,"Present"))</f>
        <v/>
      </c>
      <c r="F96">
        <f>IF(A96="","",COUNTIFS(ATTENDANCE_DAILY!C:C,A96,ATTENDANCE_DAILY!E:E,"Absent"))</f>
        <v/>
      </c>
      <c r="G96" s="5">
        <f>IF(D96=0,"",E96/D96)</f>
        <v/>
      </c>
      <c r="H96" s="4">
        <f>IF(G96="","",IF(G96&lt;0.75,"Low Attendance","OK"))</f>
        <v/>
      </c>
    </row>
    <row r="97">
      <c r="A97">
        <f>IF(MASTER_REGISTER!E97="","",MASTER_REGISTER!E97)</f>
        <v/>
      </c>
      <c r="B97">
        <f>IF(A97="","",MASTER_REGISTER!F97)</f>
        <v/>
      </c>
      <c r="C97">
        <f>IF(A97="","",MASTER_REGISTER!C97)</f>
        <v/>
      </c>
      <c r="D97">
        <f>IF(A97="","",COUNTIF(ATTENDANCE_DAILY!C:C,A97))</f>
        <v/>
      </c>
      <c r="E97">
        <f>IF(A97="","",COUNTIFS(ATTENDANCE_DAILY!C:C,A97,ATTENDANCE_DAILY!E:E,"Present"))</f>
        <v/>
      </c>
      <c r="F97">
        <f>IF(A97="","",COUNTIFS(ATTENDANCE_DAILY!C:C,A97,ATTENDANCE_DAILY!E:E,"Absent"))</f>
        <v/>
      </c>
      <c r="G97" s="5">
        <f>IF(D97=0,"",E97/D97)</f>
        <v/>
      </c>
      <c r="H97" s="4">
        <f>IF(G97="","",IF(G97&lt;0.75,"Low Attendance","OK"))</f>
        <v/>
      </c>
    </row>
    <row r="98">
      <c r="A98">
        <f>IF(MASTER_REGISTER!E98="","",MASTER_REGISTER!E98)</f>
        <v/>
      </c>
      <c r="B98">
        <f>IF(A98="","",MASTER_REGISTER!F98)</f>
        <v/>
      </c>
      <c r="C98">
        <f>IF(A98="","",MASTER_REGISTER!C98)</f>
        <v/>
      </c>
      <c r="D98">
        <f>IF(A98="","",COUNTIF(ATTENDANCE_DAILY!C:C,A98))</f>
        <v/>
      </c>
      <c r="E98">
        <f>IF(A98="","",COUNTIFS(ATTENDANCE_DAILY!C:C,A98,ATTENDANCE_DAILY!E:E,"Present"))</f>
        <v/>
      </c>
      <c r="F98">
        <f>IF(A98="","",COUNTIFS(ATTENDANCE_DAILY!C:C,A98,ATTENDANCE_DAILY!E:E,"Absent"))</f>
        <v/>
      </c>
      <c r="G98" s="5">
        <f>IF(D98=0,"",E98/D98)</f>
        <v/>
      </c>
      <c r="H98" s="4">
        <f>IF(G98="","",IF(G98&lt;0.75,"Low Attendance","OK"))</f>
        <v/>
      </c>
    </row>
    <row r="99">
      <c r="A99">
        <f>IF(MASTER_REGISTER!E99="","",MASTER_REGISTER!E99)</f>
        <v/>
      </c>
      <c r="B99">
        <f>IF(A99="","",MASTER_REGISTER!F99)</f>
        <v/>
      </c>
      <c r="C99">
        <f>IF(A99="","",MASTER_REGISTER!C99)</f>
        <v/>
      </c>
      <c r="D99">
        <f>IF(A99="","",COUNTIF(ATTENDANCE_DAILY!C:C,A99))</f>
        <v/>
      </c>
      <c r="E99">
        <f>IF(A99="","",COUNTIFS(ATTENDANCE_DAILY!C:C,A99,ATTENDANCE_DAILY!E:E,"Present"))</f>
        <v/>
      </c>
      <c r="F99">
        <f>IF(A99="","",COUNTIFS(ATTENDANCE_DAILY!C:C,A99,ATTENDANCE_DAILY!E:E,"Absent"))</f>
        <v/>
      </c>
      <c r="G99" s="5">
        <f>IF(D99=0,"",E99/D99)</f>
        <v/>
      </c>
      <c r="H99" s="4">
        <f>IF(G99="","",IF(G99&lt;0.75,"Low Attendance","OK"))</f>
        <v/>
      </c>
    </row>
    <row r="100">
      <c r="A100">
        <f>IF(MASTER_REGISTER!E100="","",MASTER_REGISTER!E100)</f>
        <v/>
      </c>
      <c r="B100">
        <f>IF(A100="","",MASTER_REGISTER!F100)</f>
        <v/>
      </c>
      <c r="C100">
        <f>IF(A100="","",MASTER_REGISTER!C100)</f>
        <v/>
      </c>
      <c r="D100">
        <f>IF(A100="","",COUNTIF(ATTENDANCE_DAILY!C:C,A100))</f>
        <v/>
      </c>
      <c r="E100">
        <f>IF(A100="","",COUNTIFS(ATTENDANCE_DAILY!C:C,A100,ATTENDANCE_DAILY!E:E,"Present"))</f>
        <v/>
      </c>
      <c r="F100">
        <f>IF(A100="","",COUNTIFS(ATTENDANCE_DAILY!C:C,A100,ATTENDANCE_DAILY!E:E,"Absent"))</f>
        <v/>
      </c>
      <c r="G100" s="5">
        <f>IF(D100=0,"",E100/D100)</f>
        <v/>
      </c>
      <c r="H100" s="4">
        <f>IF(G100="","",IF(G100&lt;0.75,"Low Attendance","OK"))</f>
        <v/>
      </c>
    </row>
    <row r="101">
      <c r="A101">
        <f>IF(MASTER_REGISTER!E101="","",MASTER_REGISTER!E101)</f>
        <v/>
      </c>
      <c r="B101">
        <f>IF(A101="","",MASTER_REGISTER!F101)</f>
        <v/>
      </c>
      <c r="C101">
        <f>IF(A101="","",MASTER_REGISTER!C101)</f>
        <v/>
      </c>
      <c r="D101">
        <f>IF(A101="","",COUNTIF(ATTENDANCE_DAILY!C:C,A101))</f>
        <v/>
      </c>
      <c r="E101">
        <f>IF(A101="","",COUNTIFS(ATTENDANCE_DAILY!C:C,A101,ATTENDANCE_DAILY!E:E,"Present"))</f>
        <v/>
      </c>
      <c r="F101">
        <f>IF(A101="","",COUNTIFS(ATTENDANCE_DAILY!C:C,A101,ATTENDANCE_DAILY!E:E,"Absent"))</f>
        <v/>
      </c>
      <c r="G101" s="5">
        <f>IF(D101=0,"",E101/D101)</f>
        <v/>
      </c>
      <c r="H101" s="4">
        <f>IF(G101="","",IF(G101&lt;0.75,"Low Attendance","OK"))</f>
        <v/>
      </c>
    </row>
    <row r="102">
      <c r="A102">
        <f>IF(MASTER_REGISTER!E102="","",MASTER_REGISTER!E102)</f>
        <v/>
      </c>
      <c r="B102">
        <f>IF(A102="","",MASTER_REGISTER!F102)</f>
        <v/>
      </c>
      <c r="C102">
        <f>IF(A102="","",MASTER_REGISTER!C102)</f>
        <v/>
      </c>
      <c r="D102">
        <f>IF(A102="","",COUNTIF(ATTENDANCE_DAILY!C:C,A102))</f>
        <v/>
      </c>
      <c r="E102">
        <f>IF(A102="","",COUNTIFS(ATTENDANCE_DAILY!C:C,A102,ATTENDANCE_DAILY!E:E,"Present"))</f>
        <v/>
      </c>
      <c r="F102">
        <f>IF(A102="","",COUNTIFS(ATTENDANCE_DAILY!C:C,A102,ATTENDANCE_DAILY!E:E,"Absent"))</f>
        <v/>
      </c>
      <c r="G102" s="5">
        <f>IF(D102=0,"",E102/D102)</f>
        <v/>
      </c>
      <c r="H102" s="4">
        <f>IF(G102="","",IF(G102&lt;0.75,"Low Attendance","OK"))</f>
        <v/>
      </c>
    </row>
    <row r="103">
      <c r="A103">
        <f>IF(MASTER_REGISTER!E103="","",MASTER_REGISTER!E103)</f>
        <v/>
      </c>
      <c r="B103">
        <f>IF(A103="","",MASTER_REGISTER!F103)</f>
        <v/>
      </c>
      <c r="C103">
        <f>IF(A103="","",MASTER_REGISTER!C103)</f>
        <v/>
      </c>
      <c r="D103">
        <f>IF(A103="","",COUNTIF(ATTENDANCE_DAILY!C:C,A103))</f>
        <v/>
      </c>
      <c r="E103">
        <f>IF(A103="","",COUNTIFS(ATTENDANCE_DAILY!C:C,A103,ATTENDANCE_DAILY!E:E,"Present"))</f>
        <v/>
      </c>
      <c r="F103">
        <f>IF(A103="","",COUNTIFS(ATTENDANCE_DAILY!C:C,A103,ATTENDANCE_DAILY!E:E,"Absent"))</f>
        <v/>
      </c>
      <c r="G103" s="5">
        <f>IF(D103=0,"",E103/D103)</f>
        <v/>
      </c>
      <c r="H103" s="4">
        <f>IF(G103="","",IF(G103&lt;0.75,"Low Attendance","OK"))</f>
        <v/>
      </c>
    </row>
    <row r="104">
      <c r="A104">
        <f>IF(MASTER_REGISTER!E104="","",MASTER_REGISTER!E104)</f>
        <v/>
      </c>
      <c r="B104">
        <f>IF(A104="","",MASTER_REGISTER!F104)</f>
        <v/>
      </c>
      <c r="C104">
        <f>IF(A104="","",MASTER_REGISTER!C104)</f>
        <v/>
      </c>
      <c r="D104">
        <f>IF(A104="","",COUNTIF(ATTENDANCE_DAILY!C:C,A104))</f>
        <v/>
      </c>
      <c r="E104">
        <f>IF(A104="","",COUNTIFS(ATTENDANCE_DAILY!C:C,A104,ATTENDANCE_DAILY!E:E,"Present"))</f>
        <v/>
      </c>
      <c r="F104">
        <f>IF(A104="","",COUNTIFS(ATTENDANCE_DAILY!C:C,A104,ATTENDANCE_DAILY!E:E,"Absent"))</f>
        <v/>
      </c>
      <c r="G104" s="5">
        <f>IF(D104=0,"",E104/D104)</f>
        <v/>
      </c>
      <c r="H104" s="4">
        <f>IF(G104="","",IF(G104&lt;0.75,"Low Attendance","OK"))</f>
        <v/>
      </c>
    </row>
    <row r="105">
      <c r="A105">
        <f>IF(MASTER_REGISTER!E105="","",MASTER_REGISTER!E105)</f>
        <v/>
      </c>
      <c r="B105">
        <f>IF(A105="","",MASTER_REGISTER!F105)</f>
        <v/>
      </c>
      <c r="C105">
        <f>IF(A105="","",MASTER_REGISTER!C105)</f>
        <v/>
      </c>
      <c r="D105">
        <f>IF(A105="","",COUNTIF(ATTENDANCE_DAILY!C:C,A105))</f>
        <v/>
      </c>
      <c r="E105">
        <f>IF(A105="","",COUNTIFS(ATTENDANCE_DAILY!C:C,A105,ATTENDANCE_DAILY!E:E,"Present"))</f>
        <v/>
      </c>
      <c r="F105">
        <f>IF(A105="","",COUNTIFS(ATTENDANCE_DAILY!C:C,A105,ATTENDANCE_DAILY!E:E,"Absent"))</f>
        <v/>
      </c>
      <c r="G105" s="5">
        <f>IF(D105=0,"",E105/D105)</f>
        <v/>
      </c>
      <c r="H105" s="4">
        <f>IF(G105="","",IF(G105&lt;0.75,"Low Attendance","OK"))</f>
        <v/>
      </c>
    </row>
    <row r="106">
      <c r="A106">
        <f>IF(MASTER_REGISTER!E106="","",MASTER_REGISTER!E106)</f>
        <v/>
      </c>
      <c r="B106">
        <f>IF(A106="","",MASTER_REGISTER!F106)</f>
        <v/>
      </c>
      <c r="C106">
        <f>IF(A106="","",MASTER_REGISTER!C106)</f>
        <v/>
      </c>
      <c r="D106">
        <f>IF(A106="","",COUNTIF(ATTENDANCE_DAILY!C:C,A106))</f>
        <v/>
      </c>
      <c r="E106">
        <f>IF(A106="","",COUNTIFS(ATTENDANCE_DAILY!C:C,A106,ATTENDANCE_DAILY!E:E,"Present"))</f>
        <v/>
      </c>
      <c r="F106">
        <f>IF(A106="","",COUNTIFS(ATTENDANCE_DAILY!C:C,A106,ATTENDANCE_DAILY!E:E,"Absent"))</f>
        <v/>
      </c>
      <c r="G106" s="5">
        <f>IF(D106=0,"",E106/D106)</f>
        <v/>
      </c>
      <c r="H106" s="4">
        <f>IF(G106="","",IF(G106&lt;0.75,"Low Attendance","OK"))</f>
        <v/>
      </c>
    </row>
    <row r="107">
      <c r="A107">
        <f>IF(MASTER_REGISTER!E107="","",MASTER_REGISTER!E107)</f>
        <v/>
      </c>
      <c r="B107">
        <f>IF(A107="","",MASTER_REGISTER!F107)</f>
        <v/>
      </c>
      <c r="C107">
        <f>IF(A107="","",MASTER_REGISTER!C107)</f>
        <v/>
      </c>
      <c r="D107">
        <f>IF(A107="","",COUNTIF(ATTENDANCE_DAILY!C:C,A107))</f>
        <v/>
      </c>
      <c r="E107">
        <f>IF(A107="","",COUNTIFS(ATTENDANCE_DAILY!C:C,A107,ATTENDANCE_DAILY!E:E,"Present"))</f>
        <v/>
      </c>
      <c r="F107">
        <f>IF(A107="","",COUNTIFS(ATTENDANCE_DAILY!C:C,A107,ATTENDANCE_DAILY!E:E,"Absent"))</f>
        <v/>
      </c>
      <c r="G107" s="5">
        <f>IF(D107=0,"",E107/D107)</f>
        <v/>
      </c>
      <c r="H107" s="4">
        <f>IF(G107="","",IF(G107&lt;0.75,"Low Attendance","OK"))</f>
        <v/>
      </c>
    </row>
    <row r="108">
      <c r="A108">
        <f>IF(MASTER_REGISTER!E108="","",MASTER_REGISTER!E108)</f>
        <v/>
      </c>
      <c r="B108">
        <f>IF(A108="","",MASTER_REGISTER!F108)</f>
        <v/>
      </c>
      <c r="C108">
        <f>IF(A108="","",MASTER_REGISTER!C108)</f>
        <v/>
      </c>
      <c r="D108">
        <f>IF(A108="","",COUNTIF(ATTENDANCE_DAILY!C:C,A108))</f>
        <v/>
      </c>
      <c r="E108">
        <f>IF(A108="","",COUNTIFS(ATTENDANCE_DAILY!C:C,A108,ATTENDANCE_DAILY!E:E,"Present"))</f>
        <v/>
      </c>
      <c r="F108">
        <f>IF(A108="","",COUNTIFS(ATTENDANCE_DAILY!C:C,A108,ATTENDANCE_DAILY!E:E,"Absent"))</f>
        <v/>
      </c>
      <c r="G108" s="5">
        <f>IF(D108=0,"",E108/D108)</f>
        <v/>
      </c>
      <c r="H108" s="4">
        <f>IF(G108="","",IF(G108&lt;0.75,"Low Attendance","OK"))</f>
        <v/>
      </c>
    </row>
    <row r="109">
      <c r="A109">
        <f>IF(MASTER_REGISTER!E109="","",MASTER_REGISTER!E109)</f>
        <v/>
      </c>
      <c r="B109">
        <f>IF(A109="","",MASTER_REGISTER!F109)</f>
        <v/>
      </c>
      <c r="C109">
        <f>IF(A109="","",MASTER_REGISTER!C109)</f>
        <v/>
      </c>
      <c r="D109">
        <f>IF(A109="","",COUNTIF(ATTENDANCE_DAILY!C:C,A109))</f>
        <v/>
      </c>
      <c r="E109">
        <f>IF(A109="","",COUNTIFS(ATTENDANCE_DAILY!C:C,A109,ATTENDANCE_DAILY!E:E,"Present"))</f>
        <v/>
      </c>
      <c r="F109">
        <f>IF(A109="","",COUNTIFS(ATTENDANCE_DAILY!C:C,A109,ATTENDANCE_DAILY!E:E,"Absent"))</f>
        <v/>
      </c>
      <c r="G109" s="5">
        <f>IF(D109=0,"",E109/D109)</f>
        <v/>
      </c>
      <c r="H109" s="4">
        <f>IF(G109="","",IF(G109&lt;0.75,"Low Attendance","OK"))</f>
        <v/>
      </c>
    </row>
    <row r="110">
      <c r="A110">
        <f>IF(MASTER_REGISTER!E110="","",MASTER_REGISTER!E110)</f>
        <v/>
      </c>
      <c r="B110">
        <f>IF(A110="","",MASTER_REGISTER!F110)</f>
        <v/>
      </c>
      <c r="C110">
        <f>IF(A110="","",MASTER_REGISTER!C110)</f>
        <v/>
      </c>
      <c r="D110">
        <f>IF(A110="","",COUNTIF(ATTENDANCE_DAILY!C:C,A110))</f>
        <v/>
      </c>
      <c r="E110">
        <f>IF(A110="","",COUNTIFS(ATTENDANCE_DAILY!C:C,A110,ATTENDANCE_DAILY!E:E,"Present"))</f>
        <v/>
      </c>
      <c r="F110">
        <f>IF(A110="","",COUNTIFS(ATTENDANCE_DAILY!C:C,A110,ATTENDANCE_DAILY!E:E,"Absent"))</f>
        <v/>
      </c>
      <c r="G110" s="5">
        <f>IF(D110=0,"",E110/D110)</f>
        <v/>
      </c>
      <c r="H110" s="4">
        <f>IF(G110="","",IF(G110&lt;0.75,"Low Attendance","OK"))</f>
        <v/>
      </c>
    </row>
    <row r="111">
      <c r="A111">
        <f>IF(MASTER_REGISTER!E111="","",MASTER_REGISTER!E111)</f>
        <v/>
      </c>
      <c r="B111">
        <f>IF(A111="","",MASTER_REGISTER!F111)</f>
        <v/>
      </c>
      <c r="C111">
        <f>IF(A111="","",MASTER_REGISTER!C111)</f>
        <v/>
      </c>
      <c r="D111">
        <f>IF(A111="","",COUNTIF(ATTENDANCE_DAILY!C:C,A111))</f>
        <v/>
      </c>
      <c r="E111">
        <f>IF(A111="","",COUNTIFS(ATTENDANCE_DAILY!C:C,A111,ATTENDANCE_DAILY!E:E,"Present"))</f>
        <v/>
      </c>
      <c r="F111">
        <f>IF(A111="","",COUNTIFS(ATTENDANCE_DAILY!C:C,A111,ATTENDANCE_DAILY!E:E,"Absent"))</f>
        <v/>
      </c>
      <c r="G111" s="5">
        <f>IF(D111=0,"",E111/D111)</f>
        <v/>
      </c>
      <c r="H111" s="4">
        <f>IF(G111="","",IF(G111&lt;0.75,"Low Attendance","OK"))</f>
        <v/>
      </c>
    </row>
    <row r="112">
      <c r="A112">
        <f>IF(MASTER_REGISTER!E112="","",MASTER_REGISTER!E112)</f>
        <v/>
      </c>
      <c r="B112">
        <f>IF(A112="","",MASTER_REGISTER!F112)</f>
        <v/>
      </c>
      <c r="C112">
        <f>IF(A112="","",MASTER_REGISTER!C112)</f>
        <v/>
      </c>
      <c r="D112">
        <f>IF(A112="","",COUNTIF(ATTENDANCE_DAILY!C:C,A112))</f>
        <v/>
      </c>
      <c r="E112">
        <f>IF(A112="","",COUNTIFS(ATTENDANCE_DAILY!C:C,A112,ATTENDANCE_DAILY!E:E,"Present"))</f>
        <v/>
      </c>
      <c r="F112">
        <f>IF(A112="","",COUNTIFS(ATTENDANCE_DAILY!C:C,A112,ATTENDANCE_DAILY!E:E,"Absent"))</f>
        <v/>
      </c>
      <c r="G112" s="5">
        <f>IF(D112=0,"",E112/D112)</f>
        <v/>
      </c>
      <c r="H112" s="4">
        <f>IF(G112="","",IF(G112&lt;0.75,"Low Attendance","OK"))</f>
        <v/>
      </c>
    </row>
    <row r="113">
      <c r="A113">
        <f>IF(MASTER_REGISTER!E113="","",MASTER_REGISTER!E113)</f>
        <v/>
      </c>
      <c r="B113">
        <f>IF(A113="","",MASTER_REGISTER!F113)</f>
        <v/>
      </c>
      <c r="C113">
        <f>IF(A113="","",MASTER_REGISTER!C113)</f>
        <v/>
      </c>
      <c r="D113">
        <f>IF(A113="","",COUNTIF(ATTENDANCE_DAILY!C:C,A113))</f>
        <v/>
      </c>
      <c r="E113">
        <f>IF(A113="","",COUNTIFS(ATTENDANCE_DAILY!C:C,A113,ATTENDANCE_DAILY!E:E,"Present"))</f>
        <v/>
      </c>
      <c r="F113">
        <f>IF(A113="","",COUNTIFS(ATTENDANCE_DAILY!C:C,A113,ATTENDANCE_DAILY!E:E,"Absent"))</f>
        <v/>
      </c>
      <c r="G113" s="5">
        <f>IF(D113=0,"",E113/D113)</f>
        <v/>
      </c>
      <c r="H113" s="4">
        <f>IF(G113="","",IF(G113&lt;0.75,"Low Attendance","OK"))</f>
        <v/>
      </c>
    </row>
    <row r="114">
      <c r="A114">
        <f>IF(MASTER_REGISTER!E114="","",MASTER_REGISTER!E114)</f>
        <v/>
      </c>
      <c r="B114">
        <f>IF(A114="","",MASTER_REGISTER!F114)</f>
        <v/>
      </c>
      <c r="C114">
        <f>IF(A114="","",MASTER_REGISTER!C114)</f>
        <v/>
      </c>
      <c r="D114">
        <f>IF(A114="","",COUNTIF(ATTENDANCE_DAILY!C:C,A114))</f>
        <v/>
      </c>
      <c r="E114">
        <f>IF(A114="","",COUNTIFS(ATTENDANCE_DAILY!C:C,A114,ATTENDANCE_DAILY!E:E,"Present"))</f>
        <v/>
      </c>
      <c r="F114">
        <f>IF(A114="","",COUNTIFS(ATTENDANCE_DAILY!C:C,A114,ATTENDANCE_DAILY!E:E,"Absent"))</f>
        <v/>
      </c>
      <c r="G114" s="5">
        <f>IF(D114=0,"",E114/D114)</f>
        <v/>
      </c>
      <c r="H114" s="4">
        <f>IF(G114="","",IF(G114&lt;0.75,"Low Attendance","OK"))</f>
        <v/>
      </c>
    </row>
    <row r="115">
      <c r="A115">
        <f>IF(MASTER_REGISTER!E115="","",MASTER_REGISTER!E115)</f>
        <v/>
      </c>
      <c r="B115">
        <f>IF(A115="","",MASTER_REGISTER!F115)</f>
        <v/>
      </c>
      <c r="C115">
        <f>IF(A115="","",MASTER_REGISTER!C115)</f>
        <v/>
      </c>
      <c r="D115">
        <f>IF(A115="","",COUNTIF(ATTENDANCE_DAILY!C:C,A115))</f>
        <v/>
      </c>
      <c r="E115">
        <f>IF(A115="","",COUNTIFS(ATTENDANCE_DAILY!C:C,A115,ATTENDANCE_DAILY!E:E,"Present"))</f>
        <v/>
      </c>
      <c r="F115">
        <f>IF(A115="","",COUNTIFS(ATTENDANCE_DAILY!C:C,A115,ATTENDANCE_DAILY!E:E,"Absent"))</f>
        <v/>
      </c>
      <c r="G115" s="5">
        <f>IF(D115=0,"",E115/D115)</f>
        <v/>
      </c>
      <c r="H115" s="4">
        <f>IF(G115="","",IF(G115&lt;0.75,"Low Attendance","OK"))</f>
        <v/>
      </c>
    </row>
    <row r="116">
      <c r="A116">
        <f>IF(MASTER_REGISTER!E116="","",MASTER_REGISTER!E116)</f>
        <v/>
      </c>
      <c r="B116">
        <f>IF(A116="","",MASTER_REGISTER!F116)</f>
        <v/>
      </c>
      <c r="C116">
        <f>IF(A116="","",MASTER_REGISTER!C116)</f>
        <v/>
      </c>
      <c r="D116">
        <f>IF(A116="","",COUNTIF(ATTENDANCE_DAILY!C:C,A116))</f>
        <v/>
      </c>
      <c r="E116">
        <f>IF(A116="","",COUNTIFS(ATTENDANCE_DAILY!C:C,A116,ATTENDANCE_DAILY!E:E,"Present"))</f>
        <v/>
      </c>
      <c r="F116">
        <f>IF(A116="","",COUNTIFS(ATTENDANCE_DAILY!C:C,A116,ATTENDANCE_DAILY!E:E,"Absent"))</f>
        <v/>
      </c>
      <c r="G116" s="5">
        <f>IF(D116=0,"",E116/D116)</f>
        <v/>
      </c>
      <c r="H116" s="4">
        <f>IF(G116="","",IF(G116&lt;0.75,"Low Attendance","OK"))</f>
        <v/>
      </c>
    </row>
    <row r="117">
      <c r="A117">
        <f>IF(MASTER_REGISTER!E117="","",MASTER_REGISTER!E117)</f>
        <v/>
      </c>
      <c r="B117">
        <f>IF(A117="","",MASTER_REGISTER!F117)</f>
        <v/>
      </c>
      <c r="C117">
        <f>IF(A117="","",MASTER_REGISTER!C117)</f>
        <v/>
      </c>
      <c r="D117">
        <f>IF(A117="","",COUNTIF(ATTENDANCE_DAILY!C:C,A117))</f>
        <v/>
      </c>
      <c r="E117">
        <f>IF(A117="","",COUNTIFS(ATTENDANCE_DAILY!C:C,A117,ATTENDANCE_DAILY!E:E,"Present"))</f>
        <v/>
      </c>
      <c r="F117">
        <f>IF(A117="","",COUNTIFS(ATTENDANCE_DAILY!C:C,A117,ATTENDANCE_DAILY!E:E,"Absent"))</f>
        <v/>
      </c>
      <c r="G117" s="5">
        <f>IF(D117=0,"",E117/D117)</f>
        <v/>
      </c>
      <c r="H117" s="4">
        <f>IF(G117="","",IF(G117&lt;0.75,"Low Attendance","OK"))</f>
        <v/>
      </c>
    </row>
    <row r="118">
      <c r="A118">
        <f>IF(MASTER_REGISTER!E118="","",MASTER_REGISTER!E118)</f>
        <v/>
      </c>
      <c r="B118">
        <f>IF(A118="","",MASTER_REGISTER!F118)</f>
        <v/>
      </c>
      <c r="C118">
        <f>IF(A118="","",MASTER_REGISTER!C118)</f>
        <v/>
      </c>
      <c r="D118">
        <f>IF(A118="","",COUNTIF(ATTENDANCE_DAILY!C:C,A118))</f>
        <v/>
      </c>
      <c r="E118">
        <f>IF(A118="","",COUNTIFS(ATTENDANCE_DAILY!C:C,A118,ATTENDANCE_DAILY!E:E,"Present"))</f>
        <v/>
      </c>
      <c r="F118">
        <f>IF(A118="","",COUNTIFS(ATTENDANCE_DAILY!C:C,A118,ATTENDANCE_DAILY!E:E,"Absent"))</f>
        <v/>
      </c>
      <c r="G118" s="5">
        <f>IF(D118=0,"",E118/D118)</f>
        <v/>
      </c>
      <c r="H118" s="4">
        <f>IF(G118="","",IF(G118&lt;0.75,"Low Attendance","OK"))</f>
        <v/>
      </c>
    </row>
    <row r="119">
      <c r="A119">
        <f>IF(MASTER_REGISTER!E119="","",MASTER_REGISTER!E119)</f>
        <v/>
      </c>
      <c r="B119">
        <f>IF(A119="","",MASTER_REGISTER!F119)</f>
        <v/>
      </c>
      <c r="C119">
        <f>IF(A119="","",MASTER_REGISTER!C119)</f>
        <v/>
      </c>
      <c r="D119">
        <f>IF(A119="","",COUNTIF(ATTENDANCE_DAILY!C:C,A119))</f>
        <v/>
      </c>
      <c r="E119">
        <f>IF(A119="","",COUNTIFS(ATTENDANCE_DAILY!C:C,A119,ATTENDANCE_DAILY!E:E,"Present"))</f>
        <v/>
      </c>
      <c r="F119">
        <f>IF(A119="","",COUNTIFS(ATTENDANCE_DAILY!C:C,A119,ATTENDANCE_DAILY!E:E,"Absent"))</f>
        <v/>
      </c>
      <c r="G119" s="5">
        <f>IF(D119=0,"",E119/D119)</f>
        <v/>
      </c>
      <c r="H119" s="4">
        <f>IF(G119="","",IF(G119&lt;0.75,"Low Attendance","OK"))</f>
        <v/>
      </c>
    </row>
    <row r="120">
      <c r="A120">
        <f>IF(MASTER_REGISTER!E120="","",MASTER_REGISTER!E120)</f>
        <v/>
      </c>
      <c r="B120">
        <f>IF(A120="","",MASTER_REGISTER!F120)</f>
        <v/>
      </c>
      <c r="C120">
        <f>IF(A120="","",MASTER_REGISTER!C120)</f>
        <v/>
      </c>
      <c r="D120">
        <f>IF(A120="","",COUNTIF(ATTENDANCE_DAILY!C:C,A120))</f>
        <v/>
      </c>
      <c r="E120">
        <f>IF(A120="","",COUNTIFS(ATTENDANCE_DAILY!C:C,A120,ATTENDANCE_DAILY!E:E,"Present"))</f>
        <v/>
      </c>
      <c r="F120">
        <f>IF(A120="","",COUNTIFS(ATTENDANCE_DAILY!C:C,A120,ATTENDANCE_DAILY!E:E,"Absent"))</f>
        <v/>
      </c>
      <c r="G120" s="5">
        <f>IF(D120=0,"",E120/D120)</f>
        <v/>
      </c>
      <c r="H120" s="4">
        <f>IF(G120="","",IF(G120&lt;0.75,"Low Attendance","OK"))</f>
        <v/>
      </c>
    </row>
    <row r="121">
      <c r="A121">
        <f>IF(MASTER_REGISTER!E121="","",MASTER_REGISTER!E121)</f>
        <v/>
      </c>
      <c r="B121">
        <f>IF(A121="","",MASTER_REGISTER!F121)</f>
        <v/>
      </c>
      <c r="C121">
        <f>IF(A121="","",MASTER_REGISTER!C121)</f>
        <v/>
      </c>
      <c r="D121">
        <f>IF(A121="","",COUNTIF(ATTENDANCE_DAILY!C:C,A121))</f>
        <v/>
      </c>
      <c r="E121">
        <f>IF(A121="","",COUNTIFS(ATTENDANCE_DAILY!C:C,A121,ATTENDANCE_DAILY!E:E,"Present"))</f>
        <v/>
      </c>
      <c r="F121">
        <f>IF(A121="","",COUNTIFS(ATTENDANCE_DAILY!C:C,A121,ATTENDANCE_DAILY!E:E,"Absent"))</f>
        <v/>
      </c>
      <c r="G121" s="5">
        <f>IF(D121=0,"",E121/D121)</f>
        <v/>
      </c>
      <c r="H121" s="4">
        <f>IF(G121="","",IF(G121&lt;0.75,"Low Attendance","OK"))</f>
        <v/>
      </c>
    </row>
    <row r="122">
      <c r="A122">
        <f>IF(MASTER_REGISTER!E122="","",MASTER_REGISTER!E122)</f>
        <v/>
      </c>
      <c r="B122">
        <f>IF(A122="","",MASTER_REGISTER!F122)</f>
        <v/>
      </c>
      <c r="C122">
        <f>IF(A122="","",MASTER_REGISTER!C122)</f>
        <v/>
      </c>
      <c r="D122">
        <f>IF(A122="","",COUNTIF(ATTENDANCE_DAILY!C:C,A122))</f>
        <v/>
      </c>
      <c r="E122">
        <f>IF(A122="","",COUNTIFS(ATTENDANCE_DAILY!C:C,A122,ATTENDANCE_DAILY!E:E,"Present"))</f>
        <v/>
      </c>
      <c r="F122">
        <f>IF(A122="","",COUNTIFS(ATTENDANCE_DAILY!C:C,A122,ATTENDANCE_DAILY!E:E,"Absent"))</f>
        <v/>
      </c>
      <c r="G122" s="5">
        <f>IF(D122=0,"",E122/D122)</f>
        <v/>
      </c>
      <c r="H122" s="4">
        <f>IF(G122="","",IF(G122&lt;0.75,"Low Attendance","OK"))</f>
        <v/>
      </c>
    </row>
    <row r="123">
      <c r="A123">
        <f>IF(MASTER_REGISTER!E123="","",MASTER_REGISTER!E123)</f>
        <v/>
      </c>
      <c r="B123">
        <f>IF(A123="","",MASTER_REGISTER!F123)</f>
        <v/>
      </c>
      <c r="C123">
        <f>IF(A123="","",MASTER_REGISTER!C123)</f>
        <v/>
      </c>
      <c r="D123">
        <f>IF(A123="","",COUNTIF(ATTENDANCE_DAILY!C:C,A123))</f>
        <v/>
      </c>
      <c r="E123">
        <f>IF(A123="","",COUNTIFS(ATTENDANCE_DAILY!C:C,A123,ATTENDANCE_DAILY!E:E,"Present"))</f>
        <v/>
      </c>
      <c r="F123">
        <f>IF(A123="","",COUNTIFS(ATTENDANCE_DAILY!C:C,A123,ATTENDANCE_DAILY!E:E,"Absent"))</f>
        <v/>
      </c>
      <c r="G123" s="5">
        <f>IF(D123=0,"",E123/D123)</f>
        <v/>
      </c>
      <c r="H123" s="4">
        <f>IF(G123="","",IF(G123&lt;0.75,"Low Attendance","OK"))</f>
        <v/>
      </c>
    </row>
    <row r="124">
      <c r="A124">
        <f>IF(MASTER_REGISTER!E124="","",MASTER_REGISTER!E124)</f>
        <v/>
      </c>
      <c r="B124">
        <f>IF(A124="","",MASTER_REGISTER!F124)</f>
        <v/>
      </c>
      <c r="C124">
        <f>IF(A124="","",MASTER_REGISTER!C124)</f>
        <v/>
      </c>
      <c r="D124">
        <f>IF(A124="","",COUNTIF(ATTENDANCE_DAILY!C:C,A124))</f>
        <v/>
      </c>
      <c r="E124">
        <f>IF(A124="","",COUNTIFS(ATTENDANCE_DAILY!C:C,A124,ATTENDANCE_DAILY!E:E,"Present"))</f>
        <v/>
      </c>
      <c r="F124">
        <f>IF(A124="","",COUNTIFS(ATTENDANCE_DAILY!C:C,A124,ATTENDANCE_DAILY!E:E,"Absent"))</f>
        <v/>
      </c>
      <c r="G124" s="5">
        <f>IF(D124=0,"",E124/D124)</f>
        <v/>
      </c>
      <c r="H124" s="4">
        <f>IF(G124="","",IF(G124&lt;0.75,"Low Attendance","OK"))</f>
        <v/>
      </c>
    </row>
    <row r="125">
      <c r="A125">
        <f>IF(MASTER_REGISTER!E125="","",MASTER_REGISTER!E125)</f>
        <v/>
      </c>
      <c r="B125">
        <f>IF(A125="","",MASTER_REGISTER!F125)</f>
        <v/>
      </c>
      <c r="C125">
        <f>IF(A125="","",MASTER_REGISTER!C125)</f>
        <v/>
      </c>
      <c r="D125">
        <f>IF(A125="","",COUNTIF(ATTENDANCE_DAILY!C:C,A125))</f>
        <v/>
      </c>
      <c r="E125">
        <f>IF(A125="","",COUNTIFS(ATTENDANCE_DAILY!C:C,A125,ATTENDANCE_DAILY!E:E,"Present"))</f>
        <v/>
      </c>
      <c r="F125">
        <f>IF(A125="","",COUNTIFS(ATTENDANCE_DAILY!C:C,A125,ATTENDANCE_DAILY!E:E,"Absent"))</f>
        <v/>
      </c>
      <c r="G125" s="5">
        <f>IF(D125=0,"",E125/D125)</f>
        <v/>
      </c>
      <c r="H125" s="4">
        <f>IF(G125="","",IF(G125&lt;0.75,"Low Attendance","OK"))</f>
        <v/>
      </c>
    </row>
    <row r="126">
      <c r="A126">
        <f>IF(MASTER_REGISTER!E126="","",MASTER_REGISTER!E126)</f>
        <v/>
      </c>
      <c r="B126">
        <f>IF(A126="","",MASTER_REGISTER!F126)</f>
        <v/>
      </c>
      <c r="C126">
        <f>IF(A126="","",MASTER_REGISTER!C126)</f>
        <v/>
      </c>
      <c r="D126">
        <f>IF(A126="","",COUNTIF(ATTENDANCE_DAILY!C:C,A126))</f>
        <v/>
      </c>
      <c r="E126">
        <f>IF(A126="","",COUNTIFS(ATTENDANCE_DAILY!C:C,A126,ATTENDANCE_DAILY!E:E,"Present"))</f>
        <v/>
      </c>
      <c r="F126">
        <f>IF(A126="","",COUNTIFS(ATTENDANCE_DAILY!C:C,A126,ATTENDANCE_DAILY!E:E,"Absent"))</f>
        <v/>
      </c>
      <c r="G126" s="5">
        <f>IF(D126=0,"",E126/D126)</f>
        <v/>
      </c>
      <c r="H126" s="4">
        <f>IF(G126="","",IF(G126&lt;0.75,"Low Attendance","OK"))</f>
        <v/>
      </c>
    </row>
    <row r="127">
      <c r="A127">
        <f>IF(MASTER_REGISTER!E127="","",MASTER_REGISTER!E127)</f>
        <v/>
      </c>
      <c r="B127">
        <f>IF(A127="","",MASTER_REGISTER!F127)</f>
        <v/>
      </c>
      <c r="C127">
        <f>IF(A127="","",MASTER_REGISTER!C127)</f>
        <v/>
      </c>
      <c r="D127">
        <f>IF(A127="","",COUNTIF(ATTENDANCE_DAILY!C:C,A127))</f>
        <v/>
      </c>
      <c r="E127">
        <f>IF(A127="","",COUNTIFS(ATTENDANCE_DAILY!C:C,A127,ATTENDANCE_DAILY!E:E,"Present"))</f>
        <v/>
      </c>
      <c r="F127">
        <f>IF(A127="","",COUNTIFS(ATTENDANCE_DAILY!C:C,A127,ATTENDANCE_DAILY!E:E,"Absent"))</f>
        <v/>
      </c>
      <c r="G127" s="5">
        <f>IF(D127=0,"",E127/D127)</f>
        <v/>
      </c>
      <c r="H127" s="4">
        <f>IF(G127="","",IF(G127&lt;0.75,"Low Attendance","OK"))</f>
        <v/>
      </c>
    </row>
    <row r="128">
      <c r="A128">
        <f>IF(MASTER_REGISTER!E128="","",MASTER_REGISTER!E128)</f>
        <v/>
      </c>
      <c r="B128">
        <f>IF(A128="","",MASTER_REGISTER!F128)</f>
        <v/>
      </c>
      <c r="C128">
        <f>IF(A128="","",MASTER_REGISTER!C128)</f>
        <v/>
      </c>
      <c r="D128">
        <f>IF(A128="","",COUNTIF(ATTENDANCE_DAILY!C:C,A128))</f>
        <v/>
      </c>
      <c r="E128">
        <f>IF(A128="","",COUNTIFS(ATTENDANCE_DAILY!C:C,A128,ATTENDANCE_DAILY!E:E,"Present"))</f>
        <v/>
      </c>
      <c r="F128">
        <f>IF(A128="","",COUNTIFS(ATTENDANCE_DAILY!C:C,A128,ATTENDANCE_DAILY!E:E,"Absent"))</f>
        <v/>
      </c>
      <c r="G128" s="5">
        <f>IF(D128=0,"",E128/D128)</f>
        <v/>
      </c>
      <c r="H128" s="4">
        <f>IF(G128="","",IF(G128&lt;0.75,"Low Attendance","OK"))</f>
        <v/>
      </c>
    </row>
    <row r="129">
      <c r="A129">
        <f>IF(MASTER_REGISTER!E129="","",MASTER_REGISTER!E129)</f>
        <v/>
      </c>
      <c r="B129">
        <f>IF(A129="","",MASTER_REGISTER!F129)</f>
        <v/>
      </c>
      <c r="C129">
        <f>IF(A129="","",MASTER_REGISTER!C129)</f>
        <v/>
      </c>
      <c r="D129">
        <f>IF(A129="","",COUNTIF(ATTENDANCE_DAILY!C:C,A129))</f>
        <v/>
      </c>
      <c r="E129">
        <f>IF(A129="","",COUNTIFS(ATTENDANCE_DAILY!C:C,A129,ATTENDANCE_DAILY!E:E,"Present"))</f>
        <v/>
      </c>
      <c r="F129">
        <f>IF(A129="","",COUNTIFS(ATTENDANCE_DAILY!C:C,A129,ATTENDANCE_DAILY!E:E,"Absent"))</f>
        <v/>
      </c>
      <c r="G129" s="5">
        <f>IF(D129=0,"",E129/D129)</f>
        <v/>
      </c>
      <c r="H129" s="4">
        <f>IF(G129="","",IF(G129&lt;0.75,"Low Attendance","OK"))</f>
        <v/>
      </c>
    </row>
    <row r="130">
      <c r="A130">
        <f>IF(MASTER_REGISTER!E130="","",MASTER_REGISTER!E130)</f>
        <v/>
      </c>
      <c r="B130">
        <f>IF(A130="","",MASTER_REGISTER!F130)</f>
        <v/>
      </c>
      <c r="C130">
        <f>IF(A130="","",MASTER_REGISTER!C130)</f>
        <v/>
      </c>
      <c r="D130">
        <f>IF(A130="","",COUNTIF(ATTENDANCE_DAILY!C:C,A130))</f>
        <v/>
      </c>
      <c r="E130">
        <f>IF(A130="","",COUNTIFS(ATTENDANCE_DAILY!C:C,A130,ATTENDANCE_DAILY!E:E,"Present"))</f>
        <v/>
      </c>
      <c r="F130">
        <f>IF(A130="","",COUNTIFS(ATTENDANCE_DAILY!C:C,A130,ATTENDANCE_DAILY!E:E,"Absent"))</f>
        <v/>
      </c>
      <c r="G130" s="5">
        <f>IF(D130=0,"",E130/D130)</f>
        <v/>
      </c>
      <c r="H130" s="4">
        <f>IF(G130="","",IF(G130&lt;0.75,"Low Attendance","OK"))</f>
        <v/>
      </c>
    </row>
    <row r="131">
      <c r="A131">
        <f>IF(MASTER_REGISTER!E131="","",MASTER_REGISTER!E131)</f>
        <v/>
      </c>
      <c r="B131">
        <f>IF(A131="","",MASTER_REGISTER!F131)</f>
        <v/>
      </c>
      <c r="C131">
        <f>IF(A131="","",MASTER_REGISTER!C131)</f>
        <v/>
      </c>
      <c r="D131">
        <f>IF(A131="","",COUNTIF(ATTENDANCE_DAILY!C:C,A131))</f>
        <v/>
      </c>
      <c r="E131">
        <f>IF(A131="","",COUNTIFS(ATTENDANCE_DAILY!C:C,A131,ATTENDANCE_DAILY!E:E,"Present"))</f>
        <v/>
      </c>
      <c r="F131">
        <f>IF(A131="","",COUNTIFS(ATTENDANCE_DAILY!C:C,A131,ATTENDANCE_DAILY!E:E,"Absent"))</f>
        <v/>
      </c>
      <c r="G131" s="5">
        <f>IF(D131=0,"",E131/D131)</f>
        <v/>
      </c>
      <c r="H131" s="4">
        <f>IF(G131="","",IF(G131&lt;0.75,"Low Attendance","OK"))</f>
        <v/>
      </c>
    </row>
    <row r="132">
      <c r="A132">
        <f>IF(MASTER_REGISTER!E132="","",MASTER_REGISTER!E132)</f>
        <v/>
      </c>
      <c r="B132">
        <f>IF(A132="","",MASTER_REGISTER!F132)</f>
        <v/>
      </c>
      <c r="C132">
        <f>IF(A132="","",MASTER_REGISTER!C132)</f>
        <v/>
      </c>
      <c r="D132">
        <f>IF(A132="","",COUNTIF(ATTENDANCE_DAILY!C:C,A132))</f>
        <v/>
      </c>
      <c r="E132">
        <f>IF(A132="","",COUNTIFS(ATTENDANCE_DAILY!C:C,A132,ATTENDANCE_DAILY!E:E,"Present"))</f>
        <v/>
      </c>
      <c r="F132">
        <f>IF(A132="","",COUNTIFS(ATTENDANCE_DAILY!C:C,A132,ATTENDANCE_DAILY!E:E,"Absent"))</f>
        <v/>
      </c>
      <c r="G132" s="5">
        <f>IF(D132=0,"",E132/D132)</f>
        <v/>
      </c>
      <c r="H132" s="4">
        <f>IF(G132="","",IF(G132&lt;0.75,"Low Attendance","OK"))</f>
        <v/>
      </c>
    </row>
    <row r="133">
      <c r="A133">
        <f>IF(MASTER_REGISTER!E133="","",MASTER_REGISTER!E133)</f>
        <v/>
      </c>
      <c r="B133">
        <f>IF(A133="","",MASTER_REGISTER!F133)</f>
        <v/>
      </c>
      <c r="C133">
        <f>IF(A133="","",MASTER_REGISTER!C133)</f>
        <v/>
      </c>
      <c r="D133">
        <f>IF(A133="","",COUNTIF(ATTENDANCE_DAILY!C:C,A133))</f>
        <v/>
      </c>
      <c r="E133">
        <f>IF(A133="","",COUNTIFS(ATTENDANCE_DAILY!C:C,A133,ATTENDANCE_DAILY!E:E,"Present"))</f>
        <v/>
      </c>
      <c r="F133">
        <f>IF(A133="","",COUNTIFS(ATTENDANCE_DAILY!C:C,A133,ATTENDANCE_DAILY!E:E,"Absent"))</f>
        <v/>
      </c>
      <c r="G133" s="5">
        <f>IF(D133=0,"",E133/D133)</f>
        <v/>
      </c>
      <c r="H133" s="4">
        <f>IF(G133="","",IF(G133&lt;0.75,"Low Attendance","OK"))</f>
        <v/>
      </c>
    </row>
    <row r="134">
      <c r="A134">
        <f>IF(MASTER_REGISTER!E134="","",MASTER_REGISTER!E134)</f>
        <v/>
      </c>
      <c r="B134">
        <f>IF(A134="","",MASTER_REGISTER!F134)</f>
        <v/>
      </c>
      <c r="C134">
        <f>IF(A134="","",MASTER_REGISTER!C134)</f>
        <v/>
      </c>
      <c r="D134">
        <f>IF(A134="","",COUNTIF(ATTENDANCE_DAILY!C:C,A134))</f>
        <v/>
      </c>
      <c r="E134">
        <f>IF(A134="","",COUNTIFS(ATTENDANCE_DAILY!C:C,A134,ATTENDANCE_DAILY!E:E,"Present"))</f>
        <v/>
      </c>
      <c r="F134">
        <f>IF(A134="","",COUNTIFS(ATTENDANCE_DAILY!C:C,A134,ATTENDANCE_DAILY!E:E,"Absent"))</f>
        <v/>
      </c>
      <c r="G134" s="5">
        <f>IF(D134=0,"",E134/D134)</f>
        <v/>
      </c>
      <c r="H134" s="4">
        <f>IF(G134="","",IF(G134&lt;0.75,"Low Attendance","OK"))</f>
        <v/>
      </c>
    </row>
    <row r="135">
      <c r="A135">
        <f>IF(MASTER_REGISTER!E135="","",MASTER_REGISTER!E135)</f>
        <v/>
      </c>
      <c r="B135">
        <f>IF(A135="","",MASTER_REGISTER!F135)</f>
        <v/>
      </c>
      <c r="C135">
        <f>IF(A135="","",MASTER_REGISTER!C135)</f>
        <v/>
      </c>
      <c r="D135">
        <f>IF(A135="","",COUNTIF(ATTENDANCE_DAILY!C:C,A135))</f>
        <v/>
      </c>
      <c r="E135">
        <f>IF(A135="","",COUNTIFS(ATTENDANCE_DAILY!C:C,A135,ATTENDANCE_DAILY!E:E,"Present"))</f>
        <v/>
      </c>
      <c r="F135">
        <f>IF(A135="","",COUNTIFS(ATTENDANCE_DAILY!C:C,A135,ATTENDANCE_DAILY!E:E,"Absent"))</f>
        <v/>
      </c>
      <c r="G135" s="5">
        <f>IF(D135=0,"",E135/D135)</f>
        <v/>
      </c>
      <c r="H135" s="4">
        <f>IF(G135="","",IF(G135&lt;0.75,"Low Attendance","OK"))</f>
        <v/>
      </c>
    </row>
    <row r="136">
      <c r="A136">
        <f>IF(MASTER_REGISTER!E136="","",MASTER_REGISTER!E136)</f>
        <v/>
      </c>
      <c r="B136">
        <f>IF(A136="","",MASTER_REGISTER!F136)</f>
        <v/>
      </c>
      <c r="C136">
        <f>IF(A136="","",MASTER_REGISTER!C136)</f>
        <v/>
      </c>
      <c r="D136">
        <f>IF(A136="","",COUNTIF(ATTENDANCE_DAILY!C:C,A136))</f>
        <v/>
      </c>
      <c r="E136">
        <f>IF(A136="","",COUNTIFS(ATTENDANCE_DAILY!C:C,A136,ATTENDANCE_DAILY!E:E,"Present"))</f>
        <v/>
      </c>
      <c r="F136">
        <f>IF(A136="","",COUNTIFS(ATTENDANCE_DAILY!C:C,A136,ATTENDANCE_DAILY!E:E,"Absent"))</f>
        <v/>
      </c>
      <c r="G136" s="5">
        <f>IF(D136=0,"",E136/D136)</f>
        <v/>
      </c>
      <c r="H136" s="4">
        <f>IF(G136="","",IF(G136&lt;0.75,"Low Attendance","OK"))</f>
        <v/>
      </c>
    </row>
    <row r="137">
      <c r="A137">
        <f>IF(MASTER_REGISTER!E137="","",MASTER_REGISTER!E137)</f>
        <v/>
      </c>
      <c r="B137">
        <f>IF(A137="","",MASTER_REGISTER!F137)</f>
        <v/>
      </c>
      <c r="C137">
        <f>IF(A137="","",MASTER_REGISTER!C137)</f>
        <v/>
      </c>
      <c r="D137">
        <f>IF(A137="","",COUNTIF(ATTENDANCE_DAILY!C:C,A137))</f>
        <v/>
      </c>
      <c r="E137">
        <f>IF(A137="","",COUNTIFS(ATTENDANCE_DAILY!C:C,A137,ATTENDANCE_DAILY!E:E,"Present"))</f>
        <v/>
      </c>
      <c r="F137">
        <f>IF(A137="","",COUNTIFS(ATTENDANCE_DAILY!C:C,A137,ATTENDANCE_DAILY!E:E,"Absent"))</f>
        <v/>
      </c>
      <c r="G137" s="5">
        <f>IF(D137=0,"",E137/D137)</f>
        <v/>
      </c>
      <c r="H137" s="4">
        <f>IF(G137="","",IF(G137&lt;0.75,"Low Attendance","OK"))</f>
        <v/>
      </c>
    </row>
    <row r="138">
      <c r="A138">
        <f>IF(MASTER_REGISTER!E138="","",MASTER_REGISTER!E138)</f>
        <v/>
      </c>
      <c r="B138">
        <f>IF(A138="","",MASTER_REGISTER!F138)</f>
        <v/>
      </c>
      <c r="C138">
        <f>IF(A138="","",MASTER_REGISTER!C138)</f>
        <v/>
      </c>
      <c r="D138">
        <f>IF(A138="","",COUNTIF(ATTENDANCE_DAILY!C:C,A138))</f>
        <v/>
      </c>
      <c r="E138">
        <f>IF(A138="","",COUNTIFS(ATTENDANCE_DAILY!C:C,A138,ATTENDANCE_DAILY!E:E,"Present"))</f>
        <v/>
      </c>
      <c r="F138">
        <f>IF(A138="","",COUNTIFS(ATTENDANCE_DAILY!C:C,A138,ATTENDANCE_DAILY!E:E,"Absent"))</f>
        <v/>
      </c>
      <c r="G138" s="5">
        <f>IF(D138=0,"",E138/D138)</f>
        <v/>
      </c>
      <c r="H138" s="4">
        <f>IF(G138="","",IF(G138&lt;0.75,"Low Attendance","OK"))</f>
        <v/>
      </c>
    </row>
    <row r="139">
      <c r="A139">
        <f>IF(MASTER_REGISTER!E139="","",MASTER_REGISTER!E139)</f>
        <v/>
      </c>
      <c r="B139">
        <f>IF(A139="","",MASTER_REGISTER!F139)</f>
        <v/>
      </c>
      <c r="C139">
        <f>IF(A139="","",MASTER_REGISTER!C139)</f>
        <v/>
      </c>
      <c r="D139">
        <f>IF(A139="","",COUNTIF(ATTENDANCE_DAILY!C:C,A139))</f>
        <v/>
      </c>
      <c r="E139">
        <f>IF(A139="","",COUNTIFS(ATTENDANCE_DAILY!C:C,A139,ATTENDANCE_DAILY!E:E,"Present"))</f>
        <v/>
      </c>
      <c r="F139">
        <f>IF(A139="","",COUNTIFS(ATTENDANCE_DAILY!C:C,A139,ATTENDANCE_DAILY!E:E,"Absent"))</f>
        <v/>
      </c>
      <c r="G139" s="5">
        <f>IF(D139=0,"",E139/D139)</f>
        <v/>
      </c>
      <c r="H139" s="4">
        <f>IF(G139="","",IF(G139&lt;0.75,"Low Attendance","OK"))</f>
        <v/>
      </c>
    </row>
    <row r="140">
      <c r="A140">
        <f>IF(MASTER_REGISTER!E140="","",MASTER_REGISTER!E140)</f>
        <v/>
      </c>
      <c r="B140">
        <f>IF(A140="","",MASTER_REGISTER!F140)</f>
        <v/>
      </c>
      <c r="C140">
        <f>IF(A140="","",MASTER_REGISTER!C140)</f>
        <v/>
      </c>
      <c r="D140">
        <f>IF(A140="","",COUNTIF(ATTENDANCE_DAILY!C:C,A140))</f>
        <v/>
      </c>
      <c r="E140">
        <f>IF(A140="","",COUNTIFS(ATTENDANCE_DAILY!C:C,A140,ATTENDANCE_DAILY!E:E,"Present"))</f>
        <v/>
      </c>
      <c r="F140">
        <f>IF(A140="","",COUNTIFS(ATTENDANCE_DAILY!C:C,A140,ATTENDANCE_DAILY!E:E,"Absent"))</f>
        <v/>
      </c>
      <c r="G140" s="5">
        <f>IF(D140=0,"",E140/D140)</f>
        <v/>
      </c>
      <c r="H140" s="4">
        <f>IF(G140="","",IF(G140&lt;0.75,"Low Attendance","OK"))</f>
        <v/>
      </c>
    </row>
    <row r="141">
      <c r="A141">
        <f>IF(MASTER_REGISTER!E141="","",MASTER_REGISTER!E141)</f>
        <v/>
      </c>
      <c r="B141">
        <f>IF(A141="","",MASTER_REGISTER!F141)</f>
        <v/>
      </c>
      <c r="C141">
        <f>IF(A141="","",MASTER_REGISTER!C141)</f>
        <v/>
      </c>
      <c r="D141">
        <f>IF(A141="","",COUNTIF(ATTENDANCE_DAILY!C:C,A141))</f>
        <v/>
      </c>
      <c r="E141">
        <f>IF(A141="","",COUNTIFS(ATTENDANCE_DAILY!C:C,A141,ATTENDANCE_DAILY!E:E,"Present"))</f>
        <v/>
      </c>
      <c r="F141">
        <f>IF(A141="","",COUNTIFS(ATTENDANCE_DAILY!C:C,A141,ATTENDANCE_DAILY!E:E,"Absent"))</f>
        <v/>
      </c>
      <c r="G141" s="5">
        <f>IF(D141=0,"",E141/D141)</f>
        <v/>
      </c>
      <c r="H141" s="4">
        <f>IF(G141="","",IF(G141&lt;0.75,"Low Attendance","OK"))</f>
        <v/>
      </c>
    </row>
    <row r="142">
      <c r="A142">
        <f>IF(MASTER_REGISTER!E142="","",MASTER_REGISTER!E142)</f>
        <v/>
      </c>
      <c r="B142">
        <f>IF(A142="","",MASTER_REGISTER!F142)</f>
        <v/>
      </c>
      <c r="C142">
        <f>IF(A142="","",MASTER_REGISTER!C142)</f>
        <v/>
      </c>
      <c r="D142">
        <f>IF(A142="","",COUNTIF(ATTENDANCE_DAILY!C:C,A142))</f>
        <v/>
      </c>
      <c r="E142">
        <f>IF(A142="","",COUNTIFS(ATTENDANCE_DAILY!C:C,A142,ATTENDANCE_DAILY!E:E,"Present"))</f>
        <v/>
      </c>
      <c r="F142">
        <f>IF(A142="","",COUNTIFS(ATTENDANCE_DAILY!C:C,A142,ATTENDANCE_DAILY!E:E,"Absent"))</f>
        <v/>
      </c>
      <c r="G142" s="5">
        <f>IF(D142=0,"",E142/D142)</f>
        <v/>
      </c>
      <c r="H142" s="4">
        <f>IF(G142="","",IF(G142&lt;0.75,"Low Attendance","OK"))</f>
        <v/>
      </c>
    </row>
    <row r="143">
      <c r="A143">
        <f>IF(MASTER_REGISTER!E143="","",MASTER_REGISTER!E143)</f>
        <v/>
      </c>
      <c r="B143">
        <f>IF(A143="","",MASTER_REGISTER!F143)</f>
        <v/>
      </c>
      <c r="C143">
        <f>IF(A143="","",MASTER_REGISTER!C143)</f>
        <v/>
      </c>
      <c r="D143">
        <f>IF(A143="","",COUNTIF(ATTENDANCE_DAILY!C:C,A143))</f>
        <v/>
      </c>
      <c r="E143">
        <f>IF(A143="","",COUNTIFS(ATTENDANCE_DAILY!C:C,A143,ATTENDANCE_DAILY!E:E,"Present"))</f>
        <v/>
      </c>
      <c r="F143">
        <f>IF(A143="","",COUNTIFS(ATTENDANCE_DAILY!C:C,A143,ATTENDANCE_DAILY!E:E,"Absent"))</f>
        <v/>
      </c>
      <c r="G143" s="5">
        <f>IF(D143=0,"",E143/D143)</f>
        <v/>
      </c>
      <c r="H143" s="4">
        <f>IF(G143="","",IF(G143&lt;0.75,"Low Attendance","OK"))</f>
        <v/>
      </c>
    </row>
    <row r="144">
      <c r="A144">
        <f>IF(MASTER_REGISTER!E144="","",MASTER_REGISTER!E144)</f>
        <v/>
      </c>
      <c r="B144">
        <f>IF(A144="","",MASTER_REGISTER!F144)</f>
        <v/>
      </c>
      <c r="C144">
        <f>IF(A144="","",MASTER_REGISTER!C144)</f>
        <v/>
      </c>
      <c r="D144">
        <f>IF(A144="","",COUNTIF(ATTENDANCE_DAILY!C:C,A144))</f>
        <v/>
      </c>
      <c r="E144">
        <f>IF(A144="","",COUNTIFS(ATTENDANCE_DAILY!C:C,A144,ATTENDANCE_DAILY!E:E,"Present"))</f>
        <v/>
      </c>
      <c r="F144">
        <f>IF(A144="","",COUNTIFS(ATTENDANCE_DAILY!C:C,A144,ATTENDANCE_DAILY!E:E,"Absent"))</f>
        <v/>
      </c>
      <c r="G144" s="5">
        <f>IF(D144=0,"",E144/D144)</f>
        <v/>
      </c>
      <c r="H144" s="4">
        <f>IF(G144="","",IF(G144&lt;0.75,"Low Attendance","OK"))</f>
        <v/>
      </c>
    </row>
    <row r="145">
      <c r="A145">
        <f>IF(MASTER_REGISTER!E145="","",MASTER_REGISTER!E145)</f>
        <v/>
      </c>
      <c r="B145">
        <f>IF(A145="","",MASTER_REGISTER!F145)</f>
        <v/>
      </c>
      <c r="C145">
        <f>IF(A145="","",MASTER_REGISTER!C145)</f>
        <v/>
      </c>
      <c r="D145">
        <f>IF(A145="","",COUNTIF(ATTENDANCE_DAILY!C:C,A145))</f>
        <v/>
      </c>
      <c r="E145">
        <f>IF(A145="","",COUNTIFS(ATTENDANCE_DAILY!C:C,A145,ATTENDANCE_DAILY!E:E,"Present"))</f>
        <v/>
      </c>
      <c r="F145">
        <f>IF(A145="","",COUNTIFS(ATTENDANCE_DAILY!C:C,A145,ATTENDANCE_DAILY!E:E,"Absent"))</f>
        <v/>
      </c>
      <c r="G145" s="5">
        <f>IF(D145=0,"",E145/D145)</f>
        <v/>
      </c>
      <c r="H145" s="4">
        <f>IF(G145="","",IF(G145&lt;0.75,"Low Attendance","OK"))</f>
        <v/>
      </c>
    </row>
    <row r="146">
      <c r="A146">
        <f>IF(MASTER_REGISTER!E146="","",MASTER_REGISTER!E146)</f>
        <v/>
      </c>
      <c r="B146">
        <f>IF(A146="","",MASTER_REGISTER!F146)</f>
        <v/>
      </c>
      <c r="C146">
        <f>IF(A146="","",MASTER_REGISTER!C146)</f>
        <v/>
      </c>
      <c r="D146">
        <f>IF(A146="","",COUNTIF(ATTENDANCE_DAILY!C:C,A146))</f>
        <v/>
      </c>
      <c r="E146">
        <f>IF(A146="","",COUNTIFS(ATTENDANCE_DAILY!C:C,A146,ATTENDANCE_DAILY!E:E,"Present"))</f>
        <v/>
      </c>
      <c r="F146">
        <f>IF(A146="","",COUNTIFS(ATTENDANCE_DAILY!C:C,A146,ATTENDANCE_DAILY!E:E,"Absent"))</f>
        <v/>
      </c>
      <c r="G146" s="5">
        <f>IF(D146=0,"",E146/D146)</f>
        <v/>
      </c>
      <c r="H146" s="4">
        <f>IF(G146="","",IF(G146&lt;0.75,"Low Attendance","OK"))</f>
        <v/>
      </c>
    </row>
    <row r="147">
      <c r="A147">
        <f>IF(MASTER_REGISTER!E147="","",MASTER_REGISTER!E147)</f>
        <v/>
      </c>
      <c r="B147">
        <f>IF(A147="","",MASTER_REGISTER!F147)</f>
        <v/>
      </c>
      <c r="C147">
        <f>IF(A147="","",MASTER_REGISTER!C147)</f>
        <v/>
      </c>
      <c r="D147">
        <f>IF(A147="","",COUNTIF(ATTENDANCE_DAILY!C:C,A147))</f>
        <v/>
      </c>
      <c r="E147">
        <f>IF(A147="","",COUNTIFS(ATTENDANCE_DAILY!C:C,A147,ATTENDANCE_DAILY!E:E,"Present"))</f>
        <v/>
      </c>
      <c r="F147">
        <f>IF(A147="","",COUNTIFS(ATTENDANCE_DAILY!C:C,A147,ATTENDANCE_DAILY!E:E,"Absent"))</f>
        <v/>
      </c>
      <c r="G147" s="5">
        <f>IF(D147=0,"",E147/D147)</f>
        <v/>
      </c>
      <c r="H147" s="4">
        <f>IF(G147="","",IF(G147&lt;0.75,"Low Attendance","OK"))</f>
        <v/>
      </c>
    </row>
    <row r="148">
      <c r="A148">
        <f>IF(MASTER_REGISTER!E148="","",MASTER_REGISTER!E148)</f>
        <v/>
      </c>
      <c r="B148">
        <f>IF(A148="","",MASTER_REGISTER!F148)</f>
        <v/>
      </c>
      <c r="C148">
        <f>IF(A148="","",MASTER_REGISTER!C148)</f>
        <v/>
      </c>
      <c r="D148">
        <f>IF(A148="","",COUNTIF(ATTENDANCE_DAILY!C:C,A148))</f>
        <v/>
      </c>
      <c r="E148">
        <f>IF(A148="","",COUNTIFS(ATTENDANCE_DAILY!C:C,A148,ATTENDANCE_DAILY!E:E,"Present"))</f>
        <v/>
      </c>
      <c r="F148">
        <f>IF(A148="","",COUNTIFS(ATTENDANCE_DAILY!C:C,A148,ATTENDANCE_DAILY!E:E,"Absent"))</f>
        <v/>
      </c>
      <c r="G148" s="5">
        <f>IF(D148=0,"",E148/D148)</f>
        <v/>
      </c>
      <c r="H148" s="4">
        <f>IF(G148="","",IF(G148&lt;0.75,"Low Attendance","OK"))</f>
        <v/>
      </c>
    </row>
    <row r="149">
      <c r="A149">
        <f>IF(MASTER_REGISTER!E149="","",MASTER_REGISTER!E149)</f>
        <v/>
      </c>
      <c r="B149">
        <f>IF(A149="","",MASTER_REGISTER!F149)</f>
        <v/>
      </c>
      <c r="C149">
        <f>IF(A149="","",MASTER_REGISTER!C149)</f>
        <v/>
      </c>
      <c r="D149">
        <f>IF(A149="","",COUNTIF(ATTENDANCE_DAILY!C:C,A149))</f>
        <v/>
      </c>
      <c r="E149">
        <f>IF(A149="","",COUNTIFS(ATTENDANCE_DAILY!C:C,A149,ATTENDANCE_DAILY!E:E,"Present"))</f>
        <v/>
      </c>
      <c r="F149">
        <f>IF(A149="","",COUNTIFS(ATTENDANCE_DAILY!C:C,A149,ATTENDANCE_DAILY!E:E,"Absent"))</f>
        <v/>
      </c>
      <c r="G149" s="5">
        <f>IF(D149=0,"",E149/D149)</f>
        <v/>
      </c>
      <c r="H149" s="4">
        <f>IF(G149="","",IF(G149&lt;0.75,"Low Attendance","OK"))</f>
        <v/>
      </c>
    </row>
    <row r="150">
      <c r="A150">
        <f>IF(MASTER_REGISTER!E150="","",MASTER_REGISTER!E150)</f>
        <v/>
      </c>
      <c r="B150">
        <f>IF(A150="","",MASTER_REGISTER!F150)</f>
        <v/>
      </c>
      <c r="C150">
        <f>IF(A150="","",MASTER_REGISTER!C150)</f>
        <v/>
      </c>
      <c r="D150">
        <f>IF(A150="","",COUNTIF(ATTENDANCE_DAILY!C:C,A150))</f>
        <v/>
      </c>
      <c r="E150">
        <f>IF(A150="","",COUNTIFS(ATTENDANCE_DAILY!C:C,A150,ATTENDANCE_DAILY!E:E,"Present"))</f>
        <v/>
      </c>
      <c r="F150">
        <f>IF(A150="","",COUNTIFS(ATTENDANCE_DAILY!C:C,A150,ATTENDANCE_DAILY!E:E,"Absent"))</f>
        <v/>
      </c>
      <c r="G150" s="5">
        <f>IF(D150=0,"",E150/D150)</f>
        <v/>
      </c>
      <c r="H150" s="4">
        <f>IF(G150="","",IF(G150&lt;0.75,"Low Attendance","OK"))</f>
        <v/>
      </c>
    </row>
    <row r="151">
      <c r="A151">
        <f>IF(MASTER_REGISTER!E151="","",MASTER_REGISTER!E151)</f>
        <v/>
      </c>
      <c r="B151">
        <f>IF(A151="","",MASTER_REGISTER!F151)</f>
        <v/>
      </c>
      <c r="C151">
        <f>IF(A151="","",MASTER_REGISTER!C151)</f>
        <v/>
      </c>
      <c r="D151">
        <f>IF(A151="","",COUNTIF(ATTENDANCE_DAILY!C:C,A151))</f>
        <v/>
      </c>
      <c r="E151">
        <f>IF(A151="","",COUNTIFS(ATTENDANCE_DAILY!C:C,A151,ATTENDANCE_DAILY!E:E,"Present"))</f>
        <v/>
      </c>
      <c r="F151">
        <f>IF(A151="","",COUNTIFS(ATTENDANCE_DAILY!C:C,A151,ATTENDANCE_DAILY!E:E,"Absent"))</f>
        <v/>
      </c>
      <c r="G151" s="5">
        <f>IF(D151=0,"",E151/D151)</f>
        <v/>
      </c>
      <c r="H151" s="4">
        <f>IF(G151="","",IF(G151&lt;0.75,"Low Attendance","OK"))</f>
        <v/>
      </c>
    </row>
    <row r="152">
      <c r="A152">
        <f>IF(MASTER_REGISTER!E152="","",MASTER_REGISTER!E152)</f>
        <v/>
      </c>
      <c r="B152">
        <f>IF(A152="","",MASTER_REGISTER!F152)</f>
        <v/>
      </c>
      <c r="C152">
        <f>IF(A152="","",MASTER_REGISTER!C152)</f>
        <v/>
      </c>
      <c r="D152">
        <f>IF(A152="","",COUNTIF(ATTENDANCE_DAILY!C:C,A152))</f>
        <v/>
      </c>
      <c r="E152">
        <f>IF(A152="","",COUNTIFS(ATTENDANCE_DAILY!C:C,A152,ATTENDANCE_DAILY!E:E,"Present"))</f>
        <v/>
      </c>
      <c r="F152">
        <f>IF(A152="","",COUNTIFS(ATTENDANCE_DAILY!C:C,A152,ATTENDANCE_DAILY!E:E,"Absent"))</f>
        <v/>
      </c>
      <c r="G152" s="5">
        <f>IF(D152=0,"",E152/D152)</f>
        <v/>
      </c>
      <c r="H152" s="4">
        <f>IF(G152="","",IF(G152&lt;0.75,"Low Attendance","OK"))</f>
        <v/>
      </c>
    </row>
    <row r="153">
      <c r="A153">
        <f>IF(MASTER_REGISTER!E153="","",MASTER_REGISTER!E153)</f>
        <v/>
      </c>
      <c r="B153">
        <f>IF(A153="","",MASTER_REGISTER!F153)</f>
        <v/>
      </c>
      <c r="C153">
        <f>IF(A153="","",MASTER_REGISTER!C153)</f>
        <v/>
      </c>
      <c r="D153">
        <f>IF(A153="","",COUNTIF(ATTENDANCE_DAILY!C:C,A153))</f>
        <v/>
      </c>
      <c r="E153">
        <f>IF(A153="","",COUNTIFS(ATTENDANCE_DAILY!C:C,A153,ATTENDANCE_DAILY!E:E,"Present"))</f>
        <v/>
      </c>
      <c r="F153">
        <f>IF(A153="","",COUNTIFS(ATTENDANCE_DAILY!C:C,A153,ATTENDANCE_DAILY!E:E,"Absent"))</f>
        <v/>
      </c>
      <c r="G153" s="5">
        <f>IF(D153=0,"",E153/D153)</f>
        <v/>
      </c>
      <c r="H153" s="4">
        <f>IF(G153="","",IF(G153&lt;0.75,"Low Attendance","OK"))</f>
        <v/>
      </c>
    </row>
    <row r="154">
      <c r="A154">
        <f>IF(MASTER_REGISTER!E154="","",MASTER_REGISTER!E154)</f>
        <v/>
      </c>
      <c r="B154">
        <f>IF(A154="","",MASTER_REGISTER!F154)</f>
        <v/>
      </c>
      <c r="C154">
        <f>IF(A154="","",MASTER_REGISTER!C154)</f>
        <v/>
      </c>
      <c r="D154">
        <f>IF(A154="","",COUNTIF(ATTENDANCE_DAILY!C:C,A154))</f>
        <v/>
      </c>
      <c r="E154">
        <f>IF(A154="","",COUNTIFS(ATTENDANCE_DAILY!C:C,A154,ATTENDANCE_DAILY!E:E,"Present"))</f>
        <v/>
      </c>
      <c r="F154">
        <f>IF(A154="","",COUNTIFS(ATTENDANCE_DAILY!C:C,A154,ATTENDANCE_DAILY!E:E,"Absent"))</f>
        <v/>
      </c>
      <c r="G154" s="5">
        <f>IF(D154=0,"",E154/D154)</f>
        <v/>
      </c>
      <c r="H154" s="4">
        <f>IF(G154="","",IF(G154&lt;0.75,"Low Attendance","OK"))</f>
        <v/>
      </c>
    </row>
    <row r="155">
      <c r="A155">
        <f>IF(MASTER_REGISTER!E155="","",MASTER_REGISTER!E155)</f>
        <v/>
      </c>
      <c r="B155">
        <f>IF(A155="","",MASTER_REGISTER!F155)</f>
        <v/>
      </c>
      <c r="C155">
        <f>IF(A155="","",MASTER_REGISTER!C155)</f>
        <v/>
      </c>
      <c r="D155">
        <f>IF(A155="","",COUNTIF(ATTENDANCE_DAILY!C:C,A155))</f>
        <v/>
      </c>
      <c r="E155">
        <f>IF(A155="","",COUNTIFS(ATTENDANCE_DAILY!C:C,A155,ATTENDANCE_DAILY!E:E,"Present"))</f>
        <v/>
      </c>
      <c r="F155">
        <f>IF(A155="","",COUNTIFS(ATTENDANCE_DAILY!C:C,A155,ATTENDANCE_DAILY!E:E,"Absent"))</f>
        <v/>
      </c>
      <c r="G155" s="5">
        <f>IF(D155=0,"",E155/D155)</f>
        <v/>
      </c>
      <c r="H155" s="4">
        <f>IF(G155="","",IF(G155&lt;0.75,"Low Attendance","OK"))</f>
        <v/>
      </c>
    </row>
    <row r="156">
      <c r="A156">
        <f>IF(MASTER_REGISTER!E156="","",MASTER_REGISTER!E156)</f>
        <v/>
      </c>
      <c r="B156">
        <f>IF(A156="","",MASTER_REGISTER!F156)</f>
        <v/>
      </c>
      <c r="C156">
        <f>IF(A156="","",MASTER_REGISTER!C156)</f>
        <v/>
      </c>
      <c r="D156">
        <f>IF(A156="","",COUNTIF(ATTENDANCE_DAILY!C:C,A156))</f>
        <v/>
      </c>
      <c r="E156">
        <f>IF(A156="","",COUNTIFS(ATTENDANCE_DAILY!C:C,A156,ATTENDANCE_DAILY!E:E,"Present"))</f>
        <v/>
      </c>
      <c r="F156">
        <f>IF(A156="","",COUNTIFS(ATTENDANCE_DAILY!C:C,A156,ATTENDANCE_DAILY!E:E,"Absent"))</f>
        <v/>
      </c>
      <c r="G156" s="5">
        <f>IF(D156=0,"",E156/D156)</f>
        <v/>
      </c>
      <c r="H156" s="4">
        <f>IF(G156="","",IF(G156&lt;0.75,"Low Attendance","OK"))</f>
        <v/>
      </c>
    </row>
    <row r="157">
      <c r="A157">
        <f>IF(MASTER_REGISTER!E157="","",MASTER_REGISTER!E157)</f>
        <v/>
      </c>
      <c r="B157">
        <f>IF(A157="","",MASTER_REGISTER!F157)</f>
        <v/>
      </c>
      <c r="C157">
        <f>IF(A157="","",MASTER_REGISTER!C157)</f>
        <v/>
      </c>
      <c r="D157">
        <f>IF(A157="","",COUNTIF(ATTENDANCE_DAILY!C:C,A157))</f>
        <v/>
      </c>
      <c r="E157">
        <f>IF(A157="","",COUNTIFS(ATTENDANCE_DAILY!C:C,A157,ATTENDANCE_DAILY!E:E,"Present"))</f>
        <v/>
      </c>
      <c r="F157">
        <f>IF(A157="","",COUNTIFS(ATTENDANCE_DAILY!C:C,A157,ATTENDANCE_DAILY!E:E,"Absent"))</f>
        <v/>
      </c>
      <c r="G157" s="5">
        <f>IF(D157=0,"",E157/D157)</f>
        <v/>
      </c>
      <c r="H157" s="4">
        <f>IF(G157="","",IF(G157&lt;0.75,"Low Attendance","OK"))</f>
        <v/>
      </c>
    </row>
    <row r="158">
      <c r="A158">
        <f>IF(MASTER_REGISTER!E158="","",MASTER_REGISTER!E158)</f>
        <v/>
      </c>
      <c r="B158">
        <f>IF(A158="","",MASTER_REGISTER!F158)</f>
        <v/>
      </c>
      <c r="C158">
        <f>IF(A158="","",MASTER_REGISTER!C158)</f>
        <v/>
      </c>
      <c r="D158">
        <f>IF(A158="","",COUNTIF(ATTENDANCE_DAILY!C:C,A158))</f>
        <v/>
      </c>
      <c r="E158">
        <f>IF(A158="","",COUNTIFS(ATTENDANCE_DAILY!C:C,A158,ATTENDANCE_DAILY!E:E,"Present"))</f>
        <v/>
      </c>
      <c r="F158">
        <f>IF(A158="","",COUNTIFS(ATTENDANCE_DAILY!C:C,A158,ATTENDANCE_DAILY!E:E,"Absent"))</f>
        <v/>
      </c>
      <c r="G158" s="5">
        <f>IF(D158=0,"",E158/D158)</f>
        <v/>
      </c>
      <c r="H158" s="4">
        <f>IF(G158="","",IF(G158&lt;0.75,"Low Attendance","OK"))</f>
        <v/>
      </c>
    </row>
    <row r="159">
      <c r="A159">
        <f>IF(MASTER_REGISTER!E159="","",MASTER_REGISTER!E159)</f>
        <v/>
      </c>
      <c r="B159">
        <f>IF(A159="","",MASTER_REGISTER!F159)</f>
        <v/>
      </c>
      <c r="C159">
        <f>IF(A159="","",MASTER_REGISTER!C159)</f>
        <v/>
      </c>
      <c r="D159">
        <f>IF(A159="","",COUNTIF(ATTENDANCE_DAILY!C:C,A159))</f>
        <v/>
      </c>
      <c r="E159">
        <f>IF(A159="","",COUNTIFS(ATTENDANCE_DAILY!C:C,A159,ATTENDANCE_DAILY!E:E,"Present"))</f>
        <v/>
      </c>
      <c r="F159">
        <f>IF(A159="","",COUNTIFS(ATTENDANCE_DAILY!C:C,A159,ATTENDANCE_DAILY!E:E,"Absent"))</f>
        <v/>
      </c>
      <c r="G159" s="5">
        <f>IF(D159=0,"",E159/D159)</f>
        <v/>
      </c>
      <c r="H159" s="4">
        <f>IF(G159="","",IF(G159&lt;0.75,"Low Attendance","OK"))</f>
        <v/>
      </c>
    </row>
    <row r="160">
      <c r="A160">
        <f>IF(MASTER_REGISTER!E160="","",MASTER_REGISTER!E160)</f>
        <v/>
      </c>
      <c r="B160">
        <f>IF(A160="","",MASTER_REGISTER!F160)</f>
        <v/>
      </c>
      <c r="C160">
        <f>IF(A160="","",MASTER_REGISTER!C160)</f>
        <v/>
      </c>
      <c r="D160">
        <f>IF(A160="","",COUNTIF(ATTENDANCE_DAILY!C:C,A160))</f>
        <v/>
      </c>
      <c r="E160">
        <f>IF(A160="","",COUNTIFS(ATTENDANCE_DAILY!C:C,A160,ATTENDANCE_DAILY!E:E,"Present"))</f>
        <v/>
      </c>
      <c r="F160">
        <f>IF(A160="","",COUNTIFS(ATTENDANCE_DAILY!C:C,A160,ATTENDANCE_DAILY!E:E,"Absent"))</f>
        <v/>
      </c>
      <c r="G160" s="5">
        <f>IF(D160=0,"",E160/D160)</f>
        <v/>
      </c>
      <c r="H160" s="4">
        <f>IF(G160="","",IF(G160&lt;0.75,"Low Attendance","OK"))</f>
        <v/>
      </c>
    </row>
    <row r="161">
      <c r="A161">
        <f>IF(MASTER_REGISTER!E161="","",MASTER_REGISTER!E161)</f>
        <v/>
      </c>
      <c r="B161">
        <f>IF(A161="","",MASTER_REGISTER!F161)</f>
        <v/>
      </c>
      <c r="C161">
        <f>IF(A161="","",MASTER_REGISTER!C161)</f>
        <v/>
      </c>
      <c r="D161">
        <f>IF(A161="","",COUNTIF(ATTENDANCE_DAILY!C:C,A161))</f>
        <v/>
      </c>
      <c r="E161">
        <f>IF(A161="","",COUNTIFS(ATTENDANCE_DAILY!C:C,A161,ATTENDANCE_DAILY!E:E,"Present"))</f>
        <v/>
      </c>
      <c r="F161">
        <f>IF(A161="","",COUNTIFS(ATTENDANCE_DAILY!C:C,A161,ATTENDANCE_DAILY!E:E,"Absent"))</f>
        <v/>
      </c>
      <c r="G161" s="5">
        <f>IF(D161=0,"",E161/D161)</f>
        <v/>
      </c>
      <c r="H161" s="4">
        <f>IF(G161="","",IF(G161&lt;0.75,"Low Attendance","OK"))</f>
        <v/>
      </c>
    </row>
    <row r="162">
      <c r="A162">
        <f>IF(MASTER_REGISTER!E162="","",MASTER_REGISTER!E162)</f>
        <v/>
      </c>
      <c r="B162">
        <f>IF(A162="","",MASTER_REGISTER!F162)</f>
        <v/>
      </c>
      <c r="C162">
        <f>IF(A162="","",MASTER_REGISTER!C162)</f>
        <v/>
      </c>
      <c r="D162">
        <f>IF(A162="","",COUNTIF(ATTENDANCE_DAILY!C:C,A162))</f>
        <v/>
      </c>
      <c r="E162">
        <f>IF(A162="","",COUNTIFS(ATTENDANCE_DAILY!C:C,A162,ATTENDANCE_DAILY!E:E,"Present"))</f>
        <v/>
      </c>
      <c r="F162">
        <f>IF(A162="","",COUNTIFS(ATTENDANCE_DAILY!C:C,A162,ATTENDANCE_DAILY!E:E,"Absent"))</f>
        <v/>
      </c>
      <c r="G162" s="5">
        <f>IF(D162=0,"",E162/D162)</f>
        <v/>
      </c>
      <c r="H162" s="4">
        <f>IF(G162="","",IF(G162&lt;0.75,"Low Attendance","OK"))</f>
        <v/>
      </c>
    </row>
    <row r="163">
      <c r="A163">
        <f>IF(MASTER_REGISTER!E163="","",MASTER_REGISTER!E163)</f>
        <v/>
      </c>
      <c r="B163">
        <f>IF(A163="","",MASTER_REGISTER!F163)</f>
        <v/>
      </c>
      <c r="C163">
        <f>IF(A163="","",MASTER_REGISTER!C163)</f>
        <v/>
      </c>
      <c r="D163">
        <f>IF(A163="","",COUNTIF(ATTENDANCE_DAILY!C:C,A163))</f>
        <v/>
      </c>
      <c r="E163">
        <f>IF(A163="","",COUNTIFS(ATTENDANCE_DAILY!C:C,A163,ATTENDANCE_DAILY!E:E,"Present"))</f>
        <v/>
      </c>
      <c r="F163">
        <f>IF(A163="","",COUNTIFS(ATTENDANCE_DAILY!C:C,A163,ATTENDANCE_DAILY!E:E,"Absent"))</f>
        <v/>
      </c>
      <c r="G163" s="5">
        <f>IF(D163=0,"",E163/D163)</f>
        <v/>
      </c>
      <c r="H163" s="4">
        <f>IF(G163="","",IF(G163&lt;0.75,"Low Attendance","OK"))</f>
        <v/>
      </c>
    </row>
    <row r="164">
      <c r="A164">
        <f>IF(MASTER_REGISTER!E164="","",MASTER_REGISTER!E164)</f>
        <v/>
      </c>
      <c r="B164">
        <f>IF(A164="","",MASTER_REGISTER!F164)</f>
        <v/>
      </c>
      <c r="C164">
        <f>IF(A164="","",MASTER_REGISTER!C164)</f>
        <v/>
      </c>
      <c r="D164">
        <f>IF(A164="","",COUNTIF(ATTENDANCE_DAILY!C:C,A164))</f>
        <v/>
      </c>
      <c r="E164">
        <f>IF(A164="","",COUNTIFS(ATTENDANCE_DAILY!C:C,A164,ATTENDANCE_DAILY!E:E,"Present"))</f>
        <v/>
      </c>
      <c r="F164">
        <f>IF(A164="","",COUNTIFS(ATTENDANCE_DAILY!C:C,A164,ATTENDANCE_DAILY!E:E,"Absent"))</f>
        <v/>
      </c>
      <c r="G164" s="5">
        <f>IF(D164=0,"",E164/D164)</f>
        <v/>
      </c>
      <c r="H164" s="4">
        <f>IF(G164="","",IF(G164&lt;0.75,"Low Attendance","OK"))</f>
        <v/>
      </c>
    </row>
    <row r="165">
      <c r="A165">
        <f>IF(MASTER_REGISTER!E165="","",MASTER_REGISTER!E165)</f>
        <v/>
      </c>
      <c r="B165">
        <f>IF(A165="","",MASTER_REGISTER!F165)</f>
        <v/>
      </c>
      <c r="C165">
        <f>IF(A165="","",MASTER_REGISTER!C165)</f>
        <v/>
      </c>
      <c r="D165">
        <f>IF(A165="","",COUNTIF(ATTENDANCE_DAILY!C:C,A165))</f>
        <v/>
      </c>
      <c r="E165">
        <f>IF(A165="","",COUNTIFS(ATTENDANCE_DAILY!C:C,A165,ATTENDANCE_DAILY!E:E,"Present"))</f>
        <v/>
      </c>
      <c r="F165">
        <f>IF(A165="","",COUNTIFS(ATTENDANCE_DAILY!C:C,A165,ATTENDANCE_DAILY!E:E,"Absent"))</f>
        <v/>
      </c>
      <c r="G165" s="5">
        <f>IF(D165=0,"",E165/D165)</f>
        <v/>
      </c>
      <c r="H165" s="4">
        <f>IF(G165="","",IF(G165&lt;0.75,"Low Attendance","OK"))</f>
        <v/>
      </c>
    </row>
    <row r="166">
      <c r="A166">
        <f>IF(MASTER_REGISTER!E166="","",MASTER_REGISTER!E166)</f>
        <v/>
      </c>
      <c r="B166">
        <f>IF(A166="","",MASTER_REGISTER!F166)</f>
        <v/>
      </c>
      <c r="C166">
        <f>IF(A166="","",MASTER_REGISTER!C166)</f>
        <v/>
      </c>
      <c r="D166">
        <f>IF(A166="","",COUNTIF(ATTENDANCE_DAILY!C:C,A166))</f>
        <v/>
      </c>
      <c r="E166">
        <f>IF(A166="","",COUNTIFS(ATTENDANCE_DAILY!C:C,A166,ATTENDANCE_DAILY!E:E,"Present"))</f>
        <v/>
      </c>
      <c r="F166">
        <f>IF(A166="","",COUNTIFS(ATTENDANCE_DAILY!C:C,A166,ATTENDANCE_DAILY!E:E,"Absent"))</f>
        <v/>
      </c>
      <c r="G166" s="5">
        <f>IF(D166=0,"",E166/D166)</f>
        <v/>
      </c>
      <c r="H166" s="4">
        <f>IF(G166="","",IF(G166&lt;0.75,"Low Attendance","OK"))</f>
        <v/>
      </c>
    </row>
    <row r="167">
      <c r="A167">
        <f>IF(MASTER_REGISTER!E167="","",MASTER_REGISTER!E167)</f>
        <v/>
      </c>
      <c r="B167">
        <f>IF(A167="","",MASTER_REGISTER!F167)</f>
        <v/>
      </c>
      <c r="C167">
        <f>IF(A167="","",MASTER_REGISTER!C167)</f>
        <v/>
      </c>
      <c r="D167">
        <f>IF(A167="","",COUNTIF(ATTENDANCE_DAILY!C:C,A167))</f>
        <v/>
      </c>
      <c r="E167">
        <f>IF(A167="","",COUNTIFS(ATTENDANCE_DAILY!C:C,A167,ATTENDANCE_DAILY!E:E,"Present"))</f>
        <v/>
      </c>
      <c r="F167">
        <f>IF(A167="","",COUNTIFS(ATTENDANCE_DAILY!C:C,A167,ATTENDANCE_DAILY!E:E,"Absent"))</f>
        <v/>
      </c>
      <c r="G167" s="5">
        <f>IF(D167=0,"",E167/D167)</f>
        <v/>
      </c>
      <c r="H167" s="4">
        <f>IF(G167="","",IF(G167&lt;0.75,"Low Attendance","OK"))</f>
        <v/>
      </c>
    </row>
    <row r="168">
      <c r="A168">
        <f>IF(MASTER_REGISTER!E168="","",MASTER_REGISTER!E168)</f>
        <v/>
      </c>
      <c r="B168">
        <f>IF(A168="","",MASTER_REGISTER!F168)</f>
        <v/>
      </c>
      <c r="C168">
        <f>IF(A168="","",MASTER_REGISTER!C168)</f>
        <v/>
      </c>
      <c r="D168">
        <f>IF(A168="","",COUNTIF(ATTENDANCE_DAILY!C:C,A168))</f>
        <v/>
      </c>
      <c r="E168">
        <f>IF(A168="","",COUNTIFS(ATTENDANCE_DAILY!C:C,A168,ATTENDANCE_DAILY!E:E,"Present"))</f>
        <v/>
      </c>
      <c r="F168">
        <f>IF(A168="","",COUNTIFS(ATTENDANCE_DAILY!C:C,A168,ATTENDANCE_DAILY!E:E,"Absent"))</f>
        <v/>
      </c>
      <c r="G168" s="5">
        <f>IF(D168=0,"",E168/D168)</f>
        <v/>
      </c>
      <c r="H168" s="4">
        <f>IF(G168="","",IF(G168&lt;0.75,"Low Attendance","OK"))</f>
        <v/>
      </c>
    </row>
    <row r="169">
      <c r="A169">
        <f>IF(MASTER_REGISTER!E169="","",MASTER_REGISTER!E169)</f>
        <v/>
      </c>
      <c r="B169">
        <f>IF(A169="","",MASTER_REGISTER!F169)</f>
        <v/>
      </c>
      <c r="C169">
        <f>IF(A169="","",MASTER_REGISTER!C169)</f>
        <v/>
      </c>
      <c r="D169">
        <f>IF(A169="","",COUNTIF(ATTENDANCE_DAILY!C:C,A169))</f>
        <v/>
      </c>
      <c r="E169">
        <f>IF(A169="","",COUNTIFS(ATTENDANCE_DAILY!C:C,A169,ATTENDANCE_DAILY!E:E,"Present"))</f>
        <v/>
      </c>
      <c r="F169">
        <f>IF(A169="","",COUNTIFS(ATTENDANCE_DAILY!C:C,A169,ATTENDANCE_DAILY!E:E,"Absent"))</f>
        <v/>
      </c>
      <c r="G169" s="5">
        <f>IF(D169=0,"",E169/D169)</f>
        <v/>
      </c>
      <c r="H169" s="4">
        <f>IF(G169="","",IF(G169&lt;0.75,"Low Attendance","OK"))</f>
        <v/>
      </c>
    </row>
    <row r="170">
      <c r="A170">
        <f>IF(MASTER_REGISTER!E170="","",MASTER_REGISTER!E170)</f>
        <v/>
      </c>
      <c r="B170">
        <f>IF(A170="","",MASTER_REGISTER!F170)</f>
        <v/>
      </c>
      <c r="C170">
        <f>IF(A170="","",MASTER_REGISTER!C170)</f>
        <v/>
      </c>
      <c r="D170">
        <f>IF(A170="","",COUNTIF(ATTENDANCE_DAILY!C:C,A170))</f>
        <v/>
      </c>
      <c r="E170">
        <f>IF(A170="","",COUNTIFS(ATTENDANCE_DAILY!C:C,A170,ATTENDANCE_DAILY!E:E,"Present"))</f>
        <v/>
      </c>
      <c r="F170">
        <f>IF(A170="","",COUNTIFS(ATTENDANCE_DAILY!C:C,A170,ATTENDANCE_DAILY!E:E,"Absent"))</f>
        <v/>
      </c>
      <c r="G170" s="5">
        <f>IF(D170=0,"",E170/D170)</f>
        <v/>
      </c>
      <c r="H170" s="4">
        <f>IF(G170="","",IF(G170&lt;0.75,"Low Attendance","OK"))</f>
        <v/>
      </c>
    </row>
    <row r="171">
      <c r="A171">
        <f>IF(MASTER_REGISTER!E171="","",MASTER_REGISTER!E171)</f>
        <v/>
      </c>
      <c r="B171">
        <f>IF(A171="","",MASTER_REGISTER!F171)</f>
        <v/>
      </c>
      <c r="C171">
        <f>IF(A171="","",MASTER_REGISTER!C171)</f>
        <v/>
      </c>
      <c r="D171">
        <f>IF(A171="","",COUNTIF(ATTENDANCE_DAILY!C:C,A171))</f>
        <v/>
      </c>
      <c r="E171">
        <f>IF(A171="","",COUNTIFS(ATTENDANCE_DAILY!C:C,A171,ATTENDANCE_DAILY!E:E,"Present"))</f>
        <v/>
      </c>
      <c r="F171">
        <f>IF(A171="","",COUNTIFS(ATTENDANCE_DAILY!C:C,A171,ATTENDANCE_DAILY!E:E,"Absent"))</f>
        <v/>
      </c>
      <c r="G171" s="5">
        <f>IF(D171=0,"",E171/D171)</f>
        <v/>
      </c>
      <c r="H171" s="4">
        <f>IF(G171="","",IF(G171&lt;0.75,"Low Attendance","OK"))</f>
        <v/>
      </c>
    </row>
    <row r="172">
      <c r="A172">
        <f>IF(MASTER_REGISTER!E172="","",MASTER_REGISTER!E172)</f>
        <v/>
      </c>
      <c r="B172">
        <f>IF(A172="","",MASTER_REGISTER!F172)</f>
        <v/>
      </c>
      <c r="C172">
        <f>IF(A172="","",MASTER_REGISTER!C172)</f>
        <v/>
      </c>
      <c r="D172">
        <f>IF(A172="","",COUNTIF(ATTENDANCE_DAILY!C:C,A172))</f>
        <v/>
      </c>
      <c r="E172">
        <f>IF(A172="","",COUNTIFS(ATTENDANCE_DAILY!C:C,A172,ATTENDANCE_DAILY!E:E,"Present"))</f>
        <v/>
      </c>
      <c r="F172">
        <f>IF(A172="","",COUNTIFS(ATTENDANCE_DAILY!C:C,A172,ATTENDANCE_DAILY!E:E,"Absent"))</f>
        <v/>
      </c>
      <c r="G172" s="5">
        <f>IF(D172=0,"",E172/D172)</f>
        <v/>
      </c>
      <c r="H172" s="4">
        <f>IF(G172="","",IF(G172&lt;0.75,"Low Attendance","OK"))</f>
        <v/>
      </c>
    </row>
    <row r="173">
      <c r="A173">
        <f>IF(MASTER_REGISTER!E173="","",MASTER_REGISTER!E173)</f>
        <v/>
      </c>
      <c r="B173">
        <f>IF(A173="","",MASTER_REGISTER!F173)</f>
        <v/>
      </c>
      <c r="C173">
        <f>IF(A173="","",MASTER_REGISTER!C173)</f>
        <v/>
      </c>
      <c r="D173">
        <f>IF(A173="","",COUNTIF(ATTENDANCE_DAILY!C:C,A173))</f>
        <v/>
      </c>
      <c r="E173">
        <f>IF(A173="","",COUNTIFS(ATTENDANCE_DAILY!C:C,A173,ATTENDANCE_DAILY!E:E,"Present"))</f>
        <v/>
      </c>
      <c r="F173">
        <f>IF(A173="","",COUNTIFS(ATTENDANCE_DAILY!C:C,A173,ATTENDANCE_DAILY!E:E,"Absent"))</f>
        <v/>
      </c>
      <c r="G173" s="5">
        <f>IF(D173=0,"",E173/D173)</f>
        <v/>
      </c>
      <c r="H173" s="4">
        <f>IF(G173="","",IF(G173&lt;0.75,"Low Attendance","OK"))</f>
        <v/>
      </c>
    </row>
    <row r="174">
      <c r="A174">
        <f>IF(MASTER_REGISTER!E174="","",MASTER_REGISTER!E174)</f>
        <v/>
      </c>
      <c r="B174">
        <f>IF(A174="","",MASTER_REGISTER!F174)</f>
        <v/>
      </c>
      <c r="C174">
        <f>IF(A174="","",MASTER_REGISTER!C174)</f>
        <v/>
      </c>
      <c r="D174">
        <f>IF(A174="","",COUNTIF(ATTENDANCE_DAILY!C:C,A174))</f>
        <v/>
      </c>
      <c r="E174">
        <f>IF(A174="","",COUNTIFS(ATTENDANCE_DAILY!C:C,A174,ATTENDANCE_DAILY!E:E,"Present"))</f>
        <v/>
      </c>
      <c r="F174">
        <f>IF(A174="","",COUNTIFS(ATTENDANCE_DAILY!C:C,A174,ATTENDANCE_DAILY!E:E,"Absent"))</f>
        <v/>
      </c>
      <c r="G174" s="5">
        <f>IF(D174=0,"",E174/D174)</f>
        <v/>
      </c>
      <c r="H174" s="4">
        <f>IF(G174="","",IF(G174&lt;0.75,"Low Attendance","OK"))</f>
        <v/>
      </c>
    </row>
    <row r="175">
      <c r="A175">
        <f>IF(MASTER_REGISTER!E175="","",MASTER_REGISTER!E175)</f>
        <v/>
      </c>
      <c r="B175">
        <f>IF(A175="","",MASTER_REGISTER!F175)</f>
        <v/>
      </c>
      <c r="C175">
        <f>IF(A175="","",MASTER_REGISTER!C175)</f>
        <v/>
      </c>
      <c r="D175">
        <f>IF(A175="","",COUNTIF(ATTENDANCE_DAILY!C:C,A175))</f>
        <v/>
      </c>
      <c r="E175">
        <f>IF(A175="","",COUNTIFS(ATTENDANCE_DAILY!C:C,A175,ATTENDANCE_DAILY!E:E,"Present"))</f>
        <v/>
      </c>
      <c r="F175">
        <f>IF(A175="","",COUNTIFS(ATTENDANCE_DAILY!C:C,A175,ATTENDANCE_DAILY!E:E,"Absent"))</f>
        <v/>
      </c>
      <c r="G175" s="5">
        <f>IF(D175=0,"",E175/D175)</f>
        <v/>
      </c>
      <c r="H175" s="4">
        <f>IF(G175="","",IF(G175&lt;0.75,"Low Attendance","OK"))</f>
        <v/>
      </c>
    </row>
    <row r="176">
      <c r="A176">
        <f>IF(MASTER_REGISTER!E176="","",MASTER_REGISTER!E176)</f>
        <v/>
      </c>
      <c r="B176">
        <f>IF(A176="","",MASTER_REGISTER!F176)</f>
        <v/>
      </c>
      <c r="C176">
        <f>IF(A176="","",MASTER_REGISTER!C176)</f>
        <v/>
      </c>
      <c r="D176">
        <f>IF(A176="","",COUNTIF(ATTENDANCE_DAILY!C:C,A176))</f>
        <v/>
      </c>
      <c r="E176">
        <f>IF(A176="","",COUNTIFS(ATTENDANCE_DAILY!C:C,A176,ATTENDANCE_DAILY!E:E,"Present"))</f>
        <v/>
      </c>
      <c r="F176">
        <f>IF(A176="","",COUNTIFS(ATTENDANCE_DAILY!C:C,A176,ATTENDANCE_DAILY!E:E,"Absent"))</f>
        <v/>
      </c>
      <c r="G176" s="5">
        <f>IF(D176=0,"",E176/D176)</f>
        <v/>
      </c>
      <c r="H176" s="4">
        <f>IF(G176="","",IF(G176&lt;0.75,"Low Attendance","OK"))</f>
        <v/>
      </c>
    </row>
    <row r="177">
      <c r="A177">
        <f>IF(MASTER_REGISTER!E177="","",MASTER_REGISTER!E177)</f>
        <v/>
      </c>
      <c r="B177">
        <f>IF(A177="","",MASTER_REGISTER!F177)</f>
        <v/>
      </c>
      <c r="C177">
        <f>IF(A177="","",MASTER_REGISTER!C177)</f>
        <v/>
      </c>
      <c r="D177">
        <f>IF(A177="","",COUNTIF(ATTENDANCE_DAILY!C:C,A177))</f>
        <v/>
      </c>
      <c r="E177">
        <f>IF(A177="","",COUNTIFS(ATTENDANCE_DAILY!C:C,A177,ATTENDANCE_DAILY!E:E,"Present"))</f>
        <v/>
      </c>
      <c r="F177">
        <f>IF(A177="","",COUNTIFS(ATTENDANCE_DAILY!C:C,A177,ATTENDANCE_DAILY!E:E,"Absent"))</f>
        <v/>
      </c>
      <c r="G177" s="5">
        <f>IF(D177=0,"",E177/D177)</f>
        <v/>
      </c>
      <c r="H177" s="4">
        <f>IF(G177="","",IF(G177&lt;0.75,"Low Attendance","OK"))</f>
        <v/>
      </c>
    </row>
    <row r="178">
      <c r="A178">
        <f>IF(MASTER_REGISTER!E178="","",MASTER_REGISTER!E178)</f>
        <v/>
      </c>
      <c r="B178">
        <f>IF(A178="","",MASTER_REGISTER!F178)</f>
        <v/>
      </c>
      <c r="C178">
        <f>IF(A178="","",MASTER_REGISTER!C178)</f>
        <v/>
      </c>
      <c r="D178">
        <f>IF(A178="","",COUNTIF(ATTENDANCE_DAILY!C:C,A178))</f>
        <v/>
      </c>
      <c r="E178">
        <f>IF(A178="","",COUNTIFS(ATTENDANCE_DAILY!C:C,A178,ATTENDANCE_DAILY!E:E,"Present"))</f>
        <v/>
      </c>
      <c r="F178">
        <f>IF(A178="","",COUNTIFS(ATTENDANCE_DAILY!C:C,A178,ATTENDANCE_DAILY!E:E,"Absent"))</f>
        <v/>
      </c>
      <c r="G178" s="5">
        <f>IF(D178=0,"",E178/D178)</f>
        <v/>
      </c>
      <c r="H178" s="4">
        <f>IF(G178="","",IF(G178&lt;0.75,"Low Attendance","OK"))</f>
        <v/>
      </c>
    </row>
    <row r="179">
      <c r="A179">
        <f>IF(MASTER_REGISTER!E179="","",MASTER_REGISTER!E179)</f>
        <v/>
      </c>
      <c r="B179">
        <f>IF(A179="","",MASTER_REGISTER!F179)</f>
        <v/>
      </c>
      <c r="C179">
        <f>IF(A179="","",MASTER_REGISTER!C179)</f>
        <v/>
      </c>
      <c r="D179">
        <f>IF(A179="","",COUNTIF(ATTENDANCE_DAILY!C:C,A179))</f>
        <v/>
      </c>
      <c r="E179">
        <f>IF(A179="","",COUNTIFS(ATTENDANCE_DAILY!C:C,A179,ATTENDANCE_DAILY!E:E,"Present"))</f>
        <v/>
      </c>
      <c r="F179">
        <f>IF(A179="","",COUNTIFS(ATTENDANCE_DAILY!C:C,A179,ATTENDANCE_DAILY!E:E,"Absent"))</f>
        <v/>
      </c>
      <c r="G179" s="5">
        <f>IF(D179=0,"",E179/D179)</f>
        <v/>
      </c>
      <c r="H179" s="4">
        <f>IF(G179="","",IF(G179&lt;0.75,"Low Attendance","OK"))</f>
        <v/>
      </c>
    </row>
    <row r="180">
      <c r="A180">
        <f>IF(MASTER_REGISTER!E180="","",MASTER_REGISTER!E180)</f>
        <v/>
      </c>
      <c r="B180">
        <f>IF(A180="","",MASTER_REGISTER!F180)</f>
        <v/>
      </c>
      <c r="C180">
        <f>IF(A180="","",MASTER_REGISTER!C180)</f>
        <v/>
      </c>
      <c r="D180">
        <f>IF(A180="","",COUNTIF(ATTENDANCE_DAILY!C:C,A180))</f>
        <v/>
      </c>
      <c r="E180">
        <f>IF(A180="","",COUNTIFS(ATTENDANCE_DAILY!C:C,A180,ATTENDANCE_DAILY!E:E,"Present"))</f>
        <v/>
      </c>
      <c r="F180">
        <f>IF(A180="","",COUNTIFS(ATTENDANCE_DAILY!C:C,A180,ATTENDANCE_DAILY!E:E,"Absent"))</f>
        <v/>
      </c>
      <c r="G180" s="5">
        <f>IF(D180=0,"",E180/D180)</f>
        <v/>
      </c>
      <c r="H180" s="4">
        <f>IF(G180="","",IF(G180&lt;0.75,"Low Attendance","OK"))</f>
        <v/>
      </c>
    </row>
    <row r="181">
      <c r="A181">
        <f>IF(MASTER_REGISTER!E181="","",MASTER_REGISTER!E181)</f>
        <v/>
      </c>
      <c r="B181">
        <f>IF(A181="","",MASTER_REGISTER!F181)</f>
        <v/>
      </c>
      <c r="C181">
        <f>IF(A181="","",MASTER_REGISTER!C181)</f>
        <v/>
      </c>
      <c r="D181">
        <f>IF(A181="","",COUNTIF(ATTENDANCE_DAILY!C:C,A181))</f>
        <v/>
      </c>
      <c r="E181">
        <f>IF(A181="","",COUNTIFS(ATTENDANCE_DAILY!C:C,A181,ATTENDANCE_DAILY!E:E,"Present"))</f>
        <v/>
      </c>
      <c r="F181">
        <f>IF(A181="","",COUNTIFS(ATTENDANCE_DAILY!C:C,A181,ATTENDANCE_DAILY!E:E,"Absent"))</f>
        <v/>
      </c>
      <c r="G181" s="5">
        <f>IF(D181=0,"",E181/D181)</f>
        <v/>
      </c>
      <c r="H181" s="4">
        <f>IF(G181="","",IF(G181&lt;0.75,"Low Attendance","OK"))</f>
        <v/>
      </c>
    </row>
    <row r="182">
      <c r="A182">
        <f>IF(MASTER_REGISTER!E182="","",MASTER_REGISTER!E182)</f>
        <v/>
      </c>
      <c r="B182">
        <f>IF(A182="","",MASTER_REGISTER!F182)</f>
        <v/>
      </c>
      <c r="C182">
        <f>IF(A182="","",MASTER_REGISTER!C182)</f>
        <v/>
      </c>
      <c r="D182">
        <f>IF(A182="","",COUNTIF(ATTENDANCE_DAILY!C:C,A182))</f>
        <v/>
      </c>
      <c r="E182">
        <f>IF(A182="","",COUNTIFS(ATTENDANCE_DAILY!C:C,A182,ATTENDANCE_DAILY!E:E,"Present"))</f>
        <v/>
      </c>
      <c r="F182">
        <f>IF(A182="","",COUNTIFS(ATTENDANCE_DAILY!C:C,A182,ATTENDANCE_DAILY!E:E,"Absent"))</f>
        <v/>
      </c>
      <c r="G182" s="5">
        <f>IF(D182=0,"",E182/D182)</f>
        <v/>
      </c>
      <c r="H182" s="4">
        <f>IF(G182="","",IF(G182&lt;0.75,"Low Attendance","OK"))</f>
        <v/>
      </c>
    </row>
    <row r="183">
      <c r="A183">
        <f>IF(MASTER_REGISTER!E183="","",MASTER_REGISTER!E183)</f>
        <v/>
      </c>
      <c r="B183">
        <f>IF(A183="","",MASTER_REGISTER!F183)</f>
        <v/>
      </c>
      <c r="C183">
        <f>IF(A183="","",MASTER_REGISTER!C183)</f>
        <v/>
      </c>
      <c r="D183">
        <f>IF(A183="","",COUNTIF(ATTENDANCE_DAILY!C:C,A183))</f>
        <v/>
      </c>
      <c r="E183">
        <f>IF(A183="","",COUNTIFS(ATTENDANCE_DAILY!C:C,A183,ATTENDANCE_DAILY!E:E,"Present"))</f>
        <v/>
      </c>
      <c r="F183">
        <f>IF(A183="","",COUNTIFS(ATTENDANCE_DAILY!C:C,A183,ATTENDANCE_DAILY!E:E,"Absent"))</f>
        <v/>
      </c>
      <c r="G183" s="5">
        <f>IF(D183=0,"",E183/D183)</f>
        <v/>
      </c>
      <c r="H183" s="4">
        <f>IF(G183="","",IF(G183&lt;0.75,"Low Attendance","OK"))</f>
        <v/>
      </c>
    </row>
    <row r="184">
      <c r="A184">
        <f>IF(MASTER_REGISTER!E184="","",MASTER_REGISTER!E184)</f>
        <v/>
      </c>
      <c r="B184">
        <f>IF(A184="","",MASTER_REGISTER!F184)</f>
        <v/>
      </c>
      <c r="C184">
        <f>IF(A184="","",MASTER_REGISTER!C184)</f>
        <v/>
      </c>
      <c r="D184">
        <f>IF(A184="","",COUNTIF(ATTENDANCE_DAILY!C:C,A184))</f>
        <v/>
      </c>
      <c r="E184">
        <f>IF(A184="","",COUNTIFS(ATTENDANCE_DAILY!C:C,A184,ATTENDANCE_DAILY!E:E,"Present"))</f>
        <v/>
      </c>
      <c r="F184">
        <f>IF(A184="","",COUNTIFS(ATTENDANCE_DAILY!C:C,A184,ATTENDANCE_DAILY!E:E,"Absent"))</f>
        <v/>
      </c>
      <c r="G184" s="5">
        <f>IF(D184=0,"",E184/D184)</f>
        <v/>
      </c>
      <c r="H184" s="4">
        <f>IF(G184="","",IF(G184&lt;0.75,"Low Attendance","OK"))</f>
        <v/>
      </c>
    </row>
    <row r="185">
      <c r="A185">
        <f>IF(MASTER_REGISTER!E185="","",MASTER_REGISTER!E185)</f>
        <v/>
      </c>
      <c r="B185">
        <f>IF(A185="","",MASTER_REGISTER!F185)</f>
        <v/>
      </c>
      <c r="C185">
        <f>IF(A185="","",MASTER_REGISTER!C185)</f>
        <v/>
      </c>
      <c r="D185">
        <f>IF(A185="","",COUNTIF(ATTENDANCE_DAILY!C:C,A185))</f>
        <v/>
      </c>
      <c r="E185">
        <f>IF(A185="","",COUNTIFS(ATTENDANCE_DAILY!C:C,A185,ATTENDANCE_DAILY!E:E,"Present"))</f>
        <v/>
      </c>
      <c r="F185">
        <f>IF(A185="","",COUNTIFS(ATTENDANCE_DAILY!C:C,A185,ATTENDANCE_DAILY!E:E,"Absent"))</f>
        <v/>
      </c>
      <c r="G185" s="5">
        <f>IF(D185=0,"",E185/D185)</f>
        <v/>
      </c>
      <c r="H185" s="4">
        <f>IF(G185="","",IF(G185&lt;0.75,"Low Attendance","OK"))</f>
        <v/>
      </c>
    </row>
    <row r="186">
      <c r="A186">
        <f>IF(MASTER_REGISTER!E186="","",MASTER_REGISTER!E186)</f>
        <v/>
      </c>
      <c r="B186">
        <f>IF(A186="","",MASTER_REGISTER!F186)</f>
        <v/>
      </c>
      <c r="C186">
        <f>IF(A186="","",MASTER_REGISTER!C186)</f>
        <v/>
      </c>
      <c r="D186">
        <f>IF(A186="","",COUNTIF(ATTENDANCE_DAILY!C:C,A186))</f>
        <v/>
      </c>
      <c r="E186">
        <f>IF(A186="","",COUNTIFS(ATTENDANCE_DAILY!C:C,A186,ATTENDANCE_DAILY!E:E,"Present"))</f>
        <v/>
      </c>
      <c r="F186">
        <f>IF(A186="","",COUNTIFS(ATTENDANCE_DAILY!C:C,A186,ATTENDANCE_DAILY!E:E,"Absent"))</f>
        <v/>
      </c>
      <c r="G186" s="5">
        <f>IF(D186=0,"",E186/D186)</f>
        <v/>
      </c>
      <c r="H186" s="4">
        <f>IF(G186="","",IF(G186&lt;0.75,"Low Attendance","OK"))</f>
        <v/>
      </c>
    </row>
    <row r="187">
      <c r="A187">
        <f>IF(MASTER_REGISTER!E187="","",MASTER_REGISTER!E187)</f>
        <v/>
      </c>
      <c r="B187">
        <f>IF(A187="","",MASTER_REGISTER!F187)</f>
        <v/>
      </c>
      <c r="C187">
        <f>IF(A187="","",MASTER_REGISTER!C187)</f>
        <v/>
      </c>
      <c r="D187">
        <f>IF(A187="","",COUNTIF(ATTENDANCE_DAILY!C:C,A187))</f>
        <v/>
      </c>
      <c r="E187">
        <f>IF(A187="","",COUNTIFS(ATTENDANCE_DAILY!C:C,A187,ATTENDANCE_DAILY!E:E,"Present"))</f>
        <v/>
      </c>
      <c r="F187">
        <f>IF(A187="","",COUNTIFS(ATTENDANCE_DAILY!C:C,A187,ATTENDANCE_DAILY!E:E,"Absent"))</f>
        <v/>
      </c>
      <c r="G187" s="5">
        <f>IF(D187=0,"",E187/D187)</f>
        <v/>
      </c>
      <c r="H187" s="4">
        <f>IF(G187="","",IF(G187&lt;0.75,"Low Attendance","OK"))</f>
        <v/>
      </c>
    </row>
    <row r="188">
      <c r="A188">
        <f>IF(MASTER_REGISTER!E188="","",MASTER_REGISTER!E188)</f>
        <v/>
      </c>
      <c r="B188">
        <f>IF(A188="","",MASTER_REGISTER!F188)</f>
        <v/>
      </c>
      <c r="C188">
        <f>IF(A188="","",MASTER_REGISTER!C188)</f>
        <v/>
      </c>
      <c r="D188">
        <f>IF(A188="","",COUNTIF(ATTENDANCE_DAILY!C:C,A188))</f>
        <v/>
      </c>
      <c r="E188">
        <f>IF(A188="","",COUNTIFS(ATTENDANCE_DAILY!C:C,A188,ATTENDANCE_DAILY!E:E,"Present"))</f>
        <v/>
      </c>
      <c r="F188">
        <f>IF(A188="","",COUNTIFS(ATTENDANCE_DAILY!C:C,A188,ATTENDANCE_DAILY!E:E,"Absent"))</f>
        <v/>
      </c>
      <c r="G188" s="5">
        <f>IF(D188=0,"",E188/D188)</f>
        <v/>
      </c>
      <c r="H188" s="4">
        <f>IF(G188="","",IF(G188&lt;0.75,"Low Attendance","OK"))</f>
        <v/>
      </c>
    </row>
    <row r="189">
      <c r="A189">
        <f>IF(MASTER_REGISTER!E189="","",MASTER_REGISTER!E189)</f>
        <v/>
      </c>
      <c r="B189">
        <f>IF(A189="","",MASTER_REGISTER!F189)</f>
        <v/>
      </c>
      <c r="C189">
        <f>IF(A189="","",MASTER_REGISTER!C189)</f>
        <v/>
      </c>
      <c r="D189">
        <f>IF(A189="","",COUNTIF(ATTENDANCE_DAILY!C:C,A189))</f>
        <v/>
      </c>
      <c r="E189">
        <f>IF(A189="","",COUNTIFS(ATTENDANCE_DAILY!C:C,A189,ATTENDANCE_DAILY!E:E,"Present"))</f>
        <v/>
      </c>
      <c r="F189">
        <f>IF(A189="","",COUNTIFS(ATTENDANCE_DAILY!C:C,A189,ATTENDANCE_DAILY!E:E,"Absent"))</f>
        <v/>
      </c>
      <c r="G189" s="5">
        <f>IF(D189=0,"",E189/D189)</f>
        <v/>
      </c>
      <c r="H189" s="4">
        <f>IF(G189="","",IF(G189&lt;0.75,"Low Attendance","OK"))</f>
        <v/>
      </c>
    </row>
    <row r="190">
      <c r="A190">
        <f>IF(MASTER_REGISTER!E190="","",MASTER_REGISTER!E190)</f>
        <v/>
      </c>
      <c r="B190">
        <f>IF(A190="","",MASTER_REGISTER!F190)</f>
        <v/>
      </c>
      <c r="C190">
        <f>IF(A190="","",MASTER_REGISTER!C190)</f>
        <v/>
      </c>
      <c r="D190">
        <f>IF(A190="","",COUNTIF(ATTENDANCE_DAILY!C:C,A190))</f>
        <v/>
      </c>
      <c r="E190">
        <f>IF(A190="","",COUNTIFS(ATTENDANCE_DAILY!C:C,A190,ATTENDANCE_DAILY!E:E,"Present"))</f>
        <v/>
      </c>
      <c r="F190">
        <f>IF(A190="","",COUNTIFS(ATTENDANCE_DAILY!C:C,A190,ATTENDANCE_DAILY!E:E,"Absent"))</f>
        <v/>
      </c>
      <c r="G190" s="5">
        <f>IF(D190=0,"",E190/D190)</f>
        <v/>
      </c>
      <c r="H190" s="4">
        <f>IF(G190="","",IF(G190&lt;0.75,"Low Attendance","OK"))</f>
        <v/>
      </c>
    </row>
    <row r="191">
      <c r="A191">
        <f>IF(MASTER_REGISTER!E191="","",MASTER_REGISTER!E191)</f>
        <v/>
      </c>
      <c r="B191">
        <f>IF(A191="","",MASTER_REGISTER!F191)</f>
        <v/>
      </c>
      <c r="C191">
        <f>IF(A191="","",MASTER_REGISTER!C191)</f>
        <v/>
      </c>
      <c r="D191">
        <f>IF(A191="","",COUNTIF(ATTENDANCE_DAILY!C:C,A191))</f>
        <v/>
      </c>
      <c r="E191">
        <f>IF(A191="","",COUNTIFS(ATTENDANCE_DAILY!C:C,A191,ATTENDANCE_DAILY!E:E,"Present"))</f>
        <v/>
      </c>
      <c r="F191">
        <f>IF(A191="","",COUNTIFS(ATTENDANCE_DAILY!C:C,A191,ATTENDANCE_DAILY!E:E,"Absent"))</f>
        <v/>
      </c>
      <c r="G191" s="5">
        <f>IF(D191=0,"",E191/D191)</f>
        <v/>
      </c>
      <c r="H191" s="4">
        <f>IF(G191="","",IF(G191&lt;0.75,"Low Attendance","OK"))</f>
        <v/>
      </c>
    </row>
    <row r="192">
      <c r="A192">
        <f>IF(MASTER_REGISTER!E192="","",MASTER_REGISTER!E192)</f>
        <v/>
      </c>
      <c r="B192">
        <f>IF(A192="","",MASTER_REGISTER!F192)</f>
        <v/>
      </c>
      <c r="C192">
        <f>IF(A192="","",MASTER_REGISTER!C192)</f>
        <v/>
      </c>
      <c r="D192">
        <f>IF(A192="","",COUNTIF(ATTENDANCE_DAILY!C:C,A192))</f>
        <v/>
      </c>
      <c r="E192">
        <f>IF(A192="","",COUNTIFS(ATTENDANCE_DAILY!C:C,A192,ATTENDANCE_DAILY!E:E,"Present"))</f>
        <v/>
      </c>
      <c r="F192">
        <f>IF(A192="","",COUNTIFS(ATTENDANCE_DAILY!C:C,A192,ATTENDANCE_DAILY!E:E,"Absent"))</f>
        <v/>
      </c>
      <c r="G192" s="5">
        <f>IF(D192=0,"",E192/D192)</f>
        <v/>
      </c>
      <c r="H192" s="4">
        <f>IF(G192="","",IF(G192&lt;0.75,"Low Attendance","OK"))</f>
        <v/>
      </c>
    </row>
    <row r="193">
      <c r="A193">
        <f>IF(MASTER_REGISTER!E193="","",MASTER_REGISTER!E193)</f>
        <v/>
      </c>
      <c r="B193">
        <f>IF(A193="","",MASTER_REGISTER!F193)</f>
        <v/>
      </c>
      <c r="C193">
        <f>IF(A193="","",MASTER_REGISTER!C193)</f>
        <v/>
      </c>
      <c r="D193">
        <f>IF(A193="","",COUNTIF(ATTENDANCE_DAILY!C:C,A193))</f>
        <v/>
      </c>
      <c r="E193">
        <f>IF(A193="","",COUNTIFS(ATTENDANCE_DAILY!C:C,A193,ATTENDANCE_DAILY!E:E,"Present"))</f>
        <v/>
      </c>
      <c r="F193">
        <f>IF(A193="","",COUNTIFS(ATTENDANCE_DAILY!C:C,A193,ATTENDANCE_DAILY!E:E,"Absent"))</f>
        <v/>
      </c>
      <c r="G193" s="5">
        <f>IF(D193=0,"",E193/D193)</f>
        <v/>
      </c>
      <c r="H193" s="4">
        <f>IF(G193="","",IF(G193&lt;0.75,"Low Attendance","OK"))</f>
        <v/>
      </c>
    </row>
    <row r="194">
      <c r="A194">
        <f>IF(MASTER_REGISTER!E194="","",MASTER_REGISTER!E194)</f>
        <v/>
      </c>
      <c r="B194">
        <f>IF(A194="","",MASTER_REGISTER!F194)</f>
        <v/>
      </c>
      <c r="C194">
        <f>IF(A194="","",MASTER_REGISTER!C194)</f>
        <v/>
      </c>
      <c r="D194">
        <f>IF(A194="","",COUNTIF(ATTENDANCE_DAILY!C:C,A194))</f>
        <v/>
      </c>
      <c r="E194">
        <f>IF(A194="","",COUNTIFS(ATTENDANCE_DAILY!C:C,A194,ATTENDANCE_DAILY!E:E,"Present"))</f>
        <v/>
      </c>
      <c r="F194">
        <f>IF(A194="","",COUNTIFS(ATTENDANCE_DAILY!C:C,A194,ATTENDANCE_DAILY!E:E,"Absent"))</f>
        <v/>
      </c>
      <c r="G194" s="5">
        <f>IF(D194=0,"",E194/D194)</f>
        <v/>
      </c>
      <c r="H194" s="4">
        <f>IF(G194="","",IF(G194&lt;0.75,"Low Attendance","OK"))</f>
        <v/>
      </c>
    </row>
    <row r="195">
      <c r="A195">
        <f>IF(MASTER_REGISTER!E195="","",MASTER_REGISTER!E195)</f>
        <v/>
      </c>
      <c r="B195">
        <f>IF(A195="","",MASTER_REGISTER!F195)</f>
        <v/>
      </c>
      <c r="C195">
        <f>IF(A195="","",MASTER_REGISTER!C195)</f>
        <v/>
      </c>
      <c r="D195">
        <f>IF(A195="","",COUNTIF(ATTENDANCE_DAILY!C:C,A195))</f>
        <v/>
      </c>
      <c r="E195">
        <f>IF(A195="","",COUNTIFS(ATTENDANCE_DAILY!C:C,A195,ATTENDANCE_DAILY!E:E,"Present"))</f>
        <v/>
      </c>
      <c r="F195">
        <f>IF(A195="","",COUNTIFS(ATTENDANCE_DAILY!C:C,A195,ATTENDANCE_DAILY!E:E,"Absent"))</f>
        <v/>
      </c>
      <c r="G195" s="5">
        <f>IF(D195=0,"",E195/D195)</f>
        <v/>
      </c>
      <c r="H195" s="4">
        <f>IF(G195="","",IF(G195&lt;0.75,"Low Attendance","OK"))</f>
        <v/>
      </c>
    </row>
    <row r="196">
      <c r="A196">
        <f>IF(MASTER_REGISTER!E196="","",MASTER_REGISTER!E196)</f>
        <v/>
      </c>
      <c r="B196">
        <f>IF(A196="","",MASTER_REGISTER!F196)</f>
        <v/>
      </c>
      <c r="C196">
        <f>IF(A196="","",MASTER_REGISTER!C196)</f>
        <v/>
      </c>
      <c r="D196">
        <f>IF(A196="","",COUNTIF(ATTENDANCE_DAILY!C:C,A196))</f>
        <v/>
      </c>
      <c r="E196">
        <f>IF(A196="","",COUNTIFS(ATTENDANCE_DAILY!C:C,A196,ATTENDANCE_DAILY!E:E,"Present"))</f>
        <v/>
      </c>
      <c r="F196">
        <f>IF(A196="","",COUNTIFS(ATTENDANCE_DAILY!C:C,A196,ATTENDANCE_DAILY!E:E,"Absent"))</f>
        <v/>
      </c>
      <c r="G196" s="5">
        <f>IF(D196=0,"",E196/D196)</f>
        <v/>
      </c>
      <c r="H196" s="4">
        <f>IF(G196="","",IF(G196&lt;0.75,"Low Attendance","OK"))</f>
        <v/>
      </c>
    </row>
    <row r="197">
      <c r="A197">
        <f>IF(MASTER_REGISTER!E197="","",MASTER_REGISTER!E197)</f>
        <v/>
      </c>
      <c r="B197">
        <f>IF(A197="","",MASTER_REGISTER!F197)</f>
        <v/>
      </c>
      <c r="C197">
        <f>IF(A197="","",MASTER_REGISTER!C197)</f>
        <v/>
      </c>
      <c r="D197">
        <f>IF(A197="","",COUNTIF(ATTENDANCE_DAILY!C:C,A197))</f>
        <v/>
      </c>
      <c r="E197">
        <f>IF(A197="","",COUNTIFS(ATTENDANCE_DAILY!C:C,A197,ATTENDANCE_DAILY!E:E,"Present"))</f>
        <v/>
      </c>
      <c r="F197">
        <f>IF(A197="","",COUNTIFS(ATTENDANCE_DAILY!C:C,A197,ATTENDANCE_DAILY!E:E,"Absent"))</f>
        <v/>
      </c>
      <c r="G197" s="5">
        <f>IF(D197=0,"",E197/D197)</f>
        <v/>
      </c>
      <c r="H197" s="4">
        <f>IF(G197="","",IF(G197&lt;0.75,"Low Attendance","OK"))</f>
        <v/>
      </c>
    </row>
    <row r="198">
      <c r="A198">
        <f>IF(MASTER_REGISTER!E198="","",MASTER_REGISTER!E198)</f>
        <v/>
      </c>
      <c r="B198">
        <f>IF(A198="","",MASTER_REGISTER!F198)</f>
        <v/>
      </c>
      <c r="C198">
        <f>IF(A198="","",MASTER_REGISTER!C198)</f>
        <v/>
      </c>
      <c r="D198">
        <f>IF(A198="","",COUNTIF(ATTENDANCE_DAILY!C:C,A198))</f>
        <v/>
      </c>
      <c r="E198">
        <f>IF(A198="","",COUNTIFS(ATTENDANCE_DAILY!C:C,A198,ATTENDANCE_DAILY!E:E,"Present"))</f>
        <v/>
      </c>
      <c r="F198">
        <f>IF(A198="","",COUNTIFS(ATTENDANCE_DAILY!C:C,A198,ATTENDANCE_DAILY!E:E,"Absent"))</f>
        <v/>
      </c>
      <c r="G198" s="5">
        <f>IF(D198=0,"",E198/D198)</f>
        <v/>
      </c>
      <c r="H198" s="4">
        <f>IF(G198="","",IF(G198&lt;0.75,"Low Attendance","OK"))</f>
        <v/>
      </c>
    </row>
    <row r="199">
      <c r="A199">
        <f>IF(MASTER_REGISTER!E199="","",MASTER_REGISTER!E199)</f>
        <v/>
      </c>
      <c r="B199">
        <f>IF(A199="","",MASTER_REGISTER!F199)</f>
        <v/>
      </c>
      <c r="C199">
        <f>IF(A199="","",MASTER_REGISTER!C199)</f>
        <v/>
      </c>
      <c r="D199">
        <f>IF(A199="","",COUNTIF(ATTENDANCE_DAILY!C:C,A199))</f>
        <v/>
      </c>
      <c r="E199">
        <f>IF(A199="","",COUNTIFS(ATTENDANCE_DAILY!C:C,A199,ATTENDANCE_DAILY!E:E,"Present"))</f>
        <v/>
      </c>
      <c r="F199">
        <f>IF(A199="","",COUNTIFS(ATTENDANCE_DAILY!C:C,A199,ATTENDANCE_DAILY!E:E,"Absent"))</f>
        <v/>
      </c>
      <c r="G199" s="5">
        <f>IF(D199=0,"",E199/D199)</f>
        <v/>
      </c>
      <c r="H199" s="4">
        <f>IF(G199="","",IF(G199&lt;0.75,"Low Attendance","OK"))</f>
        <v/>
      </c>
    </row>
    <row r="200">
      <c r="A200">
        <f>IF(MASTER_REGISTER!E200="","",MASTER_REGISTER!E200)</f>
        <v/>
      </c>
      <c r="B200">
        <f>IF(A200="","",MASTER_REGISTER!F200)</f>
        <v/>
      </c>
      <c r="C200">
        <f>IF(A200="","",MASTER_REGISTER!C200)</f>
        <v/>
      </c>
      <c r="D200">
        <f>IF(A200="","",COUNTIF(ATTENDANCE_DAILY!C:C,A200))</f>
        <v/>
      </c>
      <c r="E200">
        <f>IF(A200="","",COUNTIFS(ATTENDANCE_DAILY!C:C,A200,ATTENDANCE_DAILY!E:E,"Present"))</f>
        <v/>
      </c>
      <c r="F200">
        <f>IF(A200="","",COUNTIFS(ATTENDANCE_DAILY!C:C,A200,ATTENDANCE_DAILY!E:E,"Absent"))</f>
        <v/>
      </c>
      <c r="G200" s="5">
        <f>IF(D200=0,"",E200/D200)</f>
        <v/>
      </c>
      <c r="H200" s="4">
        <f>IF(G200="","",IF(G200&lt;0.75,"Low Attendance","OK"))</f>
        <v/>
      </c>
    </row>
    <row r="201">
      <c r="A201">
        <f>IF(MASTER_REGISTER!E201="","",MASTER_REGISTER!E201)</f>
        <v/>
      </c>
      <c r="B201">
        <f>IF(A201="","",MASTER_REGISTER!F201)</f>
        <v/>
      </c>
      <c r="C201">
        <f>IF(A201="","",MASTER_REGISTER!C201)</f>
        <v/>
      </c>
      <c r="D201">
        <f>IF(A201="","",COUNTIF(ATTENDANCE_DAILY!C:C,A201))</f>
        <v/>
      </c>
      <c r="E201">
        <f>IF(A201="","",COUNTIFS(ATTENDANCE_DAILY!C:C,A201,ATTENDANCE_DAILY!E:E,"Present"))</f>
        <v/>
      </c>
      <c r="F201">
        <f>IF(A201="","",COUNTIFS(ATTENDANCE_DAILY!C:C,A201,ATTENDANCE_DAILY!E:E,"Absent"))</f>
        <v/>
      </c>
      <c r="G201" s="5">
        <f>IF(D201=0,"",E201/D201)</f>
        <v/>
      </c>
      <c r="H201" s="4">
        <f>IF(G201="","",IF(G201&lt;0.75,"Low Attendance","OK"))</f>
        <v/>
      </c>
    </row>
    <row r="202">
      <c r="A202">
        <f>IF(MASTER_REGISTER!E202="","",MASTER_REGISTER!E202)</f>
        <v/>
      </c>
      <c r="B202">
        <f>IF(A202="","",MASTER_REGISTER!F202)</f>
        <v/>
      </c>
      <c r="C202">
        <f>IF(A202="","",MASTER_REGISTER!C202)</f>
        <v/>
      </c>
      <c r="D202">
        <f>IF(A202="","",COUNTIF(ATTENDANCE_DAILY!C:C,A202))</f>
        <v/>
      </c>
      <c r="E202">
        <f>IF(A202="","",COUNTIFS(ATTENDANCE_DAILY!C:C,A202,ATTENDANCE_DAILY!E:E,"Present"))</f>
        <v/>
      </c>
      <c r="F202">
        <f>IF(A202="","",COUNTIFS(ATTENDANCE_DAILY!C:C,A202,ATTENDANCE_DAILY!E:E,"Absent"))</f>
        <v/>
      </c>
      <c r="G202" s="5">
        <f>IF(D202=0,"",E202/D202)</f>
        <v/>
      </c>
      <c r="H202" s="4">
        <f>IF(G202="","",IF(G202&lt;0.75,"Low Attendance","OK"))</f>
        <v/>
      </c>
    </row>
    <row r="203">
      <c r="A203">
        <f>IF(MASTER_REGISTER!E203="","",MASTER_REGISTER!E203)</f>
        <v/>
      </c>
      <c r="B203">
        <f>IF(A203="","",MASTER_REGISTER!F203)</f>
        <v/>
      </c>
      <c r="C203">
        <f>IF(A203="","",MASTER_REGISTER!C203)</f>
        <v/>
      </c>
      <c r="D203">
        <f>IF(A203="","",COUNTIF(ATTENDANCE_DAILY!C:C,A203))</f>
        <v/>
      </c>
      <c r="E203">
        <f>IF(A203="","",COUNTIFS(ATTENDANCE_DAILY!C:C,A203,ATTENDANCE_DAILY!E:E,"Present"))</f>
        <v/>
      </c>
      <c r="F203">
        <f>IF(A203="","",COUNTIFS(ATTENDANCE_DAILY!C:C,A203,ATTENDANCE_DAILY!E:E,"Absent"))</f>
        <v/>
      </c>
      <c r="G203" s="5">
        <f>IF(D203=0,"",E203/D203)</f>
        <v/>
      </c>
      <c r="H203" s="4">
        <f>IF(G203="","",IF(G203&lt;0.75,"Low Attendance","OK"))</f>
        <v/>
      </c>
    </row>
    <row r="204">
      <c r="A204">
        <f>IF(MASTER_REGISTER!E204="","",MASTER_REGISTER!E204)</f>
        <v/>
      </c>
      <c r="B204">
        <f>IF(A204="","",MASTER_REGISTER!F204)</f>
        <v/>
      </c>
      <c r="C204">
        <f>IF(A204="","",MASTER_REGISTER!C204)</f>
        <v/>
      </c>
      <c r="D204">
        <f>IF(A204="","",COUNTIF(ATTENDANCE_DAILY!C:C,A204))</f>
        <v/>
      </c>
      <c r="E204">
        <f>IF(A204="","",COUNTIFS(ATTENDANCE_DAILY!C:C,A204,ATTENDANCE_DAILY!E:E,"Present"))</f>
        <v/>
      </c>
      <c r="F204">
        <f>IF(A204="","",COUNTIFS(ATTENDANCE_DAILY!C:C,A204,ATTENDANCE_DAILY!E:E,"Absent"))</f>
        <v/>
      </c>
      <c r="G204" s="5">
        <f>IF(D204=0,"",E204/D204)</f>
        <v/>
      </c>
      <c r="H204" s="4">
        <f>IF(G204="","",IF(G204&lt;0.75,"Low Attendance","OK"))</f>
        <v/>
      </c>
    </row>
    <row r="205">
      <c r="A205">
        <f>IF(MASTER_REGISTER!E205="","",MASTER_REGISTER!E205)</f>
        <v/>
      </c>
      <c r="B205">
        <f>IF(A205="","",MASTER_REGISTER!F205)</f>
        <v/>
      </c>
      <c r="C205">
        <f>IF(A205="","",MASTER_REGISTER!C205)</f>
        <v/>
      </c>
      <c r="D205">
        <f>IF(A205="","",COUNTIF(ATTENDANCE_DAILY!C:C,A205))</f>
        <v/>
      </c>
      <c r="E205">
        <f>IF(A205="","",COUNTIFS(ATTENDANCE_DAILY!C:C,A205,ATTENDANCE_DAILY!E:E,"Present"))</f>
        <v/>
      </c>
      <c r="F205">
        <f>IF(A205="","",COUNTIFS(ATTENDANCE_DAILY!C:C,A205,ATTENDANCE_DAILY!E:E,"Absent"))</f>
        <v/>
      </c>
      <c r="G205" s="5">
        <f>IF(D205=0,"",E205/D205)</f>
        <v/>
      </c>
      <c r="H205" s="4">
        <f>IF(G205="","",IF(G205&lt;0.75,"Low Attendance","OK"))</f>
        <v/>
      </c>
    </row>
    <row r="206">
      <c r="A206">
        <f>IF(MASTER_REGISTER!E206="","",MASTER_REGISTER!E206)</f>
        <v/>
      </c>
      <c r="B206">
        <f>IF(A206="","",MASTER_REGISTER!F206)</f>
        <v/>
      </c>
      <c r="C206">
        <f>IF(A206="","",MASTER_REGISTER!C206)</f>
        <v/>
      </c>
      <c r="D206">
        <f>IF(A206="","",COUNTIF(ATTENDANCE_DAILY!C:C,A206))</f>
        <v/>
      </c>
      <c r="E206">
        <f>IF(A206="","",COUNTIFS(ATTENDANCE_DAILY!C:C,A206,ATTENDANCE_DAILY!E:E,"Present"))</f>
        <v/>
      </c>
      <c r="F206">
        <f>IF(A206="","",COUNTIFS(ATTENDANCE_DAILY!C:C,A206,ATTENDANCE_DAILY!E:E,"Absent"))</f>
        <v/>
      </c>
      <c r="G206" s="5">
        <f>IF(D206=0,"",E206/D206)</f>
        <v/>
      </c>
      <c r="H206" s="4">
        <f>IF(G206="","",IF(G206&lt;0.75,"Low Attendance","OK"))</f>
        <v/>
      </c>
    </row>
    <row r="207">
      <c r="A207">
        <f>IF(MASTER_REGISTER!E207="","",MASTER_REGISTER!E207)</f>
        <v/>
      </c>
      <c r="B207">
        <f>IF(A207="","",MASTER_REGISTER!F207)</f>
        <v/>
      </c>
      <c r="C207">
        <f>IF(A207="","",MASTER_REGISTER!C207)</f>
        <v/>
      </c>
      <c r="D207">
        <f>IF(A207="","",COUNTIF(ATTENDANCE_DAILY!C:C,A207))</f>
        <v/>
      </c>
      <c r="E207">
        <f>IF(A207="","",COUNTIFS(ATTENDANCE_DAILY!C:C,A207,ATTENDANCE_DAILY!E:E,"Present"))</f>
        <v/>
      </c>
      <c r="F207">
        <f>IF(A207="","",COUNTIFS(ATTENDANCE_DAILY!C:C,A207,ATTENDANCE_DAILY!E:E,"Absent"))</f>
        <v/>
      </c>
      <c r="G207" s="5">
        <f>IF(D207=0,"",E207/D207)</f>
        <v/>
      </c>
      <c r="H207" s="4">
        <f>IF(G207="","",IF(G207&lt;0.75,"Low Attendance","OK"))</f>
        <v/>
      </c>
    </row>
    <row r="208">
      <c r="A208">
        <f>IF(MASTER_REGISTER!E208="","",MASTER_REGISTER!E208)</f>
        <v/>
      </c>
      <c r="B208">
        <f>IF(A208="","",MASTER_REGISTER!F208)</f>
        <v/>
      </c>
      <c r="C208">
        <f>IF(A208="","",MASTER_REGISTER!C208)</f>
        <v/>
      </c>
      <c r="D208">
        <f>IF(A208="","",COUNTIF(ATTENDANCE_DAILY!C:C,A208))</f>
        <v/>
      </c>
      <c r="E208">
        <f>IF(A208="","",COUNTIFS(ATTENDANCE_DAILY!C:C,A208,ATTENDANCE_DAILY!E:E,"Present"))</f>
        <v/>
      </c>
      <c r="F208">
        <f>IF(A208="","",COUNTIFS(ATTENDANCE_DAILY!C:C,A208,ATTENDANCE_DAILY!E:E,"Absent"))</f>
        <v/>
      </c>
      <c r="G208" s="5">
        <f>IF(D208=0,"",E208/D208)</f>
        <v/>
      </c>
      <c r="H208" s="4">
        <f>IF(G208="","",IF(G208&lt;0.75,"Low Attendance","OK"))</f>
        <v/>
      </c>
    </row>
    <row r="209">
      <c r="A209">
        <f>IF(MASTER_REGISTER!E209="","",MASTER_REGISTER!E209)</f>
        <v/>
      </c>
      <c r="B209">
        <f>IF(A209="","",MASTER_REGISTER!F209)</f>
        <v/>
      </c>
      <c r="C209">
        <f>IF(A209="","",MASTER_REGISTER!C209)</f>
        <v/>
      </c>
      <c r="D209">
        <f>IF(A209="","",COUNTIF(ATTENDANCE_DAILY!C:C,A209))</f>
        <v/>
      </c>
      <c r="E209">
        <f>IF(A209="","",COUNTIFS(ATTENDANCE_DAILY!C:C,A209,ATTENDANCE_DAILY!E:E,"Present"))</f>
        <v/>
      </c>
      <c r="F209">
        <f>IF(A209="","",COUNTIFS(ATTENDANCE_DAILY!C:C,A209,ATTENDANCE_DAILY!E:E,"Absent"))</f>
        <v/>
      </c>
      <c r="G209" s="5">
        <f>IF(D209=0,"",E209/D209)</f>
        <v/>
      </c>
      <c r="H209" s="4">
        <f>IF(G209="","",IF(G209&lt;0.75,"Low Attendance","OK"))</f>
        <v/>
      </c>
    </row>
    <row r="210">
      <c r="A210">
        <f>IF(MASTER_REGISTER!E210="","",MASTER_REGISTER!E210)</f>
        <v/>
      </c>
      <c r="B210">
        <f>IF(A210="","",MASTER_REGISTER!F210)</f>
        <v/>
      </c>
      <c r="C210">
        <f>IF(A210="","",MASTER_REGISTER!C210)</f>
        <v/>
      </c>
      <c r="D210">
        <f>IF(A210="","",COUNTIF(ATTENDANCE_DAILY!C:C,A210))</f>
        <v/>
      </c>
      <c r="E210">
        <f>IF(A210="","",COUNTIFS(ATTENDANCE_DAILY!C:C,A210,ATTENDANCE_DAILY!E:E,"Present"))</f>
        <v/>
      </c>
      <c r="F210">
        <f>IF(A210="","",COUNTIFS(ATTENDANCE_DAILY!C:C,A210,ATTENDANCE_DAILY!E:E,"Absent"))</f>
        <v/>
      </c>
      <c r="G210" s="5">
        <f>IF(D210=0,"",E210/D210)</f>
        <v/>
      </c>
      <c r="H210" s="4">
        <f>IF(G210="","",IF(G210&lt;0.75,"Low Attendance","OK"))</f>
        <v/>
      </c>
    </row>
    <row r="211">
      <c r="A211">
        <f>IF(MASTER_REGISTER!E211="","",MASTER_REGISTER!E211)</f>
        <v/>
      </c>
      <c r="B211">
        <f>IF(A211="","",MASTER_REGISTER!F211)</f>
        <v/>
      </c>
      <c r="C211">
        <f>IF(A211="","",MASTER_REGISTER!C211)</f>
        <v/>
      </c>
      <c r="D211">
        <f>IF(A211="","",COUNTIF(ATTENDANCE_DAILY!C:C,A211))</f>
        <v/>
      </c>
      <c r="E211">
        <f>IF(A211="","",COUNTIFS(ATTENDANCE_DAILY!C:C,A211,ATTENDANCE_DAILY!E:E,"Present"))</f>
        <v/>
      </c>
      <c r="F211">
        <f>IF(A211="","",COUNTIFS(ATTENDANCE_DAILY!C:C,A211,ATTENDANCE_DAILY!E:E,"Absent"))</f>
        <v/>
      </c>
      <c r="G211" s="5">
        <f>IF(D211=0,"",E211/D211)</f>
        <v/>
      </c>
      <c r="H211" s="4">
        <f>IF(G211="","",IF(G211&lt;0.75,"Low Attendance","OK"))</f>
        <v/>
      </c>
    </row>
    <row r="212">
      <c r="A212">
        <f>IF(MASTER_REGISTER!E212="","",MASTER_REGISTER!E212)</f>
        <v/>
      </c>
      <c r="B212">
        <f>IF(A212="","",MASTER_REGISTER!F212)</f>
        <v/>
      </c>
      <c r="C212">
        <f>IF(A212="","",MASTER_REGISTER!C212)</f>
        <v/>
      </c>
      <c r="D212">
        <f>IF(A212="","",COUNTIF(ATTENDANCE_DAILY!C:C,A212))</f>
        <v/>
      </c>
      <c r="E212">
        <f>IF(A212="","",COUNTIFS(ATTENDANCE_DAILY!C:C,A212,ATTENDANCE_DAILY!E:E,"Present"))</f>
        <v/>
      </c>
      <c r="F212">
        <f>IF(A212="","",COUNTIFS(ATTENDANCE_DAILY!C:C,A212,ATTENDANCE_DAILY!E:E,"Absent"))</f>
        <v/>
      </c>
      <c r="G212" s="5">
        <f>IF(D212=0,"",E212/D212)</f>
        <v/>
      </c>
      <c r="H212" s="4">
        <f>IF(G212="","",IF(G212&lt;0.75,"Low Attendance","OK"))</f>
        <v/>
      </c>
    </row>
    <row r="213">
      <c r="A213">
        <f>IF(MASTER_REGISTER!E213="","",MASTER_REGISTER!E213)</f>
        <v/>
      </c>
      <c r="B213">
        <f>IF(A213="","",MASTER_REGISTER!F213)</f>
        <v/>
      </c>
      <c r="C213">
        <f>IF(A213="","",MASTER_REGISTER!C213)</f>
        <v/>
      </c>
      <c r="D213">
        <f>IF(A213="","",COUNTIF(ATTENDANCE_DAILY!C:C,A213))</f>
        <v/>
      </c>
      <c r="E213">
        <f>IF(A213="","",COUNTIFS(ATTENDANCE_DAILY!C:C,A213,ATTENDANCE_DAILY!E:E,"Present"))</f>
        <v/>
      </c>
      <c r="F213">
        <f>IF(A213="","",COUNTIFS(ATTENDANCE_DAILY!C:C,A213,ATTENDANCE_DAILY!E:E,"Absent"))</f>
        <v/>
      </c>
      <c r="G213" s="5">
        <f>IF(D213=0,"",E213/D213)</f>
        <v/>
      </c>
      <c r="H213" s="4">
        <f>IF(G213="","",IF(G213&lt;0.75,"Low Attendance","OK"))</f>
        <v/>
      </c>
    </row>
    <row r="214">
      <c r="A214">
        <f>IF(MASTER_REGISTER!E214="","",MASTER_REGISTER!E214)</f>
        <v/>
      </c>
      <c r="B214">
        <f>IF(A214="","",MASTER_REGISTER!F214)</f>
        <v/>
      </c>
      <c r="C214">
        <f>IF(A214="","",MASTER_REGISTER!C214)</f>
        <v/>
      </c>
      <c r="D214">
        <f>IF(A214="","",COUNTIF(ATTENDANCE_DAILY!C:C,A214))</f>
        <v/>
      </c>
      <c r="E214">
        <f>IF(A214="","",COUNTIFS(ATTENDANCE_DAILY!C:C,A214,ATTENDANCE_DAILY!E:E,"Present"))</f>
        <v/>
      </c>
      <c r="F214">
        <f>IF(A214="","",COUNTIFS(ATTENDANCE_DAILY!C:C,A214,ATTENDANCE_DAILY!E:E,"Absent"))</f>
        <v/>
      </c>
      <c r="G214" s="5">
        <f>IF(D214=0,"",E214/D214)</f>
        <v/>
      </c>
      <c r="H214" s="4">
        <f>IF(G214="","",IF(G214&lt;0.75,"Low Attendance","OK"))</f>
        <v/>
      </c>
    </row>
    <row r="215">
      <c r="A215">
        <f>IF(MASTER_REGISTER!E215="","",MASTER_REGISTER!E215)</f>
        <v/>
      </c>
      <c r="B215">
        <f>IF(A215="","",MASTER_REGISTER!F215)</f>
        <v/>
      </c>
      <c r="C215">
        <f>IF(A215="","",MASTER_REGISTER!C215)</f>
        <v/>
      </c>
      <c r="D215">
        <f>IF(A215="","",COUNTIF(ATTENDANCE_DAILY!C:C,A215))</f>
        <v/>
      </c>
      <c r="E215">
        <f>IF(A215="","",COUNTIFS(ATTENDANCE_DAILY!C:C,A215,ATTENDANCE_DAILY!E:E,"Present"))</f>
        <v/>
      </c>
      <c r="F215">
        <f>IF(A215="","",COUNTIFS(ATTENDANCE_DAILY!C:C,A215,ATTENDANCE_DAILY!E:E,"Absent"))</f>
        <v/>
      </c>
      <c r="G215" s="5">
        <f>IF(D215=0,"",E215/D215)</f>
        <v/>
      </c>
      <c r="H215" s="4">
        <f>IF(G215="","",IF(G215&lt;0.75,"Low Attendance","OK"))</f>
        <v/>
      </c>
    </row>
    <row r="216">
      <c r="A216">
        <f>IF(MASTER_REGISTER!E216="","",MASTER_REGISTER!E216)</f>
        <v/>
      </c>
      <c r="B216">
        <f>IF(A216="","",MASTER_REGISTER!F216)</f>
        <v/>
      </c>
      <c r="C216">
        <f>IF(A216="","",MASTER_REGISTER!C216)</f>
        <v/>
      </c>
      <c r="D216">
        <f>IF(A216="","",COUNTIF(ATTENDANCE_DAILY!C:C,A216))</f>
        <v/>
      </c>
      <c r="E216">
        <f>IF(A216="","",COUNTIFS(ATTENDANCE_DAILY!C:C,A216,ATTENDANCE_DAILY!E:E,"Present"))</f>
        <v/>
      </c>
      <c r="F216">
        <f>IF(A216="","",COUNTIFS(ATTENDANCE_DAILY!C:C,A216,ATTENDANCE_DAILY!E:E,"Absent"))</f>
        <v/>
      </c>
      <c r="G216" s="5">
        <f>IF(D216=0,"",E216/D216)</f>
        <v/>
      </c>
      <c r="H216" s="4">
        <f>IF(G216="","",IF(G216&lt;0.75,"Low Attendance","OK"))</f>
        <v/>
      </c>
    </row>
    <row r="217">
      <c r="A217">
        <f>IF(MASTER_REGISTER!E217="","",MASTER_REGISTER!E217)</f>
        <v/>
      </c>
      <c r="B217">
        <f>IF(A217="","",MASTER_REGISTER!F217)</f>
        <v/>
      </c>
      <c r="C217">
        <f>IF(A217="","",MASTER_REGISTER!C217)</f>
        <v/>
      </c>
      <c r="D217">
        <f>IF(A217="","",COUNTIF(ATTENDANCE_DAILY!C:C,A217))</f>
        <v/>
      </c>
      <c r="E217">
        <f>IF(A217="","",COUNTIFS(ATTENDANCE_DAILY!C:C,A217,ATTENDANCE_DAILY!E:E,"Present"))</f>
        <v/>
      </c>
      <c r="F217">
        <f>IF(A217="","",COUNTIFS(ATTENDANCE_DAILY!C:C,A217,ATTENDANCE_DAILY!E:E,"Absent"))</f>
        <v/>
      </c>
      <c r="G217" s="5">
        <f>IF(D217=0,"",E217/D217)</f>
        <v/>
      </c>
      <c r="H217" s="4">
        <f>IF(G217="","",IF(G217&lt;0.75,"Low Attendance","OK"))</f>
        <v/>
      </c>
    </row>
    <row r="218">
      <c r="A218">
        <f>IF(MASTER_REGISTER!E218="","",MASTER_REGISTER!E218)</f>
        <v/>
      </c>
      <c r="B218">
        <f>IF(A218="","",MASTER_REGISTER!F218)</f>
        <v/>
      </c>
      <c r="C218">
        <f>IF(A218="","",MASTER_REGISTER!C218)</f>
        <v/>
      </c>
      <c r="D218">
        <f>IF(A218="","",COUNTIF(ATTENDANCE_DAILY!C:C,A218))</f>
        <v/>
      </c>
      <c r="E218">
        <f>IF(A218="","",COUNTIFS(ATTENDANCE_DAILY!C:C,A218,ATTENDANCE_DAILY!E:E,"Present"))</f>
        <v/>
      </c>
      <c r="F218">
        <f>IF(A218="","",COUNTIFS(ATTENDANCE_DAILY!C:C,A218,ATTENDANCE_DAILY!E:E,"Absent"))</f>
        <v/>
      </c>
      <c r="G218" s="5">
        <f>IF(D218=0,"",E218/D218)</f>
        <v/>
      </c>
      <c r="H218" s="4">
        <f>IF(G218="","",IF(G218&lt;0.75,"Low Attendance","OK"))</f>
        <v/>
      </c>
    </row>
    <row r="219">
      <c r="A219">
        <f>IF(MASTER_REGISTER!E219="","",MASTER_REGISTER!E219)</f>
        <v/>
      </c>
      <c r="B219">
        <f>IF(A219="","",MASTER_REGISTER!F219)</f>
        <v/>
      </c>
      <c r="C219">
        <f>IF(A219="","",MASTER_REGISTER!C219)</f>
        <v/>
      </c>
      <c r="D219">
        <f>IF(A219="","",COUNTIF(ATTENDANCE_DAILY!C:C,A219))</f>
        <v/>
      </c>
      <c r="E219">
        <f>IF(A219="","",COUNTIFS(ATTENDANCE_DAILY!C:C,A219,ATTENDANCE_DAILY!E:E,"Present"))</f>
        <v/>
      </c>
      <c r="F219">
        <f>IF(A219="","",COUNTIFS(ATTENDANCE_DAILY!C:C,A219,ATTENDANCE_DAILY!E:E,"Absent"))</f>
        <v/>
      </c>
      <c r="G219" s="5">
        <f>IF(D219=0,"",E219/D219)</f>
        <v/>
      </c>
      <c r="H219" s="4">
        <f>IF(G219="","",IF(G219&lt;0.75,"Low Attendance","OK"))</f>
        <v/>
      </c>
    </row>
    <row r="220">
      <c r="A220">
        <f>IF(MASTER_REGISTER!E220="","",MASTER_REGISTER!E220)</f>
        <v/>
      </c>
      <c r="B220">
        <f>IF(A220="","",MASTER_REGISTER!F220)</f>
        <v/>
      </c>
      <c r="C220">
        <f>IF(A220="","",MASTER_REGISTER!C220)</f>
        <v/>
      </c>
      <c r="D220">
        <f>IF(A220="","",COUNTIF(ATTENDANCE_DAILY!C:C,A220))</f>
        <v/>
      </c>
      <c r="E220">
        <f>IF(A220="","",COUNTIFS(ATTENDANCE_DAILY!C:C,A220,ATTENDANCE_DAILY!E:E,"Present"))</f>
        <v/>
      </c>
      <c r="F220">
        <f>IF(A220="","",COUNTIFS(ATTENDANCE_DAILY!C:C,A220,ATTENDANCE_DAILY!E:E,"Absent"))</f>
        <v/>
      </c>
      <c r="G220" s="5">
        <f>IF(D220=0,"",E220/D220)</f>
        <v/>
      </c>
      <c r="H220" s="4">
        <f>IF(G220="","",IF(G220&lt;0.75,"Low Attendance","OK"))</f>
        <v/>
      </c>
    </row>
    <row r="221">
      <c r="A221">
        <f>IF(MASTER_REGISTER!E221="","",MASTER_REGISTER!E221)</f>
        <v/>
      </c>
      <c r="B221">
        <f>IF(A221="","",MASTER_REGISTER!F221)</f>
        <v/>
      </c>
      <c r="C221">
        <f>IF(A221="","",MASTER_REGISTER!C221)</f>
        <v/>
      </c>
      <c r="D221">
        <f>IF(A221="","",COUNTIF(ATTENDANCE_DAILY!C:C,A221))</f>
        <v/>
      </c>
      <c r="E221">
        <f>IF(A221="","",COUNTIFS(ATTENDANCE_DAILY!C:C,A221,ATTENDANCE_DAILY!E:E,"Present"))</f>
        <v/>
      </c>
      <c r="F221">
        <f>IF(A221="","",COUNTIFS(ATTENDANCE_DAILY!C:C,A221,ATTENDANCE_DAILY!E:E,"Absent"))</f>
        <v/>
      </c>
      <c r="G221" s="5">
        <f>IF(D221=0,"",E221/D221)</f>
        <v/>
      </c>
      <c r="H221" s="4">
        <f>IF(G221="","",IF(G221&lt;0.75,"Low Attendance","OK"))</f>
        <v/>
      </c>
    </row>
    <row r="222">
      <c r="A222">
        <f>IF(MASTER_REGISTER!E222="","",MASTER_REGISTER!E222)</f>
        <v/>
      </c>
      <c r="B222">
        <f>IF(A222="","",MASTER_REGISTER!F222)</f>
        <v/>
      </c>
      <c r="C222">
        <f>IF(A222="","",MASTER_REGISTER!C222)</f>
        <v/>
      </c>
      <c r="D222">
        <f>IF(A222="","",COUNTIF(ATTENDANCE_DAILY!C:C,A222))</f>
        <v/>
      </c>
      <c r="E222">
        <f>IF(A222="","",COUNTIFS(ATTENDANCE_DAILY!C:C,A222,ATTENDANCE_DAILY!E:E,"Present"))</f>
        <v/>
      </c>
      <c r="F222">
        <f>IF(A222="","",COUNTIFS(ATTENDANCE_DAILY!C:C,A222,ATTENDANCE_DAILY!E:E,"Absent"))</f>
        <v/>
      </c>
      <c r="G222" s="5">
        <f>IF(D222=0,"",E222/D222)</f>
        <v/>
      </c>
      <c r="H222" s="4">
        <f>IF(G222="","",IF(G222&lt;0.75,"Low Attendance","OK"))</f>
        <v/>
      </c>
    </row>
    <row r="223">
      <c r="A223">
        <f>IF(MASTER_REGISTER!E223="","",MASTER_REGISTER!E223)</f>
        <v/>
      </c>
      <c r="B223">
        <f>IF(A223="","",MASTER_REGISTER!F223)</f>
        <v/>
      </c>
      <c r="C223">
        <f>IF(A223="","",MASTER_REGISTER!C223)</f>
        <v/>
      </c>
      <c r="D223">
        <f>IF(A223="","",COUNTIF(ATTENDANCE_DAILY!C:C,A223))</f>
        <v/>
      </c>
      <c r="E223">
        <f>IF(A223="","",COUNTIFS(ATTENDANCE_DAILY!C:C,A223,ATTENDANCE_DAILY!E:E,"Present"))</f>
        <v/>
      </c>
      <c r="F223">
        <f>IF(A223="","",COUNTIFS(ATTENDANCE_DAILY!C:C,A223,ATTENDANCE_DAILY!E:E,"Absent"))</f>
        <v/>
      </c>
      <c r="G223" s="5">
        <f>IF(D223=0,"",E223/D223)</f>
        <v/>
      </c>
      <c r="H223" s="4">
        <f>IF(G223="","",IF(G223&lt;0.75,"Low Attendance","OK"))</f>
        <v/>
      </c>
    </row>
    <row r="224">
      <c r="A224">
        <f>IF(MASTER_REGISTER!E224="","",MASTER_REGISTER!E224)</f>
        <v/>
      </c>
      <c r="B224">
        <f>IF(A224="","",MASTER_REGISTER!F224)</f>
        <v/>
      </c>
      <c r="C224">
        <f>IF(A224="","",MASTER_REGISTER!C224)</f>
        <v/>
      </c>
      <c r="D224">
        <f>IF(A224="","",COUNTIF(ATTENDANCE_DAILY!C:C,A224))</f>
        <v/>
      </c>
      <c r="E224">
        <f>IF(A224="","",COUNTIFS(ATTENDANCE_DAILY!C:C,A224,ATTENDANCE_DAILY!E:E,"Present"))</f>
        <v/>
      </c>
      <c r="F224">
        <f>IF(A224="","",COUNTIFS(ATTENDANCE_DAILY!C:C,A224,ATTENDANCE_DAILY!E:E,"Absent"))</f>
        <v/>
      </c>
      <c r="G224" s="5">
        <f>IF(D224=0,"",E224/D224)</f>
        <v/>
      </c>
      <c r="H224" s="4">
        <f>IF(G224="","",IF(G224&lt;0.75,"Low Attendance","OK"))</f>
        <v/>
      </c>
    </row>
    <row r="225">
      <c r="A225">
        <f>IF(MASTER_REGISTER!E225="","",MASTER_REGISTER!E225)</f>
        <v/>
      </c>
      <c r="B225">
        <f>IF(A225="","",MASTER_REGISTER!F225)</f>
        <v/>
      </c>
      <c r="C225">
        <f>IF(A225="","",MASTER_REGISTER!C225)</f>
        <v/>
      </c>
      <c r="D225">
        <f>IF(A225="","",COUNTIF(ATTENDANCE_DAILY!C:C,A225))</f>
        <v/>
      </c>
      <c r="E225">
        <f>IF(A225="","",COUNTIFS(ATTENDANCE_DAILY!C:C,A225,ATTENDANCE_DAILY!E:E,"Present"))</f>
        <v/>
      </c>
      <c r="F225">
        <f>IF(A225="","",COUNTIFS(ATTENDANCE_DAILY!C:C,A225,ATTENDANCE_DAILY!E:E,"Absent"))</f>
        <v/>
      </c>
      <c r="G225" s="5">
        <f>IF(D225=0,"",E225/D225)</f>
        <v/>
      </c>
      <c r="H225" s="4">
        <f>IF(G225="","",IF(G225&lt;0.75,"Low Attendance","OK"))</f>
        <v/>
      </c>
    </row>
    <row r="226">
      <c r="A226">
        <f>IF(MASTER_REGISTER!E226="","",MASTER_REGISTER!E226)</f>
        <v/>
      </c>
      <c r="B226">
        <f>IF(A226="","",MASTER_REGISTER!F226)</f>
        <v/>
      </c>
      <c r="C226">
        <f>IF(A226="","",MASTER_REGISTER!C226)</f>
        <v/>
      </c>
      <c r="D226">
        <f>IF(A226="","",COUNTIF(ATTENDANCE_DAILY!C:C,A226))</f>
        <v/>
      </c>
      <c r="E226">
        <f>IF(A226="","",COUNTIFS(ATTENDANCE_DAILY!C:C,A226,ATTENDANCE_DAILY!E:E,"Present"))</f>
        <v/>
      </c>
      <c r="F226">
        <f>IF(A226="","",COUNTIFS(ATTENDANCE_DAILY!C:C,A226,ATTENDANCE_DAILY!E:E,"Absent"))</f>
        <v/>
      </c>
      <c r="G226" s="5">
        <f>IF(D226=0,"",E226/D226)</f>
        <v/>
      </c>
      <c r="H226" s="4">
        <f>IF(G226="","",IF(G226&lt;0.75,"Low Attendance","OK"))</f>
        <v/>
      </c>
    </row>
    <row r="227">
      <c r="A227">
        <f>IF(MASTER_REGISTER!E227="","",MASTER_REGISTER!E227)</f>
        <v/>
      </c>
      <c r="B227">
        <f>IF(A227="","",MASTER_REGISTER!F227)</f>
        <v/>
      </c>
      <c r="C227">
        <f>IF(A227="","",MASTER_REGISTER!C227)</f>
        <v/>
      </c>
      <c r="D227">
        <f>IF(A227="","",COUNTIF(ATTENDANCE_DAILY!C:C,A227))</f>
        <v/>
      </c>
      <c r="E227">
        <f>IF(A227="","",COUNTIFS(ATTENDANCE_DAILY!C:C,A227,ATTENDANCE_DAILY!E:E,"Present"))</f>
        <v/>
      </c>
      <c r="F227">
        <f>IF(A227="","",COUNTIFS(ATTENDANCE_DAILY!C:C,A227,ATTENDANCE_DAILY!E:E,"Absent"))</f>
        <v/>
      </c>
      <c r="G227" s="5">
        <f>IF(D227=0,"",E227/D227)</f>
        <v/>
      </c>
      <c r="H227" s="4">
        <f>IF(G227="","",IF(G227&lt;0.75,"Low Attendance","OK"))</f>
        <v/>
      </c>
    </row>
    <row r="228">
      <c r="A228">
        <f>IF(MASTER_REGISTER!E228="","",MASTER_REGISTER!E228)</f>
        <v/>
      </c>
      <c r="B228">
        <f>IF(A228="","",MASTER_REGISTER!F228)</f>
        <v/>
      </c>
      <c r="C228">
        <f>IF(A228="","",MASTER_REGISTER!C228)</f>
        <v/>
      </c>
      <c r="D228">
        <f>IF(A228="","",COUNTIF(ATTENDANCE_DAILY!C:C,A228))</f>
        <v/>
      </c>
      <c r="E228">
        <f>IF(A228="","",COUNTIFS(ATTENDANCE_DAILY!C:C,A228,ATTENDANCE_DAILY!E:E,"Present"))</f>
        <v/>
      </c>
      <c r="F228">
        <f>IF(A228="","",COUNTIFS(ATTENDANCE_DAILY!C:C,A228,ATTENDANCE_DAILY!E:E,"Absent"))</f>
        <v/>
      </c>
      <c r="G228" s="5">
        <f>IF(D228=0,"",E228/D228)</f>
        <v/>
      </c>
      <c r="H228" s="4">
        <f>IF(G228="","",IF(G228&lt;0.75,"Low Attendance","OK"))</f>
        <v/>
      </c>
    </row>
    <row r="229">
      <c r="A229">
        <f>IF(MASTER_REGISTER!E229="","",MASTER_REGISTER!E229)</f>
        <v/>
      </c>
      <c r="B229">
        <f>IF(A229="","",MASTER_REGISTER!F229)</f>
        <v/>
      </c>
      <c r="C229">
        <f>IF(A229="","",MASTER_REGISTER!C229)</f>
        <v/>
      </c>
      <c r="D229">
        <f>IF(A229="","",COUNTIF(ATTENDANCE_DAILY!C:C,A229))</f>
        <v/>
      </c>
      <c r="E229">
        <f>IF(A229="","",COUNTIFS(ATTENDANCE_DAILY!C:C,A229,ATTENDANCE_DAILY!E:E,"Present"))</f>
        <v/>
      </c>
      <c r="F229">
        <f>IF(A229="","",COUNTIFS(ATTENDANCE_DAILY!C:C,A229,ATTENDANCE_DAILY!E:E,"Absent"))</f>
        <v/>
      </c>
      <c r="G229" s="5">
        <f>IF(D229=0,"",E229/D229)</f>
        <v/>
      </c>
      <c r="H229" s="4">
        <f>IF(G229="","",IF(G229&lt;0.75,"Low Attendance","OK"))</f>
        <v/>
      </c>
    </row>
    <row r="230">
      <c r="A230">
        <f>IF(MASTER_REGISTER!E230="","",MASTER_REGISTER!E230)</f>
        <v/>
      </c>
      <c r="B230">
        <f>IF(A230="","",MASTER_REGISTER!F230)</f>
        <v/>
      </c>
      <c r="C230">
        <f>IF(A230="","",MASTER_REGISTER!C230)</f>
        <v/>
      </c>
      <c r="D230">
        <f>IF(A230="","",COUNTIF(ATTENDANCE_DAILY!C:C,A230))</f>
        <v/>
      </c>
      <c r="E230">
        <f>IF(A230="","",COUNTIFS(ATTENDANCE_DAILY!C:C,A230,ATTENDANCE_DAILY!E:E,"Present"))</f>
        <v/>
      </c>
      <c r="F230">
        <f>IF(A230="","",COUNTIFS(ATTENDANCE_DAILY!C:C,A230,ATTENDANCE_DAILY!E:E,"Absent"))</f>
        <v/>
      </c>
      <c r="G230" s="5">
        <f>IF(D230=0,"",E230/D230)</f>
        <v/>
      </c>
      <c r="H230" s="4">
        <f>IF(G230="","",IF(G230&lt;0.75,"Low Attendance","OK"))</f>
        <v/>
      </c>
    </row>
    <row r="231">
      <c r="A231">
        <f>IF(MASTER_REGISTER!E231="","",MASTER_REGISTER!E231)</f>
        <v/>
      </c>
      <c r="B231">
        <f>IF(A231="","",MASTER_REGISTER!F231)</f>
        <v/>
      </c>
      <c r="C231">
        <f>IF(A231="","",MASTER_REGISTER!C231)</f>
        <v/>
      </c>
      <c r="D231">
        <f>IF(A231="","",COUNTIF(ATTENDANCE_DAILY!C:C,A231))</f>
        <v/>
      </c>
      <c r="E231">
        <f>IF(A231="","",COUNTIFS(ATTENDANCE_DAILY!C:C,A231,ATTENDANCE_DAILY!E:E,"Present"))</f>
        <v/>
      </c>
      <c r="F231">
        <f>IF(A231="","",COUNTIFS(ATTENDANCE_DAILY!C:C,A231,ATTENDANCE_DAILY!E:E,"Absent"))</f>
        <v/>
      </c>
      <c r="G231" s="5">
        <f>IF(D231=0,"",E231/D231)</f>
        <v/>
      </c>
      <c r="H231" s="4">
        <f>IF(G231="","",IF(G231&lt;0.75,"Low Attendance","OK"))</f>
        <v/>
      </c>
    </row>
    <row r="232">
      <c r="A232">
        <f>IF(MASTER_REGISTER!E232="","",MASTER_REGISTER!E232)</f>
        <v/>
      </c>
      <c r="B232">
        <f>IF(A232="","",MASTER_REGISTER!F232)</f>
        <v/>
      </c>
      <c r="C232">
        <f>IF(A232="","",MASTER_REGISTER!C232)</f>
        <v/>
      </c>
      <c r="D232">
        <f>IF(A232="","",COUNTIF(ATTENDANCE_DAILY!C:C,A232))</f>
        <v/>
      </c>
      <c r="E232">
        <f>IF(A232="","",COUNTIFS(ATTENDANCE_DAILY!C:C,A232,ATTENDANCE_DAILY!E:E,"Present"))</f>
        <v/>
      </c>
      <c r="F232">
        <f>IF(A232="","",COUNTIFS(ATTENDANCE_DAILY!C:C,A232,ATTENDANCE_DAILY!E:E,"Absent"))</f>
        <v/>
      </c>
      <c r="G232" s="5">
        <f>IF(D232=0,"",E232/D232)</f>
        <v/>
      </c>
      <c r="H232" s="4">
        <f>IF(G232="","",IF(G232&lt;0.75,"Low Attendance","OK"))</f>
        <v/>
      </c>
    </row>
    <row r="233">
      <c r="A233">
        <f>IF(MASTER_REGISTER!E233="","",MASTER_REGISTER!E233)</f>
        <v/>
      </c>
      <c r="B233">
        <f>IF(A233="","",MASTER_REGISTER!F233)</f>
        <v/>
      </c>
      <c r="C233">
        <f>IF(A233="","",MASTER_REGISTER!C233)</f>
        <v/>
      </c>
      <c r="D233">
        <f>IF(A233="","",COUNTIF(ATTENDANCE_DAILY!C:C,A233))</f>
        <v/>
      </c>
      <c r="E233">
        <f>IF(A233="","",COUNTIFS(ATTENDANCE_DAILY!C:C,A233,ATTENDANCE_DAILY!E:E,"Present"))</f>
        <v/>
      </c>
      <c r="F233">
        <f>IF(A233="","",COUNTIFS(ATTENDANCE_DAILY!C:C,A233,ATTENDANCE_DAILY!E:E,"Absent"))</f>
        <v/>
      </c>
      <c r="G233" s="5">
        <f>IF(D233=0,"",E233/D233)</f>
        <v/>
      </c>
      <c r="H233" s="4">
        <f>IF(G233="","",IF(G233&lt;0.75,"Low Attendance","OK"))</f>
        <v/>
      </c>
    </row>
    <row r="234">
      <c r="A234">
        <f>IF(MASTER_REGISTER!E234="","",MASTER_REGISTER!E234)</f>
        <v/>
      </c>
      <c r="B234">
        <f>IF(A234="","",MASTER_REGISTER!F234)</f>
        <v/>
      </c>
      <c r="C234">
        <f>IF(A234="","",MASTER_REGISTER!C234)</f>
        <v/>
      </c>
      <c r="D234">
        <f>IF(A234="","",COUNTIF(ATTENDANCE_DAILY!C:C,A234))</f>
        <v/>
      </c>
      <c r="E234">
        <f>IF(A234="","",COUNTIFS(ATTENDANCE_DAILY!C:C,A234,ATTENDANCE_DAILY!E:E,"Present"))</f>
        <v/>
      </c>
      <c r="F234">
        <f>IF(A234="","",COUNTIFS(ATTENDANCE_DAILY!C:C,A234,ATTENDANCE_DAILY!E:E,"Absent"))</f>
        <v/>
      </c>
      <c r="G234" s="5">
        <f>IF(D234=0,"",E234/D234)</f>
        <v/>
      </c>
      <c r="H234" s="4">
        <f>IF(G234="","",IF(G234&lt;0.75,"Low Attendance","OK"))</f>
        <v/>
      </c>
    </row>
    <row r="235">
      <c r="A235">
        <f>IF(MASTER_REGISTER!E235="","",MASTER_REGISTER!E235)</f>
        <v/>
      </c>
      <c r="B235">
        <f>IF(A235="","",MASTER_REGISTER!F235)</f>
        <v/>
      </c>
      <c r="C235">
        <f>IF(A235="","",MASTER_REGISTER!C235)</f>
        <v/>
      </c>
      <c r="D235">
        <f>IF(A235="","",COUNTIF(ATTENDANCE_DAILY!C:C,A235))</f>
        <v/>
      </c>
      <c r="E235">
        <f>IF(A235="","",COUNTIFS(ATTENDANCE_DAILY!C:C,A235,ATTENDANCE_DAILY!E:E,"Present"))</f>
        <v/>
      </c>
      <c r="F235">
        <f>IF(A235="","",COUNTIFS(ATTENDANCE_DAILY!C:C,A235,ATTENDANCE_DAILY!E:E,"Absent"))</f>
        <v/>
      </c>
      <c r="G235" s="5">
        <f>IF(D235=0,"",E235/D235)</f>
        <v/>
      </c>
      <c r="H235" s="4">
        <f>IF(G235="","",IF(G235&lt;0.75,"Low Attendance","OK"))</f>
        <v/>
      </c>
    </row>
    <row r="236">
      <c r="A236">
        <f>IF(MASTER_REGISTER!E236="","",MASTER_REGISTER!E236)</f>
        <v/>
      </c>
      <c r="B236">
        <f>IF(A236="","",MASTER_REGISTER!F236)</f>
        <v/>
      </c>
      <c r="C236">
        <f>IF(A236="","",MASTER_REGISTER!C236)</f>
        <v/>
      </c>
      <c r="D236">
        <f>IF(A236="","",COUNTIF(ATTENDANCE_DAILY!C:C,A236))</f>
        <v/>
      </c>
      <c r="E236">
        <f>IF(A236="","",COUNTIFS(ATTENDANCE_DAILY!C:C,A236,ATTENDANCE_DAILY!E:E,"Present"))</f>
        <v/>
      </c>
      <c r="F236">
        <f>IF(A236="","",COUNTIFS(ATTENDANCE_DAILY!C:C,A236,ATTENDANCE_DAILY!E:E,"Absent"))</f>
        <v/>
      </c>
      <c r="G236" s="5">
        <f>IF(D236=0,"",E236/D236)</f>
        <v/>
      </c>
      <c r="H236" s="4">
        <f>IF(G236="","",IF(G236&lt;0.75,"Low Attendance","OK"))</f>
        <v/>
      </c>
    </row>
    <row r="237">
      <c r="A237">
        <f>IF(MASTER_REGISTER!E237="","",MASTER_REGISTER!E237)</f>
        <v/>
      </c>
      <c r="B237">
        <f>IF(A237="","",MASTER_REGISTER!F237)</f>
        <v/>
      </c>
      <c r="C237">
        <f>IF(A237="","",MASTER_REGISTER!C237)</f>
        <v/>
      </c>
      <c r="D237">
        <f>IF(A237="","",COUNTIF(ATTENDANCE_DAILY!C:C,A237))</f>
        <v/>
      </c>
      <c r="E237">
        <f>IF(A237="","",COUNTIFS(ATTENDANCE_DAILY!C:C,A237,ATTENDANCE_DAILY!E:E,"Present"))</f>
        <v/>
      </c>
      <c r="F237">
        <f>IF(A237="","",COUNTIFS(ATTENDANCE_DAILY!C:C,A237,ATTENDANCE_DAILY!E:E,"Absent"))</f>
        <v/>
      </c>
      <c r="G237" s="5">
        <f>IF(D237=0,"",E237/D237)</f>
        <v/>
      </c>
      <c r="H237" s="4">
        <f>IF(G237="","",IF(G237&lt;0.75,"Low Attendance","OK"))</f>
        <v/>
      </c>
    </row>
    <row r="238">
      <c r="A238">
        <f>IF(MASTER_REGISTER!E238="","",MASTER_REGISTER!E238)</f>
        <v/>
      </c>
      <c r="B238">
        <f>IF(A238="","",MASTER_REGISTER!F238)</f>
        <v/>
      </c>
      <c r="C238">
        <f>IF(A238="","",MASTER_REGISTER!C238)</f>
        <v/>
      </c>
      <c r="D238">
        <f>IF(A238="","",COUNTIF(ATTENDANCE_DAILY!C:C,A238))</f>
        <v/>
      </c>
      <c r="E238">
        <f>IF(A238="","",COUNTIFS(ATTENDANCE_DAILY!C:C,A238,ATTENDANCE_DAILY!E:E,"Present"))</f>
        <v/>
      </c>
      <c r="F238">
        <f>IF(A238="","",COUNTIFS(ATTENDANCE_DAILY!C:C,A238,ATTENDANCE_DAILY!E:E,"Absent"))</f>
        <v/>
      </c>
      <c r="G238" s="5">
        <f>IF(D238=0,"",E238/D238)</f>
        <v/>
      </c>
      <c r="H238" s="4">
        <f>IF(G238="","",IF(G238&lt;0.75,"Low Attendance","OK"))</f>
        <v/>
      </c>
    </row>
    <row r="239">
      <c r="A239">
        <f>IF(MASTER_REGISTER!E239="","",MASTER_REGISTER!E239)</f>
        <v/>
      </c>
      <c r="B239">
        <f>IF(A239="","",MASTER_REGISTER!F239)</f>
        <v/>
      </c>
      <c r="C239">
        <f>IF(A239="","",MASTER_REGISTER!C239)</f>
        <v/>
      </c>
      <c r="D239">
        <f>IF(A239="","",COUNTIF(ATTENDANCE_DAILY!C:C,A239))</f>
        <v/>
      </c>
      <c r="E239">
        <f>IF(A239="","",COUNTIFS(ATTENDANCE_DAILY!C:C,A239,ATTENDANCE_DAILY!E:E,"Present"))</f>
        <v/>
      </c>
      <c r="F239">
        <f>IF(A239="","",COUNTIFS(ATTENDANCE_DAILY!C:C,A239,ATTENDANCE_DAILY!E:E,"Absent"))</f>
        <v/>
      </c>
      <c r="G239" s="5">
        <f>IF(D239=0,"",E239/D239)</f>
        <v/>
      </c>
      <c r="H239" s="4">
        <f>IF(G239="","",IF(G239&lt;0.75,"Low Attendance","OK"))</f>
        <v/>
      </c>
    </row>
    <row r="240">
      <c r="A240">
        <f>IF(MASTER_REGISTER!E240="","",MASTER_REGISTER!E240)</f>
        <v/>
      </c>
      <c r="B240">
        <f>IF(A240="","",MASTER_REGISTER!F240)</f>
        <v/>
      </c>
      <c r="C240">
        <f>IF(A240="","",MASTER_REGISTER!C240)</f>
        <v/>
      </c>
      <c r="D240">
        <f>IF(A240="","",COUNTIF(ATTENDANCE_DAILY!C:C,A240))</f>
        <v/>
      </c>
      <c r="E240">
        <f>IF(A240="","",COUNTIFS(ATTENDANCE_DAILY!C:C,A240,ATTENDANCE_DAILY!E:E,"Present"))</f>
        <v/>
      </c>
      <c r="F240">
        <f>IF(A240="","",COUNTIFS(ATTENDANCE_DAILY!C:C,A240,ATTENDANCE_DAILY!E:E,"Absent"))</f>
        <v/>
      </c>
      <c r="G240" s="5">
        <f>IF(D240=0,"",E240/D240)</f>
        <v/>
      </c>
      <c r="H240" s="4">
        <f>IF(G240="","",IF(G240&lt;0.75,"Low Attendance","OK"))</f>
        <v/>
      </c>
    </row>
    <row r="241">
      <c r="A241">
        <f>IF(MASTER_REGISTER!E241="","",MASTER_REGISTER!E241)</f>
        <v/>
      </c>
      <c r="B241">
        <f>IF(A241="","",MASTER_REGISTER!F241)</f>
        <v/>
      </c>
      <c r="C241">
        <f>IF(A241="","",MASTER_REGISTER!C241)</f>
        <v/>
      </c>
      <c r="D241">
        <f>IF(A241="","",COUNTIF(ATTENDANCE_DAILY!C:C,A241))</f>
        <v/>
      </c>
      <c r="E241">
        <f>IF(A241="","",COUNTIFS(ATTENDANCE_DAILY!C:C,A241,ATTENDANCE_DAILY!E:E,"Present"))</f>
        <v/>
      </c>
      <c r="F241">
        <f>IF(A241="","",COUNTIFS(ATTENDANCE_DAILY!C:C,A241,ATTENDANCE_DAILY!E:E,"Absent"))</f>
        <v/>
      </c>
      <c r="G241" s="5">
        <f>IF(D241=0,"",E241/D241)</f>
        <v/>
      </c>
      <c r="H241" s="4">
        <f>IF(G241="","",IF(G241&lt;0.75,"Low Attendance","OK"))</f>
        <v/>
      </c>
    </row>
    <row r="242">
      <c r="A242">
        <f>IF(MASTER_REGISTER!E242="","",MASTER_REGISTER!E242)</f>
        <v/>
      </c>
      <c r="B242">
        <f>IF(A242="","",MASTER_REGISTER!F242)</f>
        <v/>
      </c>
      <c r="C242">
        <f>IF(A242="","",MASTER_REGISTER!C242)</f>
        <v/>
      </c>
      <c r="D242">
        <f>IF(A242="","",COUNTIF(ATTENDANCE_DAILY!C:C,A242))</f>
        <v/>
      </c>
      <c r="E242">
        <f>IF(A242="","",COUNTIFS(ATTENDANCE_DAILY!C:C,A242,ATTENDANCE_DAILY!E:E,"Present"))</f>
        <v/>
      </c>
      <c r="F242">
        <f>IF(A242="","",COUNTIFS(ATTENDANCE_DAILY!C:C,A242,ATTENDANCE_DAILY!E:E,"Absent"))</f>
        <v/>
      </c>
      <c r="G242" s="5">
        <f>IF(D242=0,"",E242/D242)</f>
        <v/>
      </c>
      <c r="H242" s="4">
        <f>IF(G242="","",IF(G242&lt;0.75,"Low Attendance","OK"))</f>
        <v/>
      </c>
    </row>
    <row r="243">
      <c r="A243">
        <f>IF(MASTER_REGISTER!E243="","",MASTER_REGISTER!E243)</f>
        <v/>
      </c>
      <c r="B243">
        <f>IF(A243="","",MASTER_REGISTER!F243)</f>
        <v/>
      </c>
      <c r="C243">
        <f>IF(A243="","",MASTER_REGISTER!C243)</f>
        <v/>
      </c>
      <c r="D243">
        <f>IF(A243="","",COUNTIF(ATTENDANCE_DAILY!C:C,A243))</f>
        <v/>
      </c>
      <c r="E243">
        <f>IF(A243="","",COUNTIFS(ATTENDANCE_DAILY!C:C,A243,ATTENDANCE_DAILY!E:E,"Present"))</f>
        <v/>
      </c>
      <c r="F243">
        <f>IF(A243="","",COUNTIFS(ATTENDANCE_DAILY!C:C,A243,ATTENDANCE_DAILY!E:E,"Absent"))</f>
        <v/>
      </c>
      <c r="G243" s="5">
        <f>IF(D243=0,"",E243/D243)</f>
        <v/>
      </c>
      <c r="H243" s="4">
        <f>IF(G243="","",IF(G243&lt;0.75,"Low Attendance","OK"))</f>
        <v/>
      </c>
    </row>
    <row r="244">
      <c r="A244">
        <f>IF(MASTER_REGISTER!E244="","",MASTER_REGISTER!E244)</f>
        <v/>
      </c>
      <c r="B244">
        <f>IF(A244="","",MASTER_REGISTER!F244)</f>
        <v/>
      </c>
      <c r="C244">
        <f>IF(A244="","",MASTER_REGISTER!C244)</f>
        <v/>
      </c>
      <c r="D244">
        <f>IF(A244="","",COUNTIF(ATTENDANCE_DAILY!C:C,A244))</f>
        <v/>
      </c>
      <c r="E244">
        <f>IF(A244="","",COUNTIFS(ATTENDANCE_DAILY!C:C,A244,ATTENDANCE_DAILY!E:E,"Present"))</f>
        <v/>
      </c>
      <c r="F244">
        <f>IF(A244="","",COUNTIFS(ATTENDANCE_DAILY!C:C,A244,ATTENDANCE_DAILY!E:E,"Absent"))</f>
        <v/>
      </c>
      <c r="G244" s="5">
        <f>IF(D244=0,"",E244/D244)</f>
        <v/>
      </c>
      <c r="H244" s="4">
        <f>IF(G244="","",IF(G244&lt;0.75,"Low Attendance","OK"))</f>
        <v/>
      </c>
    </row>
    <row r="245">
      <c r="A245">
        <f>IF(MASTER_REGISTER!E245="","",MASTER_REGISTER!E245)</f>
        <v/>
      </c>
      <c r="B245">
        <f>IF(A245="","",MASTER_REGISTER!F245)</f>
        <v/>
      </c>
      <c r="C245">
        <f>IF(A245="","",MASTER_REGISTER!C245)</f>
        <v/>
      </c>
      <c r="D245">
        <f>IF(A245="","",COUNTIF(ATTENDANCE_DAILY!C:C,A245))</f>
        <v/>
      </c>
      <c r="E245">
        <f>IF(A245="","",COUNTIFS(ATTENDANCE_DAILY!C:C,A245,ATTENDANCE_DAILY!E:E,"Present"))</f>
        <v/>
      </c>
      <c r="F245">
        <f>IF(A245="","",COUNTIFS(ATTENDANCE_DAILY!C:C,A245,ATTENDANCE_DAILY!E:E,"Absent"))</f>
        <v/>
      </c>
      <c r="G245" s="5">
        <f>IF(D245=0,"",E245/D245)</f>
        <v/>
      </c>
      <c r="H245" s="4">
        <f>IF(G245="","",IF(G245&lt;0.75,"Low Attendance","OK"))</f>
        <v/>
      </c>
    </row>
    <row r="246">
      <c r="A246">
        <f>IF(MASTER_REGISTER!E246="","",MASTER_REGISTER!E246)</f>
        <v/>
      </c>
      <c r="B246">
        <f>IF(A246="","",MASTER_REGISTER!F246)</f>
        <v/>
      </c>
      <c r="C246">
        <f>IF(A246="","",MASTER_REGISTER!C246)</f>
        <v/>
      </c>
      <c r="D246">
        <f>IF(A246="","",COUNTIF(ATTENDANCE_DAILY!C:C,A246))</f>
        <v/>
      </c>
      <c r="E246">
        <f>IF(A246="","",COUNTIFS(ATTENDANCE_DAILY!C:C,A246,ATTENDANCE_DAILY!E:E,"Present"))</f>
        <v/>
      </c>
      <c r="F246">
        <f>IF(A246="","",COUNTIFS(ATTENDANCE_DAILY!C:C,A246,ATTENDANCE_DAILY!E:E,"Absent"))</f>
        <v/>
      </c>
      <c r="G246" s="5">
        <f>IF(D246=0,"",E246/D246)</f>
        <v/>
      </c>
      <c r="H246" s="4">
        <f>IF(G246="","",IF(G246&lt;0.75,"Low Attendance","OK"))</f>
        <v/>
      </c>
    </row>
    <row r="247">
      <c r="A247">
        <f>IF(MASTER_REGISTER!E247="","",MASTER_REGISTER!E247)</f>
        <v/>
      </c>
      <c r="B247">
        <f>IF(A247="","",MASTER_REGISTER!F247)</f>
        <v/>
      </c>
      <c r="C247">
        <f>IF(A247="","",MASTER_REGISTER!C247)</f>
        <v/>
      </c>
      <c r="D247">
        <f>IF(A247="","",COUNTIF(ATTENDANCE_DAILY!C:C,A247))</f>
        <v/>
      </c>
      <c r="E247">
        <f>IF(A247="","",COUNTIFS(ATTENDANCE_DAILY!C:C,A247,ATTENDANCE_DAILY!E:E,"Present"))</f>
        <v/>
      </c>
      <c r="F247">
        <f>IF(A247="","",COUNTIFS(ATTENDANCE_DAILY!C:C,A247,ATTENDANCE_DAILY!E:E,"Absent"))</f>
        <v/>
      </c>
      <c r="G247" s="5">
        <f>IF(D247=0,"",E247/D247)</f>
        <v/>
      </c>
      <c r="H247" s="4">
        <f>IF(G247="","",IF(G247&lt;0.75,"Low Attendance","OK"))</f>
        <v/>
      </c>
    </row>
    <row r="248">
      <c r="A248">
        <f>IF(MASTER_REGISTER!E248="","",MASTER_REGISTER!E248)</f>
        <v/>
      </c>
      <c r="B248">
        <f>IF(A248="","",MASTER_REGISTER!F248)</f>
        <v/>
      </c>
      <c r="C248">
        <f>IF(A248="","",MASTER_REGISTER!C248)</f>
        <v/>
      </c>
      <c r="D248">
        <f>IF(A248="","",COUNTIF(ATTENDANCE_DAILY!C:C,A248))</f>
        <v/>
      </c>
      <c r="E248">
        <f>IF(A248="","",COUNTIFS(ATTENDANCE_DAILY!C:C,A248,ATTENDANCE_DAILY!E:E,"Present"))</f>
        <v/>
      </c>
      <c r="F248">
        <f>IF(A248="","",COUNTIFS(ATTENDANCE_DAILY!C:C,A248,ATTENDANCE_DAILY!E:E,"Absent"))</f>
        <v/>
      </c>
      <c r="G248" s="5">
        <f>IF(D248=0,"",E248/D248)</f>
        <v/>
      </c>
      <c r="H248" s="4">
        <f>IF(G248="","",IF(G248&lt;0.75,"Low Attendance","OK"))</f>
        <v/>
      </c>
    </row>
    <row r="249">
      <c r="A249">
        <f>IF(MASTER_REGISTER!E249="","",MASTER_REGISTER!E249)</f>
        <v/>
      </c>
      <c r="B249">
        <f>IF(A249="","",MASTER_REGISTER!F249)</f>
        <v/>
      </c>
      <c r="C249">
        <f>IF(A249="","",MASTER_REGISTER!C249)</f>
        <v/>
      </c>
      <c r="D249">
        <f>IF(A249="","",COUNTIF(ATTENDANCE_DAILY!C:C,A249))</f>
        <v/>
      </c>
      <c r="E249">
        <f>IF(A249="","",COUNTIFS(ATTENDANCE_DAILY!C:C,A249,ATTENDANCE_DAILY!E:E,"Present"))</f>
        <v/>
      </c>
      <c r="F249">
        <f>IF(A249="","",COUNTIFS(ATTENDANCE_DAILY!C:C,A249,ATTENDANCE_DAILY!E:E,"Absent"))</f>
        <v/>
      </c>
      <c r="G249" s="5">
        <f>IF(D249=0,"",E249/D249)</f>
        <v/>
      </c>
      <c r="H249" s="4">
        <f>IF(G249="","",IF(G249&lt;0.75,"Low Attendance","OK"))</f>
        <v/>
      </c>
    </row>
    <row r="250">
      <c r="A250">
        <f>IF(MASTER_REGISTER!E250="","",MASTER_REGISTER!E250)</f>
        <v/>
      </c>
      <c r="B250">
        <f>IF(A250="","",MASTER_REGISTER!F250)</f>
        <v/>
      </c>
      <c r="C250">
        <f>IF(A250="","",MASTER_REGISTER!C250)</f>
        <v/>
      </c>
      <c r="D250">
        <f>IF(A250="","",COUNTIF(ATTENDANCE_DAILY!C:C,A250))</f>
        <v/>
      </c>
      <c r="E250">
        <f>IF(A250="","",COUNTIFS(ATTENDANCE_DAILY!C:C,A250,ATTENDANCE_DAILY!E:E,"Present"))</f>
        <v/>
      </c>
      <c r="F250">
        <f>IF(A250="","",COUNTIFS(ATTENDANCE_DAILY!C:C,A250,ATTENDANCE_DAILY!E:E,"Absent"))</f>
        <v/>
      </c>
      <c r="G250" s="5">
        <f>IF(D250=0,"",E250/D250)</f>
        <v/>
      </c>
      <c r="H250" s="4">
        <f>IF(G250="","",IF(G250&lt;0.75,"Low Attendance","OK"))</f>
        <v/>
      </c>
    </row>
    <row r="251">
      <c r="A251">
        <f>IF(MASTER_REGISTER!E251="","",MASTER_REGISTER!E251)</f>
        <v/>
      </c>
      <c r="B251">
        <f>IF(A251="","",MASTER_REGISTER!F251)</f>
        <v/>
      </c>
      <c r="C251">
        <f>IF(A251="","",MASTER_REGISTER!C251)</f>
        <v/>
      </c>
      <c r="D251">
        <f>IF(A251="","",COUNTIF(ATTENDANCE_DAILY!C:C,A251))</f>
        <v/>
      </c>
      <c r="E251">
        <f>IF(A251="","",COUNTIFS(ATTENDANCE_DAILY!C:C,A251,ATTENDANCE_DAILY!E:E,"Present"))</f>
        <v/>
      </c>
      <c r="F251">
        <f>IF(A251="","",COUNTIFS(ATTENDANCE_DAILY!C:C,A251,ATTENDANCE_DAILY!E:E,"Absent"))</f>
        <v/>
      </c>
      <c r="G251" s="5">
        <f>IF(D251=0,"",E251/D251)</f>
        <v/>
      </c>
      <c r="H251" s="4">
        <f>IF(G251="","",IF(G251&lt;0.75,"Low Attendance","OK"))</f>
        <v/>
      </c>
    </row>
    <row r="252">
      <c r="A252">
        <f>IF(MASTER_REGISTER!E252="","",MASTER_REGISTER!E252)</f>
        <v/>
      </c>
      <c r="B252">
        <f>IF(A252="","",MASTER_REGISTER!F252)</f>
        <v/>
      </c>
      <c r="C252">
        <f>IF(A252="","",MASTER_REGISTER!C252)</f>
        <v/>
      </c>
      <c r="D252">
        <f>IF(A252="","",COUNTIF(ATTENDANCE_DAILY!C:C,A252))</f>
        <v/>
      </c>
      <c r="E252">
        <f>IF(A252="","",COUNTIFS(ATTENDANCE_DAILY!C:C,A252,ATTENDANCE_DAILY!E:E,"Present"))</f>
        <v/>
      </c>
      <c r="F252">
        <f>IF(A252="","",COUNTIFS(ATTENDANCE_DAILY!C:C,A252,ATTENDANCE_DAILY!E:E,"Absent"))</f>
        <v/>
      </c>
      <c r="G252" s="5">
        <f>IF(D252=0,"",E252/D252)</f>
        <v/>
      </c>
      <c r="H252" s="4">
        <f>IF(G252="","",IF(G252&lt;0.75,"Low Attendance","OK"))</f>
        <v/>
      </c>
    </row>
    <row r="253">
      <c r="A253">
        <f>IF(MASTER_REGISTER!E253="","",MASTER_REGISTER!E253)</f>
        <v/>
      </c>
      <c r="B253">
        <f>IF(A253="","",MASTER_REGISTER!F253)</f>
        <v/>
      </c>
      <c r="C253">
        <f>IF(A253="","",MASTER_REGISTER!C253)</f>
        <v/>
      </c>
      <c r="D253">
        <f>IF(A253="","",COUNTIF(ATTENDANCE_DAILY!C:C,A253))</f>
        <v/>
      </c>
      <c r="E253">
        <f>IF(A253="","",COUNTIFS(ATTENDANCE_DAILY!C:C,A253,ATTENDANCE_DAILY!E:E,"Present"))</f>
        <v/>
      </c>
      <c r="F253">
        <f>IF(A253="","",COUNTIFS(ATTENDANCE_DAILY!C:C,A253,ATTENDANCE_DAILY!E:E,"Absent"))</f>
        <v/>
      </c>
      <c r="G253" s="5">
        <f>IF(D253=0,"",E253/D253)</f>
        <v/>
      </c>
      <c r="H253" s="4">
        <f>IF(G253="","",IF(G253&lt;0.75,"Low Attendance","OK"))</f>
        <v/>
      </c>
    </row>
    <row r="254">
      <c r="A254">
        <f>IF(MASTER_REGISTER!E254="","",MASTER_REGISTER!E254)</f>
        <v/>
      </c>
      <c r="B254">
        <f>IF(A254="","",MASTER_REGISTER!F254)</f>
        <v/>
      </c>
      <c r="C254">
        <f>IF(A254="","",MASTER_REGISTER!C254)</f>
        <v/>
      </c>
      <c r="D254">
        <f>IF(A254="","",COUNTIF(ATTENDANCE_DAILY!C:C,A254))</f>
        <v/>
      </c>
      <c r="E254">
        <f>IF(A254="","",COUNTIFS(ATTENDANCE_DAILY!C:C,A254,ATTENDANCE_DAILY!E:E,"Present"))</f>
        <v/>
      </c>
      <c r="F254">
        <f>IF(A254="","",COUNTIFS(ATTENDANCE_DAILY!C:C,A254,ATTENDANCE_DAILY!E:E,"Absent"))</f>
        <v/>
      </c>
      <c r="G254" s="5">
        <f>IF(D254=0,"",E254/D254)</f>
        <v/>
      </c>
      <c r="H254" s="4">
        <f>IF(G254="","",IF(G254&lt;0.75,"Low Attendance","OK"))</f>
        <v/>
      </c>
    </row>
    <row r="255">
      <c r="A255">
        <f>IF(MASTER_REGISTER!E255="","",MASTER_REGISTER!E255)</f>
        <v/>
      </c>
      <c r="B255">
        <f>IF(A255="","",MASTER_REGISTER!F255)</f>
        <v/>
      </c>
      <c r="C255">
        <f>IF(A255="","",MASTER_REGISTER!C255)</f>
        <v/>
      </c>
      <c r="D255">
        <f>IF(A255="","",COUNTIF(ATTENDANCE_DAILY!C:C,A255))</f>
        <v/>
      </c>
      <c r="E255">
        <f>IF(A255="","",COUNTIFS(ATTENDANCE_DAILY!C:C,A255,ATTENDANCE_DAILY!E:E,"Present"))</f>
        <v/>
      </c>
      <c r="F255">
        <f>IF(A255="","",COUNTIFS(ATTENDANCE_DAILY!C:C,A255,ATTENDANCE_DAILY!E:E,"Absent"))</f>
        <v/>
      </c>
      <c r="G255" s="5">
        <f>IF(D255=0,"",E255/D255)</f>
        <v/>
      </c>
      <c r="H255" s="4">
        <f>IF(G255="","",IF(G255&lt;0.75,"Low Attendance","OK"))</f>
        <v/>
      </c>
    </row>
    <row r="256">
      <c r="A256">
        <f>IF(MASTER_REGISTER!E256="","",MASTER_REGISTER!E256)</f>
        <v/>
      </c>
      <c r="B256">
        <f>IF(A256="","",MASTER_REGISTER!F256)</f>
        <v/>
      </c>
      <c r="C256">
        <f>IF(A256="","",MASTER_REGISTER!C256)</f>
        <v/>
      </c>
      <c r="D256">
        <f>IF(A256="","",COUNTIF(ATTENDANCE_DAILY!C:C,A256))</f>
        <v/>
      </c>
      <c r="E256">
        <f>IF(A256="","",COUNTIFS(ATTENDANCE_DAILY!C:C,A256,ATTENDANCE_DAILY!E:E,"Present"))</f>
        <v/>
      </c>
      <c r="F256">
        <f>IF(A256="","",COUNTIFS(ATTENDANCE_DAILY!C:C,A256,ATTENDANCE_DAILY!E:E,"Absent"))</f>
        <v/>
      </c>
      <c r="G256" s="5">
        <f>IF(D256=0,"",E256/D256)</f>
        <v/>
      </c>
      <c r="H256" s="4">
        <f>IF(G256="","",IF(G256&lt;0.75,"Low Attendance","OK"))</f>
        <v/>
      </c>
    </row>
    <row r="257">
      <c r="A257">
        <f>IF(MASTER_REGISTER!E257="","",MASTER_REGISTER!E257)</f>
        <v/>
      </c>
      <c r="B257">
        <f>IF(A257="","",MASTER_REGISTER!F257)</f>
        <v/>
      </c>
      <c r="C257">
        <f>IF(A257="","",MASTER_REGISTER!C257)</f>
        <v/>
      </c>
      <c r="D257">
        <f>IF(A257="","",COUNTIF(ATTENDANCE_DAILY!C:C,A257))</f>
        <v/>
      </c>
      <c r="E257">
        <f>IF(A257="","",COUNTIFS(ATTENDANCE_DAILY!C:C,A257,ATTENDANCE_DAILY!E:E,"Present"))</f>
        <v/>
      </c>
      <c r="F257">
        <f>IF(A257="","",COUNTIFS(ATTENDANCE_DAILY!C:C,A257,ATTENDANCE_DAILY!E:E,"Absent"))</f>
        <v/>
      </c>
      <c r="G257" s="5">
        <f>IF(D257=0,"",E257/D257)</f>
        <v/>
      </c>
      <c r="H257" s="4">
        <f>IF(G257="","",IF(G257&lt;0.75,"Low Attendance","OK"))</f>
        <v/>
      </c>
    </row>
    <row r="258">
      <c r="A258">
        <f>IF(MASTER_REGISTER!E258="","",MASTER_REGISTER!E258)</f>
        <v/>
      </c>
      <c r="B258">
        <f>IF(A258="","",MASTER_REGISTER!F258)</f>
        <v/>
      </c>
      <c r="C258">
        <f>IF(A258="","",MASTER_REGISTER!C258)</f>
        <v/>
      </c>
      <c r="D258">
        <f>IF(A258="","",COUNTIF(ATTENDANCE_DAILY!C:C,A258))</f>
        <v/>
      </c>
      <c r="E258">
        <f>IF(A258="","",COUNTIFS(ATTENDANCE_DAILY!C:C,A258,ATTENDANCE_DAILY!E:E,"Present"))</f>
        <v/>
      </c>
      <c r="F258">
        <f>IF(A258="","",COUNTIFS(ATTENDANCE_DAILY!C:C,A258,ATTENDANCE_DAILY!E:E,"Absent"))</f>
        <v/>
      </c>
      <c r="G258" s="5">
        <f>IF(D258=0,"",E258/D258)</f>
        <v/>
      </c>
      <c r="H258" s="4">
        <f>IF(G258="","",IF(G258&lt;0.75,"Low Attendance","OK"))</f>
        <v/>
      </c>
    </row>
    <row r="259">
      <c r="A259">
        <f>IF(MASTER_REGISTER!E259="","",MASTER_REGISTER!E259)</f>
        <v/>
      </c>
      <c r="B259">
        <f>IF(A259="","",MASTER_REGISTER!F259)</f>
        <v/>
      </c>
      <c r="C259">
        <f>IF(A259="","",MASTER_REGISTER!C259)</f>
        <v/>
      </c>
      <c r="D259">
        <f>IF(A259="","",COUNTIF(ATTENDANCE_DAILY!C:C,A259))</f>
        <v/>
      </c>
      <c r="E259">
        <f>IF(A259="","",COUNTIFS(ATTENDANCE_DAILY!C:C,A259,ATTENDANCE_DAILY!E:E,"Present"))</f>
        <v/>
      </c>
      <c r="F259">
        <f>IF(A259="","",COUNTIFS(ATTENDANCE_DAILY!C:C,A259,ATTENDANCE_DAILY!E:E,"Absent"))</f>
        <v/>
      </c>
      <c r="G259" s="5">
        <f>IF(D259=0,"",E259/D259)</f>
        <v/>
      </c>
      <c r="H259" s="4">
        <f>IF(G259="","",IF(G259&lt;0.75,"Low Attendance","OK"))</f>
        <v/>
      </c>
    </row>
    <row r="260">
      <c r="A260">
        <f>IF(MASTER_REGISTER!E260="","",MASTER_REGISTER!E260)</f>
        <v/>
      </c>
      <c r="B260">
        <f>IF(A260="","",MASTER_REGISTER!F260)</f>
        <v/>
      </c>
      <c r="C260">
        <f>IF(A260="","",MASTER_REGISTER!C260)</f>
        <v/>
      </c>
      <c r="D260">
        <f>IF(A260="","",COUNTIF(ATTENDANCE_DAILY!C:C,A260))</f>
        <v/>
      </c>
      <c r="E260">
        <f>IF(A260="","",COUNTIFS(ATTENDANCE_DAILY!C:C,A260,ATTENDANCE_DAILY!E:E,"Present"))</f>
        <v/>
      </c>
      <c r="F260">
        <f>IF(A260="","",COUNTIFS(ATTENDANCE_DAILY!C:C,A260,ATTENDANCE_DAILY!E:E,"Absent"))</f>
        <v/>
      </c>
      <c r="G260" s="5">
        <f>IF(D260=0,"",E260/D260)</f>
        <v/>
      </c>
      <c r="H260" s="4">
        <f>IF(G260="","",IF(G260&lt;0.75,"Low Attendance","OK"))</f>
        <v/>
      </c>
    </row>
    <row r="261">
      <c r="A261">
        <f>IF(MASTER_REGISTER!E261="","",MASTER_REGISTER!E261)</f>
        <v/>
      </c>
      <c r="B261">
        <f>IF(A261="","",MASTER_REGISTER!F261)</f>
        <v/>
      </c>
      <c r="C261">
        <f>IF(A261="","",MASTER_REGISTER!C261)</f>
        <v/>
      </c>
      <c r="D261">
        <f>IF(A261="","",COUNTIF(ATTENDANCE_DAILY!C:C,A261))</f>
        <v/>
      </c>
      <c r="E261">
        <f>IF(A261="","",COUNTIFS(ATTENDANCE_DAILY!C:C,A261,ATTENDANCE_DAILY!E:E,"Present"))</f>
        <v/>
      </c>
      <c r="F261">
        <f>IF(A261="","",COUNTIFS(ATTENDANCE_DAILY!C:C,A261,ATTENDANCE_DAILY!E:E,"Absent"))</f>
        <v/>
      </c>
      <c r="G261" s="5">
        <f>IF(D261=0,"",E261/D261)</f>
        <v/>
      </c>
      <c r="H261" s="4">
        <f>IF(G261="","",IF(G261&lt;0.75,"Low Attendance","OK"))</f>
        <v/>
      </c>
    </row>
    <row r="262">
      <c r="A262">
        <f>IF(MASTER_REGISTER!E262="","",MASTER_REGISTER!E262)</f>
        <v/>
      </c>
      <c r="B262">
        <f>IF(A262="","",MASTER_REGISTER!F262)</f>
        <v/>
      </c>
      <c r="C262">
        <f>IF(A262="","",MASTER_REGISTER!C262)</f>
        <v/>
      </c>
      <c r="D262">
        <f>IF(A262="","",COUNTIF(ATTENDANCE_DAILY!C:C,A262))</f>
        <v/>
      </c>
      <c r="E262">
        <f>IF(A262="","",COUNTIFS(ATTENDANCE_DAILY!C:C,A262,ATTENDANCE_DAILY!E:E,"Present"))</f>
        <v/>
      </c>
      <c r="F262">
        <f>IF(A262="","",COUNTIFS(ATTENDANCE_DAILY!C:C,A262,ATTENDANCE_DAILY!E:E,"Absent"))</f>
        <v/>
      </c>
      <c r="G262" s="5">
        <f>IF(D262=0,"",E262/D262)</f>
        <v/>
      </c>
      <c r="H262" s="4">
        <f>IF(G262="","",IF(G262&lt;0.75,"Low Attendance","OK"))</f>
        <v/>
      </c>
    </row>
    <row r="263">
      <c r="A263">
        <f>IF(MASTER_REGISTER!E263="","",MASTER_REGISTER!E263)</f>
        <v/>
      </c>
      <c r="B263">
        <f>IF(A263="","",MASTER_REGISTER!F263)</f>
        <v/>
      </c>
      <c r="C263">
        <f>IF(A263="","",MASTER_REGISTER!C263)</f>
        <v/>
      </c>
      <c r="D263">
        <f>IF(A263="","",COUNTIF(ATTENDANCE_DAILY!C:C,A263))</f>
        <v/>
      </c>
      <c r="E263">
        <f>IF(A263="","",COUNTIFS(ATTENDANCE_DAILY!C:C,A263,ATTENDANCE_DAILY!E:E,"Present"))</f>
        <v/>
      </c>
      <c r="F263">
        <f>IF(A263="","",COUNTIFS(ATTENDANCE_DAILY!C:C,A263,ATTENDANCE_DAILY!E:E,"Absent"))</f>
        <v/>
      </c>
      <c r="G263" s="5">
        <f>IF(D263=0,"",E263/D263)</f>
        <v/>
      </c>
      <c r="H263" s="4">
        <f>IF(G263="","",IF(G263&lt;0.75,"Low Attendance","OK"))</f>
        <v/>
      </c>
    </row>
    <row r="264">
      <c r="A264">
        <f>IF(MASTER_REGISTER!E264="","",MASTER_REGISTER!E264)</f>
        <v/>
      </c>
      <c r="B264">
        <f>IF(A264="","",MASTER_REGISTER!F264)</f>
        <v/>
      </c>
      <c r="C264">
        <f>IF(A264="","",MASTER_REGISTER!C264)</f>
        <v/>
      </c>
      <c r="D264">
        <f>IF(A264="","",COUNTIF(ATTENDANCE_DAILY!C:C,A264))</f>
        <v/>
      </c>
      <c r="E264">
        <f>IF(A264="","",COUNTIFS(ATTENDANCE_DAILY!C:C,A264,ATTENDANCE_DAILY!E:E,"Present"))</f>
        <v/>
      </c>
      <c r="F264">
        <f>IF(A264="","",COUNTIFS(ATTENDANCE_DAILY!C:C,A264,ATTENDANCE_DAILY!E:E,"Absent"))</f>
        <v/>
      </c>
      <c r="G264" s="5">
        <f>IF(D264=0,"",E264/D264)</f>
        <v/>
      </c>
      <c r="H264" s="4">
        <f>IF(G264="","",IF(G264&lt;0.75,"Low Attendance","OK"))</f>
        <v/>
      </c>
    </row>
    <row r="265">
      <c r="A265">
        <f>IF(MASTER_REGISTER!E265="","",MASTER_REGISTER!E265)</f>
        <v/>
      </c>
      <c r="B265">
        <f>IF(A265="","",MASTER_REGISTER!F265)</f>
        <v/>
      </c>
      <c r="C265">
        <f>IF(A265="","",MASTER_REGISTER!C265)</f>
        <v/>
      </c>
      <c r="D265">
        <f>IF(A265="","",COUNTIF(ATTENDANCE_DAILY!C:C,A265))</f>
        <v/>
      </c>
      <c r="E265">
        <f>IF(A265="","",COUNTIFS(ATTENDANCE_DAILY!C:C,A265,ATTENDANCE_DAILY!E:E,"Present"))</f>
        <v/>
      </c>
      <c r="F265">
        <f>IF(A265="","",COUNTIFS(ATTENDANCE_DAILY!C:C,A265,ATTENDANCE_DAILY!E:E,"Absent"))</f>
        <v/>
      </c>
      <c r="G265" s="5">
        <f>IF(D265=0,"",E265/D265)</f>
        <v/>
      </c>
      <c r="H265" s="4">
        <f>IF(G265="","",IF(G265&lt;0.75,"Low Attendance","OK"))</f>
        <v/>
      </c>
    </row>
    <row r="266">
      <c r="A266">
        <f>IF(MASTER_REGISTER!E266="","",MASTER_REGISTER!E266)</f>
        <v/>
      </c>
      <c r="B266">
        <f>IF(A266="","",MASTER_REGISTER!F266)</f>
        <v/>
      </c>
      <c r="C266">
        <f>IF(A266="","",MASTER_REGISTER!C266)</f>
        <v/>
      </c>
      <c r="D266">
        <f>IF(A266="","",COUNTIF(ATTENDANCE_DAILY!C:C,A266))</f>
        <v/>
      </c>
      <c r="E266">
        <f>IF(A266="","",COUNTIFS(ATTENDANCE_DAILY!C:C,A266,ATTENDANCE_DAILY!E:E,"Present"))</f>
        <v/>
      </c>
      <c r="F266">
        <f>IF(A266="","",COUNTIFS(ATTENDANCE_DAILY!C:C,A266,ATTENDANCE_DAILY!E:E,"Absent"))</f>
        <v/>
      </c>
      <c r="G266" s="5">
        <f>IF(D266=0,"",E266/D266)</f>
        <v/>
      </c>
      <c r="H266" s="4">
        <f>IF(G266="","",IF(G266&lt;0.75,"Low Attendance","OK"))</f>
        <v/>
      </c>
    </row>
    <row r="267">
      <c r="A267">
        <f>IF(MASTER_REGISTER!E267="","",MASTER_REGISTER!E267)</f>
        <v/>
      </c>
      <c r="B267">
        <f>IF(A267="","",MASTER_REGISTER!F267)</f>
        <v/>
      </c>
      <c r="C267">
        <f>IF(A267="","",MASTER_REGISTER!C267)</f>
        <v/>
      </c>
      <c r="D267">
        <f>IF(A267="","",COUNTIF(ATTENDANCE_DAILY!C:C,A267))</f>
        <v/>
      </c>
      <c r="E267">
        <f>IF(A267="","",COUNTIFS(ATTENDANCE_DAILY!C:C,A267,ATTENDANCE_DAILY!E:E,"Present"))</f>
        <v/>
      </c>
      <c r="F267">
        <f>IF(A267="","",COUNTIFS(ATTENDANCE_DAILY!C:C,A267,ATTENDANCE_DAILY!E:E,"Absent"))</f>
        <v/>
      </c>
      <c r="G267" s="5">
        <f>IF(D267=0,"",E267/D267)</f>
        <v/>
      </c>
      <c r="H267" s="4">
        <f>IF(G267="","",IF(G267&lt;0.75,"Low Attendance","OK"))</f>
        <v/>
      </c>
    </row>
    <row r="268">
      <c r="A268">
        <f>IF(MASTER_REGISTER!E268="","",MASTER_REGISTER!E268)</f>
        <v/>
      </c>
      <c r="B268">
        <f>IF(A268="","",MASTER_REGISTER!F268)</f>
        <v/>
      </c>
      <c r="C268">
        <f>IF(A268="","",MASTER_REGISTER!C268)</f>
        <v/>
      </c>
      <c r="D268">
        <f>IF(A268="","",COUNTIF(ATTENDANCE_DAILY!C:C,A268))</f>
        <v/>
      </c>
      <c r="E268">
        <f>IF(A268="","",COUNTIFS(ATTENDANCE_DAILY!C:C,A268,ATTENDANCE_DAILY!E:E,"Present"))</f>
        <v/>
      </c>
      <c r="F268">
        <f>IF(A268="","",COUNTIFS(ATTENDANCE_DAILY!C:C,A268,ATTENDANCE_DAILY!E:E,"Absent"))</f>
        <v/>
      </c>
      <c r="G268" s="5">
        <f>IF(D268=0,"",E268/D268)</f>
        <v/>
      </c>
      <c r="H268" s="4">
        <f>IF(G268="","",IF(G268&lt;0.75,"Low Attendance","OK"))</f>
        <v/>
      </c>
    </row>
    <row r="269">
      <c r="A269">
        <f>IF(MASTER_REGISTER!E269="","",MASTER_REGISTER!E269)</f>
        <v/>
      </c>
      <c r="B269">
        <f>IF(A269="","",MASTER_REGISTER!F269)</f>
        <v/>
      </c>
      <c r="C269">
        <f>IF(A269="","",MASTER_REGISTER!C269)</f>
        <v/>
      </c>
      <c r="D269">
        <f>IF(A269="","",COUNTIF(ATTENDANCE_DAILY!C:C,A269))</f>
        <v/>
      </c>
      <c r="E269">
        <f>IF(A269="","",COUNTIFS(ATTENDANCE_DAILY!C:C,A269,ATTENDANCE_DAILY!E:E,"Present"))</f>
        <v/>
      </c>
      <c r="F269">
        <f>IF(A269="","",COUNTIFS(ATTENDANCE_DAILY!C:C,A269,ATTENDANCE_DAILY!E:E,"Absent"))</f>
        <v/>
      </c>
      <c r="G269" s="5">
        <f>IF(D269=0,"",E269/D269)</f>
        <v/>
      </c>
      <c r="H269" s="4">
        <f>IF(G269="","",IF(G269&lt;0.75,"Low Attendance","OK"))</f>
        <v/>
      </c>
    </row>
    <row r="270">
      <c r="A270">
        <f>IF(MASTER_REGISTER!E270="","",MASTER_REGISTER!E270)</f>
        <v/>
      </c>
      <c r="B270">
        <f>IF(A270="","",MASTER_REGISTER!F270)</f>
        <v/>
      </c>
      <c r="C270">
        <f>IF(A270="","",MASTER_REGISTER!C270)</f>
        <v/>
      </c>
      <c r="D270">
        <f>IF(A270="","",COUNTIF(ATTENDANCE_DAILY!C:C,A270))</f>
        <v/>
      </c>
      <c r="E270">
        <f>IF(A270="","",COUNTIFS(ATTENDANCE_DAILY!C:C,A270,ATTENDANCE_DAILY!E:E,"Present"))</f>
        <v/>
      </c>
      <c r="F270">
        <f>IF(A270="","",COUNTIFS(ATTENDANCE_DAILY!C:C,A270,ATTENDANCE_DAILY!E:E,"Absent"))</f>
        <v/>
      </c>
      <c r="G270" s="5">
        <f>IF(D270=0,"",E270/D270)</f>
        <v/>
      </c>
      <c r="H270" s="4">
        <f>IF(G270="","",IF(G270&lt;0.75,"Low Attendance","OK"))</f>
        <v/>
      </c>
    </row>
    <row r="271">
      <c r="A271">
        <f>IF(MASTER_REGISTER!E271="","",MASTER_REGISTER!E271)</f>
        <v/>
      </c>
      <c r="B271">
        <f>IF(A271="","",MASTER_REGISTER!F271)</f>
        <v/>
      </c>
      <c r="C271">
        <f>IF(A271="","",MASTER_REGISTER!C271)</f>
        <v/>
      </c>
      <c r="D271">
        <f>IF(A271="","",COUNTIF(ATTENDANCE_DAILY!C:C,A271))</f>
        <v/>
      </c>
      <c r="E271">
        <f>IF(A271="","",COUNTIFS(ATTENDANCE_DAILY!C:C,A271,ATTENDANCE_DAILY!E:E,"Present"))</f>
        <v/>
      </c>
      <c r="F271">
        <f>IF(A271="","",COUNTIFS(ATTENDANCE_DAILY!C:C,A271,ATTENDANCE_DAILY!E:E,"Absent"))</f>
        <v/>
      </c>
      <c r="G271" s="5">
        <f>IF(D271=0,"",E271/D271)</f>
        <v/>
      </c>
      <c r="H271" s="4">
        <f>IF(G271="","",IF(G271&lt;0.75,"Low Attendance","OK"))</f>
        <v/>
      </c>
    </row>
    <row r="272">
      <c r="A272">
        <f>IF(MASTER_REGISTER!E272="","",MASTER_REGISTER!E272)</f>
        <v/>
      </c>
      <c r="B272">
        <f>IF(A272="","",MASTER_REGISTER!F272)</f>
        <v/>
      </c>
      <c r="C272">
        <f>IF(A272="","",MASTER_REGISTER!C272)</f>
        <v/>
      </c>
      <c r="D272">
        <f>IF(A272="","",COUNTIF(ATTENDANCE_DAILY!C:C,A272))</f>
        <v/>
      </c>
      <c r="E272">
        <f>IF(A272="","",COUNTIFS(ATTENDANCE_DAILY!C:C,A272,ATTENDANCE_DAILY!E:E,"Present"))</f>
        <v/>
      </c>
      <c r="F272">
        <f>IF(A272="","",COUNTIFS(ATTENDANCE_DAILY!C:C,A272,ATTENDANCE_DAILY!E:E,"Absent"))</f>
        <v/>
      </c>
      <c r="G272" s="5">
        <f>IF(D272=0,"",E272/D272)</f>
        <v/>
      </c>
      <c r="H272" s="4">
        <f>IF(G272="","",IF(G272&lt;0.75,"Low Attendance","OK"))</f>
        <v/>
      </c>
    </row>
    <row r="273">
      <c r="A273">
        <f>IF(MASTER_REGISTER!E273="","",MASTER_REGISTER!E273)</f>
        <v/>
      </c>
      <c r="B273">
        <f>IF(A273="","",MASTER_REGISTER!F273)</f>
        <v/>
      </c>
      <c r="C273">
        <f>IF(A273="","",MASTER_REGISTER!C273)</f>
        <v/>
      </c>
      <c r="D273">
        <f>IF(A273="","",COUNTIF(ATTENDANCE_DAILY!C:C,A273))</f>
        <v/>
      </c>
      <c r="E273">
        <f>IF(A273="","",COUNTIFS(ATTENDANCE_DAILY!C:C,A273,ATTENDANCE_DAILY!E:E,"Present"))</f>
        <v/>
      </c>
      <c r="F273">
        <f>IF(A273="","",COUNTIFS(ATTENDANCE_DAILY!C:C,A273,ATTENDANCE_DAILY!E:E,"Absent"))</f>
        <v/>
      </c>
      <c r="G273" s="5">
        <f>IF(D273=0,"",E273/D273)</f>
        <v/>
      </c>
      <c r="H273" s="4">
        <f>IF(G273="","",IF(G273&lt;0.75,"Low Attendance","OK"))</f>
        <v/>
      </c>
    </row>
    <row r="274">
      <c r="A274">
        <f>IF(MASTER_REGISTER!E274="","",MASTER_REGISTER!E274)</f>
        <v/>
      </c>
      <c r="B274">
        <f>IF(A274="","",MASTER_REGISTER!F274)</f>
        <v/>
      </c>
      <c r="C274">
        <f>IF(A274="","",MASTER_REGISTER!C274)</f>
        <v/>
      </c>
      <c r="D274">
        <f>IF(A274="","",COUNTIF(ATTENDANCE_DAILY!C:C,A274))</f>
        <v/>
      </c>
      <c r="E274">
        <f>IF(A274="","",COUNTIFS(ATTENDANCE_DAILY!C:C,A274,ATTENDANCE_DAILY!E:E,"Present"))</f>
        <v/>
      </c>
      <c r="F274">
        <f>IF(A274="","",COUNTIFS(ATTENDANCE_DAILY!C:C,A274,ATTENDANCE_DAILY!E:E,"Absent"))</f>
        <v/>
      </c>
      <c r="G274" s="5">
        <f>IF(D274=0,"",E274/D274)</f>
        <v/>
      </c>
      <c r="H274" s="4">
        <f>IF(G274="","",IF(G274&lt;0.75,"Low Attendance","OK"))</f>
        <v/>
      </c>
    </row>
    <row r="275">
      <c r="A275">
        <f>IF(MASTER_REGISTER!E275="","",MASTER_REGISTER!E275)</f>
        <v/>
      </c>
      <c r="B275">
        <f>IF(A275="","",MASTER_REGISTER!F275)</f>
        <v/>
      </c>
      <c r="C275">
        <f>IF(A275="","",MASTER_REGISTER!C275)</f>
        <v/>
      </c>
      <c r="D275">
        <f>IF(A275="","",COUNTIF(ATTENDANCE_DAILY!C:C,A275))</f>
        <v/>
      </c>
      <c r="E275">
        <f>IF(A275="","",COUNTIFS(ATTENDANCE_DAILY!C:C,A275,ATTENDANCE_DAILY!E:E,"Present"))</f>
        <v/>
      </c>
      <c r="F275">
        <f>IF(A275="","",COUNTIFS(ATTENDANCE_DAILY!C:C,A275,ATTENDANCE_DAILY!E:E,"Absent"))</f>
        <v/>
      </c>
      <c r="G275" s="5">
        <f>IF(D275=0,"",E275/D275)</f>
        <v/>
      </c>
      <c r="H275" s="4">
        <f>IF(G275="","",IF(G275&lt;0.75,"Low Attendance","OK"))</f>
        <v/>
      </c>
    </row>
    <row r="276">
      <c r="A276">
        <f>IF(MASTER_REGISTER!E276="","",MASTER_REGISTER!E276)</f>
        <v/>
      </c>
      <c r="B276">
        <f>IF(A276="","",MASTER_REGISTER!F276)</f>
        <v/>
      </c>
      <c r="C276">
        <f>IF(A276="","",MASTER_REGISTER!C276)</f>
        <v/>
      </c>
      <c r="D276">
        <f>IF(A276="","",COUNTIF(ATTENDANCE_DAILY!C:C,A276))</f>
        <v/>
      </c>
      <c r="E276">
        <f>IF(A276="","",COUNTIFS(ATTENDANCE_DAILY!C:C,A276,ATTENDANCE_DAILY!E:E,"Present"))</f>
        <v/>
      </c>
      <c r="F276">
        <f>IF(A276="","",COUNTIFS(ATTENDANCE_DAILY!C:C,A276,ATTENDANCE_DAILY!E:E,"Absent"))</f>
        <v/>
      </c>
      <c r="G276" s="5">
        <f>IF(D276=0,"",E276/D276)</f>
        <v/>
      </c>
      <c r="H276" s="4">
        <f>IF(G276="","",IF(G276&lt;0.75,"Low Attendance","OK"))</f>
        <v/>
      </c>
    </row>
    <row r="277">
      <c r="A277">
        <f>IF(MASTER_REGISTER!E277="","",MASTER_REGISTER!E277)</f>
        <v/>
      </c>
      <c r="B277">
        <f>IF(A277="","",MASTER_REGISTER!F277)</f>
        <v/>
      </c>
      <c r="C277">
        <f>IF(A277="","",MASTER_REGISTER!C277)</f>
        <v/>
      </c>
      <c r="D277">
        <f>IF(A277="","",COUNTIF(ATTENDANCE_DAILY!C:C,A277))</f>
        <v/>
      </c>
      <c r="E277">
        <f>IF(A277="","",COUNTIFS(ATTENDANCE_DAILY!C:C,A277,ATTENDANCE_DAILY!E:E,"Present"))</f>
        <v/>
      </c>
      <c r="F277">
        <f>IF(A277="","",COUNTIFS(ATTENDANCE_DAILY!C:C,A277,ATTENDANCE_DAILY!E:E,"Absent"))</f>
        <v/>
      </c>
      <c r="G277" s="5">
        <f>IF(D277=0,"",E277/D277)</f>
        <v/>
      </c>
      <c r="H277" s="4">
        <f>IF(G277="","",IF(G277&lt;0.75,"Low Attendance","OK"))</f>
        <v/>
      </c>
    </row>
    <row r="278">
      <c r="A278">
        <f>IF(MASTER_REGISTER!E278="","",MASTER_REGISTER!E278)</f>
        <v/>
      </c>
      <c r="B278">
        <f>IF(A278="","",MASTER_REGISTER!F278)</f>
        <v/>
      </c>
      <c r="C278">
        <f>IF(A278="","",MASTER_REGISTER!C278)</f>
        <v/>
      </c>
      <c r="D278">
        <f>IF(A278="","",COUNTIF(ATTENDANCE_DAILY!C:C,A278))</f>
        <v/>
      </c>
      <c r="E278">
        <f>IF(A278="","",COUNTIFS(ATTENDANCE_DAILY!C:C,A278,ATTENDANCE_DAILY!E:E,"Present"))</f>
        <v/>
      </c>
      <c r="F278">
        <f>IF(A278="","",COUNTIFS(ATTENDANCE_DAILY!C:C,A278,ATTENDANCE_DAILY!E:E,"Absent"))</f>
        <v/>
      </c>
      <c r="G278" s="5">
        <f>IF(D278=0,"",E278/D278)</f>
        <v/>
      </c>
      <c r="H278" s="4">
        <f>IF(G278="","",IF(G278&lt;0.75,"Low Attendance","OK"))</f>
        <v/>
      </c>
    </row>
    <row r="279">
      <c r="A279">
        <f>IF(MASTER_REGISTER!E279="","",MASTER_REGISTER!E279)</f>
        <v/>
      </c>
      <c r="B279">
        <f>IF(A279="","",MASTER_REGISTER!F279)</f>
        <v/>
      </c>
      <c r="C279">
        <f>IF(A279="","",MASTER_REGISTER!C279)</f>
        <v/>
      </c>
      <c r="D279">
        <f>IF(A279="","",COUNTIF(ATTENDANCE_DAILY!C:C,A279))</f>
        <v/>
      </c>
      <c r="E279">
        <f>IF(A279="","",COUNTIFS(ATTENDANCE_DAILY!C:C,A279,ATTENDANCE_DAILY!E:E,"Present"))</f>
        <v/>
      </c>
      <c r="F279">
        <f>IF(A279="","",COUNTIFS(ATTENDANCE_DAILY!C:C,A279,ATTENDANCE_DAILY!E:E,"Absent"))</f>
        <v/>
      </c>
      <c r="G279" s="5">
        <f>IF(D279=0,"",E279/D279)</f>
        <v/>
      </c>
      <c r="H279" s="4">
        <f>IF(G279="","",IF(G279&lt;0.75,"Low Attendance","OK"))</f>
        <v/>
      </c>
    </row>
    <row r="280">
      <c r="A280">
        <f>IF(MASTER_REGISTER!E280="","",MASTER_REGISTER!E280)</f>
        <v/>
      </c>
      <c r="B280">
        <f>IF(A280="","",MASTER_REGISTER!F280)</f>
        <v/>
      </c>
      <c r="C280">
        <f>IF(A280="","",MASTER_REGISTER!C280)</f>
        <v/>
      </c>
      <c r="D280">
        <f>IF(A280="","",COUNTIF(ATTENDANCE_DAILY!C:C,A280))</f>
        <v/>
      </c>
      <c r="E280">
        <f>IF(A280="","",COUNTIFS(ATTENDANCE_DAILY!C:C,A280,ATTENDANCE_DAILY!E:E,"Present"))</f>
        <v/>
      </c>
      <c r="F280">
        <f>IF(A280="","",COUNTIFS(ATTENDANCE_DAILY!C:C,A280,ATTENDANCE_DAILY!E:E,"Absent"))</f>
        <v/>
      </c>
      <c r="G280" s="5">
        <f>IF(D280=0,"",E280/D280)</f>
        <v/>
      </c>
      <c r="H280" s="4">
        <f>IF(G280="","",IF(G280&lt;0.75,"Low Attendance","OK"))</f>
        <v/>
      </c>
    </row>
    <row r="281">
      <c r="A281">
        <f>IF(MASTER_REGISTER!E281="","",MASTER_REGISTER!E281)</f>
        <v/>
      </c>
      <c r="B281">
        <f>IF(A281="","",MASTER_REGISTER!F281)</f>
        <v/>
      </c>
      <c r="C281">
        <f>IF(A281="","",MASTER_REGISTER!C281)</f>
        <v/>
      </c>
      <c r="D281">
        <f>IF(A281="","",COUNTIF(ATTENDANCE_DAILY!C:C,A281))</f>
        <v/>
      </c>
      <c r="E281">
        <f>IF(A281="","",COUNTIFS(ATTENDANCE_DAILY!C:C,A281,ATTENDANCE_DAILY!E:E,"Present"))</f>
        <v/>
      </c>
      <c r="F281">
        <f>IF(A281="","",COUNTIFS(ATTENDANCE_DAILY!C:C,A281,ATTENDANCE_DAILY!E:E,"Absent"))</f>
        <v/>
      </c>
      <c r="G281" s="5">
        <f>IF(D281=0,"",E281/D281)</f>
        <v/>
      </c>
      <c r="H281" s="4">
        <f>IF(G281="","",IF(G281&lt;0.75,"Low Attendance","OK"))</f>
        <v/>
      </c>
    </row>
    <row r="282">
      <c r="A282">
        <f>IF(MASTER_REGISTER!E282="","",MASTER_REGISTER!E282)</f>
        <v/>
      </c>
      <c r="B282">
        <f>IF(A282="","",MASTER_REGISTER!F282)</f>
        <v/>
      </c>
      <c r="C282">
        <f>IF(A282="","",MASTER_REGISTER!C282)</f>
        <v/>
      </c>
      <c r="D282">
        <f>IF(A282="","",COUNTIF(ATTENDANCE_DAILY!C:C,A282))</f>
        <v/>
      </c>
      <c r="E282">
        <f>IF(A282="","",COUNTIFS(ATTENDANCE_DAILY!C:C,A282,ATTENDANCE_DAILY!E:E,"Present"))</f>
        <v/>
      </c>
      <c r="F282">
        <f>IF(A282="","",COUNTIFS(ATTENDANCE_DAILY!C:C,A282,ATTENDANCE_DAILY!E:E,"Absent"))</f>
        <v/>
      </c>
      <c r="G282" s="5">
        <f>IF(D282=0,"",E282/D282)</f>
        <v/>
      </c>
      <c r="H282" s="4">
        <f>IF(G282="","",IF(G282&lt;0.75,"Low Attendance","OK"))</f>
        <v/>
      </c>
    </row>
    <row r="283">
      <c r="A283">
        <f>IF(MASTER_REGISTER!E283="","",MASTER_REGISTER!E283)</f>
        <v/>
      </c>
      <c r="B283">
        <f>IF(A283="","",MASTER_REGISTER!F283)</f>
        <v/>
      </c>
      <c r="C283">
        <f>IF(A283="","",MASTER_REGISTER!C283)</f>
        <v/>
      </c>
      <c r="D283">
        <f>IF(A283="","",COUNTIF(ATTENDANCE_DAILY!C:C,A283))</f>
        <v/>
      </c>
      <c r="E283">
        <f>IF(A283="","",COUNTIFS(ATTENDANCE_DAILY!C:C,A283,ATTENDANCE_DAILY!E:E,"Present"))</f>
        <v/>
      </c>
      <c r="F283">
        <f>IF(A283="","",COUNTIFS(ATTENDANCE_DAILY!C:C,A283,ATTENDANCE_DAILY!E:E,"Absent"))</f>
        <v/>
      </c>
      <c r="G283" s="5">
        <f>IF(D283=0,"",E283/D283)</f>
        <v/>
      </c>
      <c r="H283" s="4">
        <f>IF(G283="","",IF(G283&lt;0.75,"Low Attendance","OK"))</f>
        <v/>
      </c>
    </row>
    <row r="284">
      <c r="A284">
        <f>IF(MASTER_REGISTER!E284="","",MASTER_REGISTER!E284)</f>
        <v/>
      </c>
      <c r="B284">
        <f>IF(A284="","",MASTER_REGISTER!F284)</f>
        <v/>
      </c>
      <c r="C284">
        <f>IF(A284="","",MASTER_REGISTER!C284)</f>
        <v/>
      </c>
      <c r="D284">
        <f>IF(A284="","",COUNTIF(ATTENDANCE_DAILY!C:C,A284))</f>
        <v/>
      </c>
      <c r="E284">
        <f>IF(A284="","",COUNTIFS(ATTENDANCE_DAILY!C:C,A284,ATTENDANCE_DAILY!E:E,"Present"))</f>
        <v/>
      </c>
      <c r="F284">
        <f>IF(A284="","",COUNTIFS(ATTENDANCE_DAILY!C:C,A284,ATTENDANCE_DAILY!E:E,"Absent"))</f>
        <v/>
      </c>
      <c r="G284" s="5">
        <f>IF(D284=0,"",E284/D284)</f>
        <v/>
      </c>
      <c r="H284" s="4">
        <f>IF(G284="","",IF(G284&lt;0.75,"Low Attendance","OK"))</f>
        <v/>
      </c>
    </row>
    <row r="285">
      <c r="A285">
        <f>IF(MASTER_REGISTER!E285="","",MASTER_REGISTER!E285)</f>
        <v/>
      </c>
      <c r="B285">
        <f>IF(A285="","",MASTER_REGISTER!F285)</f>
        <v/>
      </c>
      <c r="C285">
        <f>IF(A285="","",MASTER_REGISTER!C285)</f>
        <v/>
      </c>
      <c r="D285">
        <f>IF(A285="","",COUNTIF(ATTENDANCE_DAILY!C:C,A285))</f>
        <v/>
      </c>
      <c r="E285">
        <f>IF(A285="","",COUNTIFS(ATTENDANCE_DAILY!C:C,A285,ATTENDANCE_DAILY!E:E,"Present"))</f>
        <v/>
      </c>
      <c r="F285">
        <f>IF(A285="","",COUNTIFS(ATTENDANCE_DAILY!C:C,A285,ATTENDANCE_DAILY!E:E,"Absent"))</f>
        <v/>
      </c>
      <c r="G285" s="5">
        <f>IF(D285=0,"",E285/D285)</f>
        <v/>
      </c>
      <c r="H285" s="4">
        <f>IF(G285="","",IF(G285&lt;0.75,"Low Attendance","OK"))</f>
        <v/>
      </c>
    </row>
    <row r="286">
      <c r="A286">
        <f>IF(MASTER_REGISTER!E286="","",MASTER_REGISTER!E286)</f>
        <v/>
      </c>
      <c r="B286">
        <f>IF(A286="","",MASTER_REGISTER!F286)</f>
        <v/>
      </c>
      <c r="C286">
        <f>IF(A286="","",MASTER_REGISTER!C286)</f>
        <v/>
      </c>
      <c r="D286">
        <f>IF(A286="","",COUNTIF(ATTENDANCE_DAILY!C:C,A286))</f>
        <v/>
      </c>
      <c r="E286">
        <f>IF(A286="","",COUNTIFS(ATTENDANCE_DAILY!C:C,A286,ATTENDANCE_DAILY!E:E,"Present"))</f>
        <v/>
      </c>
      <c r="F286">
        <f>IF(A286="","",COUNTIFS(ATTENDANCE_DAILY!C:C,A286,ATTENDANCE_DAILY!E:E,"Absent"))</f>
        <v/>
      </c>
      <c r="G286" s="5">
        <f>IF(D286=0,"",E286/D286)</f>
        <v/>
      </c>
      <c r="H286" s="4">
        <f>IF(G286="","",IF(G286&lt;0.75,"Low Attendance","OK"))</f>
        <v/>
      </c>
    </row>
    <row r="287">
      <c r="A287">
        <f>IF(MASTER_REGISTER!E287="","",MASTER_REGISTER!E287)</f>
        <v/>
      </c>
      <c r="B287">
        <f>IF(A287="","",MASTER_REGISTER!F287)</f>
        <v/>
      </c>
      <c r="C287">
        <f>IF(A287="","",MASTER_REGISTER!C287)</f>
        <v/>
      </c>
      <c r="D287">
        <f>IF(A287="","",COUNTIF(ATTENDANCE_DAILY!C:C,A287))</f>
        <v/>
      </c>
      <c r="E287">
        <f>IF(A287="","",COUNTIFS(ATTENDANCE_DAILY!C:C,A287,ATTENDANCE_DAILY!E:E,"Present"))</f>
        <v/>
      </c>
      <c r="F287">
        <f>IF(A287="","",COUNTIFS(ATTENDANCE_DAILY!C:C,A287,ATTENDANCE_DAILY!E:E,"Absent"))</f>
        <v/>
      </c>
      <c r="G287" s="5">
        <f>IF(D287=0,"",E287/D287)</f>
        <v/>
      </c>
      <c r="H287" s="4">
        <f>IF(G287="","",IF(G287&lt;0.75,"Low Attendance","OK"))</f>
        <v/>
      </c>
    </row>
    <row r="288">
      <c r="A288">
        <f>IF(MASTER_REGISTER!E288="","",MASTER_REGISTER!E288)</f>
        <v/>
      </c>
      <c r="B288">
        <f>IF(A288="","",MASTER_REGISTER!F288)</f>
        <v/>
      </c>
      <c r="C288">
        <f>IF(A288="","",MASTER_REGISTER!C288)</f>
        <v/>
      </c>
      <c r="D288">
        <f>IF(A288="","",COUNTIF(ATTENDANCE_DAILY!C:C,A288))</f>
        <v/>
      </c>
      <c r="E288">
        <f>IF(A288="","",COUNTIFS(ATTENDANCE_DAILY!C:C,A288,ATTENDANCE_DAILY!E:E,"Present"))</f>
        <v/>
      </c>
      <c r="F288">
        <f>IF(A288="","",COUNTIFS(ATTENDANCE_DAILY!C:C,A288,ATTENDANCE_DAILY!E:E,"Absent"))</f>
        <v/>
      </c>
      <c r="G288" s="5">
        <f>IF(D288=0,"",E288/D288)</f>
        <v/>
      </c>
      <c r="H288" s="4">
        <f>IF(G288="","",IF(G288&lt;0.75,"Low Attendance","OK"))</f>
        <v/>
      </c>
    </row>
    <row r="289">
      <c r="A289">
        <f>IF(MASTER_REGISTER!E289="","",MASTER_REGISTER!E289)</f>
        <v/>
      </c>
      <c r="B289">
        <f>IF(A289="","",MASTER_REGISTER!F289)</f>
        <v/>
      </c>
      <c r="C289">
        <f>IF(A289="","",MASTER_REGISTER!C289)</f>
        <v/>
      </c>
      <c r="D289">
        <f>IF(A289="","",COUNTIF(ATTENDANCE_DAILY!C:C,A289))</f>
        <v/>
      </c>
      <c r="E289">
        <f>IF(A289="","",COUNTIFS(ATTENDANCE_DAILY!C:C,A289,ATTENDANCE_DAILY!E:E,"Present"))</f>
        <v/>
      </c>
      <c r="F289">
        <f>IF(A289="","",COUNTIFS(ATTENDANCE_DAILY!C:C,A289,ATTENDANCE_DAILY!E:E,"Absent"))</f>
        <v/>
      </c>
      <c r="G289" s="5">
        <f>IF(D289=0,"",E289/D289)</f>
        <v/>
      </c>
      <c r="H289" s="4">
        <f>IF(G289="","",IF(G289&lt;0.75,"Low Attendance","OK"))</f>
        <v/>
      </c>
    </row>
    <row r="290">
      <c r="A290">
        <f>IF(MASTER_REGISTER!E290="","",MASTER_REGISTER!E290)</f>
        <v/>
      </c>
      <c r="B290">
        <f>IF(A290="","",MASTER_REGISTER!F290)</f>
        <v/>
      </c>
      <c r="C290">
        <f>IF(A290="","",MASTER_REGISTER!C290)</f>
        <v/>
      </c>
      <c r="D290">
        <f>IF(A290="","",COUNTIF(ATTENDANCE_DAILY!C:C,A290))</f>
        <v/>
      </c>
      <c r="E290">
        <f>IF(A290="","",COUNTIFS(ATTENDANCE_DAILY!C:C,A290,ATTENDANCE_DAILY!E:E,"Present"))</f>
        <v/>
      </c>
      <c r="F290">
        <f>IF(A290="","",COUNTIFS(ATTENDANCE_DAILY!C:C,A290,ATTENDANCE_DAILY!E:E,"Absent"))</f>
        <v/>
      </c>
      <c r="G290" s="5">
        <f>IF(D290=0,"",E290/D290)</f>
        <v/>
      </c>
      <c r="H290" s="4">
        <f>IF(G290="","",IF(G290&lt;0.75,"Low Attendance","OK"))</f>
        <v/>
      </c>
    </row>
    <row r="291">
      <c r="A291">
        <f>IF(MASTER_REGISTER!E291="","",MASTER_REGISTER!E291)</f>
        <v/>
      </c>
      <c r="B291">
        <f>IF(A291="","",MASTER_REGISTER!F291)</f>
        <v/>
      </c>
      <c r="C291">
        <f>IF(A291="","",MASTER_REGISTER!C291)</f>
        <v/>
      </c>
      <c r="D291">
        <f>IF(A291="","",COUNTIF(ATTENDANCE_DAILY!C:C,A291))</f>
        <v/>
      </c>
      <c r="E291">
        <f>IF(A291="","",COUNTIFS(ATTENDANCE_DAILY!C:C,A291,ATTENDANCE_DAILY!E:E,"Present"))</f>
        <v/>
      </c>
      <c r="F291">
        <f>IF(A291="","",COUNTIFS(ATTENDANCE_DAILY!C:C,A291,ATTENDANCE_DAILY!E:E,"Absent"))</f>
        <v/>
      </c>
      <c r="G291" s="5">
        <f>IF(D291=0,"",E291/D291)</f>
        <v/>
      </c>
      <c r="H291" s="4">
        <f>IF(G291="","",IF(G291&lt;0.75,"Low Attendance","OK"))</f>
        <v/>
      </c>
    </row>
    <row r="292">
      <c r="A292">
        <f>IF(MASTER_REGISTER!E292="","",MASTER_REGISTER!E292)</f>
        <v/>
      </c>
      <c r="B292">
        <f>IF(A292="","",MASTER_REGISTER!F292)</f>
        <v/>
      </c>
      <c r="C292">
        <f>IF(A292="","",MASTER_REGISTER!C292)</f>
        <v/>
      </c>
      <c r="D292">
        <f>IF(A292="","",COUNTIF(ATTENDANCE_DAILY!C:C,A292))</f>
        <v/>
      </c>
      <c r="E292">
        <f>IF(A292="","",COUNTIFS(ATTENDANCE_DAILY!C:C,A292,ATTENDANCE_DAILY!E:E,"Present"))</f>
        <v/>
      </c>
      <c r="F292">
        <f>IF(A292="","",COUNTIFS(ATTENDANCE_DAILY!C:C,A292,ATTENDANCE_DAILY!E:E,"Absent"))</f>
        <v/>
      </c>
      <c r="G292" s="5">
        <f>IF(D292=0,"",E292/D292)</f>
        <v/>
      </c>
      <c r="H292" s="4">
        <f>IF(G292="","",IF(G292&lt;0.75,"Low Attendance","OK"))</f>
        <v/>
      </c>
    </row>
    <row r="293">
      <c r="A293">
        <f>IF(MASTER_REGISTER!E293="","",MASTER_REGISTER!E293)</f>
        <v/>
      </c>
      <c r="B293">
        <f>IF(A293="","",MASTER_REGISTER!F293)</f>
        <v/>
      </c>
      <c r="C293">
        <f>IF(A293="","",MASTER_REGISTER!C293)</f>
        <v/>
      </c>
      <c r="D293">
        <f>IF(A293="","",COUNTIF(ATTENDANCE_DAILY!C:C,A293))</f>
        <v/>
      </c>
      <c r="E293">
        <f>IF(A293="","",COUNTIFS(ATTENDANCE_DAILY!C:C,A293,ATTENDANCE_DAILY!E:E,"Present"))</f>
        <v/>
      </c>
      <c r="F293">
        <f>IF(A293="","",COUNTIFS(ATTENDANCE_DAILY!C:C,A293,ATTENDANCE_DAILY!E:E,"Absent"))</f>
        <v/>
      </c>
      <c r="G293" s="5">
        <f>IF(D293=0,"",E293/D293)</f>
        <v/>
      </c>
      <c r="H293" s="4">
        <f>IF(G293="","",IF(G293&lt;0.75,"Low Attendance","OK"))</f>
        <v/>
      </c>
    </row>
    <row r="294">
      <c r="A294">
        <f>IF(MASTER_REGISTER!E294="","",MASTER_REGISTER!E294)</f>
        <v/>
      </c>
      <c r="B294">
        <f>IF(A294="","",MASTER_REGISTER!F294)</f>
        <v/>
      </c>
      <c r="C294">
        <f>IF(A294="","",MASTER_REGISTER!C294)</f>
        <v/>
      </c>
      <c r="D294">
        <f>IF(A294="","",COUNTIF(ATTENDANCE_DAILY!C:C,A294))</f>
        <v/>
      </c>
      <c r="E294">
        <f>IF(A294="","",COUNTIFS(ATTENDANCE_DAILY!C:C,A294,ATTENDANCE_DAILY!E:E,"Present"))</f>
        <v/>
      </c>
      <c r="F294">
        <f>IF(A294="","",COUNTIFS(ATTENDANCE_DAILY!C:C,A294,ATTENDANCE_DAILY!E:E,"Absent"))</f>
        <v/>
      </c>
      <c r="G294" s="5">
        <f>IF(D294=0,"",E294/D294)</f>
        <v/>
      </c>
      <c r="H294" s="4">
        <f>IF(G294="","",IF(G294&lt;0.75,"Low Attendance","OK"))</f>
        <v/>
      </c>
    </row>
    <row r="295">
      <c r="A295">
        <f>IF(MASTER_REGISTER!E295="","",MASTER_REGISTER!E295)</f>
        <v/>
      </c>
      <c r="B295">
        <f>IF(A295="","",MASTER_REGISTER!F295)</f>
        <v/>
      </c>
      <c r="C295">
        <f>IF(A295="","",MASTER_REGISTER!C295)</f>
        <v/>
      </c>
      <c r="D295">
        <f>IF(A295="","",COUNTIF(ATTENDANCE_DAILY!C:C,A295))</f>
        <v/>
      </c>
      <c r="E295">
        <f>IF(A295="","",COUNTIFS(ATTENDANCE_DAILY!C:C,A295,ATTENDANCE_DAILY!E:E,"Present"))</f>
        <v/>
      </c>
      <c r="F295">
        <f>IF(A295="","",COUNTIFS(ATTENDANCE_DAILY!C:C,A295,ATTENDANCE_DAILY!E:E,"Absent"))</f>
        <v/>
      </c>
      <c r="G295" s="5">
        <f>IF(D295=0,"",E295/D295)</f>
        <v/>
      </c>
      <c r="H295" s="4">
        <f>IF(G295="","",IF(G295&lt;0.75,"Low Attendance","OK"))</f>
        <v/>
      </c>
    </row>
    <row r="296">
      <c r="A296">
        <f>IF(MASTER_REGISTER!E296="","",MASTER_REGISTER!E296)</f>
        <v/>
      </c>
      <c r="B296">
        <f>IF(A296="","",MASTER_REGISTER!F296)</f>
        <v/>
      </c>
      <c r="C296">
        <f>IF(A296="","",MASTER_REGISTER!C296)</f>
        <v/>
      </c>
      <c r="D296">
        <f>IF(A296="","",COUNTIF(ATTENDANCE_DAILY!C:C,A296))</f>
        <v/>
      </c>
      <c r="E296">
        <f>IF(A296="","",COUNTIFS(ATTENDANCE_DAILY!C:C,A296,ATTENDANCE_DAILY!E:E,"Present"))</f>
        <v/>
      </c>
      <c r="F296">
        <f>IF(A296="","",COUNTIFS(ATTENDANCE_DAILY!C:C,A296,ATTENDANCE_DAILY!E:E,"Absent"))</f>
        <v/>
      </c>
      <c r="G296" s="5">
        <f>IF(D296=0,"",E296/D296)</f>
        <v/>
      </c>
      <c r="H296" s="4">
        <f>IF(G296="","",IF(G296&lt;0.75,"Low Attendance","OK"))</f>
        <v/>
      </c>
    </row>
    <row r="297">
      <c r="A297">
        <f>IF(MASTER_REGISTER!E297="","",MASTER_REGISTER!E297)</f>
        <v/>
      </c>
      <c r="B297">
        <f>IF(A297="","",MASTER_REGISTER!F297)</f>
        <v/>
      </c>
      <c r="C297">
        <f>IF(A297="","",MASTER_REGISTER!C297)</f>
        <v/>
      </c>
      <c r="D297">
        <f>IF(A297="","",COUNTIF(ATTENDANCE_DAILY!C:C,A297))</f>
        <v/>
      </c>
      <c r="E297">
        <f>IF(A297="","",COUNTIFS(ATTENDANCE_DAILY!C:C,A297,ATTENDANCE_DAILY!E:E,"Present"))</f>
        <v/>
      </c>
      <c r="F297">
        <f>IF(A297="","",COUNTIFS(ATTENDANCE_DAILY!C:C,A297,ATTENDANCE_DAILY!E:E,"Absent"))</f>
        <v/>
      </c>
      <c r="G297" s="5">
        <f>IF(D297=0,"",E297/D297)</f>
        <v/>
      </c>
      <c r="H297" s="4">
        <f>IF(G297="","",IF(G297&lt;0.75,"Low Attendance","OK"))</f>
        <v/>
      </c>
    </row>
    <row r="298">
      <c r="A298">
        <f>IF(MASTER_REGISTER!E298="","",MASTER_REGISTER!E298)</f>
        <v/>
      </c>
      <c r="B298">
        <f>IF(A298="","",MASTER_REGISTER!F298)</f>
        <v/>
      </c>
      <c r="C298">
        <f>IF(A298="","",MASTER_REGISTER!C298)</f>
        <v/>
      </c>
      <c r="D298">
        <f>IF(A298="","",COUNTIF(ATTENDANCE_DAILY!C:C,A298))</f>
        <v/>
      </c>
      <c r="E298">
        <f>IF(A298="","",COUNTIFS(ATTENDANCE_DAILY!C:C,A298,ATTENDANCE_DAILY!E:E,"Present"))</f>
        <v/>
      </c>
      <c r="F298">
        <f>IF(A298="","",COUNTIFS(ATTENDANCE_DAILY!C:C,A298,ATTENDANCE_DAILY!E:E,"Absent"))</f>
        <v/>
      </c>
      <c r="G298" s="5">
        <f>IF(D298=0,"",E298/D298)</f>
        <v/>
      </c>
      <c r="H298" s="4">
        <f>IF(G298="","",IF(G298&lt;0.75,"Low Attendance","OK"))</f>
        <v/>
      </c>
    </row>
    <row r="299">
      <c r="A299">
        <f>IF(MASTER_REGISTER!E299="","",MASTER_REGISTER!E299)</f>
        <v/>
      </c>
      <c r="B299">
        <f>IF(A299="","",MASTER_REGISTER!F299)</f>
        <v/>
      </c>
      <c r="C299">
        <f>IF(A299="","",MASTER_REGISTER!C299)</f>
        <v/>
      </c>
      <c r="D299">
        <f>IF(A299="","",COUNTIF(ATTENDANCE_DAILY!C:C,A299))</f>
        <v/>
      </c>
      <c r="E299">
        <f>IF(A299="","",COUNTIFS(ATTENDANCE_DAILY!C:C,A299,ATTENDANCE_DAILY!E:E,"Present"))</f>
        <v/>
      </c>
      <c r="F299">
        <f>IF(A299="","",COUNTIFS(ATTENDANCE_DAILY!C:C,A299,ATTENDANCE_DAILY!E:E,"Absent"))</f>
        <v/>
      </c>
      <c r="G299" s="5">
        <f>IF(D299=0,"",E299/D299)</f>
        <v/>
      </c>
      <c r="H299" s="4">
        <f>IF(G299="","",IF(G299&lt;0.75,"Low Attendance","OK"))</f>
        <v/>
      </c>
    </row>
    <row r="300">
      <c r="A300">
        <f>IF(MASTER_REGISTER!E300="","",MASTER_REGISTER!E300)</f>
        <v/>
      </c>
      <c r="B300">
        <f>IF(A300="","",MASTER_REGISTER!F300)</f>
        <v/>
      </c>
      <c r="C300">
        <f>IF(A300="","",MASTER_REGISTER!C300)</f>
        <v/>
      </c>
      <c r="D300">
        <f>IF(A300="","",COUNTIF(ATTENDANCE_DAILY!C:C,A300))</f>
        <v/>
      </c>
      <c r="E300">
        <f>IF(A300="","",COUNTIFS(ATTENDANCE_DAILY!C:C,A300,ATTENDANCE_DAILY!E:E,"Present"))</f>
        <v/>
      </c>
      <c r="F300">
        <f>IF(A300="","",COUNTIFS(ATTENDANCE_DAILY!C:C,A300,ATTENDANCE_DAILY!E:E,"Absent"))</f>
        <v/>
      </c>
      <c r="G300" s="5">
        <f>IF(D300=0,"",E300/D300)</f>
        <v/>
      </c>
      <c r="H300" s="4">
        <f>IF(G300="","",IF(G300&lt;0.75,"Low Attendance","OK"))</f>
        <v/>
      </c>
    </row>
    <row r="301">
      <c r="A301">
        <f>IF(MASTER_REGISTER!E301="","",MASTER_REGISTER!E301)</f>
        <v/>
      </c>
      <c r="B301">
        <f>IF(A301="","",MASTER_REGISTER!F301)</f>
        <v/>
      </c>
      <c r="C301">
        <f>IF(A301="","",MASTER_REGISTER!C301)</f>
        <v/>
      </c>
      <c r="D301">
        <f>IF(A301="","",COUNTIF(ATTENDANCE_DAILY!C:C,A301))</f>
        <v/>
      </c>
      <c r="E301">
        <f>IF(A301="","",COUNTIFS(ATTENDANCE_DAILY!C:C,A301,ATTENDANCE_DAILY!E:E,"Present"))</f>
        <v/>
      </c>
      <c r="F301">
        <f>IF(A301="","",COUNTIFS(ATTENDANCE_DAILY!C:C,A301,ATTENDANCE_DAILY!E:E,"Absent"))</f>
        <v/>
      </c>
      <c r="G301" s="5">
        <f>IF(D301=0,"",E301/D301)</f>
        <v/>
      </c>
      <c r="H301" s="4">
        <f>IF(G301="","",IF(G301&lt;0.75,"Low Attendance","OK"))</f>
        <v/>
      </c>
    </row>
    <row r="302">
      <c r="A302">
        <f>IF(MASTER_REGISTER!E302="","",MASTER_REGISTER!E302)</f>
        <v/>
      </c>
      <c r="B302">
        <f>IF(A302="","",MASTER_REGISTER!F302)</f>
        <v/>
      </c>
      <c r="C302">
        <f>IF(A302="","",MASTER_REGISTER!C302)</f>
        <v/>
      </c>
      <c r="D302">
        <f>IF(A302="","",COUNTIF(ATTENDANCE_DAILY!C:C,A302))</f>
        <v/>
      </c>
      <c r="E302">
        <f>IF(A302="","",COUNTIFS(ATTENDANCE_DAILY!C:C,A302,ATTENDANCE_DAILY!E:E,"Present"))</f>
        <v/>
      </c>
      <c r="F302">
        <f>IF(A302="","",COUNTIFS(ATTENDANCE_DAILY!C:C,A302,ATTENDANCE_DAILY!E:E,"Absent"))</f>
        <v/>
      </c>
      <c r="G302" s="5">
        <f>IF(D302=0,"",E302/D302)</f>
        <v/>
      </c>
      <c r="H302" s="4">
        <f>IF(G302="","",IF(G302&lt;0.75,"Low Attendance","OK"))</f>
        <v/>
      </c>
    </row>
    <row r="303">
      <c r="A303">
        <f>IF(MASTER_REGISTER!E303="","",MASTER_REGISTER!E303)</f>
        <v/>
      </c>
      <c r="B303">
        <f>IF(A303="","",MASTER_REGISTER!F303)</f>
        <v/>
      </c>
      <c r="C303">
        <f>IF(A303="","",MASTER_REGISTER!C303)</f>
        <v/>
      </c>
      <c r="D303">
        <f>IF(A303="","",COUNTIF(ATTENDANCE_DAILY!C:C,A303))</f>
        <v/>
      </c>
      <c r="E303">
        <f>IF(A303="","",COUNTIFS(ATTENDANCE_DAILY!C:C,A303,ATTENDANCE_DAILY!E:E,"Present"))</f>
        <v/>
      </c>
      <c r="F303">
        <f>IF(A303="","",COUNTIFS(ATTENDANCE_DAILY!C:C,A303,ATTENDANCE_DAILY!E:E,"Absent"))</f>
        <v/>
      </c>
      <c r="G303" s="5">
        <f>IF(D303=0,"",E303/D303)</f>
        <v/>
      </c>
      <c r="H303" s="4">
        <f>IF(G303="","",IF(G303&lt;0.75,"Low Attendance","OK"))</f>
        <v/>
      </c>
    </row>
    <row r="304">
      <c r="A304">
        <f>IF(MASTER_REGISTER!E304="","",MASTER_REGISTER!E304)</f>
        <v/>
      </c>
      <c r="B304">
        <f>IF(A304="","",MASTER_REGISTER!F304)</f>
        <v/>
      </c>
      <c r="C304">
        <f>IF(A304="","",MASTER_REGISTER!C304)</f>
        <v/>
      </c>
      <c r="D304">
        <f>IF(A304="","",COUNTIF(ATTENDANCE_DAILY!C:C,A304))</f>
        <v/>
      </c>
      <c r="E304">
        <f>IF(A304="","",COUNTIFS(ATTENDANCE_DAILY!C:C,A304,ATTENDANCE_DAILY!E:E,"Present"))</f>
        <v/>
      </c>
      <c r="F304">
        <f>IF(A304="","",COUNTIFS(ATTENDANCE_DAILY!C:C,A304,ATTENDANCE_DAILY!E:E,"Absent"))</f>
        <v/>
      </c>
      <c r="G304" s="5">
        <f>IF(D304=0,"",E304/D304)</f>
        <v/>
      </c>
      <c r="H304" s="4">
        <f>IF(G304="","",IF(G304&lt;0.75,"Low Attendance","OK"))</f>
        <v/>
      </c>
    </row>
    <row r="305">
      <c r="A305">
        <f>IF(MASTER_REGISTER!E305="","",MASTER_REGISTER!E305)</f>
        <v/>
      </c>
      <c r="B305">
        <f>IF(A305="","",MASTER_REGISTER!F305)</f>
        <v/>
      </c>
      <c r="C305">
        <f>IF(A305="","",MASTER_REGISTER!C305)</f>
        <v/>
      </c>
      <c r="D305">
        <f>IF(A305="","",COUNTIF(ATTENDANCE_DAILY!C:C,A305))</f>
        <v/>
      </c>
      <c r="E305">
        <f>IF(A305="","",COUNTIFS(ATTENDANCE_DAILY!C:C,A305,ATTENDANCE_DAILY!E:E,"Present"))</f>
        <v/>
      </c>
      <c r="F305">
        <f>IF(A305="","",COUNTIFS(ATTENDANCE_DAILY!C:C,A305,ATTENDANCE_DAILY!E:E,"Absent"))</f>
        <v/>
      </c>
      <c r="G305" s="5">
        <f>IF(D305=0,"",E305/D305)</f>
        <v/>
      </c>
      <c r="H305" s="4">
        <f>IF(G305="","",IF(G305&lt;0.75,"Low Attendance","OK"))</f>
        <v/>
      </c>
    </row>
    <row r="306">
      <c r="A306">
        <f>IF(MASTER_REGISTER!E306="","",MASTER_REGISTER!E306)</f>
        <v/>
      </c>
      <c r="B306">
        <f>IF(A306="","",MASTER_REGISTER!F306)</f>
        <v/>
      </c>
      <c r="C306">
        <f>IF(A306="","",MASTER_REGISTER!C306)</f>
        <v/>
      </c>
      <c r="D306">
        <f>IF(A306="","",COUNTIF(ATTENDANCE_DAILY!C:C,A306))</f>
        <v/>
      </c>
      <c r="E306">
        <f>IF(A306="","",COUNTIFS(ATTENDANCE_DAILY!C:C,A306,ATTENDANCE_DAILY!E:E,"Present"))</f>
        <v/>
      </c>
      <c r="F306">
        <f>IF(A306="","",COUNTIFS(ATTENDANCE_DAILY!C:C,A306,ATTENDANCE_DAILY!E:E,"Absent"))</f>
        <v/>
      </c>
      <c r="G306" s="5">
        <f>IF(D306=0,"",E306/D306)</f>
        <v/>
      </c>
      <c r="H306" s="4">
        <f>IF(G306="","",IF(G306&lt;0.75,"Low Attendance","OK"))</f>
        <v/>
      </c>
    </row>
    <row r="307">
      <c r="A307">
        <f>IF(MASTER_REGISTER!E307="","",MASTER_REGISTER!E307)</f>
        <v/>
      </c>
      <c r="B307">
        <f>IF(A307="","",MASTER_REGISTER!F307)</f>
        <v/>
      </c>
      <c r="C307">
        <f>IF(A307="","",MASTER_REGISTER!C307)</f>
        <v/>
      </c>
      <c r="D307">
        <f>IF(A307="","",COUNTIF(ATTENDANCE_DAILY!C:C,A307))</f>
        <v/>
      </c>
      <c r="E307">
        <f>IF(A307="","",COUNTIFS(ATTENDANCE_DAILY!C:C,A307,ATTENDANCE_DAILY!E:E,"Present"))</f>
        <v/>
      </c>
      <c r="F307">
        <f>IF(A307="","",COUNTIFS(ATTENDANCE_DAILY!C:C,A307,ATTENDANCE_DAILY!E:E,"Absent"))</f>
        <v/>
      </c>
      <c r="G307" s="5">
        <f>IF(D307=0,"",E307/D307)</f>
        <v/>
      </c>
      <c r="H307" s="4">
        <f>IF(G307="","",IF(G307&lt;0.75,"Low Attendance","OK"))</f>
        <v/>
      </c>
    </row>
    <row r="308">
      <c r="A308">
        <f>IF(MASTER_REGISTER!E308="","",MASTER_REGISTER!E308)</f>
        <v/>
      </c>
      <c r="B308">
        <f>IF(A308="","",MASTER_REGISTER!F308)</f>
        <v/>
      </c>
      <c r="C308">
        <f>IF(A308="","",MASTER_REGISTER!C308)</f>
        <v/>
      </c>
      <c r="D308">
        <f>IF(A308="","",COUNTIF(ATTENDANCE_DAILY!C:C,A308))</f>
        <v/>
      </c>
      <c r="E308">
        <f>IF(A308="","",COUNTIFS(ATTENDANCE_DAILY!C:C,A308,ATTENDANCE_DAILY!E:E,"Present"))</f>
        <v/>
      </c>
      <c r="F308">
        <f>IF(A308="","",COUNTIFS(ATTENDANCE_DAILY!C:C,A308,ATTENDANCE_DAILY!E:E,"Absent"))</f>
        <v/>
      </c>
      <c r="G308" s="5">
        <f>IF(D308=0,"",E308/D308)</f>
        <v/>
      </c>
      <c r="H308" s="4">
        <f>IF(G308="","",IF(G308&lt;0.75,"Low Attendance","OK"))</f>
        <v/>
      </c>
    </row>
    <row r="309">
      <c r="A309">
        <f>IF(MASTER_REGISTER!E309="","",MASTER_REGISTER!E309)</f>
        <v/>
      </c>
      <c r="B309">
        <f>IF(A309="","",MASTER_REGISTER!F309)</f>
        <v/>
      </c>
      <c r="C309">
        <f>IF(A309="","",MASTER_REGISTER!C309)</f>
        <v/>
      </c>
      <c r="D309">
        <f>IF(A309="","",COUNTIF(ATTENDANCE_DAILY!C:C,A309))</f>
        <v/>
      </c>
      <c r="E309">
        <f>IF(A309="","",COUNTIFS(ATTENDANCE_DAILY!C:C,A309,ATTENDANCE_DAILY!E:E,"Present"))</f>
        <v/>
      </c>
      <c r="F309">
        <f>IF(A309="","",COUNTIFS(ATTENDANCE_DAILY!C:C,A309,ATTENDANCE_DAILY!E:E,"Absent"))</f>
        <v/>
      </c>
      <c r="G309" s="5">
        <f>IF(D309=0,"",E309/D309)</f>
        <v/>
      </c>
      <c r="H309" s="4">
        <f>IF(G309="","",IF(G309&lt;0.75,"Low Attendance","OK"))</f>
        <v/>
      </c>
    </row>
    <row r="310">
      <c r="A310">
        <f>IF(MASTER_REGISTER!E310="","",MASTER_REGISTER!E310)</f>
        <v/>
      </c>
      <c r="B310">
        <f>IF(A310="","",MASTER_REGISTER!F310)</f>
        <v/>
      </c>
      <c r="C310">
        <f>IF(A310="","",MASTER_REGISTER!C310)</f>
        <v/>
      </c>
      <c r="D310">
        <f>IF(A310="","",COUNTIF(ATTENDANCE_DAILY!C:C,A310))</f>
        <v/>
      </c>
      <c r="E310">
        <f>IF(A310="","",COUNTIFS(ATTENDANCE_DAILY!C:C,A310,ATTENDANCE_DAILY!E:E,"Present"))</f>
        <v/>
      </c>
      <c r="F310">
        <f>IF(A310="","",COUNTIFS(ATTENDANCE_DAILY!C:C,A310,ATTENDANCE_DAILY!E:E,"Absent"))</f>
        <v/>
      </c>
      <c r="G310" s="5">
        <f>IF(D310=0,"",E310/D310)</f>
        <v/>
      </c>
      <c r="H310" s="4">
        <f>IF(G310="","",IF(G310&lt;0.75,"Low Attendance","OK"))</f>
        <v/>
      </c>
    </row>
    <row r="311">
      <c r="A311">
        <f>IF(MASTER_REGISTER!E311="","",MASTER_REGISTER!E311)</f>
        <v/>
      </c>
      <c r="B311">
        <f>IF(A311="","",MASTER_REGISTER!F311)</f>
        <v/>
      </c>
      <c r="C311">
        <f>IF(A311="","",MASTER_REGISTER!C311)</f>
        <v/>
      </c>
      <c r="D311">
        <f>IF(A311="","",COUNTIF(ATTENDANCE_DAILY!C:C,A311))</f>
        <v/>
      </c>
      <c r="E311">
        <f>IF(A311="","",COUNTIFS(ATTENDANCE_DAILY!C:C,A311,ATTENDANCE_DAILY!E:E,"Present"))</f>
        <v/>
      </c>
      <c r="F311">
        <f>IF(A311="","",COUNTIFS(ATTENDANCE_DAILY!C:C,A311,ATTENDANCE_DAILY!E:E,"Absent"))</f>
        <v/>
      </c>
      <c r="G311" s="5">
        <f>IF(D311=0,"",E311/D311)</f>
        <v/>
      </c>
      <c r="H311" s="4">
        <f>IF(G311="","",IF(G311&lt;0.75,"Low Attendance","OK"))</f>
        <v/>
      </c>
    </row>
    <row r="312">
      <c r="A312">
        <f>IF(MASTER_REGISTER!E312="","",MASTER_REGISTER!E312)</f>
        <v/>
      </c>
      <c r="B312">
        <f>IF(A312="","",MASTER_REGISTER!F312)</f>
        <v/>
      </c>
      <c r="C312">
        <f>IF(A312="","",MASTER_REGISTER!C312)</f>
        <v/>
      </c>
      <c r="D312">
        <f>IF(A312="","",COUNTIF(ATTENDANCE_DAILY!C:C,A312))</f>
        <v/>
      </c>
      <c r="E312">
        <f>IF(A312="","",COUNTIFS(ATTENDANCE_DAILY!C:C,A312,ATTENDANCE_DAILY!E:E,"Present"))</f>
        <v/>
      </c>
      <c r="F312">
        <f>IF(A312="","",COUNTIFS(ATTENDANCE_DAILY!C:C,A312,ATTENDANCE_DAILY!E:E,"Absent"))</f>
        <v/>
      </c>
      <c r="G312" s="5">
        <f>IF(D312=0,"",E312/D312)</f>
        <v/>
      </c>
      <c r="H312" s="4">
        <f>IF(G312="","",IF(G312&lt;0.75,"Low Attendance","OK"))</f>
        <v/>
      </c>
    </row>
    <row r="313">
      <c r="A313">
        <f>IF(MASTER_REGISTER!E313="","",MASTER_REGISTER!E313)</f>
        <v/>
      </c>
      <c r="B313">
        <f>IF(A313="","",MASTER_REGISTER!F313)</f>
        <v/>
      </c>
      <c r="C313">
        <f>IF(A313="","",MASTER_REGISTER!C313)</f>
        <v/>
      </c>
      <c r="D313">
        <f>IF(A313="","",COUNTIF(ATTENDANCE_DAILY!C:C,A313))</f>
        <v/>
      </c>
      <c r="E313">
        <f>IF(A313="","",COUNTIFS(ATTENDANCE_DAILY!C:C,A313,ATTENDANCE_DAILY!E:E,"Present"))</f>
        <v/>
      </c>
      <c r="F313">
        <f>IF(A313="","",COUNTIFS(ATTENDANCE_DAILY!C:C,A313,ATTENDANCE_DAILY!E:E,"Absent"))</f>
        <v/>
      </c>
      <c r="G313" s="5">
        <f>IF(D313=0,"",E313/D313)</f>
        <v/>
      </c>
      <c r="H313" s="4">
        <f>IF(G313="","",IF(G313&lt;0.75,"Low Attendance","OK"))</f>
        <v/>
      </c>
    </row>
    <row r="314">
      <c r="A314">
        <f>IF(MASTER_REGISTER!E314="","",MASTER_REGISTER!E314)</f>
        <v/>
      </c>
      <c r="B314">
        <f>IF(A314="","",MASTER_REGISTER!F314)</f>
        <v/>
      </c>
      <c r="C314">
        <f>IF(A314="","",MASTER_REGISTER!C314)</f>
        <v/>
      </c>
      <c r="D314">
        <f>IF(A314="","",COUNTIF(ATTENDANCE_DAILY!C:C,A314))</f>
        <v/>
      </c>
      <c r="E314">
        <f>IF(A314="","",COUNTIFS(ATTENDANCE_DAILY!C:C,A314,ATTENDANCE_DAILY!E:E,"Present"))</f>
        <v/>
      </c>
      <c r="F314">
        <f>IF(A314="","",COUNTIFS(ATTENDANCE_DAILY!C:C,A314,ATTENDANCE_DAILY!E:E,"Absent"))</f>
        <v/>
      </c>
      <c r="G314" s="5">
        <f>IF(D314=0,"",E314/D314)</f>
        <v/>
      </c>
      <c r="H314" s="4">
        <f>IF(G314="","",IF(G314&lt;0.75,"Low Attendance","OK"))</f>
        <v/>
      </c>
    </row>
    <row r="315">
      <c r="A315">
        <f>IF(MASTER_REGISTER!E315="","",MASTER_REGISTER!E315)</f>
        <v/>
      </c>
      <c r="B315">
        <f>IF(A315="","",MASTER_REGISTER!F315)</f>
        <v/>
      </c>
      <c r="C315">
        <f>IF(A315="","",MASTER_REGISTER!C315)</f>
        <v/>
      </c>
      <c r="D315">
        <f>IF(A315="","",COUNTIF(ATTENDANCE_DAILY!C:C,A315))</f>
        <v/>
      </c>
      <c r="E315">
        <f>IF(A315="","",COUNTIFS(ATTENDANCE_DAILY!C:C,A315,ATTENDANCE_DAILY!E:E,"Present"))</f>
        <v/>
      </c>
      <c r="F315">
        <f>IF(A315="","",COUNTIFS(ATTENDANCE_DAILY!C:C,A315,ATTENDANCE_DAILY!E:E,"Absent"))</f>
        <v/>
      </c>
      <c r="G315" s="5">
        <f>IF(D315=0,"",E315/D315)</f>
        <v/>
      </c>
      <c r="H315" s="4">
        <f>IF(G315="","",IF(G315&lt;0.75,"Low Attendance","OK"))</f>
        <v/>
      </c>
    </row>
    <row r="316">
      <c r="A316">
        <f>IF(MASTER_REGISTER!E316="","",MASTER_REGISTER!E316)</f>
        <v/>
      </c>
      <c r="B316">
        <f>IF(A316="","",MASTER_REGISTER!F316)</f>
        <v/>
      </c>
      <c r="C316">
        <f>IF(A316="","",MASTER_REGISTER!C316)</f>
        <v/>
      </c>
      <c r="D316">
        <f>IF(A316="","",COUNTIF(ATTENDANCE_DAILY!C:C,A316))</f>
        <v/>
      </c>
      <c r="E316">
        <f>IF(A316="","",COUNTIFS(ATTENDANCE_DAILY!C:C,A316,ATTENDANCE_DAILY!E:E,"Present"))</f>
        <v/>
      </c>
      <c r="F316">
        <f>IF(A316="","",COUNTIFS(ATTENDANCE_DAILY!C:C,A316,ATTENDANCE_DAILY!E:E,"Absent"))</f>
        <v/>
      </c>
      <c r="G316" s="5">
        <f>IF(D316=0,"",E316/D316)</f>
        <v/>
      </c>
      <c r="H316" s="4">
        <f>IF(G316="","",IF(G316&lt;0.75,"Low Attendance","OK"))</f>
        <v/>
      </c>
    </row>
    <row r="317">
      <c r="A317">
        <f>IF(MASTER_REGISTER!E317="","",MASTER_REGISTER!E317)</f>
        <v/>
      </c>
      <c r="B317">
        <f>IF(A317="","",MASTER_REGISTER!F317)</f>
        <v/>
      </c>
      <c r="C317">
        <f>IF(A317="","",MASTER_REGISTER!C317)</f>
        <v/>
      </c>
      <c r="D317">
        <f>IF(A317="","",COUNTIF(ATTENDANCE_DAILY!C:C,A317))</f>
        <v/>
      </c>
      <c r="E317">
        <f>IF(A317="","",COUNTIFS(ATTENDANCE_DAILY!C:C,A317,ATTENDANCE_DAILY!E:E,"Present"))</f>
        <v/>
      </c>
      <c r="F317">
        <f>IF(A317="","",COUNTIFS(ATTENDANCE_DAILY!C:C,A317,ATTENDANCE_DAILY!E:E,"Absent"))</f>
        <v/>
      </c>
      <c r="G317" s="5">
        <f>IF(D317=0,"",E317/D317)</f>
        <v/>
      </c>
      <c r="H317" s="4">
        <f>IF(G317="","",IF(G317&lt;0.75,"Low Attendance","OK"))</f>
        <v/>
      </c>
    </row>
    <row r="318">
      <c r="A318">
        <f>IF(MASTER_REGISTER!E318="","",MASTER_REGISTER!E318)</f>
        <v/>
      </c>
      <c r="B318">
        <f>IF(A318="","",MASTER_REGISTER!F318)</f>
        <v/>
      </c>
      <c r="C318">
        <f>IF(A318="","",MASTER_REGISTER!C318)</f>
        <v/>
      </c>
      <c r="D318">
        <f>IF(A318="","",COUNTIF(ATTENDANCE_DAILY!C:C,A318))</f>
        <v/>
      </c>
      <c r="E318">
        <f>IF(A318="","",COUNTIFS(ATTENDANCE_DAILY!C:C,A318,ATTENDANCE_DAILY!E:E,"Present"))</f>
        <v/>
      </c>
      <c r="F318">
        <f>IF(A318="","",COUNTIFS(ATTENDANCE_DAILY!C:C,A318,ATTENDANCE_DAILY!E:E,"Absent"))</f>
        <v/>
      </c>
      <c r="G318" s="5">
        <f>IF(D318=0,"",E318/D318)</f>
        <v/>
      </c>
      <c r="H318" s="4">
        <f>IF(G318="","",IF(G318&lt;0.75,"Low Attendance","OK"))</f>
        <v/>
      </c>
    </row>
    <row r="319">
      <c r="A319">
        <f>IF(MASTER_REGISTER!E319="","",MASTER_REGISTER!E319)</f>
        <v/>
      </c>
      <c r="B319">
        <f>IF(A319="","",MASTER_REGISTER!F319)</f>
        <v/>
      </c>
      <c r="C319">
        <f>IF(A319="","",MASTER_REGISTER!C319)</f>
        <v/>
      </c>
      <c r="D319">
        <f>IF(A319="","",COUNTIF(ATTENDANCE_DAILY!C:C,A319))</f>
        <v/>
      </c>
      <c r="E319">
        <f>IF(A319="","",COUNTIFS(ATTENDANCE_DAILY!C:C,A319,ATTENDANCE_DAILY!E:E,"Present"))</f>
        <v/>
      </c>
      <c r="F319">
        <f>IF(A319="","",COUNTIFS(ATTENDANCE_DAILY!C:C,A319,ATTENDANCE_DAILY!E:E,"Absent"))</f>
        <v/>
      </c>
      <c r="G319" s="5">
        <f>IF(D319=0,"",E319/D319)</f>
        <v/>
      </c>
      <c r="H319" s="4">
        <f>IF(G319="","",IF(G319&lt;0.75,"Low Attendance","OK"))</f>
        <v/>
      </c>
    </row>
    <row r="320">
      <c r="A320">
        <f>IF(MASTER_REGISTER!E320="","",MASTER_REGISTER!E320)</f>
        <v/>
      </c>
      <c r="B320">
        <f>IF(A320="","",MASTER_REGISTER!F320)</f>
        <v/>
      </c>
      <c r="C320">
        <f>IF(A320="","",MASTER_REGISTER!C320)</f>
        <v/>
      </c>
      <c r="D320">
        <f>IF(A320="","",COUNTIF(ATTENDANCE_DAILY!C:C,A320))</f>
        <v/>
      </c>
      <c r="E320">
        <f>IF(A320="","",COUNTIFS(ATTENDANCE_DAILY!C:C,A320,ATTENDANCE_DAILY!E:E,"Present"))</f>
        <v/>
      </c>
      <c r="F320">
        <f>IF(A320="","",COUNTIFS(ATTENDANCE_DAILY!C:C,A320,ATTENDANCE_DAILY!E:E,"Absent"))</f>
        <v/>
      </c>
      <c r="G320" s="5">
        <f>IF(D320=0,"",E320/D320)</f>
        <v/>
      </c>
      <c r="H320" s="4">
        <f>IF(G320="","",IF(G320&lt;0.75,"Low Attendance","OK"))</f>
        <v/>
      </c>
    </row>
    <row r="321">
      <c r="A321">
        <f>IF(MASTER_REGISTER!E321="","",MASTER_REGISTER!E321)</f>
        <v/>
      </c>
      <c r="B321">
        <f>IF(A321="","",MASTER_REGISTER!F321)</f>
        <v/>
      </c>
      <c r="C321">
        <f>IF(A321="","",MASTER_REGISTER!C321)</f>
        <v/>
      </c>
      <c r="D321">
        <f>IF(A321="","",COUNTIF(ATTENDANCE_DAILY!C:C,A321))</f>
        <v/>
      </c>
      <c r="E321">
        <f>IF(A321="","",COUNTIFS(ATTENDANCE_DAILY!C:C,A321,ATTENDANCE_DAILY!E:E,"Present"))</f>
        <v/>
      </c>
      <c r="F321">
        <f>IF(A321="","",COUNTIFS(ATTENDANCE_DAILY!C:C,A321,ATTENDANCE_DAILY!E:E,"Absent"))</f>
        <v/>
      </c>
      <c r="G321" s="5">
        <f>IF(D321=0,"",E321/D321)</f>
        <v/>
      </c>
      <c r="H321" s="4">
        <f>IF(G321="","",IF(G321&lt;0.75,"Low Attendance","OK"))</f>
        <v/>
      </c>
    </row>
    <row r="322">
      <c r="A322">
        <f>IF(MASTER_REGISTER!E322="","",MASTER_REGISTER!E322)</f>
        <v/>
      </c>
      <c r="B322">
        <f>IF(A322="","",MASTER_REGISTER!F322)</f>
        <v/>
      </c>
      <c r="C322">
        <f>IF(A322="","",MASTER_REGISTER!C322)</f>
        <v/>
      </c>
      <c r="D322">
        <f>IF(A322="","",COUNTIF(ATTENDANCE_DAILY!C:C,A322))</f>
        <v/>
      </c>
      <c r="E322">
        <f>IF(A322="","",COUNTIFS(ATTENDANCE_DAILY!C:C,A322,ATTENDANCE_DAILY!E:E,"Present"))</f>
        <v/>
      </c>
      <c r="F322">
        <f>IF(A322="","",COUNTIFS(ATTENDANCE_DAILY!C:C,A322,ATTENDANCE_DAILY!E:E,"Absent"))</f>
        <v/>
      </c>
      <c r="G322" s="5">
        <f>IF(D322=0,"",E322/D322)</f>
        <v/>
      </c>
      <c r="H322" s="4">
        <f>IF(G322="","",IF(G322&lt;0.75,"Low Attendance","OK"))</f>
        <v/>
      </c>
    </row>
    <row r="323">
      <c r="A323">
        <f>IF(MASTER_REGISTER!E323="","",MASTER_REGISTER!E323)</f>
        <v/>
      </c>
      <c r="B323">
        <f>IF(A323="","",MASTER_REGISTER!F323)</f>
        <v/>
      </c>
      <c r="C323">
        <f>IF(A323="","",MASTER_REGISTER!C323)</f>
        <v/>
      </c>
      <c r="D323">
        <f>IF(A323="","",COUNTIF(ATTENDANCE_DAILY!C:C,A323))</f>
        <v/>
      </c>
      <c r="E323">
        <f>IF(A323="","",COUNTIFS(ATTENDANCE_DAILY!C:C,A323,ATTENDANCE_DAILY!E:E,"Present"))</f>
        <v/>
      </c>
      <c r="F323">
        <f>IF(A323="","",COUNTIFS(ATTENDANCE_DAILY!C:C,A323,ATTENDANCE_DAILY!E:E,"Absent"))</f>
        <v/>
      </c>
      <c r="G323" s="5">
        <f>IF(D323=0,"",E323/D323)</f>
        <v/>
      </c>
      <c r="H323" s="4">
        <f>IF(G323="","",IF(G323&lt;0.75,"Low Attendance","OK"))</f>
        <v/>
      </c>
    </row>
    <row r="324">
      <c r="A324">
        <f>IF(MASTER_REGISTER!E324="","",MASTER_REGISTER!E324)</f>
        <v/>
      </c>
      <c r="B324">
        <f>IF(A324="","",MASTER_REGISTER!F324)</f>
        <v/>
      </c>
      <c r="C324">
        <f>IF(A324="","",MASTER_REGISTER!C324)</f>
        <v/>
      </c>
      <c r="D324">
        <f>IF(A324="","",COUNTIF(ATTENDANCE_DAILY!C:C,A324))</f>
        <v/>
      </c>
      <c r="E324">
        <f>IF(A324="","",COUNTIFS(ATTENDANCE_DAILY!C:C,A324,ATTENDANCE_DAILY!E:E,"Present"))</f>
        <v/>
      </c>
      <c r="F324">
        <f>IF(A324="","",COUNTIFS(ATTENDANCE_DAILY!C:C,A324,ATTENDANCE_DAILY!E:E,"Absent"))</f>
        <v/>
      </c>
      <c r="G324" s="5">
        <f>IF(D324=0,"",E324/D324)</f>
        <v/>
      </c>
      <c r="H324" s="4">
        <f>IF(G324="","",IF(G324&lt;0.75,"Low Attendance","OK"))</f>
        <v/>
      </c>
    </row>
    <row r="325">
      <c r="A325">
        <f>IF(MASTER_REGISTER!E325="","",MASTER_REGISTER!E325)</f>
        <v/>
      </c>
      <c r="B325">
        <f>IF(A325="","",MASTER_REGISTER!F325)</f>
        <v/>
      </c>
      <c r="C325">
        <f>IF(A325="","",MASTER_REGISTER!C325)</f>
        <v/>
      </c>
      <c r="D325">
        <f>IF(A325="","",COUNTIF(ATTENDANCE_DAILY!C:C,A325))</f>
        <v/>
      </c>
      <c r="E325">
        <f>IF(A325="","",COUNTIFS(ATTENDANCE_DAILY!C:C,A325,ATTENDANCE_DAILY!E:E,"Present"))</f>
        <v/>
      </c>
      <c r="F325">
        <f>IF(A325="","",COUNTIFS(ATTENDANCE_DAILY!C:C,A325,ATTENDANCE_DAILY!E:E,"Absent"))</f>
        <v/>
      </c>
      <c r="G325" s="5">
        <f>IF(D325=0,"",E325/D325)</f>
        <v/>
      </c>
      <c r="H325" s="4">
        <f>IF(G325="","",IF(G325&lt;0.75,"Low Attendance","OK"))</f>
        <v/>
      </c>
    </row>
    <row r="326">
      <c r="A326">
        <f>IF(MASTER_REGISTER!E326="","",MASTER_REGISTER!E326)</f>
        <v/>
      </c>
      <c r="B326">
        <f>IF(A326="","",MASTER_REGISTER!F326)</f>
        <v/>
      </c>
      <c r="C326">
        <f>IF(A326="","",MASTER_REGISTER!C326)</f>
        <v/>
      </c>
      <c r="D326">
        <f>IF(A326="","",COUNTIF(ATTENDANCE_DAILY!C:C,A326))</f>
        <v/>
      </c>
      <c r="E326">
        <f>IF(A326="","",COUNTIFS(ATTENDANCE_DAILY!C:C,A326,ATTENDANCE_DAILY!E:E,"Present"))</f>
        <v/>
      </c>
      <c r="F326">
        <f>IF(A326="","",COUNTIFS(ATTENDANCE_DAILY!C:C,A326,ATTENDANCE_DAILY!E:E,"Absent"))</f>
        <v/>
      </c>
      <c r="G326" s="5">
        <f>IF(D326=0,"",E326/D326)</f>
        <v/>
      </c>
      <c r="H326" s="4">
        <f>IF(G326="","",IF(G326&lt;0.75,"Low Attendance","OK"))</f>
        <v/>
      </c>
    </row>
    <row r="327">
      <c r="A327">
        <f>IF(MASTER_REGISTER!E327="","",MASTER_REGISTER!E327)</f>
        <v/>
      </c>
      <c r="B327">
        <f>IF(A327="","",MASTER_REGISTER!F327)</f>
        <v/>
      </c>
      <c r="C327">
        <f>IF(A327="","",MASTER_REGISTER!C327)</f>
        <v/>
      </c>
      <c r="D327">
        <f>IF(A327="","",COUNTIF(ATTENDANCE_DAILY!C:C,A327))</f>
        <v/>
      </c>
      <c r="E327">
        <f>IF(A327="","",COUNTIFS(ATTENDANCE_DAILY!C:C,A327,ATTENDANCE_DAILY!E:E,"Present"))</f>
        <v/>
      </c>
      <c r="F327">
        <f>IF(A327="","",COUNTIFS(ATTENDANCE_DAILY!C:C,A327,ATTENDANCE_DAILY!E:E,"Absent"))</f>
        <v/>
      </c>
      <c r="G327" s="5">
        <f>IF(D327=0,"",E327/D327)</f>
        <v/>
      </c>
      <c r="H327" s="4">
        <f>IF(G327="","",IF(G327&lt;0.75,"Low Attendance","OK"))</f>
        <v/>
      </c>
    </row>
    <row r="328">
      <c r="A328">
        <f>IF(MASTER_REGISTER!E328="","",MASTER_REGISTER!E328)</f>
        <v/>
      </c>
      <c r="B328">
        <f>IF(A328="","",MASTER_REGISTER!F328)</f>
        <v/>
      </c>
      <c r="C328">
        <f>IF(A328="","",MASTER_REGISTER!C328)</f>
        <v/>
      </c>
      <c r="D328">
        <f>IF(A328="","",COUNTIF(ATTENDANCE_DAILY!C:C,A328))</f>
        <v/>
      </c>
      <c r="E328">
        <f>IF(A328="","",COUNTIFS(ATTENDANCE_DAILY!C:C,A328,ATTENDANCE_DAILY!E:E,"Present"))</f>
        <v/>
      </c>
      <c r="F328">
        <f>IF(A328="","",COUNTIFS(ATTENDANCE_DAILY!C:C,A328,ATTENDANCE_DAILY!E:E,"Absent"))</f>
        <v/>
      </c>
      <c r="G328" s="5">
        <f>IF(D328=0,"",E328/D328)</f>
        <v/>
      </c>
      <c r="H328" s="4">
        <f>IF(G328="","",IF(G328&lt;0.75,"Low Attendance","OK"))</f>
        <v/>
      </c>
    </row>
    <row r="329">
      <c r="A329">
        <f>IF(MASTER_REGISTER!E329="","",MASTER_REGISTER!E329)</f>
        <v/>
      </c>
      <c r="B329">
        <f>IF(A329="","",MASTER_REGISTER!F329)</f>
        <v/>
      </c>
      <c r="C329">
        <f>IF(A329="","",MASTER_REGISTER!C329)</f>
        <v/>
      </c>
      <c r="D329">
        <f>IF(A329="","",COUNTIF(ATTENDANCE_DAILY!C:C,A329))</f>
        <v/>
      </c>
      <c r="E329">
        <f>IF(A329="","",COUNTIFS(ATTENDANCE_DAILY!C:C,A329,ATTENDANCE_DAILY!E:E,"Present"))</f>
        <v/>
      </c>
      <c r="F329">
        <f>IF(A329="","",COUNTIFS(ATTENDANCE_DAILY!C:C,A329,ATTENDANCE_DAILY!E:E,"Absent"))</f>
        <v/>
      </c>
      <c r="G329" s="5">
        <f>IF(D329=0,"",E329/D329)</f>
        <v/>
      </c>
      <c r="H329" s="4">
        <f>IF(G329="","",IF(G329&lt;0.75,"Low Attendance","OK"))</f>
        <v/>
      </c>
    </row>
    <row r="330">
      <c r="A330">
        <f>IF(MASTER_REGISTER!E330="","",MASTER_REGISTER!E330)</f>
        <v/>
      </c>
      <c r="B330">
        <f>IF(A330="","",MASTER_REGISTER!F330)</f>
        <v/>
      </c>
      <c r="C330">
        <f>IF(A330="","",MASTER_REGISTER!C330)</f>
        <v/>
      </c>
      <c r="D330">
        <f>IF(A330="","",COUNTIF(ATTENDANCE_DAILY!C:C,A330))</f>
        <v/>
      </c>
      <c r="E330">
        <f>IF(A330="","",COUNTIFS(ATTENDANCE_DAILY!C:C,A330,ATTENDANCE_DAILY!E:E,"Present"))</f>
        <v/>
      </c>
      <c r="F330">
        <f>IF(A330="","",COUNTIFS(ATTENDANCE_DAILY!C:C,A330,ATTENDANCE_DAILY!E:E,"Absent"))</f>
        <v/>
      </c>
      <c r="G330" s="5">
        <f>IF(D330=0,"",E330/D330)</f>
        <v/>
      </c>
      <c r="H330" s="4">
        <f>IF(G330="","",IF(G330&lt;0.75,"Low Attendance","OK"))</f>
        <v/>
      </c>
    </row>
    <row r="331">
      <c r="A331">
        <f>IF(MASTER_REGISTER!E331="","",MASTER_REGISTER!E331)</f>
        <v/>
      </c>
      <c r="B331">
        <f>IF(A331="","",MASTER_REGISTER!F331)</f>
        <v/>
      </c>
      <c r="C331">
        <f>IF(A331="","",MASTER_REGISTER!C331)</f>
        <v/>
      </c>
      <c r="D331">
        <f>IF(A331="","",COUNTIF(ATTENDANCE_DAILY!C:C,A331))</f>
        <v/>
      </c>
      <c r="E331">
        <f>IF(A331="","",COUNTIFS(ATTENDANCE_DAILY!C:C,A331,ATTENDANCE_DAILY!E:E,"Present"))</f>
        <v/>
      </c>
      <c r="F331">
        <f>IF(A331="","",COUNTIFS(ATTENDANCE_DAILY!C:C,A331,ATTENDANCE_DAILY!E:E,"Absent"))</f>
        <v/>
      </c>
      <c r="G331" s="5">
        <f>IF(D331=0,"",E331/D331)</f>
        <v/>
      </c>
      <c r="H331" s="4">
        <f>IF(G331="","",IF(G331&lt;0.75,"Low Attendance","OK"))</f>
        <v/>
      </c>
    </row>
    <row r="332">
      <c r="A332">
        <f>IF(MASTER_REGISTER!E332="","",MASTER_REGISTER!E332)</f>
        <v/>
      </c>
      <c r="B332">
        <f>IF(A332="","",MASTER_REGISTER!F332)</f>
        <v/>
      </c>
      <c r="C332">
        <f>IF(A332="","",MASTER_REGISTER!C332)</f>
        <v/>
      </c>
      <c r="D332">
        <f>IF(A332="","",COUNTIF(ATTENDANCE_DAILY!C:C,A332))</f>
        <v/>
      </c>
      <c r="E332">
        <f>IF(A332="","",COUNTIFS(ATTENDANCE_DAILY!C:C,A332,ATTENDANCE_DAILY!E:E,"Present"))</f>
        <v/>
      </c>
      <c r="F332">
        <f>IF(A332="","",COUNTIFS(ATTENDANCE_DAILY!C:C,A332,ATTENDANCE_DAILY!E:E,"Absent"))</f>
        <v/>
      </c>
      <c r="G332" s="5">
        <f>IF(D332=0,"",E332/D332)</f>
        <v/>
      </c>
      <c r="H332" s="4">
        <f>IF(G332="","",IF(G332&lt;0.75,"Low Attendance","OK"))</f>
        <v/>
      </c>
    </row>
    <row r="333">
      <c r="A333">
        <f>IF(MASTER_REGISTER!E333="","",MASTER_REGISTER!E333)</f>
        <v/>
      </c>
      <c r="B333">
        <f>IF(A333="","",MASTER_REGISTER!F333)</f>
        <v/>
      </c>
      <c r="C333">
        <f>IF(A333="","",MASTER_REGISTER!C333)</f>
        <v/>
      </c>
      <c r="D333">
        <f>IF(A333="","",COUNTIF(ATTENDANCE_DAILY!C:C,A333))</f>
        <v/>
      </c>
      <c r="E333">
        <f>IF(A333="","",COUNTIFS(ATTENDANCE_DAILY!C:C,A333,ATTENDANCE_DAILY!E:E,"Present"))</f>
        <v/>
      </c>
      <c r="F333">
        <f>IF(A333="","",COUNTIFS(ATTENDANCE_DAILY!C:C,A333,ATTENDANCE_DAILY!E:E,"Absent"))</f>
        <v/>
      </c>
      <c r="G333" s="5">
        <f>IF(D333=0,"",E333/D333)</f>
        <v/>
      </c>
      <c r="H333" s="4">
        <f>IF(G333="","",IF(G333&lt;0.75,"Low Attendance","OK"))</f>
        <v/>
      </c>
    </row>
    <row r="334">
      <c r="A334">
        <f>IF(MASTER_REGISTER!E334="","",MASTER_REGISTER!E334)</f>
        <v/>
      </c>
      <c r="B334">
        <f>IF(A334="","",MASTER_REGISTER!F334)</f>
        <v/>
      </c>
      <c r="C334">
        <f>IF(A334="","",MASTER_REGISTER!C334)</f>
        <v/>
      </c>
      <c r="D334">
        <f>IF(A334="","",COUNTIF(ATTENDANCE_DAILY!C:C,A334))</f>
        <v/>
      </c>
      <c r="E334">
        <f>IF(A334="","",COUNTIFS(ATTENDANCE_DAILY!C:C,A334,ATTENDANCE_DAILY!E:E,"Present"))</f>
        <v/>
      </c>
      <c r="F334">
        <f>IF(A334="","",COUNTIFS(ATTENDANCE_DAILY!C:C,A334,ATTENDANCE_DAILY!E:E,"Absent"))</f>
        <v/>
      </c>
      <c r="G334" s="5">
        <f>IF(D334=0,"",E334/D334)</f>
        <v/>
      </c>
      <c r="H334" s="4">
        <f>IF(G334="","",IF(G334&lt;0.75,"Low Attendance","OK"))</f>
        <v/>
      </c>
    </row>
    <row r="335">
      <c r="A335">
        <f>IF(MASTER_REGISTER!E335="","",MASTER_REGISTER!E335)</f>
        <v/>
      </c>
      <c r="B335">
        <f>IF(A335="","",MASTER_REGISTER!F335)</f>
        <v/>
      </c>
      <c r="C335">
        <f>IF(A335="","",MASTER_REGISTER!C335)</f>
        <v/>
      </c>
      <c r="D335">
        <f>IF(A335="","",COUNTIF(ATTENDANCE_DAILY!C:C,A335))</f>
        <v/>
      </c>
      <c r="E335">
        <f>IF(A335="","",COUNTIFS(ATTENDANCE_DAILY!C:C,A335,ATTENDANCE_DAILY!E:E,"Present"))</f>
        <v/>
      </c>
      <c r="F335">
        <f>IF(A335="","",COUNTIFS(ATTENDANCE_DAILY!C:C,A335,ATTENDANCE_DAILY!E:E,"Absent"))</f>
        <v/>
      </c>
      <c r="G335" s="5">
        <f>IF(D335=0,"",E335/D335)</f>
        <v/>
      </c>
      <c r="H335" s="4">
        <f>IF(G335="","",IF(G335&lt;0.75,"Low Attendance","OK"))</f>
        <v/>
      </c>
    </row>
    <row r="336">
      <c r="A336">
        <f>IF(MASTER_REGISTER!E336="","",MASTER_REGISTER!E336)</f>
        <v/>
      </c>
      <c r="B336">
        <f>IF(A336="","",MASTER_REGISTER!F336)</f>
        <v/>
      </c>
      <c r="C336">
        <f>IF(A336="","",MASTER_REGISTER!C336)</f>
        <v/>
      </c>
      <c r="D336">
        <f>IF(A336="","",COUNTIF(ATTENDANCE_DAILY!C:C,A336))</f>
        <v/>
      </c>
      <c r="E336">
        <f>IF(A336="","",COUNTIFS(ATTENDANCE_DAILY!C:C,A336,ATTENDANCE_DAILY!E:E,"Present"))</f>
        <v/>
      </c>
      <c r="F336">
        <f>IF(A336="","",COUNTIFS(ATTENDANCE_DAILY!C:C,A336,ATTENDANCE_DAILY!E:E,"Absent"))</f>
        <v/>
      </c>
      <c r="G336" s="5">
        <f>IF(D336=0,"",E336/D336)</f>
        <v/>
      </c>
      <c r="H336" s="4">
        <f>IF(G336="","",IF(G336&lt;0.75,"Low Attendance","OK"))</f>
        <v/>
      </c>
    </row>
    <row r="337">
      <c r="A337">
        <f>IF(MASTER_REGISTER!E337="","",MASTER_REGISTER!E337)</f>
        <v/>
      </c>
      <c r="B337">
        <f>IF(A337="","",MASTER_REGISTER!F337)</f>
        <v/>
      </c>
      <c r="C337">
        <f>IF(A337="","",MASTER_REGISTER!C337)</f>
        <v/>
      </c>
      <c r="D337">
        <f>IF(A337="","",COUNTIF(ATTENDANCE_DAILY!C:C,A337))</f>
        <v/>
      </c>
      <c r="E337">
        <f>IF(A337="","",COUNTIFS(ATTENDANCE_DAILY!C:C,A337,ATTENDANCE_DAILY!E:E,"Present"))</f>
        <v/>
      </c>
      <c r="F337">
        <f>IF(A337="","",COUNTIFS(ATTENDANCE_DAILY!C:C,A337,ATTENDANCE_DAILY!E:E,"Absent"))</f>
        <v/>
      </c>
      <c r="G337" s="5">
        <f>IF(D337=0,"",E337/D337)</f>
        <v/>
      </c>
      <c r="H337" s="4">
        <f>IF(G337="","",IF(G337&lt;0.75,"Low Attendance","OK"))</f>
        <v/>
      </c>
    </row>
    <row r="338">
      <c r="A338">
        <f>IF(MASTER_REGISTER!E338="","",MASTER_REGISTER!E338)</f>
        <v/>
      </c>
      <c r="B338">
        <f>IF(A338="","",MASTER_REGISTER!F338)</f>
        <v/>
      </c>
      <c r="C338">
        <f>IF(A338="","",MASTER_REGISTER!C338)</f>
        <v/>
      </c>
      <c r="D338">
        <f>IF(A338="","",COUNTIF(ATTENDANCE_DAILY!C:C,A338))</f>
        <v/>
      </c>
      <c r="E338">
        <f>IF(A338="","",COUNTIFS(ATTENDANCE_DAILY!C:C,A338,ATTENDANCE_DAILY!E:E,"Present"))</f>
        <v/>
      </c>
      <c r="F338">
        <f>IF(A338="","",COUNTIFS(ATTENDANCE_DAILY!C:C,A338,ATTENDANCE_DAILY!E:E,"Absent"))</f>
        <v/>
      </c>
      <c r="G338" s="5">
        <f>IF(D338=0,"",E338/D338)</f>
        <v/>
      </c>
      <c r="H338" s="4">
        <f>IF(G338="","",IF(G338&lt;0.75,"Low Attendance","OK"))</f>
        <v/>
      </c>
    </row>
    <row r="339">
      <c r="A339">
        <f>IF(MASTER_REGISTER!E339="","",MASTER_REGISTER!E339)</f>
        <v/>
      </c>
      <c r="B339">
        <f>IF(A339="","",MASTER_REGISTER!F339)</f>
        <v/>
      </c>
      <c r="C339">
        <f>IF(A339="","",MASTER_REGISTER!C339)</f>
        <v/>
      </c>
      <c r="D339">
        <f>IF(A339="","",COUNTIF(ATTENDANCE_DAILY!C:C,A339))</f>
        <v/>
      </c>
      <c r="E339">
        <f>IF(A339="","",COUNTIFS(ATTENDANCE_DAILY!C:C,A339,ATTENDANCE_DAILY!E:E,"Present"))</f>
        <v/>
      </c>
      <c r="F339">
        <f>IF(A339="","",COUNTIFS(ATTENDANCE_DAILY!C:C,A339,ATTENDANCE_DAILY!E:E,"Absent"))</f>
        <v/>
      </c>
      <c r="G339" s="5">
        <f>IF(D339=0,"",E339/D339)</f>
        <v/>
      </c>
      <c r="H339" s="4">
        <f>IF(G339="","",IF(G339&lt;0.75,"Low Attendance","OK"))</f>
        <v/>
      </c>
    </row>
    <row r="340">
      <c r="A340">
        <f>IF(MASTER_REGISTER!E340="","",MASTER_REGISTER!E340)</f>
        <v/>
      </c>
      <c r="B340">
        <f>IF(A340="","",MASTER_REGISTER!F340)</f>
        <v/>
      </c>
      <c r="C340">
        <f>IF(A340="","",MASTER_REGISTER!C340)</f>
        <v/>
      </c>
      <c r="D340">
        <f>IF(A340="","",COUNTIF(ATTENDANCE_DAILY!C:C,A340))</f>
        <v/>
      </c>
      <c r="E340">
        <f>IF(A340="","",COUNTIFS(ATTENDANCE_DAILY!C:C,A340,ATTENDANCE_DAILY!E:E,"Present"))</f>
        <v/>
      </c>
      <c r="F340">
        <f>IF(A340="","",COUNTIFS(ATTENDANCE_DAILY!C:C,A340,ATTENDANCE_DAILY!E:E,"Absent"))</f>
        <v/>
      </c>
      <c r="G340" s="5">
        <f>IF(D340=0,"",E340/D340)</f>
        <v/>
      </c>
      <c r="H340" s="4">
        <f>IF(G340="","",IF(G340&lt;0.75,"Low Attendance","OK"))</f>
        <v/>
      </c>
    </row>
    <row r="341">
      <c r="A341">
        <f>IF(MASTER_REGISTER!E341="","",MASTER_REGISTER!E341)</f>
        <v/>
      </c>
      <c r="B341">
        <f>IF(A341="","",MASTER_REGISTER!F341)</f>
        <v/>
      </c>
      <c r="C341">
        <f>IF(A341="","",MASTER_REGISTER!C341)</f>
        <v/>
      </c>
      <c r="D341">
        <f>IF(A341="","",COUNTIF(ATTENDANCE_DAILY!C:C,A341))</f>
        <v/>
      </c>
      <c r="E341">
        <f>IF(A341="","",COUNTIFS(ATTENDANCE_DAILY!C:C,A341,ATTENDANCE_DAILY!E:E,"Present"))</f>
        <v/>
      </c>
      <c r="F341">
        <f>IF(A341="","",COUNTIFS(ATTENDANCE_DAILY!C:C,A341,ATTENDANCE_DAILY!E:E,"Absent"))</f>
        <v/>
      </c>
      <c r="G341" s="5">
        <f>IF(D341=0,"",E341/D341)</f>
        <v/>
      </c>
      <c r="H341" s="4">
        <f>IF(G341="","",IF(G341&lt;0.75,"Low Attendance","OK"))</f>
        <v/>
      </c>
    </row>
    <row r="342">
      <c r="A342">
        <f>IF(MASTER_REGISTER!E342="","",MASTER_REGISTER!E342)</f>
        <v/>
      </c>
      <c r="B342">
        <f>IF(A342="","",MASTER_REGISTER!F342)</f>
        <v/>
      </c>
      <c r="C342">
        <f>IF(A342="","",MASTER_REGISTER!C342)</f>
        <v/>
      </c>
      <c r="D342">
        <f>IF(A342="","",COUNTIF(ATTENDANCE_DAILY!C:C,A342))</f>
        <v/>
      </c>
      <c r="E342">
        <f>IF(A342="","",COUNTIFS(ATTENDANCE_DAILY!C:C,A342,ATTENDANCE_DAILY!E:E,"Present"))</f>
        <v/>
      </c>
      <c r="F342">
        <f>IF(A342="","",COUNTIFS(ATTENDANCE_DAILY!C:C,A342,ATTENDANCE_DAILY!E:E,"Absent"))</f>
        <v/>
      </c>
      <c r="G342" s="5">
        <f>IF(D342=0,"",E342/D342)</f>
        <v/>
      </c>
      <c r="H342" s="4">
        <f>IF(G342="","",IF(G342&lt;0.75,"Low Attendance","OK"))</f>
        <v/>
      </c>
    </row>
    <row r="343">
      <c r="A343">
        <f>IF(MASTER_REGISTER!E343="","",MASTER_REGISTER!E343)</f>
        <v/>
      </c>
      <c r="B343">
        <f>IF(A343="","",MASTER_REGISTER!F343)</f>
        <v/>
      </c>
      <c r="C343">
        <f>IF(A343="","",MASTER_REGISTER!C343)</f>
        <v/>
      </c>
      <c r="D343">
        <f>IF(A343="","",COUNTIF(ATTENDANCE_DAILY!C:C,A343))</f>
        <v/>
      </c>
      <c r="E343">
        <f>IF(A343="","",COUNTIFS(ATTENDANCE_DAILY!C:C,A343,ATTENDANCE_DAILY!E:E,"Present"))</f>
        <v/>
      </c>
      <c r="F343">
        <f>IF(A343="","",COUNTIFS(ATTENDANCE_DAILY!C:C,A343,ATTENDANCE_DAILY!E:E,"Absent"))</f>
        <v/>
      </c>
      <c r="G343" s="5">
        <f>IF(D343=0,"",E343/D343)</f>
        <v/>
      </c>
      <c r="H343" s="4">
        <f>IF(G343="","",IF(G343&lt;0.75,"Low Attendance","OK"))</f>
        <v/>
      </c>
    </row>
    <row r="344">
      <c r="A344">
        <f>IF(MASTER_REGISTER!E344="","",MASTER_REGISTER!E344)</f>
        <v/>
      </c>
      <c r="B344">
        <f>IF(A344="","",MASTER_REGISTER!F344)</f>
        <v/>
      </c>
      <c r="C344">
        <f>IF(A344="","",MASTER_REGISTER!C344)</f>
        <v/>
      </c>
      <c r="D344">
        <f>IF(A344="","",COUNTIF(ATTENDANCE_DAILY!C:C,A344))</f>
        <v/>
      </c>
      <c r="E344">
        <f>IF(A344="","",COUNTIFS(ATTENDANCE_DAILY!C:C,A344,ATTENDANCE_DAILY!E:E,"Present"))</f>
        <v/>
      </c>
      <c r="F344">
        <f>IF(A344="","",COUNTIFS(ATTENDANCE_DAILY!C:C,A344,ATTENDANCE_DAILY!E:E,"Absent"))</f>
        <v/>
      </c>
      <c r="G344" s="5">
        <f>IF(D344=0,"",E344/D344)</f>
        <v/>
      </c>
      <c r="H344" s="4">
        <f>IF(G344="","",IF(G344&lt;0.75,"Low Attendance","OK"))</f>
        <v/>
      </c>
    </row>
    <row r="345">
      <c r="A345">
        <f>IF(MASTER_REGISTER!E345="","",MASTER_REGISTER!E345)</f>
        <v/>
      </c>
      <c r="B345">
        <f>IF(A345="","",MASTER_REGISTER!F345)</f>
        <v/>
      </c>
      <c r="C345">
        <f>IF(A345="","",MASTER_REGISTER!C345)</f>
        <v/>
      </c>
      <c r="D345">
        <f>IF(A345="","",COUNTIF(ATTENDANCE_DAILY!C:C,A345))</f>
        <v/>
      </c>
      <c r="E345">
        <f>IF(A345="","",COUNTIFS(ATTENDANCE_DAILY!C:C,A345,ATTENDANCE_DAILY!E:E,"Present"))</f>
        <v/>
      </c>
      <c r="F345">
        <f>IF(A345="","",COUNTIFS(ATTENDANCE_DAILY!C:C,A345,ATTENDANCE_DAILY!E:E,"Absent"))</f>
        <v/>
      </c>
      <c r="G345" s="5">
        <f>IF(D345=0,"",E345/D345)</f>
        <v/>
      </c>
      <c r="H345" s="4">
        <f>IF(G345="","",IF(G345&lt;0.75,"Low Attendance","OK"))</f>
        <v/>
      </c>
    </row>
    <row r="346">
      <c r="A346">
        <f>IF(MASTER_REGISTER!E346="","",MASTER_REGISTER!E346)</f>
        <v/>
      </c>
      <c r="B346">
        <f>IF(A346="","",MASTER_REGISTER!F346)</f>
        <v/>
      </c>
      <c r="C346">
        <f>IF(A346="","",MASTER_REGISTER!C346)</f>
        <v/>
      </c>
      <c r="D346">
        <f>IF(A346="","",COUNTIF(ATTENDANCE_DAILY!C:C,A346))</f>
        <v/>
      </c>
      <c r="E346">
        <f>IF(A346="","",COUNTIFS(ATTENDANCE_DAILY!C:C,A346,ATTENDANCE_DAILY!E:E,"Present"))</f>
        <v/>
      </c>
      <c r="F346">
        <f>IF(A346="","",COUNTIFS(ATTENDANCE_DAILY!C:C,A346,ATTENDANCE_DAILY!E:E,"Absent"))</f>
        <v/>
      </c>
      <c r="G346" s="5">
        <f>IF(D346=0,"",E346/D346)</f>
        <v/>
      </c>
      <c r="H346" s="4">
        <f>IF(G346="","",IF(G346&lt;0.75,"Low Attendance","OK"))</f>
        <v/>
      </c>
    </row>
    <row r="347">
      <c r="A347">
        <f>IF(MASTER_REGISTER!E347="","",MASTER_REGISTER!E347)</f>
        <v/>
      </c>
      <c r="B347">
        <f>IF(A347="","",MASTER_REGISTER!F347)</f>
        <v/>
      </c>
      <c r="C347">
        <f>IF(A347="","",MASTER_REGISTER!C347)</f>
        <v/>
      </c>
      <c r="D347">
        <f>IF(A347="","",COUNTIF(ATTENDANCE_DAILY!C:C,A347))</f>
        <v/>
      </c>
      <c r="E347">
        <f>IF(A347="","",COUNTIFS(ATTENDANCE_DAILY!C:C,A347,ATTENDANCE_DAILY!E:E,"Present"))</f>
        <v/>
      </c>
      <c r="F347">
        <f>IF(A347="","",COUNTIFS(ATTENDANCE_DAILY!C:C,A347,ATTENDANCE_DAILY!E:E,"Absent"))</f>
        <v/>
      </c>
      <c r="G347" s="5">
        <f>IF(D347=0,"",E347/D347)</f>
        <v/>
      </c>
      <c r="H347" s="4">
        <f>IF(G347="","",IF(G347&lt;0.75,"Low Attendance","OK"))</f>
        <v/>
      </c>
    </row>
    <row r="348">
      <c r="A348">
        <f>IF(MASTER_REGISTER!E348="","",MASTER_REGISTER!E348)</f>
        <v/>
      </c>
      <c r="B348">
        <f>IF(A348="","",MASTER_REGISTER!F348)</f>
        <v/>
      </c>
      <c r="C348">
        <f>IF(A348="","",MASTER_REGISTER!C348)</f>
        <v/>
      </c>
      <c r="D348">
        <f>IF(A348="","",COUNTIF(ATTENDANCE_DAILY!C:C,A348))</f>
        <v/>
      </c>
      <c r="E348">
        <f>IF(A348="","",COUNTIFS(ATTENDANCE_DAILY!C:C,A348,ATTENDANCE_DAILY!E:E,"Present"))</f>
        <v/>
      </c>
      <c r="F348">
        <f>IF(A348="","",COUNTIFS(ATTENDANCE_DAILY!C:C,A348,ATTENDANCE_DAILY!E:E,"Absent"))</f>
        <v/>
      </c>
      <c r="G348" s="5">
        <f>IF(D348=0,"",E348/D348)</f>
        <v/>
      </c>
      <c r="H348" s="4">
        <f>IF(G348="","",IF(G348&lt;0.75,"Low Attendance","OK"))</f>
        <v/>
      </c>
    </row>
    <row r="349">
      <c r="A349">
        <f>IF(MASTER_REGISTER!E349="","",MASTER_REGISTER!E349)</f>
        <v/>
      </c>
      <c r="B349">
        <f>IF(A349="","",MASTER_REGISTER!F349)</f>
        <v/>
      </c>
      <c r="C349">
        <f>IF(A349="","",MASTER_REGISTER!C349)</f>
        <v/>
      </c>
      <c r="D349">
        <f>IF(A349="","",COUNTIF(ATTENDANCE_DAILY!C:C,A349))</f>
        <v/>
      </c>
      <c r="E349">
        <f>IF(A349="","",COUNTIFS(ATTENDANCE_DAILY!C:C,A349,ATTENDANCE_DAILY!E:E,"Present"))</f>
        <v/>
      </c>
      <c r="F349">
        <f>IF(A349="","",COUNTIFS(ATTENDANCE_DAILY!C:C,A349,ATTENDANCE_DAILY!E:E,"Absent"))</f>
        <v/>
      </c>
      <c r="G349" s="5">
        <f>IF(D349=0,"",E349/D349)</f>
        <v/>
      </c>
      <c r="H349" s="4">
        <f>IF(G349="","",IF(G349&lt;0.75,"Low Attendance","OK"))</f>
        <v/>
      </c>
    </row>
    <row r="350">
      <c r="A350">
        <f>IF(MASTER_REGISTER!E350="","",MASTER_REGISTER!E350)</f>
        <v/>
      </c>
      <c r="B350">
        <f>IF(A350="","",MASTER_REGISTER!F350)</f>
        <v/>
      </c>
      <c r="C350">
        <f>IF(A350="","",MASTER_REGISTER!C350)</f>
        <v/>
      </c>
      <c r="D350">
        <f>IF(A350="","",COUNTIF(ATTENDANCE_DAILY!C:C,A350))</f>
        <v/>
      </c>
      <c r="E350">
        <f>IF(A350="","",COUNTIFS(ATTENDANCE_DAILY!C:C,A350,ATTENDANCE_DAILY!E:E,"Present"))</f>
        <v/>
      </c>
      <c r="F350">
        <f>IF(A350="","",COUNTIFS(ATTENDANCE_DAILY!C:C,A350,ATTENDANCE_DAILY!E:E,"Absent"))</f>
        <v/>
      </c>
      <c r="G350" s="5">
        <f>IF(D350=0,"",E350/D350)</f>
        <v/>
      </c>
      <c r="H350" s="4">
        <f>IF(G350="","",IF(G350&lt;0.75,"Low Attendance","OK"))</f>
        <v/>
      </c>
    </row>
    <row r="351">
      <c r="A351">
        <f>IF(MASTER_REGISTER!E351="","",MASTER_REGISTER!E351)</f>
        <v/>
      </c>
      <c r="B351">
        <f>IF(A351="","",MASTER_REGISTER!F351)</f>
        <v/>
      </c>
      <c r="C351">
        <f>IF(A351="","",MASTER_REGISTER!C351)</f>
        <v/>
      </c>
      <c r="D351">
        <f>IF(A351="","",COUNTIF(ATTENDANCE_DAILY!C:C,A351))</f>
        <v/>
      </c>
      <c r="E351">
        <f>IF(A351="","",COUNTIFS(ATTENDANCE_DAILY!C:C,A351,ATTENDANCE_DAILY!E:E,"Present"))</f>
        <v/>
      </c>
      <c r="F351">
        <f>IF(A351="","",COUNTIFS(ATTENDANCE_DAILY!C:C,A351,ATTENDANCE_DAILY!E:E,"Absent"))</f>
        <v/>
      </c>
      <c r="G351" s="5">
        <f>IF(D351=0,"",E351/D351)</f>
        <v/>
      </c>
      <c r="H351" s="4">
        <f>IF(G351="","",IF(G351&lt;0.75,"Low Attendance","OK"))</f>
        <v/>
      </c>
    </row>
    <row r="352">
      <c r="A352">
        <f>IF(MASTER_REGISTER!E352="","",MASTER_REGISTER!E352)</f>
        <v/>
      </c>
      <c r="B352">
        <f>IF(A352="","",MASTER_REGISTER!F352)</f>
        <v/>
      </c>
      <c r="C352">
        <f>IF(A352="","",MASTER_REGISTER!C352)</f>
        <v/>
      </c>
      <c r="D352">
        <f>IF(A352="","",COUNTIF(ATTENDANCE_DAILY!C:C,A352))</f>
        <v/>
      </c>
      <c r="E352">
        <f>IF(A352="","",COUNTIFS(ATTENDANCE_DAILY!C:C,A352,ATTENDANCE_DAILY!E:E,"Present"))</f>
        <v/>
      </c>
      <c r="F352">
        <f>IF(A352="","",COUNTIFS(ATTENDANCE_DAILY!C:C,A352,ATTENDANCE_DAILY!E:E,"Absent"))</f>
        <v/>
      </c>
      <c r="G352" s="5">
        <f>IF(D352=0,"",E352/D352)</f>
        <v/>
      </c>
      <c r="H352" s="4">
        <f>IF(G352="","",IF(G352&lt;0.75,"Low Attendance","OK"))</f>
        <v/>
      </c>
    </row>
    <row r="353">
      <c r="A353">
        <f>IF(MASTER_REGISTER!E353="","",MASTER_REGISTER!E353)</f>
        <v/>
      </c>
      <c r="B353">
        <f>IF(A353="","",MASTER_REGISTER!F353)</f>
        <v/>
      </c>
      <c r="C353">
        <f>IF(A353="","",MASTER_REGISTER!C353)</f>
        <v/>
      </c>
      <c r="D353">
        <f>IF(A353="","",COUNTIF(ATTENDANCE_DAILY!C:C,A353))</f>
        <v/>
      </c>
      <c r="E353">
        <f>IF(A353="","",COUNTIFS(ATTENDANCE_DAILY!C:C,A353,ATTENDANCE_DAILY!E:E,"Present"))</f>
        <v/>
      </c>
      <c r="F353">
        <f>IF(A353="","",COUNTIFS(ATTENDANCE_DAILY!C:C,A353,ATTENDANCE_DAILY!E:E,"Absent"))</f>
        <v/>
      </c>
      <c r="G353" s="5">
        <f>IF(D353=0,"",E353/D353)</f>
        <v/>
      </c>
      <c r="H353" s="4">
        <f>IF(G353="","",IF(G353&lt;0.75,"Low Attendance","OK"))</f>
        <v/>
      </c>
    </row>
    <row r="354">
      <c r="A354">
        <f>IF(MASTER_REGISTER!E354="","",MASTER_REGISTER!E354)</f>
        <v/>
      </c>
      <c r="B354">
        <f>IF(A354="","",MASTER_REGISTER!F354)</f>
        <v/>
      </c>
      <c r="C354">
        <f>IF(A354="","",MASTER_REGISTER!C354)</f>
        <v/>
      </c>
      <c r="D354">
        <f>IF(A354="","",COUNTIF(ATTENDANCE_DAILY!C:C,A354))</f>
        <v/>
      </c>
      <c r="E354">
        <f>IF(A354="","",COUNTIFS(ATTENDANCE_DAILY!C:C,A354,ATTENDANCE_DAILY!E:E,"Present"))</f>
        <v/>
      </c>
      <c r="F354">
        <f>IF(A354="","",COUNTIFS(ATTENDANCE_DAILY!C:C,A354,ATTENDANCE_DAILY!E:E,"Absent"))</f>
        <v/>
      </c>
      <c r="G354" s="5">
        <f>IF(D354=0,"",E354/D354)</f>
        <v/>
      </c>
      <c r="H354" s="4">
        <f>IF(G354="","",IF(G354&lt;0.75,"Low Attendance","OK"))</f>
        <v/>
      </c>
    </row>
    <row r="355">
      <c r="A355">
        <f>IF(MASTER_REGISTER!E355="","",MASTER_REGISTER!E355)</f>
        <v/>
      </c>
      <c r="B355">
        <f>IF(A355="","",MASTER_REGISTER!F355)</f>
        <v/>
      </c>
      <c r="C355">
        <f>IF(A355="","",MASTER_REGISTER!C355)</f>
        <v/>
      </c>
      <c r="D355">
        <f>IF(A355="","",COUNTIF(ATTENDANCE_DAILY!C:C,A355))</f>
        <v/>
      </c>
      <c r="E355">
        <f>IF(A355="","",COUNTIFS(ATTENDANCE_DAILY!C:C,A355,ATTENDANCE_DAILY!E:E,"Present"))</f>
        <v/>
      </c>
      <c r="F355">
        <f>IF(A355="","",COUNTIFS(ATTENDANCE_DAILY!C:C,A355,ATTENDANCE_DAILY!E:E,"Absent"))</f>
        <v/>
      </c>
      <c r="G355" s="5">
        <f>IF(D355=0,"",E355/D355)</f>
        <v/>
      </c>
      <c r="H355" s="4">
        <f>IF(G355="","",IF(G355&lt;0.75,"Low Attendance","OK"))</f>
        <v/>
      </c>
    </row>
    <row r="356">
      <c r="A356">
        <f>IF(MASTER_REGISTER!E356="","",MASTER_REGISTER!E356)</f>
        <v/>
      </c>
      <c r="B356">
        <f>IF(A356="","",MASTER_REGISTER!F356)</f>
        <v/>
      </c>
      <c r="C356">
        <f>IF(A356="","",MASTER_REGISTER!C356)</f>
        <v/>
      </c>
      <c r="D356">
        <f>IF(A356="","",COUNTIF(ATTENDANCE_DAILY!C:C,A356))</f>
        <v/>
      </c>
      <c r="E356">
        <f>IF(A356="","",COUNTIFS(ATTENDANCE_DAILY!C:C,A356,ATTENDANCE_DAILY!E:E,"Present"))</f>
        <v/>
      </c>
      <c r="F356">
        <f>IF(A356="","",COUNTIFS(ATTENDANCE_DAILY!C:C,A356,ATTENDANCE_DAILY!E:E,"Absent"))</f>
        <v/>
      </c>
      <c r="G356" s="5">
        <f>IF(D356=0,"",E356/D356)</f>
        <v/>
      </c>
      <c r="H356" s="4">
        <f>IF(G356="","",IF(G356&lt;0.75,"Low Attendance","OK"))</f>
        <v/>
      </c>
    </row>
    <row r="357">
      <c r="A357">
        <f>IF(MASTER_REGISTER!E357="","",MASTER_REGISTER!E357)</f>
        <v/>
      </c>
      <c r="B357">
        <f>IF(A357="","",MASTER_REGISTER!F357)</f>
        <v/>
      </c>
      <c r="C357">
        <f>IF(A357="","",MASTER_REGISTER!C357)</f>
        <v/>
      </c>
      <c r="D357">
        <f>IF(A357="","",COUNTIF(ATTENDANCE_DAILY!C:C,A357))</f>
        <v/>
      </c>
      <c r="E357">
        <f>IF(A357="","",COUNTIFS(ATTENDANCE_DAILY!C:C,A357,ATTENDANCE_DAILY!E:E,"Present"))</f>
        <v/>
      </c>
      <c r="F357">
        <f>IF(A357="","",COUNTIFS(ATTENDANCE_DAILY!C:C,A357,ATTENDANCE_DAILY!E:E,"Absent"))</f>
        <v/>
      </c>
      <c r="G357" s="5">
        <f>IF(D357=0,"",E357/D357)</f>
        <v/>
      </c>
      <c r="H357" s="4">
        <f>IF(G357="","",IF(G357&lt;0.75,"Low Attendance","OK"))</f>
        <v/>
      </c>
    </row>
    <row r="358">
      <c r="A358">
        <f>IF(MASTER_REGISTER!E358="","",MASTER_REGISTER!E358)</f>
        <v/>
      </c>
      <c r="B358">
        <f>IF(A358="","",MASTER_REGISTER!F358)</f>
        <v/>
      </c>
      <c r="C358">
        <f>IF(A358="","",MASTER_REGISTER!C358)</f>
        <v/>
      </c>
      <c r="D358">
        <f>IF(A358="","",COUNTIF(ATTENDANCE_DAILY!C:C,A358))</f>
        <v/>
      </c>
      <c r="E358">
        <f>IF(A358="","",COUNTIFS(ATTENDANCE_DAILY!C:C,A358,ATTENDANCE_DAILY!E:E,"Present"))</f>
        <v/>
      </c>
      <c r="F358">
        <f>IF(A358="","",COUNTIFS(ATTENDANCE_DAILY!C:C,A358,ATTENDANCE_DAILY!E:E,"Absent"))</f>
        <v/>
      </c>
      <c r="G358" s="5">
        <f>IF(D358=0,"",E358/D358)</f>
        <v/>
      </c>
      <c r="H358" s="4">
        <f>IF(G358="","",IF(G358&lt;0.75,"Low Attendance","OK"))</f>
        <v/>
      </c>
    </row>
    <row r="359">
      <c r="A359">
        <f>IF(MASTER_REGISTER!E359="","",MASTER_REGISTER!E359)</f>
        <v/>
      </c>
      <c r="B359">
        <f>IF(A359="","",MASTER_REGISTER!F359)</f>
        <v/>
      </c>
      <c r="C359">
        <f>IF(A359="","",MASTER_REGISTER!C359)</f>
        <v/>
      </c>
      <c r="D359">
        <f>IF(A359="","",COUNTIF(ATTENDANCE_DAILY!C:C,A359))</f>
        <v/>
      </c>
      <c r="E359">
        <f>IF(A359="","",COUNTIFS(ATTENDANCE_DAILY!C:C,A359,ATTENDANCE_DAILY!E:E,"Present"))</f>
        <v/>
      </c>
      <c r="F359">
        <f>IF(A359="","",COUNTIFS(ATTENDANCE_DAILY!C:C,A359,ATTENDANCE_DAILY!E:E,"Absent"))</f>
        <v/>
      </c>
      <c r="G359" s="5">
        <f>IF(D359=0,"",E359/D359)</f>
        <v/>
      </c>
      <c r="H359" s="4">
        <f>IF(G359="","",IF(G359&lt;0.75,"Low Attendance","OK"))</f>
        <v/>
      </c>
    </row>
    <row r="360">
      <c r="A360">
        <f>IF(MASTER_REGISTER!E360="","",MASTER_REGISTER!E360)</f>
        <v/>
      </c>
      <c r="B360">
        <f>IF(A360="","",MASTER_REGISTER!F360)</f>
        <v/>
      </c>
      <c r="C360">
        <f>IF(A360="","",MASTER_REGISTER!C360)</f>
        <v/>
      </c>
      <c r="D360">
        <f>IF(A360="","",COUNTIF(ATTENDANCE_DAILY!C:C,A360))</f>
        <v/>
      </c>
      <c r="E360">
        <f>IF(A360="","",COUNTIFS(ATTENDANCE_DAILY!C:C,A360,ATTENDANCE_DAILY!E:E,"Present"))</f>
        <v/>
      </c>
      <c r="F360">
        <f>IF(A360="","",COUNTIFS(ATTENDANCE_DAILY!C:C,A360,ATTENDANCE_DAILY!E:E,"Absent"))</f>
        <v/>
      </c>
      <c r="G360" s="5">
        <f>IF(D360=0,"",E360/D360)</f>
        <v/>
      </c>
      <c r="H360" s="4">
        <f>IF(G360="","",IF(G360&lt;0.75,"Low Attendance","OK"))</f>
        <v/>
      </c>
    </row>
    <row r="361">
      <c r="A361">
        <f>IF(MASTER_REGISTER!E361="","",MASTER_REGISTER!E361)</f>
        <v/>
      </c>
      <c r="B361">
        <f>IF(A361="","",MASTER_REGISTER!F361)</f>
        <v/>
      </c>
      <c r="C361">
        <f>IF(A361="","",MASTER_REGISTER!C361)</f>
        <v/>
      </c>
      <c r="D361">
        <f>IF(A361="","",COUNTIF(ATTENDANCE_DAILY!C:C,A361))</f>
        <v/>
      </c>
      <c r="E361">
        <f>IF(A361="","",COUNTIFS(ATTENDANCE_DAILY!C:C,A361,ATTENDANCE_DAILY!E:E,"Present"))</f>
        <v/>
      </c>
      <c r="F361">
        <f>IF(A361="","",COUNTIFS(ATTENDANCE_DAILY!C:C,A361,ATTENDANCE_DAILY!E:E,"Absent"))</f>
        <v/>
      </c>
      <c r="G361" s="5">
        <f>IF(D361=0,"",E361/D361)</f>
        <v/>
      </c>
      <c r="H361" s="4">
        <f>IF(G361="","",IF(G361&lt;0.75,"Low Attendance","OK"))</f>
        <v/>
      </c>
    </row>
    <row r="362">
      <c r="A362">
        <f>IF(MASTER_REGISTER!E362="","",MASTER_REGISTER!E362)</f>
        <v/>
      </c>
      <c r="B362">
        <f>IF(A362="","",MASTER_REGISTER!F362)</f>
        <v/>
      </c>
      <c r="C362">
        <f>IF(A362="","",MASTER_REGISTER!C362)</f>
        <v/>
      </c>
      <c r="D362">
        <f>IF(A362="","",COUNTIF(ATTENDANCE_DAILY!C:C,A362))</f>
        <v/>
      </c>
      <c r="E362">
        <f>IF(A362="","",COUNTIFS(ATTENDANCE_DAILY!C:C,A362,ATTENDANCE_DAILY!E:E,"Present"))</f>
        <v/>
      </c>
      <c r="F362">
        <f>IF(A362="","",COUNTIFS(ATTENDANCE_DAILY!C:C,A362,ATTENDANCE_DAILY!E:E,"Absent"))</f>
        <v/>
      </c>
      <c r="G362" s="5">
        <f>IF(D362=0,"",E362/D362)</f>
        <v/>
      </c>
      <c r="H362" s="4">
        <f>IF(G362="","",IF(G362&lt;0.75,"Low Attendance","OK"))</f>
        <v/>
      </c>
    </row>
    <row r="363">
      <c r="A363">
        <f>IF(MASTER_REGISTER!E363="","",MASTER_REGISTER!E363)</f>
        <v/>
      </c>
      <c r="B363">
        <f>IF(A363="","",MASTER_REGISTER!F363)</f>
        <v/>
      </c>
      <c r="C363">
        <f>IF(A363="","",MASTER_REGISTER!C363)</f>
        <v/>
      </c>
      <c r="D363">
        <f>IF(A363="","",COUNTIF(ATTENDANCE_DAILY!C:C,A363))</f>
        <v/>
      </c>
      <c r="E363">
        <f>IF(A363="","",COUNTIFS(ATTENDANCE_DAILY!C:C,A363,ATTENDANCE_DAILY!E:E,"Present"))</f>
        <v/>
      </c>
      <c r="F363">
        <f>IF(A363="","",COUNTIFS(ATTENDANCE_DAILY!C:C,A363,ATTENDANCE_DAILY!E:E,"Absent"))</f>
        <v/>
      </c>
      <c r="G363" s="5">
        <f>IF(D363=0,"",E363/D363)</f>
        <v/>
      </c>
      <c r="H363" s="4">
        <f>IF(G363="","",IF(G363&lt;0.75,"Low Attendance","OK"))</f>
        <v/>
      </c>
    </row>
    <row r="364">
      <c r="A364">
        <f>IF(MASTER_REGISTER!E364="","",MASTER_REGISTER!E364)</f>
        <v/>
      </c>
      <c r="B364">
        <f>IF(A364="","",MASTER_REGISTER!F364)</f>
        <v/>
      </c>
      <c r="C364">
        <f>IF(A364="","",MASTER_REGISTER!C364)</f>
        <v/>
      </c>
      <c r="D364">
        <f>IF(A364="","",COUNTIF(ATTENDANCE_DAILY!C:C,A364))</f>
        <v/>
      </c>
      <c r="E364">
        <f>IF(A364="","",COUNTIFS(ATTENDANCE_DAILY!C:C,A364,ATTENDANCE_DAILY!E:E,"Present"))</f>
        <v/>
      </c>
      <c r="F364">
        <f>IF(A364="","",COUNTIFS(ATTENDANCE_DAILY!C:C,A364,ATTENDANCE_DAILY!E:E,"Absent"))</f>
        <v/>
      </c>
      <c r="G364" s="5">
        <f>IF(D364=0,"",E364/D364)</f>
        <v/>
      </c>
      <c r="H364" s="4">
        <f>IF(G364="","",IF(G364&lt;0.75,"Low Attendance","OK"))</f>
        <v/>
      </c>
    </row>
    <row r="365">
      <c r="A365">
        <f>IF(MASTER_REGISTER!E365="","",MASTER_REGISTER!E365)</f>
        <v/>
      </c>
      <c r="B365">
        <f>IF(A365="","",MASTER_REGISTER!F365)</f>
        <v/>
      </c>
      <c r="C365">
        <f>IF(A365="","",MASTER_REGISTER!C365)</f>
        <v/>
      </c>
      <c r="D365">
        <f>IF(A365="","",COUNTIF(ATTENDANCE_DAILY!C:C,A365))</f>
        <v/>
      </c>
      <c r="E365">
        <f>IF(A365="","",COUNTIFS(ATTENDANCE_DAILY!C:C,A365,ATTENDANCE_DAILY!E:E,"Present"))</f>
        <v/>
      </c>
      <c r="F365">
        <f>IF(A365="","",COUNTIFS(ATTENDANCE_DAILY!C:C,A365,ATTENDANCE_DAILY!E:E,"Absent"))</f>
        <v/>
      </c>
      <c r="G365" s="5">
        <f>IF(D365=0,"",E365/D365)</f>
        <v/>
      </c>
      <c r="H365" s="4">
        <f>IF(G365="","",IF(G365&lt;0.75,"Low Attendance","OK"))</f>
        <v/>
      </c>
    </row>
    <row r="366">
      <c r="A366">
        <f>IF(MASTER_REGISTER!E366="","",MASTER_REGISTER!E366)</f>
        <v/>
      </c>
      <c r="B366">
        <f>IF(A366="","",MASTER_REGISTER!F366)</f>
        <v/>
      </c>
      <c r="C366">
        <f>IF(A366="","",MASTER_REGISTER!C366)</f>
        <v/>
      </c>
      <c r="D366">
        <f>IF(A366="","",COUNTIF(ATTENDANCE_DAILY!C:C,A366))</f>
        <v/>
      </c>
      <c r="E366">
        <f>IF(A366="","",COUNTIFS(ATTENDANCE_DAILY!C:C,A366,ATTENDANCE_DAILY!E:E,"Present"))</f>
        <v/>
      </c>
      <c r="F366">
        <f>IF(A366="","",COUNTIFS(ATTENDANCE_DAILY!C:C,A366,ATTENDANCE_DAILY!E:E,"Absent"))</f>
        <v/>
      </c>
      <c r="G366" s="5">
        <f>IF(D366=0,"",E366/D366)</f>
        <v/>
      </c>
      <c r="H366" s="4">
        <f>IF(G366="","",IF(G366&lt;0.75,"Low Attendance","OK"))</f>
        <v/>
      </c>
    </row>
    <row r="367">
      <c r="A367">
        <f>IF(MASTER_REGISTER!E367="","",MASTER_REGISTER!E367)</f>
        <v/>
      </c>
      <c r="B367">
        <f>IF(A367="","",MASTER_REGISTER!F367)</f>
        <v/>
      </c>
      <c r="C367">
        <f>IF(A367="","",MASTER_REGISTER!C367)</f>
        <v/>
      </c>
      <c r="D367">
        <f>IF(A367="","",COUNTIF(ATTENDANCE_DAILY!C:C,A367))</f>
        <v/>
      </c>
      <c r="E367">
        <f>IF(A367="","",COUNTIFS(ATTENDANCE_DAILY!C:C,A367,ATTENDANCE_DAILY!E:E,"Present"))</f>
        <v/>
      </c>
      <c r="F367">
        <f>IF(A367="","",COUNTIFS(ATTENDANCE_DAILY!C:C,A367,ATTENDANCE_DAILY!E:E,"Absent"))</f>
        <v/>
      </c>
      <c r="G367" s="5">
        <f>IF(D367=0,"",E367/D367)</f>
        <v/>
      </c>
      <c r="H367" s="4">
        <f>IF(G367="","",IF(G367&lt;0.75,"Low Attendance","OK"))</f>
        <v/>
      </c>
    </row>
    <row r="368">
      <c r="A368">
        <f>IF(MASTER_REGISTER!E368="","",MASTER_REGISTER!E368)</f>
        <v/>
      </c>
      <c r="B368">
        <f>IF(A368="","",MASTER_REGISTER!F368)</f>
        <v/>
      </c>
      <c r="C368">
        <f>IF(A368="","",MASTER_REGISTER!C368)</f>
        <v/>
      </c>
      <c r="D368">
        <f>IF(A368="","",COUNTIF(ATTENDANCE_DAILY!C:C,A368))</f>
        <v/>
      </c>
      <c r="E368">
        <f>IF(A368="","",COUNTIFS(ATTENDANCE_DAILY!C:C,A368,ATTENDANCE_DAILY!E:E,"Present"))</f>
        <v/>
      </c>
      <c r="F368">
        <f>IF(A368="","",COUNTIFS(ATTENDANCE_DAILY!C:C,A368,ATTENDANCE_DAILY!E:E,"Absent"))</f>
        <v/>
      </c>
      <c r="G368" s="5">
        <f>IF(D368=0,"",E368/D368)</f>
        <v/>
      </c>
      <c r="H368" s="4">
        <f>IF(G368="","",IF(G368&lt;0.75,"Low Attendance","OK"))</f>
        <v/>
      </c>
    </row>
    <row r="369">
      <c r="A369">
        <f>IF(MASTER_REGISTER!E369="","",MASTER_REGISTER!E369)</f>
        <v/>
      </c>
      <c r="B369">
        <f>IF(A369="","",MASTER_REGISTER!F369)</f>
        <v/>
      </c>
      <c r="C369">
        <f>IF(A369="","",MASTER_REGISTER!C369)</f>
        <v/>
      </c>
      <c r="D369">
        <f>IF(A369="","",COUNTIF(ATTENDANCE_DAILY!C:C,A369))</f>
        <v/>
      </c>
      <c r="E369">
        <f>IF(A369="","",COUNTIFS(ATTENDANCE_DAILY!C:C,A369,ATTENDANCE_DAILY!E:E,"Present"))</f>
        <v/>
      </c>
      <c r="F369">
        <f>IF(A369="","",COUNTIFS(ATTENDANCE_DAILY!C:C,A369,ATTENDANCE_DAILY!E:E,"Absent"))</f>
        <v/>
      </c>
      <c r="G369" s="5">
        <f>IF(D369=0,"",E369/D369)</f>
        <v/>
      </c>
      <c r="H369" s="4">
        <f>IF(G369="","",IF(G369&lt;0.75,"Low Attendance","OK"))</f>
        <v/>
      </c>
    </row>
    <row r="370">
      <c r="A370">
        <f>IF(MASTER_REGISTER!E370="","",MASTER_REGISTER!E370)</f>
        <v/>
      </c>
      <c r="B370">
        <f>IF(A370="","",MASTER_REGISTER!F370)</f>
        <v/>
      </c>
      <c r="C370">
        <f>IF(A370="","",MASTER_REGISTER!C370)</f>
        <v/>
      </c>
      <c r="D370">
        <f>IF(A370="","",COUNTIF(ATTENDANCE_DAILY!C:C,A370))</f>
        <v/>
      </c>
      <c r="E370">
        <f>IF(A370="","",COUNTIFS(ATTENDANCE_DAILY!C:C,A370,ATTENDANCE_DAILY!E:E,"Present"))</f>
        <v/>
      </c>
      <c r="F370">
        <f>IF(A370="","",COUNTIFS(ATTENDANCE_DAILY!C:C,A370,ATTENDANCE_DAILY!E:E,"Absent"))</f>
        <v/>
      </c>
      <c r="G370" s="5">
        <f>IF(D370=0,"",E370/D370)</f>
        <v/>
      </c>
      <c r="H370" s="4">
        <f>IF(G370="","",IF(G370&lt;0.75,"Low Attendance","OK"))</f>
        <v/>
      </c>
    </row>
    <row r="371">
      <c r="A371">
        <f>IF(MASTER_REGISTER!E371="","",MASTER_REGISTER!E371)</f>
        <v/>
      </c>
      <c r="B371">
        <f>IF(A371="","",MASTER_REGISTER!F371)</f>
        <v/>
      </c>
      <c r="C371">
        <f>IF(A371="","",MASTER_REGISTER!C371)</f>
        <v/>
      </c>
      <c r="D371">
        <f>IF(A371="","",COUNTIF(ATTENDANCE_DAILY!C:C,A371))</f>
        <v/>
      </c>
      <c r="E371">
        <f>IF(A371="","",COUNTIFS(ATTENDANCE_DAILY!C:C,A371,ATTENDANCE_DAILY!E:E,"Present"))</f>
        <v/>
      </c>
      <c r="F371">
        <f>IF(A371="","",COUNTIFS(ATTENDANCE_DAILY!C:C,A371,ATTENDANCE_DAILY!E:E,"Absent"))</f>
        <v/>
      </c>
      <c r="G371" s="5">
        <f>IF(D371=0,"",E371/D371)</f>
        <v/>
      </c>
      <c r="H371" s="4">
        <f>IF(G371="","",IF(G371&lt;0.75,"Low Attendance","OK"))</f>
        <v/>
      </c>
    </row>
    <row r="372">
      <c r="A372">
        <f>IF(MASTER_REGISTER!E372="","",MASTER_REGISTER!E372)</f>
        <v/>
      </c>
      <c r="B372">
        <f>IF(A372="","",MASTER_REGISTER!F372)</f>
        <v/>
      </c>
      <c r="C372">
        <f>IF(A372="","",MASTER_REGISTER!C372)</f>
        <v/>
      </c>
      <c r="D372">
        <f>IF(A372="","",COUNTIF(ATTENDANCE_DAILY!C:C,A372))</f>
        <v/>
      </c>
      <c r="E372">
        <f>IF(A372="","",COUNTIFS(ATTENDANCE_DAILY!C:C,A372,ATTENDANCE_DAILY!E:E,"Present"))</f>
        <v/>
      </c>
      <c r="F372">
        <f>IF(A372="","",COUNTIFS(ATTENDANCE_DAILY!C:C,A372,ATTENDANCE_DAILY!E:E,"Absent"))</f>
        <v/>
      </c>
      <c r="G372" s="5">
        <f>IF(D372=0,"",E372/D372)</f>
        <v/>
      </c>
      <c r="H372" s="4">
        <f>IF(G372="","",IF(G372&lt;0.75,"Low Attendance","OK"))</f>
        <v/>
      </c>
    </row>
    <row r="373">
      <c r="A373">
        <f>IF(MASTER_REGISTER!E373="","",MASTER_REGISTER!E373)</f>
        <v/>
      </c>
      <c r="B373">
        <f>IF(A373="","",MASTER_REGISTER!F373)</f>
        <v/>
      </c>
      <c r="C373">
        <f>IF(A373="","",MASTER_REGISTER!C373)</f>
        <v/>
      </c>
      <c r="D373">
        <f>IF(A373="","",COUNTIF(ATTENDANCE_DAILY!C:C,A373))</f>
        <v/>
      </c>
      <c r="E373">
        <f>IF(A373="","",COUNTIFS(ATTENDANCE_DAILY!C:C,A373,ATTENDANCE_DAILY!E:E,"Present"))</f>
        <v/>
      </c>
      <c r="F373">
        <f>IF(A373="","",COUNTIFS(ATTENDANCE_DAILY!C:C,A373,ATTENDANCE_DAILY!E:E,"Absent"))</f>
        <v/>
      </c>
      <c r="G373" s="5">
        <f>IF(D373=0,"",E373/D373)</f>
        <v/>
      </c>
      <c r="H373" s="4">
        <f>IF(G373="","",IF(G373&lt;0.75,"Low Attendance","OK"))</f>
        <v/>
      </c>
    </row>
    <row r="374">
      <c r="A374">
        <f>IF(MASTER_REGISTER!E374="","",MASTER_REGISTER!E374)</f>
        <v/>
      </c>
      <c r="B374">
        <f>IF(A374="","",MASTER_REGISTER!F374)</f>
        <v/>
      </c>
      <c r="C374">
        <f>IF(A374="","",MASTER_REGISTER!C374)</f>
        <v/>
      </c>
      <c r="D374">
        <f>IF(A374="","",COUNTIF(ATTENDANCE_DAILY!C:C,A374))</f>
        <v/>
      </c>
      <c r="E374">
        <f>IF(A374="","",COUNTIFS(ATTENDANCE_DAILY!C:C,A374,ATTENDANCE_DAILY!E:E,"Present"))</f>
        <v/>
      </c>
      <c r="F374">
        <f>IF(A374="","",COUNTIFS(ATTENDANCE_DAILY!C:C,A374,ATTENDANCE_DAILY!E:E,"Absent"))</f>
        <v/>
      </c>
      <c r="G374" s="5">
        <f>IF(D374=0,"",E374/D374)</f>
        <v/>
      </c>
      <c r="H374" s="4">
        <f>IF(G374="","",IF(G374&lt;0.75,"Low Attendance","OK"))</f>
        <v/>
      </c>
    </row>
    <row r="375">
      <c r="A375">
        <f>IF(MASTER_REGISTER!E375="","",MASTER_REGISTER!E375)</f>
        <v/>
      </c>
      <c r="B375">
        <f>IF(A375="","",MASTER_REGISTER!F375)</f>
        <v/>
      </c>
      <c r="C375">
        <f>IF(A375="","",MASTER_REGISTER!C375)</f>
        <v/>
      </c>
      <c r="D375">
        <f>IF(A375="","",COUNTIF(ATTENDANCE_DAILY!C:C,A375))</f>
        <v/>
      </c>
      <c r="E375">
        <f>IF(A375="","",COUNTIFS(ATTENDANCE_DAILY!C:C,A375,ATTENDANCE_DAILY!E:E,"Present"))</f>
        <v/>
      </c>
      <c r="F375">
        <f>IF(A375="","",COUNTIFS(ATTENDANCE_DAILY!C:C,A375,ATTENDANCE_DAILY!E:E,"Absent"))</f>
        <v/>
      </c>
      <c r="G375" s="5">
        <f>IF(D375=0,"",E375/D375)</f>
        <v/>
      </c>
      <c r="H375" s="4">
        <f>IF(G375="","",IF(G375&lt;0.75,"Low Attendance","OK"))</f>
        <v/>
      </c>
    </row>
    <row r="376">
      <c r="A376">
        <f>IF(MASTER_REGISTER!E376="","",MASTER_REGISTER!E376)</f>
        <v/>
      </c>
      <c r="B376">
        <f>IF(A376="","",MASTER_REGISTER!F376)</f>
        <v/>
      </c>
      <c r="C376">
        <f>IF(A376="","",MASTER_REGISTER!C376)</f>
        <v/>
      </c>
      <c r="D376">
        <f>IF(A376="","",COUNTIF(ATTENDANCE_DAILY!C:C,A376))</f>
        <v/>
      </c>
      <c r="E376">
        <f>IF(A376="","",COUNTIFS(ATTENDANCE_DAILY!C:C,A376,ATTENDANCE_DAILY!E:E,"Present"))</f>
        <v/>
      </c>
      <c r="F376">
        <f>IF(A376="","",COUNTIFS(ATTENDANCE_DAILY!C:C,A376,ATTENDANCE_DAILY!E:E,"Absent"))</f>
        <v/>
      </c>
      <c r="G376" s="5">
        <f>IF(D376=0,"",E376/D376)</f>
        <v/>
      </c>
      <c r="H376" s="4">
        <f>IF(G376="","",IF(G376&lt;0.75,"Low Attendance","OK"))</f>
        <v/>
      </c>
    </row>
    <row r="377">
      <c r="A377">
        <f>IF(MASTER_REGISTER!E377="","",MASTER_REGISTER!E377)</f>
        <v/>
      </c>
      <c r="B377">
        <f>IF(A377="","",MASTER_REGISTER!F377)</f>
        <v/>
      </c>
      <c r="C377">
        <f>IF(A377="","",MASTER_REGISTER!C377)</f>
        <v/>
      </c>
      <c r="D377">
        <f>IF(A377="","",COUNTIF(ATTENDANCE_DAILY!C:C,A377))</f>
        <v/>
      </c>
      <c r="E377">
        <f>IF(A377="","",COUNTIFS(ATTENDANCE_DAILY!C:C,A377,ATTENDANCE_DAILY!E:E,"Present"))</f>
        <v/>
      </c>
      <c r="F377">
        <f>IF(A377="","",COUNTIFS(ATTENDANCE_DAILY!C:C,A377,ATTENDANCE_DAILY!E:E,"Absent"))</f>
        <v/>
      </c>
      <c r="G377" s="5">
        <f>IF(D377=0,"",E377/D377)</f>
        <v/>
      </c>
      <c r="H377" s="4">
        <f>IF(G377="","",IF(G377&lt;0.75,"Low Attendance","OK"))</f>
        <v/>
      </c>
    </row>
    <row r="378">
      <c r="A378">
        <f>IF(MASTER_REGISTER!E378="","",MASTER_REGISTER!E378)</f>
        <v/>
      </c>
      <c r="B378">
        <f>IF(A378="","",MASTER_REGISTER!F378)</f>
        <v/>
      </c>
      <c r="C378">
        <f>IF(A378="","",MASTER_REGISTER!C378)</f>
        <v/>
      </c>
      <c r="D378">
        <f>IF(A378="","",COUNTIF(ATTENDANCE_DAILY!C:C,A378))</f>
        <v/>
      </c>
      <c r="E378">
        <f>IF(A378="","",COUNTIFS(ATTENDANCE_DAILY!C:C,A378,ATTENDANCE_DAILY!E:E,"Present"))</f>
        <v/>
      </c>
      <c r="F378">
        <f>IF(A378="","",COUNTIFS(ATTENDANCE_DAILY!C:C,A378,ATTENDANCE_DAILY!E:E,"Absent"))</f>
        <v/>
      </c>
      <c r="G378" s="5">
        <f>IF(D378=0,"",E378/D378)</f>
        <v/>
      </c>
      <c r="H378" s="4">
        <f>IF(G378="","",IF(G378&lt;0.75,"Low Attendance","OK"))</f>
        <v/>
      </c>
    </row>
    <row r="379">
      <c r="A379">
        <f>IF(MASTER_REGISTER!E379="","",MASTER_REGISTER!E379)</f>
        <v/>
      </c>
      <c r="B379">
        <f>IF(A379="","",MASTER_REGISTER!F379)</f>
        <v/>
      </c>
      <c r="C379">
        <f>IF(A379="","",MASTER_REGISTER!C379)</f>
        <v/>
      </c>
      <c r="D379">
        <f>IF(A379="","",COUNTIF(ATTENDANCE_DAILY!C:C,A379))</f>
        <v/>
      </c>
      <c r="E379">
        <f>IF(A379="","",COUNTIFS(ATTENDANCE_DAILY!C:C,A379,ATTENDANCE_DAILY!E:E,"Present"))</f>
        <v/>
      </c>
      <c r="F379">
        <f>IF(A379="","",COUNTIFS(ATTENDANCE_DAILY!C:C,A379,ATTENDANCE_DAILY!E:E,"Absent"))</f>
        <v/>
      </c>
      <c r="G379" s="5">
        <f>IF(D379=0,"",E379/D379)</f>
        <v/>
      </c>
      <c r="H379" s="4">
        <f>IF(G379="","",IF(G379&lt;0.75,"Low Attendance","OK"))</f>
        <v/>
      </c>
    </row>
    <row r="380">
      <c r="A380">
        <f>IF(MASTER_REGISTER!E380="","",MASTER_REGISTER!E380)</f>
        <v/>
      </c>
      <c r="B380">
        <f>IF(A380="","",MASTER_REGISTER!F380)</f>
        <v/>
      </c>
      <c r="C380">
        <f>IF(A380="","",MASTER_REGISTER!C380)</f>
        <v/>
      </c>
      <c r="D380">
        <f>IF(A380="","",COUNTIF(ATTENDANCE_DAILY!C:C,A380))</f>
        <v/>
      </c>
      <c r="E380">
        <f>IF(A380="","",COUNTIFS(ATTENDANCE_DAILY!C:C,A380,ATTENDANCE_DAILY!E:E,"Present"))</f>
        <v/>
      </c>
      <c r="F380">
        <f>IF(A380="","",COUNTIFS(ATTENDANCE_DAILY!C:C,A380,ATTENDANCE_DAILY!E:E,"Absent"))</f>
        <v/>
      </c>
      <c r="G380" s="5">
        <f>IF(D380=0,"",E380/D380)</f>
        <v/>
      </c>
      <c r="H380" s="4">
        <f>IF(G380="","",IF(G380&lt;0.75,"Low Attendance","OK"))</f>
        <v/>
      </c>
    </row>
    <row r="381">
      <c r="A381">
        <f>IF(MASTER_REGISTER!E381="","",MASTER_REGISTER!E381)</f>
        <v/>
      </c>
      <c r="B381">
        <f>IF(A381="","",MASTER_REGISTER!F381)</f>
        <v/>
      </c>
      <c r="C381">
        <f>IF(A381="","",MASTER_REGISTER!C381)</f>
        <v/>
      </c>
      <c r="D381">
        <f>IF(A381="","",COUNTIF(ATTENDANCE_DAILY!C:C,A381))</f>
        <v/>
      </c>
      <c r="E381">
        <f>IF(A381="","",COUNTIFS(ATTENDANCE_DAILY!C:C,A381,ATTENDANCE_DAILY!E:E,"Present"))</f>
        <v/>
      </c>
      <c r="F381">
        <f>IF(A381="","",COUNTIFS(ATTENDANCE_DAILY!C:C,A381,ATTENDANCE_DAILY!E:E,"Absent"))</f>
        <v/>
      </c>
      <c r="G381" s="5">
        <f>IF(D381=0,"",E381/D381)</f>
        <v/>
      </c>
      <c r="H381" s="4">
        <f>IF(G381="","",IF(G381&lt;0.75,"Low Attendance","OK"))</f>
        <v/>
      </c>
    </row>
    <row r="382">
      <c r="A382">
        <f>IF(MASTER_REGISTER!E382="","",MASTER_REGISTER!E382)</f>
        <v/>
      </c>
      <c r="B382">
        <f>IF(A382="","",MASTER_REGISTER!F382)</f>
        <v/>
      </c>
      <c r="C382">
        <f>IF(A382="","",MASTER_REGISTER!C382)</f>
        <v/>
      </c>
      <c r="D382">
        <f>IF(A382="","",COUNTIF(ATTENDANCE_DAILY!C:C,A382))</f>
        <v/>
      </c>
      <c r="E382">
        <f>IF(A382="","",COUNTIFS(ATTENDANCE_DAILY!C:C,A382,ATTENDANCE_DAILY!E:E,"Present"))</f>
        <v/>
      </c>
      <c r="F382">
        <f>IF(A382="","",COUNTIFS(ATTENDANCE_DAILY!C:C,A382,ATTENDANCE_DAILY!E:E,"Absent"))</f>
        <v/>
      </c>
      <c r="G382" s="5">
        <f>IF(D382=0,"",E382/D382)</f>
        <v/>
      </c>
      <c r="H382" s="4">
        <f>IF(G382="","",IF(G382&lt;0.75,"Low Attendance","OK"))</f>
        <v/>
      </c>
    </row>
    <row r="383">
      <c r="A383">
        <f>IF(MASTER_REGISTER!E383="","",MASTER_REGISTER!E383)</f>
        <v/>
      </c>
      <c r="B383">
        <f>IF(A383="","",MASTER_REGISTER!F383)</f>
        <v/>
      </c>
      <c r="C383">
        <f>IF(A383="","",MASTER_REGISTER!C383)</f>
        <v/>
      </c>
      <c r="D383">
        <f>IF(A383="","",COUNTIF(ATTENDANCE_DAILY!C:C,A383))</f>
        <v/>
      </c>
      <c r="E383">
        <f>IF(A383="","",COUNTIFS(ATTENDANCE_DAILY!C:C,A383,ATTENDANCE_DAILY!E:E,"Present"))</f>
        <v/>
      </c>
      <c r="F383">
        <f>IF(A383="","",COUNTIFS(ATTENDANCE_DAILY!C:C,A383,ATTENDANCE_DAILY!E:E,"Absent"))</f>
        <v/>
      </c>
      <c r="G383" s="5">
        <f>IF(D383=0,"",E383/D383)</f>
        <v/>
      </c>
      <c r="H383" s="4">
        <f>IF(G383="","",IF(G383&lt;0.75,"Low Attendance","OK"))</f>
        <v/>
      </c>
    </row>
    <row r="384">
      <c r="A384">
        <f>IF(MASTER_REGISTER!E384="","",MASTER_REGISTER!E384)</f>
        <v/>
      </c>
      <c r="B384">
        <f>IF(A384="","",MASTER_REGISTER!F384)</f>
        <v/>
      </c>
      <c r="C384">
        <f>IF(A384="","",MASTER_REGISTER!C384)</f>
        <v/>
      </c>
      <c r="D384">
        <f>IF(A384="","",COUNTIF(ATTENDANCE_DAILY!C:C,A384))</f>
        <v/>
      </c>
      <c r="E384">
        <f>IF(A384="","",COUNTIFS(ATTENDANCE_DAILY!C:C,A384,ATTENDANCE_DAILY!E:E,"Present"))</f>
        <v/>
      </c>
      <c r="F384">
        <f>IF(A384="","",COUNTIFS(ATTENDANCE_DAILY!C:C,A384,ATTENDANCE_DAILY!E:E,"Absent"))</f>
        <v/>
      </c>
      <c r="G384" s="5">
        <f>IF(D384=0,"",E384/D384)</f>
        <v/>
      </c>
      <c r="H384" s="4">
        <f>IF(G384="","",IF(G384&lt;0.75,"Low Attendance","OK"))</f>
        <v/>
      </c>
    </row>
    <row r="385">
      <c r="A385">
        <f>IF(MASTER_REGISTER!E385="","",MASTER_REGISTER!E385)</f>
        <v/>
      </c>
      <c r="B385">
        <f>IF(A385="","",MASTER_REGISTER!F385)</f>
        <v/>
      </c>
      <c r="C385">
        <f>IF(A385="","",MASTER_REGISTER!C385)</f>
        <v/>
      </c>
      <c r="D385">
        <f>IF(A385="","",COUNTIF(ATTENDANCE_DAILY!C:C,A385))</f>
        <v/>
      </c>
      <c r="E385">
        <f>IF(A385="","",COUNTIFS(ATTENDANCE_DAILY!C:C,A385,ATTENDANCE_DAILY!E:E,"Present"))</f>
        <v/>
      </c>
      <c r="F385">
        <f>IF(A385="","",COUNTIFS(ATTENDANCE_DAILY!C:C,A385,ATTENDANCE_DAILY!E:E,"Absent"))</f>
        <v/>
      </c>
      <c r="G385" s="5">
        <f>IF(D385=0,"",E385/D385)</f>
        <v/>
      </c>
      <c r="H385" s="4">
        <f>IF(G385="","",IF(G385&lt;0.75,"Low Attendance","OK"))</f>
        <v/>
      </c>
    </row>
    <row r="386">
      <c r="A386">
        <f>IF(MASTER_REGISTER!E386="","",MASTER_REGISTER!E386)</f>
        <v/>
      </c>
      <c r="B386">
        <f>IF(A386="","",MASTER_REGISTER!F386)</f>
        <v/>
      </c>
      <c r="C386">
        <f>IF(A386="","",MASTER_REGISTER!C386)</f>
        <v/>
      </c>
      <c r="D386">
        <f>IF(A386="","",COUNTIF(ATTENDANCE_DAILY!C:C,A386))</f>
        <v/>
      </c>
      <c r="E386">
        <f>IF(A386="","",COUNTIFS(ATTENDANCE_DAILY!C:C,A386,ATTENDANCE_DAILY!E:E,"Present"))</f>
        <v/>
      </c>
      <c r="F386">
        <f>IF(A386="","",COUNTIFS(ATTENDANCE_DAILY!C:C,A386,ATTENDANCE_DAILY!E:E,"Absent"))</f>
        <v/>
      </c>
      <c r="G386" s="5">
        <f>IF(D386=0,"",E386/D386)</f>
        <v/>
      </c>
      <c r="H386" s="4">
        <f>IF(G386="","",IF(G386&lt;0.75,"Low Attendance","OK"))</f>
        <v/>
      </c>
    </row>
    <row r="387">
      <c r="A387">
        <f>IF(MASTER_REGISTER!E387="","",MASTER_REGISTER!E387)</f>
        <v/>
      </c>
      <c r="B387">
        <f>IF(A387="","",MASTER_REGISTER!F387)</f>
        <v/>
      </c>
      <c r="C387">
        <f>IF(A387="","",MASTER_REGISTER!C387)</f>
        <v/>
      </c>
      <c r="D387">
        <f>IF(A387="","",COUNTIF(ATTENDANCE_DAILY!C:C,A387))</f>
        <v/>
      </c>
      <c r="E387">
        <f>IF(A387="","",COUNTIFS(ATTENDANCE_DAILY!C:C,A387,ATTENDANCE_DAILY!E:E,"Present"))</f>
        <v/>
      </c>
      <c r="F387">
        <f>IF(A387="","",COUNTIFS(ATTENDANCE_DAILY!C:C,A387,ATTENDANCE_DAILY!E:E,"Absent"))</f>
        <v/>
      </c>
      <c r="G387" s="5">
        <f>IF(D387=0,"",E387/D387)</f>
        <v/>
      </c>
      <c r="H387" s="4">
        <f>IF(G387="","",IF(G387&lt;0.75,"Low Attendance","OK"))</f>
        <v/>
      </c>
    </row>
    <row r="388">
      <c r="A388">
        <f>IF(MASTER_REGISTER!E388="","",MASTER_REGISTER!E388)</f>
        <v/>
      </c>
      <c r="B388">
        <f>IF(A388="","",MASTER_REGISTER!F388)</f>
        <v/>
      </c>
      <c r="C388">
        <f>IF(A388="","",MASTER_REGISTER!C388)</f>
        <v/>
      </c>
      <c r="D388">
        <f>IF(A388="","",COUNTIF(ATTENDANCE_DAILY!C:C,A388))</f>
        <v/>
      </c>
      <c r="E388">
        <f>IF(A388="","",COUNTIFS(ATTENDANCE_DAILY!C:C,A388,ATTENDANCE_DAILY!E:E,"Present"))</f>
        <v/>
      </c>
      <c r="F388">
        <f>IF(A388="","",COUNTIFS(ATTENDANCE_DAILY!C:C,A388,ATTENDANCE_DAILY!E:E,"Absent"))</f>
        <v/>
      </c>
      <c r="G388" s="5">
        <f>IF(D388=0,"",E388/D388)</f>
        <v/>
      </c>
      <c r="H388" s="4">
        <f>IF(G388="","",IF(G388&lt;0.75,"Low Attendance","OK"))</f>
        <v/>
      </c>
    </row>
    <row r="389">
      <c r="A389">
        <f>IF(MASTER_REGISTER!E389="","",MASTER_REGISTER!E389)</f>
        <v/>
      </c>
      <c r="B389">
        <f>IF(A389="","",MASTER_REGISTER!F389)</f>
        <v/>
      </c>
      <c r="C389">
        <f>IF(A389="","",MASTER_REGISTER!C389)</f>
        <v/>
      </c>
      <c r="D389">
        <f>IF(A389="","",COUNTIF(ATTENDANCE_DAILY!C:C,A389))</f>
        <v/>
      </c>
      <c r="E389">
        <f>IF(A389="","",COUNTIFS(ATTENDANCE_DAILY!C:C,A389,ATTENDANCE_DAILY!E:E,"Present"))</f>
        <v/>
      </c>
      <c r="F389">
        <f>IF(A389="","",COUNTIFS(ATTENDANCE_DAILY!C:C,A389,ATTENDANCE_DAILY!E:E,"Absent"))</f>
        <v/>
      </c>
      <c r="G389" s="5">
        <f>IF(D389=0,"",E389/D389)</f>
        <v/>
      </c>
      <c r="H389" s="4">
        <f>IF(G389="","",IF(G389&lt;0.75,"Low Attendance","OK"))</f>
        <v/>
      </c>
    </row>
    <row r="390">
      <c r="A390">
        <f>IF(MASTER_REGISTER!E390="","",MASTER_REGISTER!E390)</f>
        <v/>
      </c>
      <c r="B390">
        <f>IF(A390="","",MASTER_REGISTER!F390)</f>
        <v/>
      </c>
      <c r="C390">
        <f>IF(A390="","",MASTER_REGISTER!C390)</f>
        <v/>
      </c>
      <c r="D390">
        <f>IF(A390="","",COUNTIF(ATTENDANCE_DAILY!C:C,A390))</f>
        <v/>
      </c>
      <c r="E390">
        <f>IF(A390="","",COUNTIFS(ATTENDANCE_DAILY!C:C,A390,ATTENDANCE_DAILY!E:E,"Present"))</f>
        <v/>
      </c>
      <c r="F390">
        <f>IF(A390="","",COUNTIFS(ATTENDANCE_DAILY!C:C,A390,ATTENDANCE_DAILY!E:E,"Absent"))</f>
        <v/>
      </c>
      <c r="G390" s="5">
        <f>IF(D390=0,"",E390/D390)</f>
        <v/>
      </c>
      <c r="H390" s="4">
        <f>IF(G390="","",IF(G390&lt;0.75,"Low Attendance","OK"))</f>
        <v/>
      </c>
    </row>
    <row r="391">
      <c r="A391">
        <f>IF(MASTER_REGISTER!E391="","",MASTER_REGISTER!E391)</f>
        <v/>
      </c>
      <c r="B391">
        <f>IF(A391="","",MASTER_REGISTER!F391)</f>
        <v/>
      </c>
      <c r="C391">
        <f>IF(A391="","",MASTER_REGISTER!C391)</f>
        <v/>
      </c>
      <c r="D391">
        <f>IF(A391="","",COUNTIF(ATTENDANCE_DAILY!C:C,A391))</f>
        <v/>
      </c>
      <c r="E391">
        <f>IF(A391="","",COUNTIFS(ATTENDANCE_DAILY!C:C,A391,ATTENDANCE_DAILY!E:E,"Present"))</f>
        <v/>
      </c>
      <c r="F391">
        <f>IF(A391="","",COUNTIFS(ATTENDANCE_DAILY!C:C,A391,ATTENDANCE_DAILY!E:E,"Absent"))</f>
        <v/>
      </c>
      <c r="G391" s="5">
        <f>IF(D391=0,"",E391/D391)</f>
        <v/>
      </c>
      <c r="H391" s="4">
        <f>IF(G391="","",IF(G391&lt;0.75,"Low Attendance","OK"))</f>
        <v/>
      </c>
    </row>
    <row r="392">
      <c r="A392">
        <f>IF(MASTER_REGISTER!E392="","",MASTER_REGISTER!E392)</f>
        <v/>
      </c>
      <c r="B392">
        <f>IF(A392="","",MASTER_REGISTER!F392)</f>
        <v/>
      </c>
      <c r="C392">
        <f>IF(A392="","",MASTER_REGISTER!C392)</f>
        <v/>
      </c>
      <c r="D392">
        <f>IF(A392="","",COUNTIF(ATTENDANCE_DAILY!C:C,A392))</f>
        <v/>
      </c>
      <c r="E392">
        <f>IF(A392="","",COUNTIFS(ATTENDANCE_DAILY!C:C,A392,ATTENDANCE_DAILY!E:E,"Present"))</f>
        <v/>
      </c>
      <c r="F392">
        <f>IF(A392="","",COUNTIFS(ATTENDANCE_DAILY!C:C,A392,ATTENDANCE_DAILY!E:E,"Absent"))</f>
        <v/>
      </c>
      <c r="G392" s="5">
        <f>IF(D392=0,"",E392/D392)</f>
        <v/>
      </c>
      <c r="H392" s="4">
        <f>IF(G392="","",IF(G392&lt;0.75,"Low Attendance","OK"))</f>
        <v/>
      </c>
    </row>
    <row r="393">
      <c r="A393">
        <f>IF(MASTER_REGISTER!E393="","",MASTER_REGISTER!E393)</f>
        <v/>
      </c>
      <c r="B393">
        <f>IF(A393="","",MASTER_REGISTER!F393)</f>
        <v/>
      </c>
      <c r="C393">
        <f>IF(A393="","",MASTER_REGISTER!C393)</f>
        <v/>
      </c>
      <c r="D393">
        <f>IF(A393="","",COUNTIF(ATTENDANCE_DAILY!C:C,A393))</f>
        <v/>
      </c>
      <c r="E393">
        <f>IF(A393="","",COUNTIFS(ATTENDANCE_DAILY!C:C,A393,ATTENDANCE_DAILY!E:E,"Present"))</f>
        <v/>
      </c>
      <c r="F393">
        <f>IF(A393="","",COUNTIFS(ATTENDANCE_DAILY!C:C,A393,ATTENDANCE_DAILY!E:E,"Absent"))</f>
        <v/>
      </c>
      <c r="G393" s="5">
        <f>IF(D393=0,"",E393/D393)</f>
        <v/>
      </c>
      <c r="H393" s="4">
        <f>IF(G393="","",IF(G393&lt;0.75,"Low Attendance","OK"))</f>
        <v/>
      </c>
    </row>
    <row r="394">
      <c r="A394">
        <f>IF(MASTER_REGISTER!E394="","",MASTER_REGISTER!E394)</f>
        <v/>
      </c>
      <c r="B394">
        <f>IF(A394="","",MASTER_REGISTER!F394)</f>
        <v/>
      </c>
      <c r="C394">
        <f>IF(A394="","",MASTER_REGISTER!C394)</f>
        <v/>
      </c>
      <c r="D394">
        <f>IF(A394="","",COUNTIF(ATTENDANCE_DAILY!C:C,A394))</f>
        <v/>
      </c>
      <c r="E394">
        <f>IF(A394="","",COUNTIFS(ATTENDANCE_DAILY!C:C,A394,ATTENDANCE_DAILY!E:E,"Present"))</f>
        <v/>
      </c>
      <c r="F394">
        <f>IF(A394="","",COUNTIFS(ATTENDANCE_DAILY!C:C,A394,ATTENDANCE_DAILY!E:E,"Absent"))</f>
        <v/>
      </c>
      <c r="G394" s="5">
        <f>IF(D394=0,"",E394/D394)</f>
        <v/>
      </c>
      <c r="H394" s="4">
        <f>IF(G394="","",IF(G394&lt;0.75,"Low Attendance","OK"))</f>
        <v/>
      </c>
    </row>
    <row r="395">
      <c r="A395">
        <f>IF(MASTER_REGISTER!E395="","",MASTER_REGISTER!E395)</f>
        <v/>
      </c>
      <c r="B395">
        <f>IF(A395="","",MASTER_REGISTER!F395)</f>
        <v/>
      </c>
      <c r="C395">
        <f>IF(A395="","",MASTER_REGISTER!C395)</f>
        <v/>
      </c>
      <c r="D395">
        <f>IF(A395="","",COUNTIF(ATTENDANCE_DAILY!C:C,A395))</f>
        <v/>
      </c>
      <c r="E395">
        <f>IF(A395="","",COUNTIFS(ATTENDANCE_DAILY!C:C,A395,ATTENDANCE_DAILY!E:E,"Present"))</f>
        <v/>
      </c>
      <c r="F395">
        <f>IF(A395="","",COUNTIFS(ATTENDANCE_DAILY!C:C,A395,ATTENDANCE_DAILY!E:E,"Absent"))</f>
        <v/>
      </c>
      <c r="G395" s="5">
        <f>IF(D395=0,"",E395/D395)</f>
        <v/>
      </c>
      <c r="H395" s="4">
        <f>IF(G395="","",IF(G395&lt;0.75,"Low Attendance","OK"))</f>
        <v/>
      </c>
    </row>
    <row r="396">
      <c r="A396">
        <f>IF(MASTER_REGISTER!E396="","",MASTER_REGISTER!E396)</f>
        <v/>
      </c>
      <c r="B396">
        <f>IF(A396="","",MASTER_REGISTER!F396)</f>
        <v/>
      </c>
      <c r="C396">
        <f>IF(A396="","",MASTER_REGISTER!C396)</f>
        <v/>
      </c>
      <c r="D396">
        <f>IF(A396="","",COUNTIF(ATTENDANCE_DAILY!C:C,A396))</f>
        <v/>
      </c>
      <c r="E396">
        <f>IF(A396="","",COUNTIFS(ATTENDANCE_DAILY!C:C,A396,ATTENDANCE_DAILY!E:E,"Present"))</f>
        <v/>
      </c>
      <c r="F396">
        <f>IF(A396="","",COUNTIFS(ATTENDANCE_DAILY!C:C,A396,ATTENDANCE_DAILY!E:E,"Absent"))</f>
        <v/>
      </c>
      <c r="G396" s="5">
        <f>IF(D396=0,"",E396/D396)</f>
        <v/>
      </c>
      <c r="H396" s="4">
        <f>IF(G396="","",IF(G396&lt;0.75,"Low Attendance","OK"))</f>
        <v/>
      </c>
    </row>
    <row r="397">
      <c r="A397">
        <f>IF(MASTER_REGISTER!E397="","",MASTER_REGISTER!E397)</f>
        <v/>
      </c>
      <c r="B397">
        <f>IF(A397="","",MASTER_REGISTER!F397)</f>
        <v/>
      </c>
      <c r="C397">
        <f>IF(A397="","",MASTER_REGISTER!C397)</f>
        <v/>
      </c>
      <c r="D397">
        <f>IF(A397="","",COUNTIF(ATTENDANCE_DAILY!C:C,A397))</f>
        <v/>
      </c>
      <c r="E397">
        <f>IF(A397="","",COUNTIFS(ATTENDANCE_DAILY!C:C,A397,ATTENDANCE_DAILY!E:E,"Present"))</f>
        <v/>
      </c>
      <c r="F397">
        <f>IF(A397="","",COUNTIFS(ATTENDANCE_DAILY!C:C,A397,ATTENDANCE_DAILY!E:E,"Absent"))</f>
        <v/>
      </c>
      <c r="G397" s="5">
        <f>IF(D397=0,"",E397/D397)</f>
        <v/>
      </c>
      <c r="H397" s="4">
        <f>IF(G397="","",IF(G397&lt;0.75,"Low Attendance","OK"))</f>
        <v/>
      </c>
    </row>
    <row r="398">
      <c r="A398">
        <f>IF(MASTER_REGISTER!E398="","",MASTER_REGISTER!E398)</f>
        <v/>
      </c>
      <c r="B398">
        <f>IF(A398="","",MASTER_REGISTER!F398)</f>
        <v/>
      </c>
      <c r="C398">
        <f>IF(A398="","",MASTER_REGISTER!C398)</f>
        <v/>
      </c>
      <c r="D398">
        <f>IF(A398="","",COUNTIF(ATTENDANCE_DAILY!C:C,A398))</f>
        <v/>
      </c>
      <c r="E398">
        <f>IF(A398="","",COUNTIFS(ATTENDANCE_DAILY!C:C,A398,ATTENDANCE_DAILY!E:E,"Present"))</f>
        <v/>
      </c>
      <c r="F398">
        <f>IF(A398="","",COUNTIFS(ATTENDANCE_DAILY!C:C,A398,ATTENDANCE_DAILY!E:E,"Absent"))</f>
        <v/>
      </c>
      <c r="G398" s="5">
        <f>IF(D398=0,"",E398/D398)</f>
        <v/>
      </c>
      <c r="H398" s="4">
        <f>IF(G398="","",IF(G398&lt;0.75,"Low Attendance","OK"))</f>
        <v/>
      </c>
    </row>
    <row r="399">
      <c r="A399">
        <f>IF(MASTER_REGISTER!E399="","",MASTER_REGISTER!E399)</f>
        <v/>
      </c>
      <c r="B399">
        <f>IF(A399="","",MASTER_REGISTER!F399)</f>
        <v/>
      </c>
      <c r="C399">
        <f>IF(A399="","",MASTER_REGISTER!C399)</f>
        <v/>
      </c>
      <c r="D399">
        <f>IF(A399="","",COUNTIF(ATTENDANCE_DAILY!C:C,A399))</f>
        <v/>
      </c>
      <c r="E399">
        <f>IF(A399="","",COUNTIFS(ATTENDANCE_DAILY!C:C,A399,ATTENDANCE_DAILY!E:E,"Present"))</f>
        <v/>
      </c>
      <c r="F399">
        <f>IF(A399="","",COUNTIFS(ATTENDANCE_DAILY!C:C,A399,ATTENDANCE_DAILY!E:E,"Absent"))</f>
        <v/>
      </c>
      <c r="G399" s="5">
        <f>IF(D399=0,"",E399/D399)</f>
        <v/>
      </c>
      <c r="H399" s="4">
        <f>IF(G399="","",IF(G399&lt;0.75,"Low Attendance","OK"))</f>
        <v/>
      </c>
    </row>
    <row r="400">
      <c r="A400">
        <f>IF(MASTER_REGISTER!E400="","",MASTER_REGISTER!E400)</f>
        <v/>
      </c>
      <c r="B400">
        <f>IF(A400="","",MASTER_REGISTER!F400)</f>
        <v/>
      </c>
      <c r="C400">
        <f>IF(A400="","",MASTER_REGISTER!C400)</f>
        <v/>
      </c>
      <c r="D400">
        <f>IF(A400="","",COUNTIF(ATTENDANCE_DAILY!C:C,A400))</f>
        <v/>
      </c>
      <c r="E400">
        <f>IF(A400="","",COUNTIFS(ATTENDANCE_DAILY!C:C,A400,ATTENDANCE_DAILY!E:E,"Present"))</f>
        <v/>
      </c>
      <c r="F400">
        <f>IF(A400="","",COUNTIFS(ATTENDANCE_DAILY!C:C,A400,ATTENDANCE_DAILY!E:E,"Absent"))</f>
        <v/>
      </c>
      <c r="G400" s="5">
        <f>IF(D400=0,"",E400/D400)</f>
        <v/>
      </c>
      <c r="H400" s="4">
        <f>IF(G400="","",IF(G400&lt;0.75,"Low Attendance","OK"))</f>
        <v/>
      </c>
    </row>
    <row r="401">
      <c r="A401">
        <f>IF(MASTER_REGISTER!E401="","",MASTER_REGISTER!E401)</f>
        <v/>
      </c>
      <c r="B401">
        <f>IF(A401="","",MASTER_REGISTER!F401)</f>
        <v/>
      </c>
      <c r="C401">
        <f>IF(A401="","",MASTER_REGISTER!C401)</f>
        <v/>
      </c>
      <c r="D401">
        <f>IF(A401="","",COUNTIF(ATTENDANCE_DAILY!C:C,A401))</f>
        <v/>
      </c>
      <c r="E401">
        <f>IF(A401="","",COUNTIFS(ATTENDANCE_DAILY!C:C,A401,ATTENDANCE_DAILY!E:E,"Present"))</f>
        <v/>
      </c>
      <c r="F401">
        <f>IF(A401="","",COUNTIFS(ATTENDANCE_DAILY!C:C,A401,ATTENDANCE_DAILY!E:E,"Absent"))</f>
        <v/>
      </c>
      <c r="G401" s="5">
        <f>IF(D401=0,"",E401/D401)</f>
        <v/>
      </c>
      <c r="H401" s="4">
        <f>IF(G401="","",IF(G401&lt;0.75,"Low Attendance","OK"))</f>
        <v/>
      </c>
    </row>
    <row r="402">
      <c r="A402">
        <f>IF(MASTER_REGISTER!E402="","",MASTER_REGISTER!E402)</f>
        <v/>
      </c>
      <c r="B402">
        <f>IF(A402="","",MASTER_REGISTER!F402)</f>
        <v/>
      </c>
      <c r="C402">
        <f>IF(A402="","",MASTER_REGISTER!C402)</f>
        <v/>
      </c>
      <c r="D402">
        <f>IF(A402="","",COUNTIF(ATTENDANCE_DAILY!C:C,A402))</f>
        <v/>
      </c>
      <c r="E402">
        <f>IF(A402="","",COUNTIFS(ATTENDANCE_DAILY!C:C,A402,ATTENDANCE_DAILY!E:E,"Present"))</f>
        <v/>
      </c>
      <c r="F402">
        <f>IF(A402="","",COUNTIFS(ATTENDANCE_DAILY!C:C,A402,ATTENDANCE_DAILY!E:E,"Absent"))</f>
        <v/>
      </c>
      <c r="G402" s="5">
        <f>IF(D402=0,"",E402/D402)</f>
        <v/>
      </c>
      <c r="H402" s="4">
        <f>IF(G402="","",IF(G402&lt;0.75,"Low Attendance","OK"))</f>
        <v/>
      </c>
    </row>
    <row r="403">
      <c r="A403">
        <f>IF(MASTER_REGISTER!E403="","",MASTER_REGISTER!E403)</f>
        <v/>
      </c>
      <c r="B403">
        <f>IF(A403="","",MASTER_REGISTER!F403)</f>
        <v/>
      </c>
      <c r="C403">
        <f>IF(A403="","",MASTER_REGISTER!C403)</f>
        <v/>
      </c>
      <c r="D403">
        <f>IF(A403="","",COUNTIF(ATTENDANCE_DAILY!C:C,A403))</f>
        <v/>
      </c>
      <c r="E403">
        <f>IF(A403="","",COUNTIFS(ATTENDANCE_DAILY!C:C,A403,ATTENDANCE_DAILY!E:E,"Present"))</f>
        <v/>
      </c>
      <c r="F403">
        <f>IF(A403="","",COUNTIFS(ATTENDANCE_DAILY!C:C,A403,ATTENDANCE_DAILY!E:E,"Absent"))</f>
        <v/>
      </c>
      <c r="G403" s="5">
        <f>IF(D403=0,"",E403/D403)</f>
        <v/>
      </c>
      <c r="H403" s="4">
        <f>IF(G403="","",IF(G403&lt;0.75,"Low Attendance","OK"))</f>
        <v/>
      </c>
    </row>
    <row r="404">
      <c r="A404">
        <f>IF(MASTER_REGISTER!E404="","",MASTER_REGISTER!E404)</f>
        <v/>
      </c>
      <c r="B404">
        <f>IF(A404="","",MASTER_REGISTER!F404)</f>
        <v/>
      </c>
      <c r="C404">
        <f>IF(A404="","",MASTER_REGISTER!C404)</f>
        <v/>
      </c>
      <c r="D404">
        <f>IF(A404="","",COUNTIF(ATTENDANCE_DAILY!C:C,A404))</f>
        <v/>
      </c>
      <c r="E404">
        <f>IF(A404="","",COUNTIFS(ATTENDANCE_DAILY!C:C,A404,ATTENDANCE_DAILY!E:E,"Present"))</f>
        <v/>
      </c>
      <c r="F404">
        <f>IF(A404="","",COUNTIFS(ATTENDANCE_DAILY!C:C,A404,ATTENDANCE_DAILY!E:E,"Absent"))</f>
        <v/>
      </c>
      <c r="G404" s="5">
        <f>IF(D404=0,"",E404/D404)</f>
        <v/>
      </c>
      <c r="H404" s="4">
        <f>IF(G404="","",IF(G404&lt;0.75,"Low Attendance","OK"))</f>
        <v/>
      </c>
    </row>
    <row r="405">
      <c r="A405">
        <f>IF(MASTER_REGISTER!E405="","",MASTER_REGISTER!E405)</f>
        <v/>
      </c>
      <c r="B405">
        <f>IF(A405="","",MASTER_REGISTER!F405)</f>
        <v/>
      </c>
      <c r="C405">
        <f>IF(A405="","",MASTER_REGISTER!C405)</f>
        <v/>
      </c>
      <c r="D405">
        <f>IF(A405="","",COUNTIF(ATTENDANCE_DAILY!C:C,A405))</f>
        <v/>
      </c>
      <c r="E405">
        <f>IF(A405="","",COUNTIFS(ATTENDANCE_DAILY!C:C,A405,ATTENDANCE_DAILY!E:E,"Present"))</f>
        <v/>
      </c>
      <c r="F405">
        <f>IF(A405="","",COUNTIFS(ATTENDANCE_DAILY!C:C,A405,ATTENDANCE_DAILY!E:E,"Absent"))</f>
        <v/>
      </c>
      <c r="G405" s="5">
        <f>IF(D405=0,"",E405/D405)</f>
        <v/>
      </c>
      <c r="H405" s="4">
        <f>IF(G405="","",IF(G405&lt;0.75,"Low Attendance","OK"))</f>
        <v/>
      </c>
    </row>
    <row r="406">
      <c r="A406">
        <f>IF(MASTER_REGISTER!E406="","",MASTER_REGISTER!E406)</f>
        <v/>
      </c>
      <c r="B406">
        <f>IF(A406="","",MASTER_REGISTER!F406)</f>
        <v/>
      </c>
      <c r="C406">
        <f>IF(A406="","",MASTER_REGISTER!C406)</f>
        <v/>
      </c>
      <c r="D406">
        <f>IF(A406="","",COUNTIF(ATTENDANCE_DAILY!C:C,A406))</f>
        <v/>
      </c>
      <c r="E406">
        <f>IF(A406="","",COUNTIFS(ATTENDANCE_DAILY!C:C,A406,ATTENDANCE_DAILY!E:E,"Present"))</f>
        <v/>
      </c>
      <c r="F406">
        <f>IF(A406="","",COUNTIFS(ATTENDANCE_DAILY!C:C,A406,ATTENDANCE_DAILY!E:E,"Absent"))</f>
        <v/>
      </c>
      <c r="G406" s="5">
        <f>IF(D406=0,"",E406/D406)</f>
        <v/>
      </c>
      <c r="H406" s="4">
        <f>IF(G406="","",IF(G406&lt;0.75,"Low Attendance","OK"))</f>
        <v/>
      </c>
    </row>
    <row r="407">
      <c r="A407">
        <f>IF(MASTER_REGISTER!E407="","",MASTER_REGISTER!E407)</f>
        <v/>
      </c>
      <c r="B407">
        <f>IF(A407="","",MASTER_REGISTER!F407)</f>
        <v/>
      </c>
      <c r="C407">
        <f>IF(A407="","",MASTER_REGISTER!C407)</f>
        <v/>
      </c>
      <c r="D407">
        <f>IF(A407="","",COUNTIF(ATTENDANCE_DAILY!C:C,A407))</f>
        <v/>
      </c>
      <c r="E407">
        <f>IF(A407="","",COUNTIFS(ATTENDANCE_DAILY!C:C,A407,ATTENDANCE_DAILY!E:E,"Present"))</f>
        <v/>
      </c>
      <c r="F407">
        <f>IF(A407="","",COUNTIFS(ATTENDANCE_DAILY!C:C,A407,ATTENDANCE_DAILY!E:E,"Absent"))</f>
        <v/>
      </c>
      <c r="G407" s="5">
        <f>IF(D407=0,"",E407/D407)</f>
        <v/>
      </c>
      <c r="H407" s="4">
        <f>IF(G407="","",IF(G407&lt;0.75,"Low Attendance","OK"))</f>
        <v/>
      </c>
    </row>
    <row r="408">
      <c r="A408">
        <f>IF(MASTER_REGISTER!E408="","",MASTER_REGISTER!E408)</f>
        <v/>
      </c>
      <c r="B408">
        <f>IF(A408="","",MASTER_REGISTER!F408)</f>
        <v/>
      </c>
      <c r="C408">
        <f>IF(A408="","",MASTER_REGISTER!C408)</f>
        <v/>
      </c>
      <c r="D408">
        <f>IF(A408="","",COUNTIF(ATTENDANCE_DAILY!C:C,A408))</f>
        <v/>
      </c>
      <c r="E408">
        <f>IF(A408="","",COUNTIFS(ATTENDANCE_DAILY!C:C,A408,ATTENDANCE_DAILY!E:E,"Present"))</f>
        <v/>
      </c>
      <c r="F408">
        <f>IF(A408="","",COUNTIFS(ATTENDANCE_DAILY!C:C,A408,ATTENDANCE_DAILY!E:E,"Absent"))</f>
        <v/>
      </c>
      <c r="G408" s="5">
        <f>IF(D408=0,"",E408/D408)</f>
        <v/>
      </c>
      <c r="H408" s="4">
        <f>IF(G408="","",IF(G408&lt;0.75,"Low Attendance","OK"))</f>
        <v/>
      </c>
    </row>
    <row r="409">
      <c r="A409">
        <f>IF(MASTER_REGISTER!E409="","",MASTER_REGISTER!E409)</f>
        <v/>
      </c>
      <c r="B409">
        <f>IF(A409="","",MASTER_REGISTER!F409)</f>
        <v/>
      </c>
      <c r="C409">
        <f>IF(A409="","",MASTER_REGISTER!C409)</f>
        <v/>
      </c>
      <c r="D409">
        <f>IF(A409="","",COUNTIF(ATTENDANCE_DAILY!C:C,A409))</f>
        <v/>
      </c>
      <c r="E409">
        <f>IF(A409="","",COUNTIFS(ATTENDANCE_DAILY!C:C,A409,ATTENDANCE_DAILY!E:E,"Present"))</f>
        <v/>
      </c>
      <c r="F409">
        <f>IF(A409="","",COUNTIFS(ATTENDANCE_DAILY!C:C,A409,ATTENDANCE_DAILY!E:E,"Absent"))</f>
        <v/>
      </c>
      <c r="G409" s="5">
        <f>IF(D409=0,"",E409/D409)</f>
        <v/>
      </c>
      <c r="H409" s="4">
        <f>IF(G409="","",IF(G409&lt;0.75,"Low Attendance","OK"))</f>
        <v/>
      </c>
    </row>
    <row r="410">
      <c r="A410">
        <f>IF(MASTER_REGISTER!E410="","",MASTER_REGISTER!E410)</f>
        <v/>
      </c>
      <c r="B410">
        <f>IF(A410="","",MASTER_REGISTER!F410)</f>
        <v/>
      </c>
      <c r="C410">
        <f>IF(A410="","",MASTER_REGISTER!C410)</f>
        <v/>
      </c>
      <c r="D410">
        <f>IF(A410="","",COUNTIF(ATTENDANCE_DAILY!C:C,A410))</f>
        <v/>
      </c>
      <c r="E410">
        <f>IF(A410="","",COUNTIFS(ATTENDANCE_DAILY!C:C,A410,ATTENDANCE_DAILY!E:E,"Present"))</f>
        <v/>
      </c>
      <c r="F410">
        <f>IF(A410="","",COUNTIFS(ATTENDANCE_DAILY!C:C,A410,ATTENDANCE_DAILY!E:E,"Absent"))</f>
        <v/>
      </c>
      <c r="G410" s="5">
        <f>IF(D410=0,"",E410/D410)</f>
        <v/>
      </c>
      <c r="H410" s="4">
        <f>IF(G410="","",IF(G410&lt;0.75,"Low Attendance","OK"))</f>
        <v/>
      </c>
    </row>
    <row r="411">
      <c r="A411">
        <f>IF(MASTER_REGISTER!E411="","",MASTER_REGISTER!E411)</f>
        <v/>
      </c>
      <c r="B411">
        <f>IF(A411="","",MASTER_REGISTER!F411)</f>
        <v/>
      </c>
      <c r="C411">
        <f>IF(A411="","",MASTER_REGISTER!C411)</f>
        <v/>
      </c>
      <c r="D411">
        <f>IF(A411="","",COUNTIF(ATTENDANCE_DAILY!C:C,A411))</f>
        <v/>
      </c>
      <c r="E411">
        <f>IF(A411="","",COUNTIFS(ATTENDANCE_DAILY!C:C,A411,ATTENDANCE_DAILY!E:E,"Present"))</f>
        <v/>
      </c>
      <c r="F411">
        <f>IF(A411="","",COUNTIFS(ATTENDANCE_DAILY!C:C,A411,ATTENDANCE_DAILY!E:E,"Absent"))</f>
        <v/>
      </c>
      <c r="G411" s="5">
        <f>IF(D411=0,"",E411/D411)</f>
        <v/>
      </c>
      <c r="H411" s="4">
        <f>IF(G411="","",IF(G411&lt;0.75,"Low Attendance","OK"))</f>
        <v/>
      </c>
    </row>
    <row r="412">
      <c r="A412">
        <f>IF(MASTER_REGISTER!E412="","",MASTER_REGISTER!E412)</f>
        <v/>
      </c>
      <c r="B412">
        <f>IF(A412="","",MASTER_REGISTER!F412)</f>
        <v/>
      </c>
      <c r="C412">
        <f>IF(A412="","",MASTER_REGISTER!C412)</f>
        <v/>
      </c>
      <c r="D412">
        <f>IF(A412="","",COUNTIF(ATTENDANCE_DAILY!C:C,A412))</f>
        <v/>
      </c>
      <c r="E412">
        <f>IF(A412="","",COUNTIFS(ATTENDANCE_DAILY!C:C,A412,ATTENDANCE_DAILY!E:E,"Present"))</f>
        <v/>
      </c>
      <c r="F412">
        <f>IF(A412="","",COUNTIFS(ATTENDANCE_DAILY!C:C,A412,ATTENDANCE_DAILY!E:E,"Absent"))</f>
        <v/>
      </c>
      <c r="G412" s="5">
        <f>IF(D412=0,"",E412/D412)</f>
        <v/>
      </c>
      <c r="H412" s="4">
        <f>IF(G412="","",IF(G412&lt;0.75,"Low Attendance","OK"))</f>
        <v/>
      </c>
    </row>
    <row r="413">
      <c r="A413">
        <f>IF(MASTER_REGISTER!E413="","",MASTER_REGISTER!E413)</f>
        <v/>
      </c>
      <c r="B413">
        <f>IF(A413="","",MASTER_REGISTER!F413)</f>
        <v/>
      </c>
      <c r="C413">
        <f>IF(A413="","",MASTER_REGISTER!C413)</f>
        <v/>
      </c>
      <c r="D413">
        <f>IF(A413="","",COUNTIF(ATTENDANCE_DAILY!C:C,A413))</f>
        <v/>
      </c>
      <c r="E413">
        <f>IF(A413="","",COUNTIFS(ATTENDANCE_DAILY!C:C,A413,ATTENDANCE_DAILY!E:E,"Present"))</f>
        <v/>
      </c>
      <c r="F413">
        <f>IF(A413="","",COUNTIFS(ATTENDANCE_DAILY!C:C,A413,ATTENDANCE_DAILY!E:E,"Absent"))</f>
        <v/>
      </c>
      <c r="G413" s="5">
        <f>IF(D413=0,"",E413/D413)</f>
        <v/>
      </c>
      <c r="H413" s="4">
        <f>IF(G413="","",IF(G413&lt;0.75,"Low Attendance","OK"))</f>
        <v/>
      </c>
    </row>
    <row r="414">
      <c r="A414">
        <f>IF(MASTER_REGISTER!E414="","",MASTER_REGISTER!E414)</f>
        <v/>
      </c>
      <c r="B414">
        <f>IF(A414="","",MASTER_REGISTER!F414)</f>
        <v/>
      </c>
      <c r="C414">
        <f>IF(A414="","",MASTER_REGISTER!C414)</f>
        <v/>
      </c>
      <c r="D414">
        <f>IF(A414="","",COUNTIF(ATTENDANCE_DAILY!C:C,A414))</f>
        <v/>
      </c>
      <c r="E414">
        <f>IF(A414="","",COUNTIFS(ATTENDANCE_DAILY!C:C,A414,ATTENDANCE_DAILY!E:E,"Present"))</f>
        <v/>
      </c>
      <c r="F414">
        <f>IF(A414="","",COUNTIFS(ATTENDANCE_DAILY!C:C,A414,ATTENDANCE_DAILY!E:E,"Absent"))</f>
        <v/>
      </c>
      <c r="G414" s="5">
        <f>IF(D414=0,"",E414/D414)</f>
        <v/>
      </c>
      <c r="H414" s="4">
        <f>IF(G414="","",IF(G414&lt;0.75,"Low Attendance","OK"))</f>
        <v/>
      </c>
    </row>
    <row r="415">
      <c r="A415">
        <f>IF(MASTER_REGISTER!E415="","",MASTER_REGISTER!E415)</f>
        <v/>
      </c>
      <c r="B415">
        <f>IF(A415="","",MASTER_REGISTER!F415)</f>
        <v/>
      </c>
      <c r="C415">
        <f>IF(A415="","",MASTER_REGISTER!C415)</f>
        <v/>
      </c>
      <c r="D415">
        <f>IF(A415="","",COUNTIF(ATTENDANCE_DAILY!C:C,A415))</f>
        <v/>
      </c>
      <c r="E415">
        <f>IF(A415="","",COUNTIFS(ATTENDANCE_DAILY!C:C,A415,ATTENDANCE_DAILY!E:E,"Present"))</f>
        <v/>
      </c>
      <c r="F415">
        <f>IF(A415="","",COUNTIFS(ATTENDANCE_DAILY!C:C,A415,ATTENDANCE_DAILY!E:E,"Absent"))</f>
        <v/>
      </c>
      <c r="G415" s="5">
        <f>IF(D415=0,"",E415/D415)</f>
        <v/>
      </c>
      <c r="H415" s="4">
        <f>IF(G415="","",IF(G415&lt;0.75,"Low Attendance","OK"))</f>
        <v/>
      </c>
    </row>
    <row r="416">
      <c r="A416">
        <f>IF(MASTER_REGISTER!E416="","",MASTER_REGISTER!E416)</f>
        <v/>
      </c>
      <c r="B416">
        <f>IF(A416="","",MASTER_REGISTER!F416)</f>
        <v/>
      </c>
      <c r="C416">
        <f>IF(A416="","",MASTER_REGISTER!C416)</f>
        <v/>
      </c>
      <c r="D416">
        <f>IF(A416="","",COUNTIF(ATTENDANCE_DAILY!C:C,A416))</f>
        <v/>
      </c>
      <c r="E416">
        <f>IF(A416="","",COUNTIFS(ATTENDANCE_DAILY!C:C,A416,ATTENDANCE_DAILY!E:E,"Present"))</f>
        <v/>
      </c>
      <c r="F416">
        <f>IF(A416="","",COUNTIFS(ATTENDANCE_DAILY!C:C,A416,ATTENDANCE_DAILY!E:E,"Absent"))</f>
        <v/>
      </c>
      <c r="G416" s="5">
        <f>IF(D416=0,"",E416/D416)</f>
        <v/>
      </c>
      <c r="H416" s="4">
        <f>IF(G416="","",IF(G416&lt;0.75,"Low Attendance","OK"))</f>
        <v/>
      </c>
    </row>
    <row r="417">
      <c r="A417">
        <f>IF(MASTER_REGISTER!E417="","",MASTER_REGISTER!E417)</f>
        <v/>
      </c>
      <c r="B417">
        <f>IF(A417="","",MASTER_REGISTER!F417)</f>
        <v/>
      </c>
      <c r="C417">
        <f>IF(A417="","",MASTER_REGISTER!C417)</f>
        <v/>
      </c>
      <c r="D417">
        <f>IF(A417="","",COUNTIF(ATTENDANCE_DAILY!C:C,A417))</f>
        <v/>
      </c>
      <c r="E417">
        <f>IF(A417="","",COUNTIFS(ATTENDANCE_DAILY!C:C,A417,ATTENDANCE_DAILY!E:E,"Present"))</f>
        <v/>
      </c>
      <c r="F417">
        <f>IF(A417="","",COUNTIFS(ATTENDANCE_DAILY!C:C,A417,ATTENDANCE_DAILY!E:E,"Absent"))</f>
        <v/>
      </c>
      <c r="G417" s="5">
        <f>IF(D417=0,"",E417/D417)</f>
        <v/>
      </c>
      <c r="H417" s="4">
        <f>IF(G417="","",IF(G417&lt;0.75,"Low Attendance","OK"))</f>
        <v/>
      </c>
    </row>
    <row r="418">
      <c r="A418">
        <f>IF(MASTER_REGISTER!E418="","",MASTER_REGISTER!E418)</f>
        <v/>
      </c>
      <c r="B418">
        <f>IF(A418="","",MASTER_REGISTER!F418)</f>
        <v/>
      </c>
      <c r="C418">
        <f>IF(A418="","",MASTER_REGISTER!C418)</f>
        <v/>
      </c>
      <c r="D418">
        <f>IF(A418="","",COUNTIF(ATTENDANCE_DAILY!C:C,A418))</f>
        <v/>
      </c>
      <c r="E418">
        <f>IF(A418="","",COUNTIFS(ATTENDANCE_DAILY!C:C,A418,ATTENDANCE_DAILY!E:E,"Present"))</f>
        <v/>
      </c>
      <c r="F418">
        <f>IF(A418="","",COUNTIFS(ATTENDANCE_DAILY!C:C,A418,ATTENDANCE_DAILY!E:E,"Absent"))</f>
        <v/>
      </c>
      <c r="G418" s="5">
        <f>IF(D418=0,"",E418/D418)</f>
        <v/>
      </c>
      <c r="H418" s="4">
        <f>IF(G418="","",IF(G418&lt;0.75,"Low Attendance","OK"))</f>
        <v/>
      </c>
    </row>
    <row r="419">
      <c r="A419">
        <f>IF(MASTER_REGISTER!E419="","",MASTER_REGISTER!E419)</f>
        <v/>
      </c>
      <c r="B419">
        <f>IF(A419="","",MASTER_REGISTER!F419)</f>
        <v/>
      </c>
      <c r="C419">
        <f>IF(A419="","",MASTER_REGISTER!C419)</f>
        <v/>
      </c>
      <c r="D419">
        <f>IF(A419="","",COUNTIF(ATTENDANCE_DAILY!C:C,A419))</f>
        <v/>
      </c>
      <c r="E419">
        <f>IF(A419="","",COUNTIFS(ATTENDANCE_DAILY!C:C,A419,ATTENDANCE_DAILY!E:E,"Present"))</f>
        <v/>
      </c>
      <c r="F419">
        <f>IF(A419="","",COUNTIFS(ATTENDANCE_DAILY!C:C,A419,ATTENDANCE_DAILY!E:E,"Absent"))</f>
        <v/>
      </c>
      <c r="G419" s="5">
        <f>IF(D419=0,"",E419/D419)</f>
        <v/>
      </c>
      <c r="H419" s="4">
        <f>IF(G419="","",IF(G419&lt;0.75,"Low Attendance","OK"))</f>
        <v/>
      </c>
    </row>
    <row r="420">
      <c r="A420">
        <f>IF(MASTER_REGISTER!E420="","",MASTER_REGISTER!E420)</f>
        <v/>
      </c>
      <c r="B420">
        <f>IF(A420="","",MASTER_REGISTER!F420)</f>
        <v/>
      </c>
      <c r="C420">
        <f>IF(A420="","",MASTER_REGISTER!C420)</f>
        <v/>
      </c>
      <c r="D420">
        <f>IF(A420="","",COUNTIF(ATTENDANCE_DAILY!C:C,A420))</f>
        <v/>
      </c>
      <c r="E420">
        <f>IF(A420="","",COUNTIFS(ATTENDANCE_DAILY!C:C,A420,ATTENDANCE_DAILY!E:E,"Present"))</f>
        <v/>
      </c>
      <c r="F420">
        <f>IF(A420="","",COUNTIFS(ATTENDANCE_DAILY!C:C,A420,ATTENDANCE_DAILY!E:E,"Absent"))</f>
        <v/>
      </c>
      <c r="G420" s="5">
        <f>IF(D420=0,"",E420/D420)</f>
        <v/>
      </c>
      <c r="H420" s="4">
        <f>IF(G420="","",IF(G420&lt;0.75,"Low Attendance","OK"))</f>
        <v/>
      </c>
    </row>
    <row r="421">
      <c r="A421">
        <f>IF(MASTER_REGISTER!E421="","",MASTER_REGISTER!E421)</f>
        <v/>
      </c>
      <c r="B421">
        <f>IF(A421="","",MASTER_REGISTER!F421)</f>
        <v/>
      </c>
      <c r="C421">
        <f>IF(A421="","",MASTER_REGISTER!C421)</f>
        <v/>
      </c>
      <c r="D421">
        <f>IF(A421="","",COUNTIF(ATTENDANCE_DAILY!C:C,A421))</f>
        <v/>
      </c>
      <c r="E421">
        <f>IF(A421="","",COUNTIFS(ATTENDANCE_DAILY!C:C,A421,ATTENDANCE_DAILY!E:E,"Present"))</f>
        <v/>
      </c>
      <c r="F421">
        <f>IF(A421="","",COUNTIFS(ATTENDANCE_DAILY!C:C,A421,ATTENDANCE_DAILY!E:E,"Absent"))</f>
        <v/>
      </c>
      <c r="G421" s="5">
        <f>IF(D421=0,"",E421/D421)</f>
        <v/>
      </c>
      <c r="H421" s="4">
        <f>IF(G421="","",IF(G421&lt;0.75,"Low Attendance","OK"))</f>
        <v/>
      </c>
    </row>
    <row r="422">
      <c r="A422">
        <f>IF(MASTER_REGISTER!E422="","",MASTER_REGISTER!E422)</f>
        <v/>
      </c>
      <c r="B422">
        <f>IF(A422="","",MASTER_REGISTER!F422)</f>
        <v/>
      </c>
      <c r="C422">
        <f>IF(A422="","",MASTER_REGISTER!C422)</f>
        <v/>
      </c>
      <c r="D422">
        <f>IF(A422="","",COUNTIF(ATTENDANCE_DAILY!C:C,A422))</f>
        <v/>
      </c>
      <c r="E422">
        <f>IF(A422="","",COUNTIFS(ATTENDANCE_DAILY!C:C,A422,ATTENDANCE_DAILY!E:E,"Present"))</f>
        <v/>
      </c>
      <c r="F422">
        <f>IF(A422="","",COUNTIFS(ATTENDANCE_DAILY!C:C,A422,ATTENDANCE_DAILY!E:E,"Absent"))</f>
        <v/>
      </c>
      <c r="G422" s="5">
        <f>IF(D422=0,"",E422/D422)</f>
        <v/>
      </c>
      <c r="H422" s="4">
        <f>IF(G422="","",IF(G422&lt;0.75,"Low Attendance","OK"))</f>
        <v/>
      </c>
    </row>
    <row r="423">
      <c r="A423">
        <f>IF(MASTER_REGISTER!E423="","",MASTER_REGISTER!E423)</f>
        <v/>
      </c>
      <c r="B423">
        <f>IF(A423="","",MASTER_REGISTER!F423)</f>
        <v/>
      </c>
      <c r="C423">
        <f>IF(A423="","",MASTER_REGISTER!C423)</f>
        <v/>
      </c>
      <c r="D423">
        <f>IF(A423="","",COUNTIF(ATTENDANCE_DAILY!C:C,A423))</f>
        <v/>
      </c>
      <c r="E423">
        <f>IF(A423="","",COUNTIFS(ATTENDANCE_DAILY!C:C,A423,ATTENDANCE_DAILY!E:E,"Present"))</f>
        <v/>
      </c>
      <c r="F423">
        <f>IF(A423="","",COUNTIFS(ATTENDANCE_DAILY!C:C,A423,ATTENDANCE_DAILY!E:E,"Absent"))</f>
        <v/>
      </c>
      <c r="G423" s="5">
        <f>IF(D423=0,"",E423/D423)</f>
        <v/>
      </c>
      <c r="H423" s="4">
        <f>IF(G423="","",IF(G423&lt;0.75,"Low Attendance","OK"))</f>
        <v/>
      </c>
    </row>
    <row r="424">
      <c r="A424">
        <f>IF(MASTER_REGISTER!E424="","",MASTER_REGISTER!E424)</f>
        <v/>
      </c>
      <c r="B424">
        <f>IF(A424="","",MASTER_REGISTER!F424)</f>
        <v/>
      </c>
      <c r="C424">
        <f>IF(A424="","",MASTER_REGISTER!C424)</f>
        <v/>
      </c>
      <c r="D424">
        <f>IF(A424="","",COUNTIF(ATTENDANCE_DAILY!C:C,A424))</f>
        <v/>
      </c>
      <c r="E424">
        <f>IF(A424="","",COUNTIFS(ATTENDANCE_DAILY!C:C,A424,ATTENDANCE_DAILY!E:E,"Present"))</f>
        <v/>
      </c>
      <c r="F424">
        <f>IF(A424="","",COUNTIFS(ATTENDANCE_DAILY!C:C,A424,ATTENDANCE_DAILY!E:E,"Absent"))</f>
        <v/>
      </c>
      <c r="G424" s="5">
        <f>IF(D424=0,"",E424/D424)</f>
        <v/>
      </c>
      <c r="H424" s="4">
        <f>IF(G424="","",IF(G424&lt;0.75,"Low Attendance","OK"))</f>
        <v/>
      </c>
    </row>
    <row r="425">
      <c r="A425">
        <f>IF(MASTER_REGISTER!E425="","",MASTER_REGISTER!E425)</f>
        <v/>
      </c>
      <c r="B425">
        <f>IF(A425="","",MASTER_REGISTER!F425)</f>
        <v/>
      </c>
      <c r="C425">
        <f>IF(A425="","",MASTER_REGISTER!C425)</f>
        <v/>
      </c>
      <c r="D425">
        <f>IF(A425="","",COUNTIF(ATTENDANCE_DAILY!C:C,A425))</f>
        <v/>
      </c>
      <c r="E425">
        <f>IF(A425="","",COUNTIFS(ATTENDANCE_DAILY!C:C,A425,ATTENDANCE_DAILY!E:E,"Present"))</f>
        <v/>
      </c>
      <c r="F425">
        <f>IF(A425="","",COUNTIFS(ATTENDANCE_DAILY!C:C,A425,ATTENDANCE_DAILY!E:E,"Absent"))</f>
        <v/>
      </c>
      <c r="G425" s="5">
        <f>IF(D425=0,"",E425/D425)</f>
        <v/>
      </c>
      <c r="H425" s="4">
        <f>IF(G425="","",IF(G425&lt;0.75,"Low Attendance","OK"))</f>
        <v/>
      </c>
    </row>
    <row r="426">
      <c r="A426">
        <f>IF(MASTER_REGISTER!E426="","",MASTER_REGISTER!E426)</f>
        <v/>
      </c>
      <c r="B426">
        <f>IF(A426="","",MASTER_REGISTER!F426)</f>
        <v/>
      </c>
      <c r="C426">
        <f>IF(A426="","",MASTER_REGISTER!C426)</f>
        <v/>
      </c>
      <c r="D426">
        <f>IF(A426="","",COUNTIF(ATTENDANCE_DAILY!C:C,A426))</f>
        <v/>
      </c>
      <c r="E426">
        <f>IF(A426="","",COUNTIFS(ATTENDANCE_DAILY!C:C,A426,ATTENDANCE_DAILY!E:E,"Present"))</f>
        <v/>
      </c>
      <c r="F426">
        <f>IF(A426="","",COUNTIFS(ATTENDANCE_DAILY!C:C,A426,ATTENDANCE_DAILY!E:E,"Absent"))</f>
        <v/>
      </c>
      <c r="G426" s="5">
        <f>IF(D426=0,"",E426/D426)</f>
        <v/>
      </c>
      <c r="H426" s="4">
        <f>IF(G426="","",IF(G426&lt;0.75,"Low Attendance","OK"))</f>
        <v/>
      </c>
    </row>
    <row r="427">
      <c r="A427">
        <f>IF(MASTER_REGISTER!E427="","",MASTER_REGISTER!E427)</f>
        <v/>
      </c>
      <c r="B427">
        <f>IF(A427="","",MASTER_REGISTER!F427)</f>
        <v/>
      </c>
      <c r="C427">
        <f>IF(A427="","",MASTER_REGISTER!C427)</f>
        <v/>
      </c>
      <c r="D427">
        <f>IF(A427="","",COUNTIF(ATTENDANCE_DAILY!C:C,A427))</f>
        <v/>
      </c>
      <c r="E427">
        <f>IF(A427="","",COUNTIFS(ATTENDANCE_DAILY!C:C,A427,ATTENDANCE_DAILY!E:E,"Present"))</f>
        <v/>
      </c>
      <c r="F427">
        <f>IF(A427="","",COUNTIFS(ATTENDANCE_DAILY!C:C,A427,ATTENDANCE_DAILY!E:E,"Absent"))</f>
        <v/>
      </c>
      <c r="G427" s="5">
        <f>IF(D427=0,"",E427/D427)</f>
        <v/>
      </c>
      <c r="H427" s="4">
        <f>IF(G427="","",IF(G427&lt;0.75,"Low Attendance","OK"))</f>
        <v/>
      </c>
    </row>
    <row r="428">
      <c r="A428">
        <f>IF(MASTER_REGISTER!E428="","",MASTER_REGISTER!E428)</f>
        <v/>
      </c>
      <c r="B428">
        <f>IF(A428="","",MASTER_REGISTER!F428)</f>
        <v/>
      </c>
      <c r="C428">
        <f>IF(A428="","",MASTER_REGISTER!C428)</f>
        <v/>
      </c>
      <c r="D428">
        <f>IF(A428="","",COUNTIF(ATTENDANCE_DAILY!C:C,A428))</f>
        <v/>
      </c>
      <c r="E428">
        <f>IF(A428="","",COUNTIFS(ATTENDANCE_DAILY!C:C,A428,ATTENDANCE_DAILY!E:E,"Present"))</f>
        <v/>
      </c>
      <c r="F428">
        <f>IF(A428="","",COUNTIFS(ATTENDANCE_DAILY!C:C,A428,ATTENDANCE_DAILY!E:E,"Absent"))</f>
        <v/>
      </c>
      <c r="G428" s="5">
        <f>IF(D428=0,"",E428/D428)</f>
        <v/>
      </c>
      <c r="H428" s="4">
        <f>IF(G428="","",IF(G428&lt;0.75,"Low Attendance","OK"))</f>
        <v/>
      </c>
    </row>
    <row r="429">
      <c r="A429">
        <f>IF(MASTER_REGISTER!E429="","",MASTER_REGISTER!E429)</f>
        <v/>
      </c>
      <c r="B429">
        <f>IF(A429="","",MASTER_REGISTER!F429)</f>
        <v/>
      </c>
      <c r="C429">
        <f>IF(A429="","",MASTER_REGISTER!C429)</f>
        <v/>
      </c>
      <c r="D429">
        <f>IF(A429="","",COUNTIF(ATTENDANCE_DAILY!C:C,A429))</f>
        <v/>
      </c>
      <c r="E429">
        <f>IF(A429="","",COUNTIFS(ATTENDANCE_DAILY!C:C,A429,ATTENDANCE_DAILY!E:E,"Present"))</f>
        <v/>
      </c>
      <c r="F429">
        <f>IF(A429="","",COUNTIFS(ATTENDANCE_DAILY!C:C,A429,ATTENDANCE_DAILY!E:E,"Absent"))</f>
        <v/>
      </c>
      <c r="G429" s="5">
        <f>IF(D429=0,"",E429/D429)</f>
        <v/>
      </c>
      <c r="H429" s="4">
        <f>IF(G429="","",IF(G429&lt;0.75,"Low Attendance","OK"))</f>
        <v/>
      </c>
    </row>
    <row r="430">
      <c r="A430">
        <f>IF(MASTER_REGISTER!E430="","",MASTER_REGISTER!E430)</f>
        <v/>
      </c>
      <c r="B430">
        <f>IF(A430="","",MASTER_REGISTER!F430)</f>
        <v/>
      </c>
      <c r="C430">
        <f>IF(A430="","",MASTER_REGISTER!C430)</f>
        <v/>
      </c>
      <c r="D430">
        <f>IF(A430="","",COUNTIF(ATTENDANCE_DAILY!C:C,A430))</f>
        <v/>
      </c>
      <c r="E430">
        <f>IF(A430="","",COUNTIFS(ATTENDANCE_DAILY!C:C,A430,ATTENDANCE_DAILY!E:E,"Present"))</f>
        <v/>
      </c>
      <c r="F430">
        <f>IF(A430="","",COUNTIFS(ATTENDANCE_DAILY!C:C,A430,ATTENDANCE_DAILY!E:E,"Absent"))</f>
        <v/>
      </c>
      <c r="G430" s="5">
        <f>IF(D430=0,"",E430/D430)</f>
        <v/>
      </c>
      <c r="H430" s="4">
        <f>IF(G430="","",IF(G430&lt;0.75,"Low Attendance","OK"))</f>
        <v/>
      </c>
    </row>
    <row r="431">
      <c r="A431">
        <f>IF(MASTER_REGISTER!E431="","",MASTER_REGISTER!E431)</f>
        <v/>
      </c>
      <c r="B431">
        <f>IF(A431="","",MASTER_REGISTER!F431)</f>
        <v/>
      </c>
      <c r="C431">
        <f>IF(A431="","",MASTER_REGISTER!C431)</f>
        <v/>
      </c>
      <c r="D431">
        <f>IF(A431="","",COUNTIF(ATTENDANCE_DAILY!C:C,A431))</f>
        <v/>
      </c>
      <c r="E431">
        <f>IF(A431="","",COUNTIFS(ATTENDANCE_DAILY!C:C,A431,ATTENDANCE_DAILY!E:E,"Present"))</f>
        <v/>
      </c>
      <c r="F431">
        <f>IF(A431="","",COUNTIFS(ATTENDANCE_DAILY!C:C,A431,ATTENDANCE_DAILY!E:E,"Absent"))</f>
        <v/>
      </c>
      <c r="G431" s="5">
        <f>IF(D431=0,"",E431/D431)</f>
        <v/>
      </c>
      <c r="H431" s="4">
        <f>IF(G431="","",IF(G431&lt;0.75,"Low Attendance","OK"))</f>
        <v/>
      </c>
    </row>
    <row r="432">
      <c r="A432">
        <f>IF(MASTER_REGISTER!E432="","",MASTER_REGISTER!E432)</f>
        <v/>
      </c>
      <c r="B432">
        <f>IF(A432="","",MASTER_REGISTER!F432)</f>
        <v/>
      </c>
      <c r="C432">
        <f>IF(A432="","",MASTER_REGISTER!C432)</f>
        <v/>
      </c>
      <c r="D432">
        <f>IF(A432="","",COUNTIF(ATTENDANCE_DAILY!C:C,A432))</f>
        <v/>
      </c>
      <c r="E432">
        <f>IF(A432="","",COUNTIFS(ATTENDANCE_DAILY!C:C,A432,ATTENDANCE_DAILY!E:E,"Present"))</f>
        <v/>
      </c>
      <c r="F432">
        <f>IF(A432="","",COUNTIFS(ATTENDANCE_DAILY!C:C,A432,ATTENDANCE_DAILY!E:E,"Absent"))</f>
        <v/>
      </c>
      <c r="G432" s="5">
        <f>IF(D432=0,"",E432/D432)</f>
        <v/>
      </c>
      <c r="H432" s="4">
        <f>IF(G432="","",IF(G432&lt;0.75,"Low Attendance","OK"))</f>
        <v/>
      </c>
    </row>
    <row r="433">
      <c r="A433">
        <f>IF(MASTER_REGISTER!E433="","",MASTER_REGISTER!E433)</f>
        <v/>
      </c>
      <c r="B433">
        <f>IF(A433="","",MASTER_REGISTER!F433)</f>
        <v/>
      </c>
      <c r="C433">
        <f>IF(A433="","",MASTER_REGISTER!C433)</f>
        <v/>
      </c>
      <c r="D433">
        <f>IF(A433="","",COUNTIF(ATTENDANCE_DAILY!C:C,A433))</f>
        <v/>
      </c>
      <c r="E433">
        <f>IF(A433="","",COUNTIFS(ATTENDANCE_DAILY!C:C,A433,ATTENDANCE_DAILY!E:E,"Present"))</f>
        <v/>
      </c>
      <c r="F433">
        <f>IF(A433="","",COUNTIFS(ATTENDANCE_DAILY!C:C,A433,ATTENDANCE_DAILY!E:E,"Absent"))</f>
        <v/>
      </c>
      <c r="G433" s="5">
        <f>IF(D433=0,"",E433/D433)</f>
        <v/>
      </c>
      <c r="H433" s="4">
        <f>IF(G433="","",IF(G433&lt;0.75,"Low Attendance","OK"))</f>
        <v/>
      </c>
    </row>
    <row r="434">
      <c r="A434">
        <f>IF(MASTER_REGISTER!E434="","",MASTER_REGISTER!E434)</f>
        <v/>
      </c>
      <c r="B434">
        <f>IF(A434="","",MASTER_REGISTER!F434)</f>
        <v/>
      </c>
      <c r="C434">
        <f>IF(A434="","",MASTER_REGISTER!C434)</f>
        <v/>
      </c>
      <c r="D434">
        <f>IF(A434="","",COUNTIF(ATTENDANCE_DAILY!C:C,A434))</f>
        <v/>
      </c>
      <c r="E434">
        <f>IF(A434="","",COUNTIFS(ATTENDANCE_DAILY!C:C,A434,ATTENDANCE_DAILY!E:E,"Present"))</f>
        <v/>
      </c>
      <c r="F434">
        <f>IF(A434="","",COUNTIFS(ATTENDANCE_DAILY!C:C,A434,ATTENDANCE_DAILY!E:E,"Absent"))</f>
        <v/>
      </c>
      <c r="G434" s="5">
        <f>IF(D434=0,"",E434/D434)</f>
        <v/>
      </c>
      <c r="H434" s="4">
        <f>IF(G434="","",IF(G434&lt;0.75,"Low Attendance","OK"))</f>
        <v/>
      </c>
    </row>
    <row r="435">
      <c r="A435">
        <f>IF(MASTER_REGISTER!E435="","",MASTER_REGISTER!E435)</f>
        <v/>
      </c>
      <c r="B435">
        <f>IF(A435="","",MASTER_REGISTER!F435)</f>
        <v/>
      </c>
      <c r="C435">
        <f>IF(A435="","",MASTER_REGISTER!C435)</f>
        <v/>
      </c>
      <c r="D435">
        <f>IF(A435="","",COUNTIF(ATTENDANCE_DAILY!C:C,A435))</f>
        <v/>
      </c>
      <c r="E435">
        <f>IF(A435="","",COUNTIFS(ATTENDANCE_DAILY!C:C,A435,ATTENDANCE_DAILY!E:E,"Present"))</f>
        <v/>
      </c>
      <c r="F435">
        <f>IF(A435="","",COUNTIFS(ATTENDANCE_DAILY!C:C,A435,ATTENDANCE_DAILY!E:E,"Absent"))</f>
        <v/>
      </c>
      <c r="G435" s="5">
        <f>IF(D435=0,"",E435/D435)</f>
        <v/>
      </c>
      <c r="H435" s="4">
        <f>IF(G435="","",IF(G435&lt;0.75,"Low Attendance","OK"))</f>
        <v/>
      </c>
    </row>
    <row r="436">
      <c r="A436">
        <f>IF(MASTER_REGISTER!E436="","",MASTER_REGISTER!E436)</f>
        <v/>
      </c>
      <c r="B436">
        <f>IF(A436="","",MASTER_REGISTER!F436)</f>
        <v/>
      </c>
      <c r="C436">
        <f>IF(A436="","",MASTER_REGISTER!C436)</f>
        <v/>
      </c>
      <c r="D436">
        <f>IF(A436="","",COUNTIF(ATTENDANCE_DAILY!C:C,A436))</f>
        <v/>
      </c>
      <c r="E436">
        <f>IF(A436="","",COUNTIFS(ATTENDANCE_DAILY!C:C,A436,ATTENDANCE_DAILY!E:E,"Present"))</f>
        <v/>
      </c>
      <c r="F436">
        <f>IF(A436="","",COUNTIFS(ATTENDANCE_DAILY!C:C,A436,ATTENDANCE_DAILY!E:E,"Absent"))</f>
        <v/>
      </c>
      <c r="G436" s="5">
        <f>IF(D436=0,"",E436/D436)</f>
        <v/>
      </c>
      <c r="H436" s="4">
        <f>IF(G436="","",IF(G436&lt;0.75,"Low Attendance","OK"))</f>
        <v/>
      </c>
    </row>
    <row r="437">
      <c r="A437">
        <f>IF(MASTER_REGISTER!E437="","",MASTER_REGISTER!E437)</f>
        <v/>
      </c>
      <c r="B437">
        <f>IF(A437="","",MASTER_REGISTER!F437)</f>
        <v/>
      </c>
      <c r="C437">
        <f>IF(A437="","",MASTER_REGISTER!C437)</f>
        <v/>
      </c>
      <c r="D437">
        <f>IF(A437="","",COUNTIF(ATTENDANCE_DAILY!C:C,A437))</f>
        <v/>
      </c>
      <c r="E437">
        <f>IF(A437="","",COUNTIFS(ATTENDANCE_DAILY!C:C,A437,ATTENDANCE_DAILY!E:E,"Present"))</f>
        <v/>
      </c>
      <c r="F437">
        <f>IF(A437="","",COUNTIFS(ATTENDANCE_DAILY!C:C,A437,ATTENDANCE_DAILY!E:E,"Absent"))</f>
        <v/>
      </c>
      <c r="G437" s="5">
        <f>IF(D437=0,"",E437/D437)</f>
        <v/>
      </c>
      <c r="H437" s="4">
        <f>IF(G437="","",IF(G437&lt;0.75,"Low Attendance","OK"))</f>
        <v/>
      </c>
    </row>
    <row r="438">
      <c r="A438">
        <f>IF(MASTER_REGISTER!E438="","",MASTER_REGISTER!E438)</f>
        <v/>
      </c>
      <c r="B438">
        <f>IF(A438="","",MASTER_REGISTER!F438)</f>
        <v/>
      </c>
      <c r="C438">
        <f>IF(A438="","",MASTER_REGISTER!C438)</f>
        <v/>
      </c>
      <c r="D438">
        <f>IF(A438="","",COUNTIF(ATTENDANCE_DAILY!C:C,A438))</f>
        <v/>
      </c>
      <c r="E438">
        <f>IF(A438="","",COUNTIFS(ATTENDANCE_DAILY!C:C,A438,ATTENDANCE_DAILY!E:E,"Present"))</f>
        <v/>
      </c>
      <c r="F438">
        <f>IF(A438="","",COUNTIFS(ATTENDANCE_DAILY!C:C,A438,ATTENDANCE_DAILY!E:E,"Absent"))</f>
        <v/>
      </c>
      <c r="G438" s="5">
        <f>IF(D438=0,"",E438/D438)</f>
        <v/>
      </c>
      <c r="H438" s="4">
        <f>IF(G438="","",IF(G438&lt;0.75,"Low Attendance","OK"))</f>
        <v/>
      </c>
    </row>
    <row r="439">
      <c r="A439">
        <f>IF(MASTER_REGISTER!E439="","",MASTER_REGISTER!E439)</f>
        <v/>
      </c>
      <c r="B439">
        <f>IF(A439="","",MASTER_REGISTER!F439)</f>
        <v/>
      </c>
      <c r="C439">
        <f>IF(A439="","",MASTER_REGISTER!C439)</f>
        <v/>
      </c>
      <c r="D439">
        <f>IF(A439="","",COUNTIF(ATTENDANCE_DAILY!C:C,A439))</f>
        <v/>
      </c>
      <c r="E439">
        <f>IF(A439="","",COUNTIFS(ATTENDANCE_DAILY!C:C,A439,ATTENDANCE_DAILY!E:E,"Present"))</f>
        <v/>
      </c>
      <c r="F439">
        <f>IF(A439="","",COUNTIFS(ATTENDANCE_DAILY!C:C,A439,ATTENDANCE_DAILY!E:E,"Absent"))</f>
        <v/>
      </c>
      <c r="G439" s="5">
        <f>IF(D439=0,"",E439/D439)</f>
        <v/>
      </c>
      <c r="H439" s="4">
        <f>IF(G439="","",IF(G439&lt;0.75,"Low Attendance","OK"))</f>
        <v/>
      </c>
    </row>
    <row r="440">
      <c r="A440">
        <f>IF(MASTER_REGISTER!E440="","",MASTER_REGISTER!E440)</f>
        <v/>
      </c>
      <c r="B440">
        <f>IF(A440="","",MASTER_REGISTER!F440)</f>
        <v/>
      </c>
      <c r="C440">
        <f>IF(A440="","",MASTER_REGISTER!C440)</f>
        <v/>
      </c>
      <c r="D440">
        <f>IF(A440="","",COUNTIF(ATTENDANCE_DAILY!C:C,A440))</f>
        <v/>
      </c>
      <c r="E440">
        <f>IF(A440="","",COUNTIFS(ATTENDANCE_DAILY!C:C,A440,ATTENDANCE_DAILY!E:E,"Present"))</f>
        <v/>
      </c>
      <c r="F440">
        <f>IF(A440="","",COUNTIFS(ATTENDANCE_DAILY!C:C,A440,ATTENDANCE_DAILY!E:E,"Absent"))</f>
        <v/>
      </c>
      <c r="G440" s="5">
        <f>IF(D440=0,"",E440/D440)</f>
        <v/>
      </c>
      <c r="H440" s="4">
        <f>IF(G440="","",IF(G440&lt;0.75,"Low Attendance","OK"))</f>
        <v/>
      </c>
    </row>
    <row r="441">
      <c r="A441">
        <f>IF(MASTER_REGISTER!E441="","",MASTER_REGISTER!E441)</f>
        <v/>
      </c>
      <c r="B441">
        <f>IF(A441="","",MASTER_REGISTER!F441)</f>
        <v/>
      </c>
      <c r="C441">
        <f>IF(A441="","",MASTER_REGISTER!C441)</f>
        <v/>
      </c>
      <c r="D441">
        <f>IF(A441="","",COUNTIF(ATTENDANCE_DAILY!C:C,A441))</f>
        <v/>
      </c>
      <c r="E441">
        <f>IF(A441="","",COUNTIFS(ATTENDANCE_DAILY!C:C,A441,ATTENDANCE_DAILY!E:E,"Present"))</f>
        <v/>
      </c>
      <c r="F441">
        <f>IF(A441="","",COUNTIFS(ATTENDANCE_DAILY!C:C,A441,ATTENDANCE_DAILY!E:E,"Absent"))</f>
        <v/>
      </c>
      <c r="G441" s="5">
        <f>IF(D441=0,"",E441/D441)</f>
        <v/>
      </c>
      <c r="H441" s="4">
        <f>IF(G441="","",IF(G441&lt;0.75,"Low Attendance","OK"))</f>
        <v/>
      </c>
    </row>
    <row r="442">
      <c r="A442">
        <f>IF(MASTER_REGISTER!E442="","",MASTER_REGISTER!E442)</f>
        <v/>
      </c>
      <c r="B442">
        <f>IF(A442="","",MASTER_REGISTER!F442)</f>
        <v/>
      </c>
      <c r="C442">
        <f>IF(A442="","",MASTER_REGISTER!C442)</f>
        <v/>
      </c>
      <c r="D442">
        <f>IF(A442="","",COUNTIF(ATTENDANCE_DAILY!C:C,A442))</f>
        <v/>
      </c>
      <c r="E442">
        <f>IF(A442="","",COUNTIFS(ATTENDANCE_DAILY!C:C,A442,ATTENDANCE_DAILY!E:E,"Present"))</f>
        <v/>
      </c>
      <c r="F442">
        <f>IF(A442="","",COUNTIFS(ATTENDANCE_DAILY!C:C,A442,ATTENDANCE_DAILY!E:E,"Absent"))</f>
        <v/>
      </c>
      <c r="G442" s="5">
        <f>IF(D442=0,"",E442/D442)</f>
        <v/>
      </c>
      <c r="H442" s="4">
        <f>IF(G442="","",IF(G442&lt;0.75,"Low Attendance","OK"))</f>
        <v/>
      </c>
    </row>
    <row r="443">
      <c r="A443">
        <f>IF(MASTER_REGISTER!E443="","",MASTER_REGISTER!E443)</f>
        <v/>
      </c>
      <c r="B443">
        <f>IF(A443="","",MASTER_REGISTER!F443)</f>
        <v/>
      </c>
      <c r="C443">
        <f>IF(A443="","",MASTER_REGISTER!C443)</f>
        <v/>
      </c>
      <c r="D443">
        <f>IF(A443="","",COUNTIF(ATTENDANCE_DAILY!C:C,A443))</f>
        <v/>
      </c>
      <c r="E443">
        <f>IF(A443="","",COUNTIFS(ATTENDANCE_DAILY!C:C,A443,ATTENDANCE_DAILY!E:E,"Present"))</f>
        <v/>
      </c>
      <c r="F443">
        <f>IF(A443="","",COUNTIFS(ATTENDANCE_DAILY!C:C,A443,ATTENDANCE_DAILY!E:E,"Absent"))</f>
        <v/>
      </c>
      <c r="G443" s="5">
        <f>IF(D443=0,"",E443/D443)</f>
        <v/>
      </c>
      <c r="H443" s="4">
        <f>IF(G443="","",IF(G443&lt;0.75,"Low Attendance","OK"))</f>
        <v/>
      </c>
    </row>
    <row r="444">
      <c r="A444">
        <f>IF(MASTER_REGISTER!E444="","",MASTER_REGISTER!E444)</f>
        <v/>
      </c>
      <c r="B444">
        <f>IF(A444="","",MASTER_REGISTER!F444)</f>
        <v/>
      </c>
      <c r="C444">
        <f>IF(A444="","",MASTER_REGISTER!C444)</f>
        <v/>
      </c>
      <c r="D444">
        <f>IF(A444="","",COUNTIF(ATTENDANCE_DAILY!C:C,A444))</f>
        <v/>
      </c>
      <c r="E444">
        <f>IF(A444="","",COUNTIFS(ATTENDANCE_DAILY!C:C,A444,ATTENDANCE_DAILY!E:E,"Present"))</f>
        <v/>
      </c>
      <c r="F444">
        <f>IF(A444="","",COUNTIFS(ATTENDANCE_DAILY!C:C,A444,ATTENDANCE_DAILY!E:E,"Absent"))</f>
        <v/>
      </c>
      <c r="G444" s="5">
        <f>IF(D444=0,"",E444/D444)</f>
        <v/>
      </c>
      <c r="H444" s="4">
        <f>IF(G444="","",IF(G444&lt;0.75,"Low Attendance","OK"))</f>
        <v/>
      </c>
    </row>
    <row r="445">
      <c r="A445">
        <f>IF(MASTER_REGISTER!E445="","",MASTER_REGISTER!E445)</f>
        <v/>
      </c>
      <c r="B445">
        <f>IF(A445="","",MASTER_REGISTER!F445)</f>
        <v/>
      </c>
      <c r="C445">
        <f>IF(A445="","",MASTER_REGISTER!C445)</f>
        <v/>
      </c>
      <c r="D445">
        <f>IF(A445="","",COUNTIF(ATTENDANCE_DAILY!C:C,A445))</f>
        <v/>
      </c>
      <c r="E445">
        <f>IF(A445="","",COUNTIFS(ATTENDANCE_DAILY!C:C,A445,ATTENDANCE_DAILY!E:E,"Present"))</f>
        <v/>
      </c>
      <c r="F445">
        <f>IF(A445="","",COUNTIFS(ATTENDANCE_DAILY!C:C,A445,ATTENDANCE_DAILY!E:E,"Absent"))</f>
        <v/>
      </c>
      <c r="G445" s="5">
        <f>IF(D445=0,"",E445/D445)</f>
        <v/>
      </c>
      <c r="H445" s="4">
        <f>IF(G445="","",IF(G445&lt;0.75,"Low Attendance","OK"))</f>
        <v/>
      </c>
    </row>
    <row r="446">
      <c r="A446">
        <f>IF(MASTER_REGISTER!E446="","",MASTER_REGISTER!E446)</f>
        <v/>
      </c>
      <c r="B446">
        <f>IF(A446="","",MASTER_REGISTER!F446)</f>
        <v/>
      </c>
      <c r="C446">
        <f>IF(A446="","",MASTER_REGISTER!C446)</f>
        <v/>
      </c>
      <c r="D446">
        <f>IF(A446="","",COUNTIF(ATTENDANCE_DAILY!C:C,A446))</f>
        <v/>
      </c>
      <c r="E446">
        <f>IF(A446="","",COUNTIFS(ATTENDANCE_DAILY!C:C,A446,ATTENDANCE_DAILY!E:E,"Present"))</f>
        <v/>
      </c>
      <c r="F446">
        <f>IF(A446="","",COUNTIFS(ATTENDANCE_DAILY!C:C,A446,ATTENDANCE_DAILY!E:E,"Absent"))</f>
        <v/>
      </c>
      <c r="G446" s="5">
        <f>IF(D446=0,"",E446/D446)</f>
        <v/>
      </c>
      <c r="H446" s="4">
        <f>IF(G446="","",IF(G446&lt;0.75,"Low Attendance","OK"))</f>
        <v/>
      </c>
    </row>
    <row r="447">
      <c r="A447">
        <f>IF(MASTER_REGISTER!E447="","",MASTER_REGISTER!E447)</f>
        <v/>
      </c>
      <c r="B447">
        <f>IF(A447="","",MASTER_REGISTER!F447)</f>
        <v/>
      </c>
      <c r="C447">
        <f>IF(A447="","",MASTER_REGISTER!C447)</f>
        <v/>
      </c>
      <c r="D447">
        <f>IF(A447="","",COUNTIF(ATTENDANCE_DAILY!C:C,A447))</f>
        <v/>
      </c>
      <c r="E447">
        <f>IF(A447="","",COUNTIFS(ATTENDANCE_DAILY!C:C,A447,ATTENDANCE_DAILY!E:E,"Present"))</f>
        <v/>
      </c>
      <c r="F447">
        <f>IF(A447="","",COUNTIFS(ATTENDANCE_DAILY!C:C,A447,ATTENDANCE_DAILY!E:E,"Absent"))</f>
        <v/>
      </c>
      <c r="G447" s="5">
        <f>IF(D447=0,"",E447/D447)</f>
        <v/>
      </c>
      <c r="H447" s="4">
        <f>IF(G447="","",IF(G447&lt;0.75,"Low Attendance","OK"))</f>
        <v/>
      </c>
    </row>
    <row r="448">
      <c r="A448">
        <f>IF(MASTER_REGISTER!E448="","",MASTER_REGISTER!E448)</f>
        <v/>
      </c>
      <c r="B448">
        <f>IF(A448="","",MASTER_REGISTER!F448)</f>
        <v/>
      </c>
      <c r="C448">
        <f>IF(A448="","",MASTER_REGISTER!C448)</f>
        <v/>
      </c>
      <c r="D448">
        <f>IF(A448="","",COUNTIF(ATTENDANCE_DAILY!C:C,A448))</f>
        <v/>
      </c>
      <c r="E448">
        <f>IF(A448="","",COUNTIFS(ATTENDANCE_DAILY!C:C,A448,ATTENDANCE_DAILY!E:E,"Present"))</f>
        <v/>
      </c>
      <c r="F448">
        <f>IF(A448="","",COUNTIFS(ATTENDANCE_DAILY!C:C,A448,ATTENDANCE_DAILY!E:E,"Absent"))</f>
        <v/>
      </c>
      <c r="G448" s="5">
        <f>IF(D448=0,"",E448/D448)</f>
        <v/>
      </c>
      <c r="H448" s="4">
        <f>IF(G448="","",IF(G448&lt;0.75,"Low Attendance","OK"))</f>
        <v/>
      </c>
    </row>
    <row r="449">
      <c r="A449">
        <f>IF(MASTER_REGISTER!E449="","",MASTER_REGISTER!E449)</f>
        <v/>
      </c>
      <c r="B449">
        <f>IF(A449="","",MASTER_REGISTER!F449)</f>
        <v/>
      </c>
      <c r="C449">
        <f>IF(A449="","",MASTER_REGISTER!C449)</f>
        <v/>
      </c>
      <c r="D449">
        <f>IF(A449="","",COUNTIF(ATTENDANCE_DAILY!C:C,A449))</f>
        <v/>
      </c>
      <c r="E449">
        <f>IF(A449="","",COUNTIFS(ATTENDANCE_DAILY!C:C,A449,ATTENDANCE_DAILY!E:E,"Present"))</f>
        <v/>
      </c>
      <c r="F449">
        <f>IF(A449="","",COUNTIFS(ATTENDANCE_DAILY!C:C,A449,ATTENDANCE_DAILY!E:E,"Absent"))</f>
        <v/>
      </c>
      <c r="G449" s="5">
        <f>IF(D449=0,"",E449/D449)</f>
        <v/>
      </c>
      <c r="H449" s="4">
        <f>IF(G449="","",IF(G449&lt;0.75,"Low Attendance","OK"))</f>
        <v/>
      </c>
    </row>
    <row r="450">
      <c r="A450">
        <f>IF(MASTER_REGISTER!E450="","",MASTER_REGISTER!E450)</f>
        <v/>
      </c>
      <c r="B450">
        <f>IF(A450="","",MASTER_REGISTER!F450)</f>
        <v/>
      </c>
      <c r="C450">
        <f>IF(A450="","",MASTER_REGISTER!C450)</f>
        <v/>
      </c>
      <c r="D450">
        <f>IF(A450="","",COUNTIF(ATTENDANCE_DAILY!C:C,A450))</f>
        <v/>
      </c>
      <c r="E450">
        <f>IF(A450="","",COUNTIFS(ATTENDANCE_DAILY!C:C,A450,ATTENDANCE_DAILY!E:E,"Present"))</f>
        <v/>
      </c>
      <c r="F450">
        <f>IF(A450="","",COUNTIFS(ATTENDANCE_DAILY!C:C,A450,ATTENDANCE_DAILY!E:E,"Absent"))</f>
        <v/>
      </c>
      <c r="G450" s="5">
        <f>IF(D450=0,"",E450/D450)</f>
        <v/>
      </c>
      <c r="H450" s="4">
        <f>IF(G450="","",IF(G450&lt;0.75,"Low Attendance","OK"))</f>
        <v/>
      </c>
    </row>
    <row r="451">
      <c r="A451">
        <f>IF(MASTER_REGISTER!E451="","",MASTER_REGISTER!E451)</f>
        <v/>
      </c>
      <c r="B451">
        <f>IF(A451="","",MASTER_REGISTER!F451)</f>
        <v/>
      </c>
      <c r="C451">
        <f>IF(A451="","",MASTER_REGISTER!C451)</f>
        <v/>
      </c>
      <c r="D451">
        <f>IF(A451="","",COUNTIF(ATTENDANCE_DAILY!C:C,A451))</f>
        <v/>
      </c>
      <c r="E451">
        <f>IF(A451="","",COUNTIFS(ATTENDANCE_DAILY!C:C,A451,ATTENDANCE_DAILY!E:E,"Present"))</f>
        <v/>
      </c>
      <c r="F451">
        <f>IF(A451="","",COUNTIFS(ATTENDANCE_DAILY!C:C,A451,ATTENDANCE_DAILY!E:E,"Absent"))</f>
        <v/>
      </c>
      <c r="G451" s="5">
        <f>IF(D451=0,"",E451/D451)</f>
        <v/>
      </c>
      <c r="H451" s="4">
        <f>IF(G451="","",IF(G451&lt;0.75,"Low Attendance","OK"))</f>
        <v/>
      </c>
    </row>
    <row r="452">
      <c r="A452">
        <f>IF(MASTER_REGISTER!E452="","",MASTER_REGISTER!E452)</f>
        <v/>
      </c>
      <c r="B452">
        <f>IF(A452="","",MASTER_REGISTER!F452)</f>
        <v/>
      </c>
      <c r="C452">
        <f>IF(A452="","",MASTER_REGISTER!C452)</f>
        <v/>
      </c>
      <c r="D452">
        <f>IF(A452="","",COUNTIF(ATTENDANCE_DAILY!C:C,A452))</f>
        <v/>
      </c>
      <c r="E452">
        <f>IF(A452="","",COUNTIFS(ATTENDANCE_DAILY!C:C,A452,ATTENDANCE_DAILY!E:E,"Present"))</f>
        <v/>
      </c>
      <c r="F452">
        <f>IF(A452="","",COUNTIFS(ATTENDANCE_DAILY!C:C,A452,ATTENDANCE_DAILY!E:E,"Absent"))</f>
        <v/>
      </c>
      <c r="G452" s="5">
        <f>IF(D452=0,"",E452/D452)</f>
        <v/>
      </c>
      <c r="H452" s="4">
        <f>IF(G452="","",IF(G452&lt;0.75,"Low Attendance","OK"))</f>
        <v/>
      </c>
    </row>
    <row r="453">
      <c r="A453">
        <f>IF(MASTER_REGISTER!E453="","",MASTER_REGISTER!E453)</f>
        <v/>
      </c>
      <c r="B453">
        <f>IF(A453="","",MASTER_REGISTER!F453)</f>
        <v/>
      </c>
      <c r="C453">
        <f>IF(A453="","",MASTER_REGISTER!C453)</f>
        <v/>
      </c>
      <c r="D453">
        <f>IF(A453="","",COUNTIF(ATTENDANCE_DAILY!C:C,A453))</f>
        <v/>
      </c>
      <c r="E453">
        <f>IF(A453="","",COUNTIFS(ATTENDANCE_DAILY!C:C,A453,ATTENDANCE_DAILY!E:E,"Present"))</f>
        <v/>
      </c>
      <c r="F453">
        <f>IF(A453="","",COUNTIFS(ATTENDANCE_DAILY!C:C,A453,ATTENDANCE_DAILY!E:E,"Absent"))</f>
        <v/>
      </c>
      <c r="G453" s="5">
        <f>IF(D453=0,"",E453/D453)</f>
        <v/>
      </c>
      <c r="H453" s="4">
        <f>IF(G453="","",IF(G453&lt;0.75,"Low Attendance","OK"))</f>
        <v/>
      </c>
    </row>
    <row r="454">
      <c r="A454">
        <f>IF(MASTER_REGISTER!E454="","",MASTER_REGISTER!E454)</f>
        <v/>
      </c>
      <c r="B454">
        <f>IF(A454="","",MASTER_REGISTER!F454)</f>
        <v/>
      </c>
      <c r="C454">
        <f>IF(A454="","",MASTER_REGISTER!C454)</f>
        <v/>
      </c>
      <c r="D454">
        <f>IF(A454="","",COUNTIF(ATTENDANCE_DAILY!C:C,A454))</f>
        <v/>
      </c>
      <c r="E454">
        <f>IF(A454="","",COUNTIFS(ATTENDANCE_DAILY!C:C,A454,ATTENDANCE_DAILY!E:E,"Present"))</f>
        <v/>
      </c>
      <c r="F454">
        <f>IF(A454="","",COUNTIFS(ATTENDANCE_DAILY!C:C,A454,ATTENDANCE_DAILY!E:E,"Absent"))</f>
        <v/>
      </c>
      <c r="G454" s="5">
        <f>IF(D454=0,"",E454/D454)</f>
        <v/>
      </c>
      <c r="H454" s="4">
        <f>IF(G454="","",IF(G454&lt;0.75,"Low Attendance","OK"))</f>
        <v/>
      </c>
    </row>
    <row r="455">
      <c r="A455">
        <f>IF(MASTER_REGISTER!E455="","",MASTER_REGISTER!E455)</f>
        <v/>
      </c>
      <c r="B455">
        <f>IF(A455="","",MASTER_REGISTER!F455)</f>
        <v/>
      </c>
      <c r="C455">
        <f>IF(A455="","",MASTER_REGISTER!C455)</f>
        <v/>
      </c>
      <c r="D455">
        <f>IF(A455="","",COUNTIF(ATTENDANCE_DAILY!C:C,A455))</f>
        <v/>
      </c>
      <c r="E455">
        <f>IF(A455="","",COUNTIFS(ATTENDANCE_DAILY!C:C,A455,ATTENDANCE_DAILY!E:E,"Present"))</f>
        <v/>
      </c>
      <c r="F455">
        <f>IF(A455="","",COUNTIFS(ATTENDANCE_DAILY!C:C,A455,ATTENDANCE_DAILY!E:E,"Absent"))</f>
        <v/>
      </c>
      <c r="G455" s="5">
        <f>IF(D455=0,"",E455/D455)</f>
        <v/>
      </c>
      <c r="H455" s="4">
        <f>IF(G455="","",IF(G455&lt;0.75,"Low Attendance","OK"))</f>
        <v/>
      </c>
    </row>
    <row r="456">
      <c r="A456">
        <f>IF(MASTER_REGISTER!E456="","",MASTER_REGISTER!E456)</f>
        <v/>
      </c>
      <c r="B456">
        <f>IF(A456="","",MASTER_REGISTER!F456)</f>
        <v/>
      </c>
      <c r="C456">
        <f>IF(A456="","",MASTER_REGISTER!C456)</f>
        <v/>
      </c>
      <c r="D456">
        <f>IF(A456="","",COUNTIF(ATTENDANCE_DAILY!C:C,A456))</f>
        <v/>
      </c>
      <c r="E456">
        <f>IF(A456="","",COUNTIFS(ATTENDANCE_DAILY!C:C,A456,ATTENDANCE_DAILY!E:E,"Present"))</f>
        <v/>
      </c>
      <c r="F456">
        <f>IF(A456="","",COUNTIFS(ATTENDANCE_DAILY!C:C,A456,ATTENDANCE_DAILY!E:E,"Absent"))</f>
        <v/>
      </c>
      <c r="G456" s="5">
        <f>IF(D456=0,"",E456/D456)</f>
        <v/>
      </c>
      <c r="H456" s="4">
        <f>IF(G456="","",IF(G456&lt;0.75,"Low Attendance","OK"))</f>
        <v/>
      </c>
    </row>
    <row r="457">
      <c r="A457">
        <f>IF(MASTER_REGISTER!E457="","",MASTER_REGISTER!E457)</f>
        <v/>
      </c>
      <c r="B457">
        <f>IF(A457="","",MASTER_REGISTER!F457)</f>
        <v/>
      </c>
      <c r="C457">
        <f>IF(A457="","",MASTER_REGISTER!C457)</f>
        <v/>
      </c>
      <c r="D457">
        <f>IF(A457="","",COUNTIF(ATTENDANCE_DAILY!C:C,A457))</f>
        <v/>
      </c>
      <c r="E457">
        <f>IF(A457="","",COUNTIFS(ATTENDANCE_DAILY!C:C,A457,ATTENDANCE_DAILY!E:E,"Present"))</f>
        <v/>
      </c>
      <c r="F457">
        <f>IF(A457="","",COUNTIFS(ATTENDANCE_DAILY!C:C,A457,ATTENDANCE_DAILY!E:E,"Absent"))</f>
        <v/>
      </c>
      <c r="G457" s="5">
        <f>IF(D457=0,"",E457/D457)</f>
        <v/>
      </c>
      <c r="H457" s="4">
        <f>IF(G457="","",IF(G457&lt;0.75,"Low Attendance","OK"))</f>
        <v/>
      </c>
    </row>
    <row r="458">
      <c r="A458">
        <f>IF(MASTER_REGISTER!E458="","",MASTER_REGISTER!E458)</f>
        <v/>
      </c>
      <c r="B458">
        <f>IF(A458="","",MASTER_REGISTER!F458)</f>
        <v/>
      </c>
      <c r="C458">
        <f>IF(A458="","",MASTER_REGISTER!C458)</f>
        <v/>
      </c>
      <c r="D458">
        <f>IF(A458="","",COUNTIF(ATTENDANCE_DAILY!C:C,A458))</f>
        <v/>
      </c>
      <c r="E458">
        <f>IF(A458="","",COUNTIFS(ATTENDANCE_DAILY!C:C,A458,ATTENDANCE_DAILY!E:E,"Present"))</f>
        <v/>
      </c>
      <c r="F458">
        <f>IF(A458="","",COUNTIFS(ATTENDANCE_DAILY!C:C,A458,ATTENDANCE_DAILY!E:E,"Absent"))</f>
        <v/>
      </c>
      <c r="G458" s="5">
        <f>IF(D458=0,"",E458/D458)</f>
        <v/>
      </c>
      <c r="H458" s="4">
        <f>IF(G458="","",IF(G458&lt;0.75,"Low Attendance","OK"))</f>
        <v/>
      </c>
    </row>
    <row r="459">
      <c r="A459">
        <f>IF(MASTER_REGISTER!E459="","",MASTER_REGISTER!E459)</f>
        <v/>
      </c>
      <c r="B459">
        <f>IF(A459="","",MASTER_REGISTER!F459)</f>
        <v/>
      </c>
      <c r="C459">
        <f>IF(A459="","",MASTER_REGISTER!C459)</f>
        <v/>
      </c>
      <c r="D459">
        <f>IF(A459="","",COUNTIF(ATTENDANCE_DAILY!C:C,A459))</f>
        <v/>
      </c>
      <c r="E459">
        <f>IF(A459="","",COUNTIFS(ATTENDANCE_DAILY!C:C,A459,ATTENDANCE_DAILY!E:E,"Present"))</f>
        <v/>
      </c>
      <c r="F459">
        <f>IF(A459="","",COUNTIFS(ATTENDANCE_DAILY!C:C,A459,ATTENDANCE_DAILY!E:E,"Absent"))</f>
        <v/>
      </c>
      <c r="G459" s="5">
        <f>IF(D459=0,"",E459/D459)</f>
        <v/>
      </c>
      <c r="H459" s="4">
        <f>IF(G459="","",IF(G459&lt;0.75,"Low Attendance","OK"))</f>
        <v/>
      </c>
    </row>
    <row r="460">
      <c r="A460">
        <f>IF(MASTER_REGISTER!E460="","",MASTER_REGISTER!E460)</f>
        <v/>
      </c>
      <c r="B460">
        <f>IF(A460="","",MASTER_REGISTER!F460)</f>
        <v/>
      </c>
      <c r="C460">
        <f>IF(A460="","",MASTER_REGISTER!C460)</f>
        <v/>
      </c>
      <c r="D460">
        <f>IF(A460="","",COUNTIF(ATTENDANCE_DAILY!C:C,A460))</f>
        <v/>
      </c>
      <c r="E460">
        <f>IF(A460="","",COUNTIFS(ATTENDANCE_DAILY!C:C,A460,ATTENDANCE_DAILY!E:E,"Present"))</f>
        <v/>
      </c>
      <c r="F460">
        <f>IF(A460="","",COUNTIFS(ATTENDANCE_DAILY!C:C,A460,ATTENDANCE_DAILY!E:E,"Absent"))</f>
        <v/>
      </c>
      <c r="G460" s="5">
        <f>IF(D460=0,"",E460/D460)</f>
        <v/>
      </c>
      <c r="H460" s="4">
        <f>IF(G460="","",IF(G460&lt;0.75,"Low Attendance","OK"))</f>
        <v/>
      </c>
    </row>
    <row r="461">
      <c r="A461">
        <f>IF(MASTER_REGISTER!E461="","",MASTER_REGISTER!E461)</f>
        <v/>
      </c>
      <c r="B461">
        <f>IF(A461="","",MASTER_REGISTER!F461)</f>
        <v/>
      </c>
      <c r="C461">
        <f>IF(A461="","",MASTER_REGISTER!C461)</f>
        <v/>
      </c>
      <c r="D461">
        <f>IF(A461="","",COUNTIF(ATTENDANCE_DAILY!C:C,A461))</f>
        <v/>
      </c>
      <c r="E461">
        <f>IF(A461="","",COUNTIFS(ATTENDANCE_DAILY!C:C,A461,ATTENDANCE_DAILY!E:E,"Present"))</f>
        <v/>
      </c>
      <c r="F461">
        <f>IF(A461="","",COUNTIFS(ATTENDANCE_DAILY!C:C,A461,ATTENDANCE_DAILY!E:E,"Absent"))</f>
        <v/>
      </c>
      <c r="G461" s="5">
        <f>IF(D461=0,"",E461/D461)</f>
        <v/>
      </c>
      <c r="H461" s="4">
        <f>IF(G461="","",IF(G461&lt;0.75,"Low Attendance","OK"))</f>
        <v/>
      </c>
    </row>
    <row r="462">
      <c r="A462">
        <f>IF(MASTER_REGISTER!E462="","",MASTER_REGISTER!E462)</f>
        <v/>
      </c>
      <c r="B462">
        <f>IF(A462="","",MASTER_REGISTER!F462)</f>
        <v/>
      </c>
      <c r="C462">
        <f>IF(A462="","",MASTER_REGISTER!C462)</f>
        <v/>
      </c>
      <c r="D462">
        <f>IF(A462="","",COUNTIF(ATTENDANCE_DAILY!C:C,A462))</f>
        <v/>
      </c>
      <c r="E462">
        <f>IF(A462="","",COUNTIFS(ATTENDANCE_DAILY!C:C,A462,ATTENDANCE_DAILY!E:E,"Present"))</f>
        <v/>
      </c>
      <c r="F462">
        <f>IF(A462="","",COUNTIFS(ATTENDANCE_DAILY!C:C,A462,ATTENDANCE_DAILY!E:E,"Absent"))</f>
        <v/>
      </c>
      <c r="G462" s="5">
        <f>IF(D462=0,"",E462/D462)</f>
        <v/>
      </c>
      <c r="H462" s="4">
        <f>IF(G462="","",IF(G462&lt;0.75,"Low Attendance","OK"))</f>
        <v/>
      </c>
    </row>
    <row r="463">
      <c r="A463">
        <f>IF(MASTER_REGISTER!E463="","",MASTER_REGISTER!E463)</f>
        <v/>
      </c>
      <c r="B463">
        <f>IF(A463="","",MASTER_REGISTER!F463)</f>
        <v/>
      </c>
      <c r="C463">
        <f>IF(A463="","",MASTER_REGISTER!C463)</f>
        <v/>
      </c>
      <c r="D463">
        <f>IF(A463="","",COUNTIF(ATTENDANCE_DAILY!C:C,A463))</f>
        <v/>
      </c>
      <c r="E463">
        <f>IF(A463="","",COUNTIFS(ATTENDANCE_DAILY!C:C,A463,ATTENDANCE_DAILY!E:E,"Present"))</f>
        <v/>
      </c>
      <c r="F463">
        <f>IF(A463="","",COUNTIFS(ATTENDANCE_DAILY!C:C,A463,ATTENDANCE_DAILY!E:E,"Absent"))</f>
        <v/>
      </c>
      <c r="G463" s="5">
        <f>IF(D463=0,"",E463/D463)</f>
        <v/>
      </c>
      <c r="H463" s="4">
        <f>IF(G463="","",IF(G463&lt;0.75,"Low Attendance","OK"))</f>
        <v/>
      </c>
    </row>
    <row r="464">
      <c r="A464">
        <f>IF(MASTER_REGISTER!E464="","",MASTER_REGISTER!E464)</f>
        <v/>
      </c>
      <c r="B464">
        <f>IF(A464="","",MASTER_REGISTER!F464)</f>
        <v/>
      </c>
      <c r="C464">
        <f>IF(A464="","",MASTER_REGISTER!C464)</f>
        <v/>
      </c>
      <c r="D464">
        <f>IF(A464="","",COUNTIF(ATTENDANCE_DAILY!C:C,A464))</f>
        <v/>
      </c>
      <c r="E464">
        <f>IF(A464="","",COUNTIFS(ATTENDANCE_DAILY!C:C,A464,ATTENDANCE_DAILY!E:E,"Present"))</f>
        <v/>
      </c>
      <c r="F464">
        <f>IF(A464="","",COUNTIFS(ATTENDANCE_DAILY!C:C,A464,ATTENDANCE_DAILY!E:E,"Absent"))</f>
        <v/>
      </c>
      <c r="G464" s="5">
        <f>IF(D464=0,"",E464/D464)</f>
        <v/>
      </c>
      <c r="H464" s="4">
        <f>IF(G464="","",IF(G464&lt;0.75,"Low Attendance","OK"))</f>
        <v/>
      </c>
    </row>
    <row r="465">
      <c r="A465">
        <f>IF(MASTER_REGISTER!E465="","",MASTER_REGISTER!E465)</f>
        <v/>
      </c>
      <c r="B465">
        <f>IF(A465="","",MASTER_REGISTER!F465)</f>
        <v/>
      </c>
      <c r="C465">
        <f>IF(A465="","",MASTER_REGISTER!C465)</f>
        <v/>
      </c>
      <c r="D465">
        <f>IF(A465="","",COUNTIF(ATTENDANCE_DAILY!C:C,A465))</f>
        <v/>
      </c>
      <c r="E465">
        <f>IF(A465="","",COUNTIFS(ATTENDANCE_DAILY!C:C,A465,ATTENDANCE_DAILY!E:E,"Present"))</f>
        <v/>
      </c>
      <c r="F465">
        <f>IF(A465="","",COUNTIFS(ATTENDANCE_DAILY!C:C,A465,ATTENDANCE_DAILY!E:E,"Absent"))</f>
        <v/>
      </c>
      <c r="G465" s="5">
        <f>IF(D465=0,"",E465/D465)</f>
        <v/>
      </c>
      <c r="H465" s="4">
        <f>IF(G465="","",IF(G465&lt;0.75,"Low Attendance","OK"))</f>
        <v/>
      </c>
    </row>
    <row r="466">
      <c r="A466">
        <f>IF(MASTER_REGISTER!E466="","",MASTER_REGISTER!E466)</f>
        <v/>
      </c>
      <c r="B466">
        <f>IF(A466="","",MASTER_REGISTER!F466)</f>
        <v/>
      </c>
      <c r="C466">
        <f>IF(A466="","",MASTER_REGISTER!C466)</f>
        <v/>
      </c>
      <c r="D466">
        <f>IF(A466="","",COUNTIF(ATTENDANCE_DAILY!C:C,A466))</f>
        <v/>
      </c>
      <c r="E466">
        <f>IF(A466="","",COUNTIFS(ATTENDANCE_DAILY!C:C,A466,ATTENDANCE_DAILY!E:E,"Present"))</f>
        <v/>
      </c>
      <c r="F466">
        <f>IF(A466="","",COUNTIFS(ATTENDANCE_DAILY!C:C,A466,ATTENDANCE_DAILY!E:E,"Absent"))</f>
        <v/>
      </c>
      <c r="G466" s="5">
        <f>IF(D466=0,"",E466/D466)</f>
        <v/>
      </c>
      <c r="H466" s="4">
        <f>IF(G466="","",IF(G466&lt;0.75,"Low Attendance","OK"))</f>
        <v/>
      </c>
    </row>
    <row r="467">
      <c r="A467">
        <f>IF(MASTER_REGISTER!E467="","",MASTER_REGISTER!E467)</f>
        <v/>
      </c>
      <c r="B467">
        <f>IF(A467="","",MASTER_REGISTER!F467)</f>
        <v/>
      </c>
      <c r="C467">
        <f>IF(A467="","",MASTER_REGISTER!C467)</f>
        <v/>
      </c>
      <c r="D467">
        <f>IF(A467="","",COUNTIF(ATTENDANCE_DAILY!C:C,A467))</f>
        <v/>
      </c>
      <c r="E467">
        <f>IF(A467="","",COUNTIFS(ATTENDANCE_DAILY!C:C,A467,ATTENDANCE_DAILY!E:E,"Present"))</f>
        <v/>
      </c>
      <c r="F467">
        <f>IF(A467="","",COUNTIFS(ATTENDANCE_DAILY!C:C,A467,ATTENDANCE_DAILY!E:E,"Absent"))</f>
        <v/>
      </c>
      <c r="G467" s="5">
        <f>IF(D467=0,"",E467/D467)</f>
        <v/>
      </c>
      <c r="H467" s="4">
        <f>IF(G467="","",IF(G467&lt;0.75,"Low Attendance","OK"))</f>
        <v/>
      </c>
    </row>
    <row r="468">
      <c r="A468">
        <f>IF(MASTER_REGISTER!E468="","",MASTER_REGISTER!E468)</f>
        <v/>
      </c>
      <c r="B468">
        <f>IF(A468="","",MASTER_REGISTER!F468)</f>
        <v/>
      </c>
      <c r="C468">
        <f>IF(A468="","",MASTER_REGISTER!C468)</f>
        <v/>
      </c>
      <c r="D468">
        <f>IF(A468="","",COUNTIF(ATTENDANCE_DAILY!C:C,A468))</f>
        <v/>
      </c>
      <c r="E468">
        <f>IF(A468="","",COUNTIFS(ATTENDANCE_DAILY!C:C,A468,ATTENDANCE_DAILY!E:E,"Present"))</f>
        <v/>
      </c>
      <c r="F468">
        <f>IF(A468="","",COUNTIFS(ATTENDANCE_DAILY!C:C,A468,ATTENDANCE_DAILY!E:E,"Absent"))</f>
        <v/>
      </c>
      <c r="G468" s="5">
        <f>IF(D468=0,"",E468/D468)</f>
        <v/>
      </c>
      <c r="H468" s="4">
        <f>IF(G468="","",IF(G468&lt;0.75,"Low Attendance","OK"))</f>
        <v/>
      </c>
    </row>
    <row r="469">
      <c r="A469">
        <f>IF(MASTER_REGISTER!E469="","",MASTER_REGISTER!E469)</f>
        <v/>
      </c>
      <c r="B469">
        <f>IF(A469="","",MASTER_REGISTER!F469)</f>
        <v/>
      </c>
      <c r="C469">
        <f>IF(A469="","",MASTER_REGISTER!C469)</f>
        <v/>
      </c>
      <c r="D469">
        <f>IF(A469="","",COUNTIF(ATTENDANCE_DAILY!C:C,A469))</f>
        <v/>
      </c>
      <c r="E469">
        <f>IF(A469="","",COUNTIFS(ATTENDANCE_DAILY!C:C,A469,ATTENDANCE_DAILY!E:E,"Present"))</f>
        <v/>
      </c>
      <c r="F469">
        <f>IF(A469="","",COUNTIFS(ATTENDANCE_DAILY!C:C,A469,ATTENDANCE_DAILY!E:E,"Absent"))</f>
        <v/>
      </c>
      <c r="G469" s="5">
        <f>IF(D469=0,"",E469/D469)</f>
        <v/>
      </c>
      <c r="H469" s="4">
        <f>IF(G469="","",IF(G469&lt;0.75,"Low Attendance","OK"))</f>
        <v/>
      </c>
    </row>
    <row r="470">
      <c r="A470">
        <f>IF(MASTER_REGISTER!E470="","",MASTER_REGISTER!E470)</f>
        <v/>
      </c>
      <c r="B470">
        <f>IF(A470="","",MASTER_REGISTER!F470)</f>
        <v/>
      </c>
      <c r="C470">
        <f>IF(A470="","",MASTER_REGISTER!C470)</f>
        <v/>
      </c>
      <c r="D470">
        <f>IF(A470="","",COUNTIF(ATTENDANCE_DAILY!C:C,A470))</f>
        <v/>
      </c>
      <c r="E470">
        <f>IF(A470="","",COUNTIFS(ATTENDANCE_DAILY!C:C,A470,ATTENDANCE_DAILY!E:E,"Present"))</f>
        <v/>
      </c>
      <c r="F470">
        <f>IF(A470="","",COUNTIFS(ATTENDANCE_DAILY!C:C,A470,ATTENDANCE_DAILY!E:E,"Absent"))</f>
        <v/>
      </c>
      <c r="G470" s="5">
        <f>IF(D470=0,"",E470/D470)</f>
        <v/>
      </c>
      <c r="H470" s="4">
        <f>IF(G470="","",IF(G470&lt;0.75,"Low Attendance","OK"))</f>
        <v/>
      </c>
    </row>
    <row r="471">
      <c r="A471">
        <f>IF(MASTER_REGISTER!E471="","",MASTER_REGISTER!E471)</f>
        <v/>
      </c>
      <c r="B471">
        <f>IF(A471="","",MASTER_REGISTER!F471)</f>
        <v/>
      </c>
      <c r="C471">
        <f>IF(A471="","",MASTER_REGISTER!C471)</f>
        <v/>
      </c>
      <c r="D471">
        <f>IF(A471="","",COUNTIF(ATTENDANCE_DAILY!C:C,A471))</f>
        <v/>
      </c>
      <c r="E471">
        <f>IF(A471="","",COUNTIFS(ATTENDANCE_DAILY!C:C,A471,ATTENDANCE_DAILY!E:E,"Present"))</f>
        <v/>
      </c>
      <c r="F471">
        <f>IF(A471="","",COUNTIFS(ATTENDANCE_DAILY!C:C,A471,ATTENDANCE_DAILY!E:E,"Absent"))</f>
        <v/>
      </c>
      <c r="G471" s="5">
        <f>IF(D471=0,"",E471/D471)</f>
        <v/>
      </c>
      <c r="H471" s="4">
        <f>IF(G471="","",IF(G471&lt;0.75,"Low Attendance","OK"))</f>
        <v/>
      </c>
    </row>
    <row r="472">
      <c r="A472">
        <f>IF(MASTER_REGISTER!E472="","",MASTER_REGISTER!E472)</f>
        <v/>
      </c>
      <c r="B472">
        <f>IF(A472="","",MASTER_REGISTER!F472)</f>
        <v/>
      </c>
      <c r="C472">
        <f>IF(A472="","",MASTER_REGISTER!C472)</f>
        <v/>
      </c>
      <c r="D472">
        <f>IF(A472="","",COUNTIF(ATTENDANCE_DAILY!C:C,A472))</f>
        <v/>
      </c>
      <c r="E472">
        <f>IF(A472="","",COUNTIFS(ATTENDANCE_DAILY!C:C,A472,ATTENDANCE_DAILY!E:E,"Present"))</f>
        <v/>
      </c>
      <c r="F472">
        <f>IF(A472="","",COUNTIFS(ATTENDANCE_DAILY!C:C,A472,ATTENDANCE_DAILY!E:E,"Absent"))</f>
        <v/>
      </c>
      <c r="G472" s="5">
        <f>IF(D472=0,"",E472/D472)</f>
        <v/>
      </c>
      <c r="H472" s="4">
        <f>IF(G472="","",IF(G472&lt;0.75,"Low Attendance","OK"))</f>
        <v/>
      </c>
    </row>
    <row r="473">
      <c r="A473">
        <f>IF(MASTER_REGISTER!E473="","",MASTER_REGISTER!E473)</f>
        <v/>
      </c>
      <c r="B473">
        <f>IF(A473="","",MASTER_REGISTER!F473)</f>
        <v/>
      </c>
      <c r="C473">
        <f>IF(A473="","",MASTER_REGISTER!C473)</f>
        <v/>
      </c>
      <c r="D473">
        <f>IF(A473="","",COUNTIF(ATTENDANCE_DAILY!C:C,A473))</f>
        <v/>
      </c>
      <c r="E473">
        <f>IF(A473="","",COUNTIFS(ATTENDANCE_DAILY!C:C,A473,ATTENDANCE_DAILY!E:E,"Present"))</f>
        <v/>
      </c>
      <c r="F473">
        <f>IF(A473="","",COUNTIFS(ATTENDANCE_DAILY!C:C,A473,ATTENDANCE_DAILY!E:E,"Absent"))</f>
        <v/>
      </c>
      <c r="G473" s="5">
        <f>IF(D473=0,"",E473/D473)</f>
        <v/>
      </c>
      <c r="H473" s="4">
        <f>IF(G473="","",IF(G473&lt;0.75,"Low Attendance","OK"))</f>
        <v/>
      </c>
    </row>
    <row r="474">
      <c r="A474">
        <f>IF(MASTER_REGISTER!E474="","",MASTER_REGISTER!E474)</f>
        <v/>
      </c>
      <c r="B474">
        <f>IF(A474="","",MASTER_REGISTER!F474)</f>
        <v/>
      </c>
      <c r="C474">
        <f>IF(A474="","",MASTER_REGISTER!C474)</f>
        <v/>
      </c>
      <c r="D474">
        <f>IF(A474="","",COUNTIF(ATTENDANCE_DAILY!C:C,A474))</f>
        <v/>
      </c>
      <c r="E474">
        <f>IF(A474="","",COUNTIFS(ATTENDANCE_DAILY!C:C,A474,ATTENDANCE_DAILY!E:E,"Present"))</f>
        <v/>
      </c>
      <c r="F474">
        <f>IF(A474="","",COUNTIFS(ATTENDANCE_DAILY!C:C,A474,ATTENDANCE_DAILY!E:E,"Absent"))</f>
        <v/>
      </c>
      <c r="G474" s="5">
        <f>IF(D474=0,"",E474/D474)</f>
        <v/>
      </c>
      <c r="H474" s="4">
        <f>IF(G474="","",IF(G474&lt;0.75,"Low Attendance","OK"))</f>
        <v/>
      </c>
    </row>
    <row r="475">
      <c r="A475">
        <f>IF(MASTER_REGISTER!E475="","",MASTER_REGISTER!E475)</f>
        <v/>
      </c>
      <c r="B475">
        <f>IF(A475="","",MASTER_REGISTER!F475)</f>
        <v/>
      </c>
      <c r="C475">
        <f>IF(A475="","",MASTER_REGISTER!C475)</f>
        <v/>
      </c>
      <c r="D475">
        <f>IF(A475="","",COUNTIF(ATTENDANCE_DAILY!C:C,A475))</f>
        <v/>
      </c>
      <c r="E475">
        <f>IF(A475="","",COUNTIFS(ATTENDANCE_DAILY!C:C,A475,ATTENDANCE_DAILY!E:E,"Present"))</f>
        <v/>
      </c>
      <c r="F475">
        <f>IF(A475="","",COUNTIFS(ATTENDANCE_DAILY!C:C,A475,ATTENDANCE_DAILY!E:E,"Absent"))</f>
        <v/>
      </c>
      <c r="G475" s="5">
        <f>IF(D475=0,"",E475/D475)</f>
        <v/>
      </c>
      <c r="H475" s="4">
        <f>IF(G475="","",IF(G475&lt;0.75,"Low Attendance","OK"))</f>
        <v/>
      </c>
    </row>
    <row r="476">
      <c r="A476">
        <f>IF(MASTER_REGISTER!E476="","",MASTER_REGISTER!E476)</f>
        <v/>
      </c>
      <c r="B476">
        <f>IF(A476="","",MASTER_REGISTER!F476)</f>
        <v/>
      </c>
      <c r="C476">
        <f>IF(A476="","",MASTER_REGISTER!C476)</f>
        <v/>
      </c>
      <c r="D476">
        <f>IF(A476="","",COUNTIF(ATTENDANCE_DAILY!C:C,A476))</f>
        <v/>
      </c>
      <c r="E476">
        <f>IF(A476="","",COUNTIFS(ATTENDANCE_DAILY!C:C,A476,ATTENDANCE_DAILY!E:E,"Present"))</f>
        <v/>
      </c>
      <c r="F476">
        <f>IF(A476="","",COUNTIFS(ATTENDANCE_DAILY!C:C,A476,ATTENDANCE_DAILY!E:E,"Absent"))</f>
        <v/>
      </c>
      <c r="G476" s="5">
        <f>IF(D476=0,"",E476/D476)</f>
        <v/>
      </c>
      <c r="H476" s="4">
        <f>IF(G476="","",IF(G476&lt;0.75,"Low Attendance","OK"))</f>
        <v/>
      </c>
    </row>
    <row r="477">
      <c r="A477">
        <f>IF(MASTER_REGISTER!E477="","",MASTER_REGISTER!E477)</f>
        <v/>
      </c>
      <c r="B477">
        <f>IF(A477="","",MASTER_REGISTER!F477)</f>
        <v/>
      </c>
      <c r="C477">
        <f>IF(A477="","",MASTER_REGISTER!C477)</f>
        <v/>
      </c>
      <c r="D477">
        <f>IF(A477="","",COUNTIF(ATTENDANCE_DAILY!C:C,A477))</f>
        <v/>
      </c>
      <c r="E477">
        <f>IF(A477="","",COUNTIFS(ATTENDANCE_DAILY!C:C,A477,ATTENDANCE_DAILY!E:E,"Present"))</f>
        <v/>
      </c>
      <c r="F477">
        <f>IF(A477="","",COUNTIFS(ATTENDANCE_DAILY!C:C,A477,ATTENDANCE_DAILY!E:E,"Absent"))</f>
        <v/>
      </c>
      <c r="G477" s="5">
        <f>IF(D477=0,"",E477/D477)</f>
        <v/>
      </c>
      <c r="H477" s="4">
        <f>IF(G477="","",IF(G477&lt;0.75,"Low Attendance","OK"))</f>
        <v/>
      </c>
    </row>
    <row r="478">
      <c r="A478">
        <f>IF(MASTER_REGISTER!E478="","",MASTER_REGISTER!E478)</f>
        <v/>
      </c>
      <c r="B478">
        <f>IF(A478="","",MASTER_REGISTER!F478)</f>
        <v/>
      </c>
      <c r="C478">
        <f>IF(A478="","",MASTER_REGISTER!C478)</f>
        <v/>
      </c>
      <c r="D478">
        <f>IF(A478="","",COUNTIF(ATTENDANCE_DAILY!C:C,A478))</f>
        <v/>
      </c>
      <c r="E478">
        <f>IF(A478="","",COUNTIFS(ATTENDANCE_DAILY!C:C,A478,ATTENDANCE_DAILY!E:E,"Present"))</f>
        <v/>
      </c>
      <c r="F478">
        <f>IF(A478="","",COUNTIFS(ATTENDANCE_DAILY!C:C,A478,ATTENDANCE_DAILY!E:E,"Absent"))</f>
        <v/>
      </c>
      <c r="G478" s="5">
        <f>IF(D478=0,"",E478/D478)</f>
        <v/>
      </c>
      <c r="H478" s="4">
        <f>IF(G478="","",IF(G478&lt;0.75,"Low Attendance","OK"))</f>
        <v/>
      </c>
    </row>
    <row r="479">
      <c r="A479">
        <f>IF(MASTER_REGISTER!E479="","",MASTER_REGISTER!E479)</f>
        <v/>
      </c>
      <c r="B479">
        <f>IF(A479="","",MASTER_REGISTER!F479)</f>
        <v/>
      </c>
      <c r="C479">
        <f>IF(A479="","",MASTER_REGISTER!C479)</f>
        <v/>
      </c>
      <c r="D479">
        <f>IF(A479="","",COUNTIF(ATTENDANCE_DAILY!C:C,A479))</f>
        <v/>
      </c>
      <c r="E479">
        <f>IF(A479="","",COUNTIFS(ATTENDANCE_DAILY!C:C,A479,ATTENDANCE_DAILY!E:E,"Present"))</f>
        <v/>
      </c>
      <c r="F479">
        <f>IF(A479="","",COUNTIFS(ATTENDANCE_DAILY!C:C,A479,ATTENDANCE_DAILY!E:E,"Absent"))</f>
        <v/>
      </c>
      <c r="G479" s="5">
        <f>IF(D479=0,"",E479/D479)</f>
        <v/>
      </c>
      <c r="H479" s="4">
        <f>IF(G479="","",IF(G479&lt;0.75,"Low Attendance","OK"))</f>
        <v/>
      </c>
    </row>
    <row r="480">
      <c r="A480">
        <f>IF(MASTER_REGISTER!E480="","",MASTER_REGISTER!E480)</f>
        <v/>
      </c>
      <c r="B480">
        <f>IF(A480="","",MASTER_REGISTER!F480)</f>
        <v/>
      </c>
      <c r="C480">
        <f>IF(A480="","",MASTER_REGISTER!C480)</f>
        <v/>
      </c>
      <c r="D480">
        <f>IF(A480="","",COUNTIF(ATTENDANCE_DAILY!C:C,A480))</f>
        <v/>
      </c>
      <c r="E480">
        <f>IF(A480="","",COUNTIFS(ATTENDANCE_DAILY!C:C,A480,ATTENDANCE_DAILY!E:E,"Present"))</f>
        <v/>
      </c>
      <c r="F480">
        <f>IF(A480="","",COUNTIFS(ATTENDANCE_DAILY!C:C,A480,ATTENDANCE_DAILY!E:E,"Absent"))</f>
        <v/>
      </c>
      <c r="G480" s="5">
        <f>IF(D480=0,"",E480/D480)</f>
        <v/>
      </c>
      <c r="H480" s="4">
        <f>IF(G480="","",IF(G480&lt;0.75,"Low Attendance","OK"))</f>
        <v/>
      </c>
    </row>
    <row r="481">
      <c r="A481">
        <f>IF(MASTER_REGISTER!E481="","",MASTER_REGISTER!E481)</f>
        <v/>
      </c>
      <c r="B481">
        <f>IF(A481="","",MASTER_REGISTER!F481)</f>
        <v/>
      </c>
      <c r="C481">
        <f>IF(A481="","",MASTER_REGISTER!C481)</f>
        <v/>
      </c>
      <c r="D481">
        <f>IF(A481="","",COUNTIF(ATTENDANCE_DAILY!C:C,A481))</f>
        <v/>
      </c>
      <c r="E481">
        <f>IF(A481="","",COUNTIFS(ATTENDANCE_DAILY!C:C,A481,ATTENDANCE_DAILY!E:E,"Present"))</f>
        <v/>
      </c>
      <c r="F481">
        <f>IF(A481="","",COUNTIFS(ATTENDANCE_DAILY!C:C,A481,ATTENDANCE_DAILY!E:E,"Absent"))</f>
        <v/>
      </c>
      <c r="G481" s="5">
        <f>IF(D481=0,"",E481/D481)</f>
        <v/>
      </c>
      <c r="H481" s="4">
        <f>IF(G481="","",IF(G481&lt;0.75,"Low Attendance","OK"))</f>
        <v/>
      </c>
    </row>
    <row r="482">
      <c r="A482">
        <f>IF(MASTER_REGISTER!E482="","",MASTER_REGISTER!E482)</f>
        <v/>
      </c>
      <c r="B482">
        <f>IF(A482="","",MASTER_REGISTER!F482)</f>
        <v/>
      </c>
      <c r="C482">
        <f>IF(A482="","",MASTER_REGISTER!C482)</f>
        <v/>
      </c>
      <c r="D482">
        <f>IF(A482="","",COUNTIF(ATTENDANCE_DAILY!C:C,A482))</f>
        <v/>
      </c>
      <c r="E482">
        <f>IF(A482="","",COUNTIFS(ATTENDANCE_DAILY!C:C,A482,ATTENDANCE_DAILY!E:E,"Present"))</f>
        <v/>
      </c>
      <c r="F482">
        <f>IF(A482="","",COUNTIFS(ATTENDANCE_DAILY!C:C,A482,ATTENDANCE_DAILY!E:E,"Absent"))</f>
        <v/>
      </c>
      <c r="G482" s="5">
        <f>IF(D482=0,"",E482/D482)</f>
        <v/>
      </c>
      <c r="H482" s="4">
        <f>IF(G482="","",IF(G482&lt;0.75,"Low Attendance","OK"))</f>
        <v/>
      </c>
    </row>
    <row r="483">
      <c r="A483">
        <f>IF(MASTER_REGISTER!E483="","",MASTER_REGISTER!E483)</f>
        <v/>
      </c>
      <c r="B483">
        <f>IF(A483="","",MASTER_REGISTER!F483)</f>
        <v/>
      </c>
      <c r="C483">
        <f>IF(A483="","",MASTER_REGISTER!C483)</f>
        <v/>
      </c>
      <c r="D483">
        <f>IF(A483="","",COUNTIF(ATTENDANCE_DAILY!C:C,A483))</f>
        <v/>
      </c>
      <c r="E483">
        <f>IF(A483="","",COUNTIFS(ATTENDANCE_DAILY!C:C,A483,ATTENDANCE_DAILY!E:E,"Present"))</f>
        <v/>
      </c>
      <c r="F483">
        <f>IF(A483="","",COUNTIFS(ATTENDANCE_DAILY!C:C,A483,ATTENDANCE_DAILY!E:E,"Absent"))</f>
        <v/>
      </c>
      <c r="G483" s="5">
        <f>IF(D483=0,"",E483/D483)</f>
        <v/>
      </c>
      <c r="H483" s="4">
        <f>IF(G483="","",IF(G483&lt;0.75,"Low Attendance","OK"))</f>
        <v/>
      </c>
    </row>
    <row r="484">
      <c r="A484">
        <f>IF(MASTER_REGISTER!E484="","",MASTER_REGISTER!E484)</f>
        <v/>
      </c>
      <c r="B484">
        <f>IF(A484="","",MASTER_REGISTER!F484)</f>
        <v/>
      </c>
      <c r="C484">
        <f>IF(A484="","",MASTER_REGISTER!C484)</f>
        <v/>
      </c>
      <c r="D484">
        <f>IF(A484="","",COUNTIF(ATTENDANCE_DAILY!C:C,A484))</f>
        <v/>
      </c>
      <c r="E484">
        <f>IF(A484="","",COUNTIFS(ATTENDANCE_DAILY!C:C,A484,ATTENDANCE_DAILY!E:E,"Present"))</f>
        <v/>
      </c>
      <c r="F484">
        <f>IF(A484="","",COUNTIFS(ATTENDANCE_DAILY!C:C,A484,ATTENDANCE_DAILY!E:E,"Absent"))</f>
        <v/>
      </c>
      <c r="G484" s="5">
        <f>IF(D484=0,"",E484/D484)</f>
        <v/>
      </c>
      <c r="H484" s="4">
        <f>IF(G484="","",IF(G484&lt;0.75,"Low Attendance","OK"))</f>
        <v/>
      </c>
    </row>
    <row r="485">
      <c r="A485">
        <f>IF(MASTER_REGISTER!E485="","",MASTER_REGISTER!E485)</f>
        <v/>
      </c>
      <c r="B485">
        <f>IF(A485="","",MASTER_REGISTER!F485)</f>
        <v/>
      </c>
      <c r="C485">
        <f>IF(A485="","",MASTER_REGISTER!C485)</f>
        <v/>
      </c>
      <c r="D485">
        <f>IF(A485="","",COUNTIF(ATTENDANCE_DAILY!C:C,A485))</f>
        <v/>
      </c>
      <c r="E485">
        <f>IF(A485="","",COUNTIFS(ATTENDANCE_DAILY!C:C,A485,ATTENDANCE_DAILY!E:E,"Present"))</f>
        <v/>
      </c>
      <c r="F485">
        <f>IF(A485="","",COUNTIFS(ATTENDANCE_DAILY!C:C,A485,ATTENDANCE_DAILY!E:E,"Absent"))</f>
        <v/>
      </c>
      <c r="G485" s="5">
        <f>IF(D485=0,"",E485/D485)</f>
        <v/>
      </c>
      <c r="H485" s="4">
        <f>IF(G485="","",IF(G485&lt;0.75,"Low Attendance","OK"))</f>
        <v/>
      </c>
    </row>
    <row r="486">
      <c r="A486">
        <f>IF(MASTER_REGISTER!E486="","",MASTER_REGISTER!E486)</f>
        <v/>
      </c>
      <c r="B486">
        <f>IF(A486="","",MASTER_REGISTER!F486)</f>
        <v/>
      </c>
      <c r="C486">
        <f>IF(A486="","",MASTER_REGISTER!C486)</f>
        <v/>
      </c>
      <c r="D486">
        <f>IF(A486="","",COUNTIF(ATTENDANCE_DAILY!C:C,A486))</f>
        <v/>
      </c>
      <c r="E486">
        <f>IF(A486="","",COUNTIFS(ATTENDANCE_DAILY!C:C,A486,ATTENDANCE_DAILY!E:E,"Present"))</f>
        <v/>
      </c>
      <c r="F486">
        <f>IF(A486="","",COUNTIFS(ATTENDANCE_DAILY!C:C,A486,ATTENDANCE_DAILY!E:E,"Absent"))</f>
        <v/>
      </c>
      <c r="G486" s="5">
        <f>IF(D486=0,"",E486/D486)</f>
        <v/>
      </c>
      <c r="H486" s="4">
        <f>IF(G486="","",IF(G486&lt;0.75,"Low Attendance","OK"))</f>
        <v/>
      </c>
    </row>
    <row r="487">
      <c r="A487">
        <f>IF(MASTER_REGISTER!E487="","",MASTER_REGISTER!E487)</f>
        <v/>
      </c>
      <c r="B487">
        <f>IF(A487="","",MASTER_REGISTER!F487)</f>
        <v/>
      </c>
      <c r="C487">
        <f>IF(A487="","",MASTER_REGISTER!C487)</f>
        <v/>
      </c>
      <c r="D487">
        <f>IF(A487="","",COUNTIF(ATTENDANCE_DAILY!C:C,A487))</f>
        <v/>
      </c>
      <c r="E487">
        <f>IF(A487="","",COUNTIFS(ATTENDANCE_DAILY!C:C,A487,ATTENDANCE_DAILY!E:E,"Present"))</f>
        <v/>
      </c>
      <c r="F487">
        <f>IF(A487="","",COUNTIFS(ATTENDANCE_DAILY!C:C,A487,ATTENDANCE_DAILY!E:E,"Absent"))</f>
        <v/>
      </c>
      <c r="G487" s="5">
        <f>IF(D487=0,"",E487/D487)</f>
        <v/>
      </c>
      <c r="H487" s="4">
        <f>IF(G487="","",IF(G487&lt;0.75,"Low Attendance","OK"))</f>
        <v/>
      </c>
    </row>
    <row r="488">
      <c r="A488">
        <f>IF(MASTER_REGISTER!E488="","",MASTER_REGISTER!E488)</f>
        <v/>
      </c>
      <c r="B488">
        <f>IF(A488="","",MASTER_REGISTER!F488)</f>
        <v/>
      </c>
      <c r="C488">
        <f>IF(A488="","",MASTER_REGISTER!C488)</f>
        <v/>
      </c>
      <c r="D488">
        <f>IF(A488="","",COUNTIF(ATTENDANCE_DAILY!C:C,A488))</f>
        <v/>
      </c>
      <c r="E488">
        <f>IF(A488="","",COUNTIFS(ATTENDANCE_DAILY!C:C,A488,ATTENDANCE_DAILY!E:E,"Present"))</f>
        <v/>
      </c>
      <c r="F488">
        <f>IF(A488="","",COUNTIFS(ATTENDANCE_DAILY!C:C,A488,ATTENDANCE_DAILY!E:E,"Absent"))</f>
        <v/>
      </c>
      <c r="G488" s="5">
        <f>IF(D488=0,"",E488/D488)</f>
        <v/>
      </c>
      <c r="H488" s="4">
        <f>IF(G488="","",IF(G488&lt;0.75,"Low Attendance","OK"))</f>
        <v/>
      </c>
    </row>
    <row r="489">
      <c r="A489">
        <f>IF(MASTER_REGISTER!E489="","",MASTER_REGISTER!E489)</f>
        <v/>
      </c>
      <c r="B489">
        <f>IF(A489="","",MASTER_REGISTER!F489)</f>
        <v/>
      </c>
      <c r="C489">
        <f>IF(A489="","",MASTER_REGISTER!C489)</f>
        <v/>
      </c>
      <c r="D489">
        <f>IF(A489="","",COUNTIF(ATTENDANCE_DAILY!C:C,A489))</f>
        <v/>
      </c>
      <c r="E489">
        <f>IF(A489="","",COUNTIFS(ATTENDANCE_DAILY!C:C,A489,ATTENDANCE_DAILY!E:E,"Present"))</f>
        <v/>
      </c>
      <c r="F489">
        <f>IF(A489="","",COUNTIFS(ATTENDANCE_DAILY!C:C,A489,ATTENDANCE_DAILY!E:E,"Absent"))</f>
        <v/>
      </c>
      <c r="G489" s="5">
        <f>IF(D489=0,"",E489/D489)</f>
        <v/>
      </c>
      <c r="H489" s="4">
        <f>IF(G489="","",IF(G489&lt;0.75,"Low Attendance","OK"))</f>
        <v/>
      </c>
    </row>
    <row r="490">
      <c r="A490">
        <f>IF(MASTER_REGISTER!E490="","",MASTER_REGISTER!E490)</f>
        <v/>
      </c>
      <c r="B490">
        <f>IF(A490="","",MASTER_REGISTER!F490)</f>
        <v/>
      </c>
      <c r="C490">
        <f>IF(A490="","",MASTER_REGISTER!C490)</f>
        <v/>
      </c>
      <c r="D490">
        <f>IF(A490="","",COUNTIF(ATTENDANCE_DAILY!C:C,A490))</f>
        <v/>
      </c>
      <c r="E490">
        <f>IF(A490="","",COUNTIFS(ATTENDANCE_DAILY!C:C,A490,ATTENDANCE_DAILY!E:E,"Present"))</f>
        <v/>
      </c>
      <c r="F490">
        <f>IF(A490="","",COUNTIFS(ATTENDANCE_DAILY!C:C,A490,ATTENDANCE_DAILY!E:E,"Absent"))</f>
        <v/>
      </c>
      <c r="G490" s="5">
        <f>IF(D490=0,"",E490/D490)</f>
        <v/>
      </c>
      <c r="H490" s="4">
        <f>IF(G490="","",IF(G490&lt;0.75,"Low Attendance","OK"))</f>
        <v/>
      </c>
    </row>
    <row r="491">
      <c r="A491">
        <f>IF(MASTER_REGISTER!E491="","",MASTER_REGISTER!E491)</f>
        <v/>
      </c>
      <c r="B491">
        <f>IF(A491="","",MASTER_REGISTER!F491)</f>
        <v/>
      </c>
      <c r="C491">
        <f>IF(A491="","",MASTER_REGISTER!C491)</f>
        <v/>
      </c>
      <c r="D491">
        <f>IF(A491="","",COUNTIF(ATTENDANCE_DAILY!C:C,A491))</f>
        <v/>
      </c>
      <c r="E491">
        <f>IF(A491="","",COUNTIFS(ATTENDANCE_DAILY!C:C,A491,ATTENDANCE_DAILY!E:E,"Present"))</f>
        <v/>
      </c>
      <c r="F491">
        <f>IF(A491="","",COUNTIFS(ATTENDANCE_DAILY!C:C,A491,ATTENDANCE_DAILY!E:E,"Absent"))</f>
        <v/>
      </c>
      <c r="G491" s="5">
        <f>IF(D491=0,"",E491/D491)</f>
        <v/>
      </c>
      <c r="H491" s="4">
        <f>IF(G491="","",IF(G491&lt;0.75,"Low Attendance","OK"))</f>
        <v/>
      </c>
    </row>
    <row r="492">
      <c r="A492">
        <f>IF(MASTER_REGISTER!E492="","",MASTER_REGISTER!E492)</f>
        <v/>
      </c>
      <c r="B492">
        <f>IF(A492="","",MASTER_REGISTER!F492)</f>
        <v/>
      </c>
      <c r="C492">
        <f>IF(A492="","",MASTER_REGISTER!C492)</f>
        <v/>
      </c>
      <c r="D492">
        <f>IF(A492="","",COUNTIF(ATTENDANCE_DAILY!C:C,A492))</f>
        <v/>
      </c>
      <c r="E492">
        <f>IF(A492="","",COUNTIFS(ATTENDANCE_DAILY!C:C,A492,ATTENDANCE_DAILY!E:E,"Present"))</f>
        <v/>
      </c>
      <c r="F492">
        <f>IF(A492="","",COUNTIFS(ATTENDANCE_DAILY!C:C,A492,ATTENDANCE_DAILY!E:E,"Absent"))</f>
        <v/>
      </c>
      <c r="G492" s="5">
        <f>IF(D492=0,"",E492/D492)</f>
        <v/>
      </c>
      <c r="H492" s="4">
        <f>IF(G492="","",IF(G492&lt;0.75,"Low Attendance","OK"))</f>
        <v/>
      </c>
    </row>
    <row r="493">
      <c r="A493">
        <f>IF(MASTER_REGISTER!E493="","",MASTER_REGISTER!E493)</f>
        <v/>
      </c>
      <c r="B493">
        <f>IF(A493="","",MASTER_REGISTER!F493)</f>
        <v/>
      </c>
      <c r="C493">
        <f>IF(A493="","",MASTER_REGISTER!C493)</f>
        <v/>
      </c>
      <c r="D493">
        <f>IF(A493="","",COUNTIF(ATTENDANCE_DAILY!C:C,A493))</f>
        <v/>
      </c>
      <c r="E493">
        <f>IF(A493="","",COUNTIFS(ATTENDANCE_DAILY!C:C,A493,ATTENDANCE_DAILY!E:E,"Present"))</f>
        <v/>
      </c>
      <c r="F493">
        <f>IF(A493="","",COUNTIFS(ATTENDANCE_DAILY!C:C,A493,ATTENDANCE_DAILY!E:E,"Absent"))</f>
        <v/>
      </c>
      <c r="G493" s="5">
        <f>IF(D493=0,"",E493/D493)</f>
        <v/>
      </c>
      <c r="H493" s="4">
        <f>IF(G493="","",IF(G493&lt;0.75,"Low Attendance","OK"))</f>
        <v/>
      </c>
    </row>
    <row r="494">
      <c r="A494">
        <f>IF(MASTER_REGISTER!E494="","",MASTER_REGISTER!E494)</f>
        <v/>
      </c>
      <c r="B494">
        <f>IF(A494="","",MASTER_REGISTER!F494)</f>
        <v/>
      </c>
      <c r="C494">
        <f>IF(A494="","",MASTER_REGISTER!C494)</f>
        <v/>
      </c>
      <c r="D494">
        <f>IF(A494="","",COUNTIF(ATTENDANCE_DAILY!C:C,A494))</f>
        <v/>
      </c>
      <c r="E494">
        <f>IF(A494="","",COUNTIFS(ATTENDANCE_DAILY!C:C,A494,ATTENDANCE_DAILY!E:E,"Present"))</f>
        <v/>
      </c>
      <c r="F494">
        <f>IF(A494="","",COUNTIFS(ATTENDANCE_DAILY!C:C,A494,ATTENDANCE_DAILY!E:E,"Absent"))</f>
        <v/>
      </c>
      <c r="G494" s="5">
        <f>IF(D494=0,"",E494/D494)</f>
        <v/>
      </c>
      <c r="H494" s="4">
        <f>IF(G494="","",IF(G494&lt;0.75,"Low Attendance","OK"))</f>
        <v/>
      </c>
    </row>
    <row r="495">
      <c r="A495">
        <f>IF(MASTER_REGISTER!E495="","",MASTER_REGISTER!E495)</f>
        <v/>
      </c>
      <c r="B495">
        <f>IF(A495="","",MASTER_REGISTER!F495)</f>
        <v/>
      </c>
      <c r="C495">
        <f>IF(A495="","",MASTER_REGISTER!C495)</f>
        <v/>
      </c>
      <c r="D495">
        <f>IF(A495="","",COUNTIF(ATTENDANCE_DAILY!C:C,A495))</f>
        <v/>
      </c>
      <c r="E495">
        <f>IF(A495="","",COUNTIFS(ATTENDANCE_DAILY!C:C,A495,ATTENDANCE_DAILY!E:E,"Present"))</f>
        <v/>
      </c>
      <c r="F495">
        <f>IF(A495="","",COUNTIFS(ATTENDANCE_DAILY!C:C,A495,ATTENDANCE_DAILY!E:E,"Absent"))</f>
        <v/>
      </c>
      <c r="G495" s="5">
        <f>IF(D495=0,"",E495/D495)</f>
        <v/>
      </c>
      <c r="H495" s="4">
        <f>IF(G495="","",IF(G495&lt;0.75,"Low Attendance","OK"))</f>
        <v/>
      </c>
    </row>
    <row r="496">
      <c r="A496">
        <f>IF(MASTER_REGISTER!E496="","",MASTER_REGISTER!E496)</f>
        <v/>
      </c>
      <c r="B496">
        <f>IF(A496="","",MASTER_REGISTER!F496)</f>
        <v/>
      </c>
      <c r="C496">
        <f>IF(A496="","",MASTER_REGISTER!C496)</f>
        <v/>
      </c>
      <c r="D496">
        <f>IF(A496="","",COUNTIF(ATTENDANCE_DAILY!C:C,A496))</f>
        <v/>
      </c>
      <c r="E496">
        <f>IF(A496="","",COUNTIFS(ATTENDANCE_DAILY!C:C,A496,ATTENDANCE_DAILY!E:E,"Present"))</f>
        <v/>
      </c>
      <c r="F496">
        <f>IF(A496="","",COUNTIFS(ATTENDANCE_DAILY!C:C,A496,ATTENDANCE_DAILY!E:E,"Absent"))</f>
        <v/>
      </c>
      <c r="G496" s="5">
        <f>IF(D496=0,"",E496/D496)</f>
        <v/>
      </c>
      <c r="H496" s="4">
        <f>IF(G496="","",IF(G496&lt;0.75,"Low Attendance","OK"))</f>
        <v/>
      </c>
    </row>
    <row r="497">
      <c r="A497">
        <f>IF(MASTER_REGISTER!E497="","",MASTER_REGISTER!E497)</f>
        <v/>
      </c>
      <c r="B497">
        <f>IF(A497="","",MASTER_REGISTER!F497)</f>
        <v/>
      </c>
      <c r="C497">
        <f>IF(A497="","",MASTER_REGISTER!C497)</f>
        <v/>
      </c>
      <c r="D497">
        <f>IF(A497="","",COUNTIF(ATTENDANCE_DAILY!C:C,A497))</f>
        <v/>
      </c>
      <c r="E497">
        <f>IF(A497="","",COUNTIFS(ATTENDANCE_DAILY!C:C,A497,ATTENDANCE_DAILY!E:E,"Present"))</f>
        <v/>
      </c>
      <c r="F497">
        <f>IF(A497="","",COUNTIFS(ATTENDANCE_DAILY!C:C,A497,ATTENDANCE_DAILY!E:E,"Absent"))</f>
        <v/>
      </c>
      <c r="G497" s="5">
        <f>IF(D497=0,"",E497/D497)</f>
        <v/>
      </c>
      <c r="H497" s="4">
        <f>IF(G497="","",IF(G497&lt;0.75,"Low Attendance","OK"))</f>
        <v/>
      </c>
    </row>
    <row r="498">
      <c r="A498">
        <f>IF(MASTER_REGISTER!E498="","",MASTER_REGISTER!E498)</f>
        <v/>
      </c>
      <c r="B498">
        <f>IF(A498="","",MASTER_REGISTER!F498)</f>
        <v/>
      </c>
      <c r="C498">
        <f>IF(A498="","",MASTER_REGISTER!C498)</f>
        <v/>
      </c>
      <c r="D498">
        <f>IF(A498="","",COUNTIF(ATTENDANCE_DAILY!C:C,A498))</f>
        <v/>
      </c>
      <c r="E498">
        <f>IF(A498="","",COUNTIFS(ATTENDANCE_DAILY!C:C,A498,ATTENDANCE_DAILY!E:E,"Present"))</f>
        <v/>
      </c>
      <c r="F498">
        <f>IF(A498="","",COUNTIFS(ATTENDANCE_DAILY!C:C,A498,ATTENDANCE_DAILY!E:E,"Absent"))</f>
        <v/>
      </c>
      <c r="G498" s="5">
        <f>IF(D498=0,"",E498/D498)</f>
        <v/>
      </c>
      <c r="H498" s="4">
        <f>IF(G498="","",IF(G498&lt;0.75,"Low Attendance","OK"))</f>
        <v/>
      </c>
    </row>
    <row r="499">
      <c r="A499">
        <f>IF(MASTER_REGISTER!E499="","",MASTER_REGISTER!E499)</f>
        <v/>
      </c>
      <c r="B499">
        <f>IF(A499="","",MASTER_REGISTER!F499)</f>
        <v/>
      </c>
      <c r="C499">
        <f>IF(A499="","",MASTER_REGISTER!C499)</f>
        <v/>
      </c>
      <c r="D499">
        <f>IF(A499="","",COUNTIF(ATTENDANCE_DAILY!C:C,A499))</f>
        <v/>
      </c>
      <c r="E499">
        <f>IF(A499="","",COUNTIFS(ATTENDANCE_DAILY!C:C,A499,ATTENDANCE_DAILY!E:E,"Present"))</f>
        <v/>
      </c>
      <c r="F499">
        <f>IF(A499="","",COUNTIFS(ATTENDANCE_DAILY!C:C,A499,ATTENDANCE_DAILY!E:E,"Absent"))</f>
        <v/>
      </c>
      <c r="G499" s="5">
        <f>IF(D499=0,"",E499/D499)</f>
        <v/>
      </c>
      <c r="H499" s="4">
        <f>IF(G499="","",IF(G499&lt;0.75,"Low Attendance","OK"))</f>
        <v/>
      </c>
    </row>
    <row r="500">
      <c r="A500">
        <f>IF(MASTER_REGISTER!E500="","",MASTER_REGISTER!E500)</f>
        <v/>
      </c>
      <c r="B500">
        <f>IF(A500="","",MASTER_REGISTER!F500)</f>
        <v/>
      </c>
      <c r="C500">
        <f>IF(A500="","",MASTER_REGISTER!C500)</f>
        <v/>
      </c>
      <c r="D500">
        <f>IF(A500="","",COUNTIF(ATTENDANCE_DAILY!C:C,A500))</f>
        <v/>
      </c>
      <c r="E500">
        <f>IF(A500="","",COUNTIFS(ATTENDANCE_DAILY!C:C,A500,ATTENDANCE_DAILY!E:E,"Present"))</f>
        <v/>
      </c>
      <c r="F500">
        <f>IF(A500="","",COUNTIFS(ATTENDANCE_DAILY!C:C,A500,ATTENDANCE_DAILY!E:E,"Absent"))</f>
        <v/>
      </c>
      <c r="G500" s="5">
        <f>IF(D500=0,"",E500/D500)</f>
        <v/>
      </c>
      <c r="H500" s="4">
        <f>IF(G500="","",IF(G500&lt;0.75,"Low Attendance","OK"))</f>
        <v/>
      </c>
    </row>
    <row r="501">
      <c r="A501">
        <f>IF(MASTER_REGISTER!E501="","",MASTER_REGISTER!E501)</f>
        <v/>
      </c>
      <c r="B501">
        <f>IF(A501="","",MASTER_REGISTER!F501)</f>
        <v/>
      </c>
      <c r="C501">
        <f>IF(A501="","",MASTER_REGISTER!C501)</f>
        <v/>
      </c>
      <c r="D501">
        <f>IF(A501="","",COUNTIF(ATTENDANCE_DAILY!C:C,A501))</f>
        <v/>
      </c>
      <c r="E501">
        <f>IF(A501="","",COUNTIFS(ATTENDANCE_DAILY!C:C,A501,ATTENDANCE_DAILY!E:E,"Present"))</f>
        <v/>
      </c>
      <c r="F501">
        <f>IF(A501="","",COUNTIFS(ATTENDANCE_DAILY!C:C,A501,ATTENDANCE_DAILY!E:E,"Absent"))</f>
        <v/>
      </c>
      <c r="G501" s="5">
        <f>IF(D501=0,"",E501/D501)</f>
        <v/>
      </c>
      <c r="H501" s="4">
        <f>IF(G501="","",IF(G501&lt;0.75,"Low Attendance","OK"))</f>
        <v/>
      </c>
    </row>
  </sheetData>
  <conditionalFormatting sqref="H2:H501">
    <cfRule type="cellIs" priority="1" operator="equal" dxfId="1">
      <formula>"Low Attendance"</formula>
    </cfRule>
    <cfRule type="cellIs" priority="2" operator="equal" dxfId="0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6" customWidth="1" style="10" min="2" max="2"/>
    <col width="18" customWidth="1" style="10" min="3" max="3"/>
    <col width="22" customWidth="1" style="10" min="4" max="4"/>
    <col width="16" customWidth="1" style="10" min="5" max="5"/>
    <col width="14" customWidth="1" style="10" min="6" max="6"/>
    <col width="26" customWidth="1" style="10" min="7" max="7"/>
  </cols>
  <sheetData>
    <row r="1">
      <c r="A1" s="12" t="inlineStr">
        <is>
          <t>Payment Date</t>
        </is>
      </c>
      <c r="B1" s="12" t="inlineStr">
        <is>
          <t>Receipt/Ref</t>
        </is>
      </c>
      <c r="C1" s="12" t="inlineStr">
        <is>
          <t>Student Number</t>
        </is>
      </c>
      <c r="D1" s="12" t="inlineStr">
        <is>
          <t>Payer Name</t>
        </is>
      </c>
      <c r="E1" s="12" t="inlineStr">
        <is>
          <t>Amount Paid (R)</t>
        </is>
      </c>
      <c r="F1" s="12" t="inlineStr">
        <is>
          <t>Method</t>
        </is>
      </c>
      <c r="G1" s="12" t="inlineStr">
        <is>
          <t>Notes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6" t="n"/>
    </row>
    <row r="1002">
      <c r="A1002" s="6" t="n"/>
    </row>
    <row r="1003">
      <c r="A1003" s="6" t="n"/>
    </row>
    <row r="1004">
      <c r="A1004" s="6" t="n"/>
    </row>
    <row r="1005">
      <c r="A1005" s="6" t="n"/>
    </row>
    <row r="1006">
      <c r="A1006" s="6" t="n"/>
    </row>
    <row r="1007">
      <c r="A1007" s="6" t="n"/>
    </row>
    <row r="1008">
      <c r="A1008" s="6" t="n"/>
    </row>
    <row r="1009">
      <c r="A1009" s="6" t="n"/>
    </row>
    <row r="1010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  <row r="1022">
      <c r="A1022" s="6" t="n"/>
    </row>
    <row r="1023">
      <c r="A1023" s="6" t="n"/>
    </row>
    <row r="1024">
      <c r="A1024" s="6" t="n"/>
    </row>
    <row r="1025">
      <c r="A1025" s="6" t="n"/>
    </row>
    <row r="1026">
      <c r="A1026" s="6" t="n"/>
    </row>
    <row r="1027">
      <c r="A1027" s="6" t="n"/>
    </row>
    <row r="1028">
      <c r="A1028" s="6" t="n"/>
    </row>
    <row r="1029">
      <c r="A1029" s="6" t="n"/>
    </row>
    <row r="1030">
      <c r="A1030" s="6" t="n"/>
    </row>
    <row r="1031">
      <c r="A1031" s="6" t="n"/>
    </row>
    <row r="1032">
      <c r="A1032" s="6" t="n"/>
    </row>
    <row r="1033">
      <c r="A1033" s="6" t="n"/>
    </row>
    <row r="1034">
      <c r="A1034" s="6" t="n"/>
    </row>
    <row r="1035">
      <c r="A1035" s="6" t="n"/>
    </row>
    <row r="1036">
      <c r="A1036" s="6" t="n"/>
    </row>
    <row r="1037">
      <c r="A1037" s="6" t="n"/>
    </row>
    <row r="1038">
      <c r="A1038" s="6" t="n"/>
    </row>
    <row r="1039">
      <c r="A1039" s="6" t="n"/>
    </row>
    <row r="1040">
      <c r="A1040" s="6" t="n"/>
    </row>
    <row r="1041">
      <c r="A1041" s="6" t="n"/>
    </row>
    <row r="1042">
      <c r="A1042" s="6" t="n"/>
    </row>
    <row r="1043">
      <c r="A1043" s="6" t="n"/>
    </row>
    <row r="1044">
      <c r="A1044" s="6" t="n"/>
    </row>
    <row r="1045">
      <c r="A1045" s="6" t="n"/>
    </row>
    <row r="1046">
      <c r="A1046" s="6" t="n"/>
    </row>
    <row r="1047">
      <c r="A1047" s="6" t="n"/>
    </row>
    <row r="1048">
      <c r="A1048" s="6" t="n"/>
    </row>
    <row r="1049">
      <c r="A1049" s="6" t="n"/>
    </row>
    <row r="1050">
      <c r="A1050" s="6" t="n"/>
    </row>
    <row r="1051">
      <c r="A1051" s="6" t="n"/>
    </row>
    <row r="1052">
      <c r="A1052" s="6" t="n"/>
    </row>
    <row r="1053">
      <c r="A1053" s="6" t="n"/>
    </row>
    <row r="1054">
      <c r="A1054" s="6" t="n"/>
    </row>
    <row r="1055">
      <c r="A1055" s="6" t="n"/>
    </row>
    <row r="1056">
      <c r="A1056" s="6" t="n"/>
    </row>
    <row r="1057">
      <c r="A1057" s="6" t="n"/>
    </row>
    <row r="1058">
      <c r="A1058" s="6" t="n"/>
    </row>
    <row r="1059">
      <c r="A1059" s="6" t="n"/>
    </row>
    <row r="1060">
      <c r="A1060" s="6" t="n"/>
    </row>
    <row r="1061">
      <c r="A1061" s="6" t="n"/>
    </row>
    <row r="1062">
      <c r="A1062" s="6" t="n"/>
    </row>
    <row r="1063">
      <c r="A1063" s="6" t="n"/>
    </row>
    <row r="1064">
      <c r="A1064" s="6" t="n"/>
    </row>
    <row r="1065">
      <c r="A1065" s="6" t="n"/>
    </row>
    <row r="1066">
      <c r="A1066" s="6" t="n"/>
    </row>
    <row r="1067">
      <c r="A1067" s="6" t="n"/>
    </row>
    <row r="1068">
      <c r="A1068" s="6" t="n"/>
    </row>
    <row r="1069">
      <c r="A1069" s="6" t="n"/>
    </row>
    <row r="1070">
      <c r="A1070" s="6" t="n"/>
    </row>
    <row r="1071">
      <c r="A1071" s="6" t="n"/>
    </row>
    <row r="1072">
      <c r="A1072" s="6" t="n"/>
    </row>
    <row r="1073">
      <c r="A1073" s="6" t="n"/>
    </row>
    <row r="1074">
      <c r="A1074" s="6" t="n"/>
    </row>
    <row r="1075">
      <c r="A1075" s="6" t="n"/>
    </row>
    <row r="1076">
      <c r="A1076" s="6" t="n"/>
    </row>
    <row r="1077">
      <c r="A1077" s="6" t="n"/>
    </row>
    <row r="1078">
      <c r="A1078" s="6" t="n"/>
    </row>
    <row r="1079">
      <c r="A1079" s="6" t="n"/>
    </row>
    <row r="1080">
      <c r="A1080" s="6" t="n"/>
    </row>
    <row r="1081">
      <c r="A1081" s="6" t="n"/>
    </row>
    <row r="1082">
      <c r="A1082" s="6" t="n"/>
    </row>
    <row r="1083">
      <c r="A1083" s="6" t="n"/>
    </row>
    <row r="1084">
      <c r="A1084" s="6" t="n"/>
    </row>
    <row r="1085">
      <c r="A1085" s="6" t="n"/>
    </row>
    <row r="1086">
      <c r="A1086" s="6" t="n"/>
    </row>
    <row r="1087">
      <c r="A1087" s="6" t="n"/>
    </row>
    <row r="1088">
      <c r="A1088" s="6" t="n"/>
    </row>
    <row r="1089">
      <c r="A1089" s="6" t="n"/>
    </row>
    <row r="1090">
      <c r="A1090" s="6" t="n"/>
    </row>
    <row r="1091">
      <c r="A1091" s="6" t="n"/>
    </row>
    <row r="1092">
      <c r="A1092" s="6" t="n"/>
    </row>
    <row r="1093">
      <c r="A1093" s="6" t="n"/>
    </row>
    <row r="1094">
      <c r="A1094" s="6" t="n"/>
    </row>
    <row r="1095">
      <c r="A1095" s="6" t="n"/>
    </row>
    <row r="1096">
      <c r="A1096" s="6" t="n"/>
    </row>
    <row r="1097">
      <c r="A1097" s="6" t="n"/>
    </row>
    <row r="1098">
      <c r="A1098" s="6" t="n"/>
    </row>
    <row r="1099">
      <c r="A1099" s="6" t="n"/>
    </row>
    <row r="1100">
      <c r="A1100" s="6" t="n"/>
    </row>
    <row r="1101">
      <c r="A1101" s="6" t="n"/>
    </row>
    <row r="1102">
      <c r="A1102" s="6" t="n"/>
    </row>
    <row r="1103">
      <c r="A1103" s="6" t="n"/>
    </row>
    <row r="1104">
      <c r="A1104" s="6" t="n"/>
    </row>
    <row r="1105">
      <c r="A1105" s="6" t="n"/>
    </row>
    <row r="1106">
      <c r="A1106" s="6" t="n"/>
    </row>
    <row r="1107">
      <c r="A1107" s="6" t="n"/>
    </row>
    <row r="1108">
      <c r="A1108" s="6" t="n"/>
    </row>
    <row r="1109">
      <c r="A1109" s="6" t="n"/>
    </row>
    <row r="1110">
      <c r="A1110" s="6" t="n"/>
    </row>
    <row r="1111">
      <c r="A1111" s="6" t="n"/>
    </row>
    <row r="1112">
      <c r="A1112" s="6" t="n"/>
    </row>
    <row r="1113">
      <c r="A1113" s="6" t="n"/>
    </row>
    <row r="1114">
      <c r="A1114" s="6" t="n"/>
    </row>
    <row r="1115">
      <c r="A1115" s="6" t="n"/>
    </row>
    <row r="1116">
      <c r="A1116" s="6" t="n"/>
    </row>
    <row r="1117">
      <c r="A1117" s="6" t="n"/>
    </row>
    <row r="1118">
      <c r="A1118" s="6" t="n"/>
    </row>
    <row r="1119">
      <c r="A1119" s="6" t="n"/>
    </row>
    <row r="1120">
      <c r="A1120" s="6" t="n"/>
    </row>
    <row r="1121">
      <c r="A1121" s="6" t="n"/>
    </row>
    <row r="1122">
      <c r="A1122" s="6" t="n"/>
    </row>
    <row r="1123">
      <c r="A1123" s="6" t="n"/>
    </row>
    <row r="1124">
      <c r="A1124" s="6" t="n"/>
    </row>
    <row r="1125">
      <c r="A1125" s="6" t="n"/>
    </row>
    <row r="1126">
      <c r="A1126" s="6" t="n"/>
    </row>
    <row r="1127">
      <c r="A1127" s="6" t="n"/>
    </row>
    <row r="1128">
      <c r="A1128" s="6" t="n"/>
    </row>
    <row r="1129">
      <c r="A1129" s="6" t="n"/>
    </row>
    <row r="1130">
      <c r="A1130" s="6" t="n"/>
    </row>
    <row r="1131">
      <c r="A1131" s="6" t="n"/>
    </row>
    <row r="1132">
      <c r="A1132" s="6" t="n"/>
    </row>
    <row r="1133">
      <c r="A1133" s="6" t="n"/>
    </row>
    <row r="1134">
      <c r="A1134" s="6" t="n"/>
    </row>
    <row r="1135">
      <c r="A1135" s="6" t="n"/>
    </row>
    <row r="1136">
      <c r="A1136" s="6" t="n"/>
    </row>
    <row r="1137">
      <c r="A1137" s="6" t="n"/>
    </row>
    <row r="1138">
      <c r="A1138" s="6" t="n"/>
    </row>
    <row r="1139">
      <c r="A1139" s="6" t="n"/>
    </row>
    <row r="1140">
      <c r="A1140" s="6" t="n"/>
    </row>
    <row r="1141">
      <c r="A1141" s="6" t="n"/>
    </row>
    <row r="1142">
      <c r="A1142" s="6" t="n"/>
    </row>
    <row r="1143">
      <c r="A1143" s="6" t="n"/>
    </row>
    <row r="1144">
      <c r="A1144" s="6" t="n"/>
    </row>
    <row r="1145">
      <c r="A1145" s="6" t="n"/>
    </row>
    <row r="1146">
      <c r="A1146" s="6" t="n"/>
    </row>
    <row r="1147">
      <c r="A1147" s="6" t="n"/>
    </row>
    <row r="1148">
      <c r="A1148" s="6" t="n"/>
    </row>
    <row r="1149">
      <c r="A1149" s="6" t="n"/>
    </row>
    <row r="1150">
      <c r="A1150" s="6" t="n"/>
    </row>
    <row r="1151">
      <c r="A1151" s="6" t="n"/>
    </row>
    <row r="1152">
      <c r="A1152" s="6" t="n"/>
    </row>
    <row r="1153">
      <c r="A1153" s="6" t="n"/>
    </row>
    <row r="1154">
      <c r="A1154" s="6" t="n"/>
    </row>
    <row r="1155">
      <c r="A1155" s="6" t="n"/>
    </row>
    <row r="1156">
      <c r="A1156" s="6" t="n"/>
    </row>
    <row r="1157">
      <c r="A1157" s="6" t="n"/>
    </row>
    <row r="1158">
      <c r="A1158" s="6" t="n"/>
    </row>
    <row r="1159">
      <c r="A1159" s="6" t="n"/>
    </row>
    <row r="1160">
      <c r="A1160" s="6" t="n"/>
    </row>
    <row r="1161">
      <c r="A1161" s="6" t="n"/>
    </row>
    <row r="1162">
      <c r="A1162" s="6" t="n"/>
    </row>
    <row r="1163">
      <c r="A1163" s="6" t="n"/>
    </row>
    <row r="1164">
      <c r="A1164" s="6" t="n"/>
    </row>
    <row r="1165">
      <c r="A1165" s="6" t="n"/>
    </row>
    <row r="1166">
      <c r="A1166" s="6" t="n"/>
    </row>
    <row r="1167">
      <c r="A1167" s="6" t="n"/>
    </row>
    <row r="1168">
      <c r="A1168" s="6" t="n"/>
    </row>
    <row r="1169">
      <c r="A1169" s="6" t="n"/>
    </row>
    <row r="1170">
      <c r="A1170" s="6" t="n"/>
    </row>
    <row r="1171">
      <c r="A1171" s="6" t="n"/>
    </row>
    <row r="1172">
      <c r="A1172" s="6" t="n"/>
    </row>
    <row r="1173">
      <c r="A1173" s="6" t="n"/>
    </row>
    <row r="1174">
      <c r="A1174" s="6" t="n"/>
    </row>
    <row r="1175">
      <c r="A1175" s="6" t="n"/>
    </row>
    <row r="1176">
      <c r="A1176" s="6" t="n"/>
    </row>
    <row r="1177">
      <c r="A1177" s="6" t="n"/>
    </row>
    <row r="1178">
      <c r="A1178" s="6" t="n"/>
    </row>
    <row r="1179">
      <c r="A1179" s="6" t="n"/>
    </row>
    <row r="1180">
      <c r="A1180" s="6" t="n"/>
    </row>
    <row r="1181">
      <c r="A1181" s="6" t="n"/>
    </row>
    <row r="1182">
      <c r="A1182" s="6" t="n"/>
    </row>
    <row r="1183">
      <c r="A1183" s="6" t="n"/>
    </row>
    <row r="1184">
      <c r="A1184" s="6" t="n"/>
    </row>
    <row r="1185">
      <c r="A1185" s="6" t="n"/>
    </row>
    <row r="1186">
      <c r="A1186" s="6" t="n"/>
    </row>
    <row r="1187">
      <c r="A1187" s="6" t="n"/>
    </row>
    <row r="1188">
      <c r="A1188" s="6" t="n"/>
    </row>
    <row r="1189">
      <c r="A1189" s="6" t="n"/>
    </row>
    <row r="1190">
      <c r="A1190" s="6" t="n"/>
    </row>
    <row r="1191">
      <c r="A1191" s="6" t="n"/>
    </row>
    <row r="1192">
      <c r="A1192" s="6" t="n"/>
    </row>
    <row r="1193">
      <c r="A1193" s="6" t="n"/>
    </row>
    <row r="1194">
      <c r="A1194" s="6" t="n"/>
    </row>
    <row r="1195">
      <c r="A1195" s="6" t="n"/>
    </row>
    <row r="1196">
      <c r="A1196" s="6" t="n"/>
    </row>
    <row r="1197">
      <c r="A1197" s="6" t="n"/>
    </row>
    <row r="1198">
      <c r="A1198" s="6" t="n"/>
    </row>
    <row r="1199">
      <c r="A1199" s="6" t="n"/>
    </row>
    <row r="1200">
      <c r="A1200" s="6" t="n"/>
    </row>
    <row r="1201">
      <c r="A1201" s="6" t="n"/>
    </row>
    <row r="1202">
      <c r="A1202" s="6" t="n"/>
    </row>
    <row r="1203">
      <c r="A1203" s="6" t="n"/>
    </row>
    <row r="1204">
      <c r="A1204" s="6" t="n"/>
    </row>
    <row r="1205">
      <c r="A1205" s="6" t="n"/>
    </row>
    <row r="1206">
      <c r="A1206" s="6" t="n"/>
    </row>
    <row r="1207">
      <c r="A1207" s="6" t="n"/>
    </row>
    <row r="1208">
      <c r="A1208" s="6" t="n"/>
    </row>
    <row r="1209">
      <c r="A1209" s="6" t="n"/>
    </row>
    <row r="1210">
      <c r="A1210" s="6" t="n"/>
    </row>
    <row r="1211">
      <c r="A1211" s="6" t="n"/>
    </row>
    <row r="1212">
      <c r="A1212" s="6" t="n"/>
    </row>
    <row r="1213">
      <c r="A1213" s="6" t="n"/>
    </row>
    <row r="1214">
      <c r="A1214" s="6" t="n"/>
    </row>
    <row r="1215">
      <c r="A1215" s="6" t="n"/>
    </row>
    <row r="1216">
      <c r="A1216" s="6" t="n"/>
    </row>
    <row r="1217">
      <c r="A1217" s="6" t="n"/>
    </row>
    <row r="1218">
      <c r="A1218" s="6" t="n"/>
    </row>
    <row r="1219">
      <c r="A1219" s="6" t="n"/>
    </row>
    <row r="1220">
      <c r="A1220" s="6" t="n"/>
    </row>
    <row r="1221">
      <c r="A1221" s="6" t="n"/>
    </row>
    <row r="1222">
      <c r="A1222" s="6" t="n"/>
    </row>
    <row r="1223">
      <c r="A1223" s="6" t="n"/>
    </row>
    <row r="1224">
      <c r="A1224" s="6" t="n"/>
    </row>
    <row r="1225">
      <c r="A1225" s="6" t="n"/>
    </row>
    <row r="1226">
      <c r="A1226" s="6" t="n"/>
    </row>
    <row r="1227">
      <c r="A1227" s="6" t="n"/>
    </row>
    <row r="1228">
      <c r="A1228" s="6" t="n"/>
    </row>
    <row r="1229">
      <c r="A1229" s="6" t="n"/>
    </row>
    <row r="1230">
      <c r="A1230" s="6" t="n"/>
    </row>
    <row r="1231">
      <c r="A1231" s="6" t="n"/>
    </row>
    <row r="1232">
      <c r="A1232" s="6" t="n"/>
    </row>
    <row r="1233">
      <c r="A1233" s="6" t="n"/>
    </row>
    <row r="1234">
      <c r="A1234" s="6" t="n"/>
    </row>
    <row r="1235">
      <c r="A1235" s="6" t="n"/>
    </row>
    <row r="1236">
      <c r="A1236" s="6" t="n"/>
    </row>
    <row r="1237">
      <c r="A1237" s="6" t="n"/>
    </row>
    <row r="1238">
      <c r="A1238" s="6" t="n"/>
    </row>
    <row r="1239">
      <c r="A1239" s="6" t="n"/>
    </row>
    <row r="1240">
      <c r="A1240" s="6" t="n"/>
    </row>
    <row r="1241">
      <c r="A1241" s="6" t="n"/>
    </row>
    <row r="1242">
      <c r="A1242" s="6" t="n"/>
    </row>
    <row r="1243">
      <c r="A1243" s="6" t="n"/>
    </row>
    <row r="1244">
      <c r="A1244" s="6" t="n"/>
    </row>
    <row r="1245">
      <c r="A1245" s="6" t="n"/>
    </row>
    <row r="1246">
      <c r="A1246" s="6" t="n"/>
    </row>
    <row r="1247">
      <c r="A1247" s="6" t="n"/>
    </row>
    <row r="1248">
      <c r="A1248" s="6" t="n"/>
    </row>
    <row r="1249">
      <c r="A1249" s="6" t="n"/>
    </row>
    <row r="1250">
      <c r="A1250" s="6" t="n"/>
    </row>
    <row r="1251">
      <c r="A1251" s="6" t="n"/>
    </row>
    <row r="1252">
      <c r="A1252" s="6" t="n"/>
    </row>
    <row r="1253">
      <c r="A1253" s="6" t="n"/>
    </row>
    <row r="1254">
      <c r="A1254" s="6" t="n"/>
    </row>
    <row r="1255">
      <c r="A1255" s="6" t="n"/>
    </row>
    <row r="1256">
      <c r="A1256" s="6" t="n"/>
    </row>
    <row r="1257">
      <c r="A1257" s="6" t="n"/>
    </row>
    <row r="1258">
      <c r="A1258" s="6" t="n"/>
    </row>
    <row r="1259">
      <c r="A1259" s="6" t="n"/>
    </row>
    <row r="1260">
      <c r="A1260" s="6" t="n"/>
    </row>
    <row r="1261">
      <c r="A1261" s="6" t="n"/>
    </row>
    <row r="1262">
      <c r="A1262" s="6" t="n"/>
    </row>
    <row r="1263">
      <c r="A1263" s="6" t="n"/>
    </row>
    <row r="1264">
      <c r="A1264" s="6" t="n"/>
    </row>
    <row r="1265">
      <c r="A1265" s="6" t="n"/>
    </row>
    <row r="1266">
      <c r="A1266" s="6" t="n"/>
    </row>
    <row r="1267">
      <c r="A1267" s="6" t="n"/>
    </row>
    <row r="1268">
      <c r="A1268" s="6" t="n"/>
    </row>
    <row r="1269">
      <c r="A1269" s="6" t="n"/>
    </row>
    <row r="1270">
      <c r="A1270" s="6" t="n"/>
    </row>
    <row r="1271">
      <c r="A1271" s="6" t="n"/>
    </row>
    <row r="1272">
      <c r="A1272" s="6" t="n"/>
    </row>
    <row r="1273">
      <c r="A1273" s="6" t="n"/>
    </row>
    <row r="1274">
      <c r="A1274" s="6" t="n"/>
    </row>
    <row r="1275">
      <c r="A1275" s="6" t="n"/>
    </row>
    <row r="1276">
      <c r="A1276" s="6" t="n"/>
    </row>
    <row r="1277">
      <c r="A1277" s="6" t="n"/>
    </row>
    <row r="1278">
      <c r="A1278" s="6" t="n"/>
    </row>
    <row r="1279">
      <c r="A1279" s="6" t="n"/>
    </row>
    <row r="1280">
      <c r="A1280" s="6" t="n"/>
    </row>
    <row r="1281">
      <c r="A1281" s="6" t="n"/>
    </row>
    <row r="1282">
      <c r="A1282" s="6" t="n"/>
    </row>
    <row r="1283">
      <c r="A1283" s="6" t="n"/>
    </row>
    <row r="1284">
      <c r="A1284" s="6" t="n"/>
    </row>
    <row r="1285">
      <c r="A1285" s="6" t="n"/>
    </row>
    <row r="1286">
      <c r="A1286" s="6" t="n"/>
    </row>
    <row r="1287">
      <c r="A1287" s="6" t="n"/>
    </row>
    <row r="1288">
      <c r="A1288" s="6" t="n"/>
    </row>
    <row r="1289">
      <c r="A1289" s="6" t="n"/>
    </row>
    <row r="1290">
      <c r="A1290" s="6" t="n"/>
    </row>
    <row r="1291">
      <c r="A1291" s="6" t="n"/>
    </row>
    <row r="1292">
      <c r="A1292" s="6" t="n"/>
    </row>
    <row r="1293">
      <c r="A1293" s="6" t="n"/>
    </row>
    <row r="1294">
      <c r="A1294" s="6" t="n"/>
    </row>
    <row r="1295">
      <c r="A1295" s="6" t="n"/>
    </row>
    <row r="1296">
      <c r="A1296" s="6" t="n"/>
    </row>
    <row r="1297">
      <c r="A1297" s="6" t="n"/>
    </row>
    <row r="1298">
      <c r="A1298" s="6" t="n"/>
    </row>
    <row r="1299">
      <c r="A1299" s="6" t="n"/>
    </row>
    <row r="1300">
      <c r="A1300" s="6" t="n"/>
    </row>
    <row r="1301">
      <c r="A1301" s="6" t="n"/>
    </row>
    <row r="1302">
      <c r="A1302" s="6" t="n"/>
    </row>
    <row r="1303">
      <c r="A1303" s="6" t="n"/>
    </row>
    <row r="1304">
      <c r="A1304" s="6" t="n"/>
    </row>
    <row r="1305">
      <c r="A1305" s="6" t="n"/>
    </row>
    <row r="1306">
      <c r="A1306" s="6" t="n"/>
    </row>
    <row r="1307">
      <c r="A1307" s="6" t="n"/>
    </row>
    <row r="1308">
      <c r="A1308" s="6" t="n"/>
    </row>
    <row r="1309">
      <c r="A1309" s="6" t="n"/>
    </row>
    <row r="1310">
      <c r="A1310" s="6" t="n"/>
    </row>
    <row r="1311">
      <c r="A1311" s="6" t="n"/>
    </row>
    <row r="1312">
      <c r="A1312" s="6" t="n"/>
    </row>
    <row r="1313">
      <c r="A1313" s="6" t="n"/>
    </row>
    <row r="1314">
      <c r="A1314" s="6" t="n"/>
    </row>
    <row r="1315">
      <c r="A1315" s="6" t="n"/>
    </row>
    <row r="1316">
      <c r="A1316" s="6" t="n"/>
    </row>
    <row r="1317">
      <c r="A1317" s="6" t="n"/>
    </row>
    <row r="1318">
      <c r="A1318" s="6" t="n"/>
    </row>
    <row r="1319">
      <c r="A1319" s="6" t="n"/>
    </row>
    <row r="1320">
      <c r="A1320" s="6" t="n"/>
    </row>
    <row r="1321">
      <c r="A1321" s="6" t="n"/>
    </row>
    <row r="1322">
      <c r="A1322" s="6" t="n"/>
    </row>
    <row r="1323">
      <c r="A1323" s="6" t="n"/>
    </row>
    <row r="1324">
      <c r="A1324" s="6" t="n"/>
    </row>
    <row r="1325">
      <c r="A1325" s="6" t="n"/>
    </row>
    <row r="1326">
      <c r="A1326" s="6" t="n"/>
    </row>
    <row r="1327">
      <c r="A1327" s="6" t="n"/>
    </row>
    <row r="1328">
      <c r="A1328" s="6" t="n"/>
    </row>
    <row r="1329">
      <c r="A1329" s="6" t="n"/>
    </row>
    <row r="1330">
      <c r="A1330" s="6" t="n"/>
    </row>
    <row r="1331">
      <c r="A1331" s="6" t="n"/>
    </row>
    <row r="1332">
      <c r="A1332" s="6" t="n"/>
    </row>
    <row r="1333">
      <c r="A1333" s="6" t="n"/>
    </row>
    <row r="1334">
      <c r="A1334" s="6" t="n"/>
    </row>
    <row r="1335">
      <c r="A1335" s="6" t="n"/>
    </row>
    <row r="1336">
      <c r="A1336" s="6" t="n"/>
    </row>
    <row r="1337">
      <c r="A1337" s="6" t="n"/>
    </row>
    <row r="1338">
      <c r="A1338" s="6" t="n"/>
    </row>
    <row r="1339">
      <c r="A1339" s="6" t="n"/>
    </row>
    <row r="1340">
      <c r="A1340" s="6" t="n"/>
    </row>
    <row r="1341">
      <c r="A1341" s="6" t="n"/>
    </row>
    <row r="1342">
      <c r="A1342" s="6" t="n"/>
    </row>
    <row r="1343">
      <c r="A1343" s="6" t="n"/>
    </row>
    <row r="1344">
      <c r="A1344" s="6" t="n"/>
    </row>
    <row r="1345">
      <c r="A1345" s="6" t="n"/>
    </row>
    <row r="1346">
      <c r="A1346" s="6" t="n"/>
    </row>
    <row r="1347">
      <c r="A1347" s="6" t="n"/>
    </row>
    <row r="1348">
      <c r="A1348" s="6" t="n"/>
    </row>
    <row r="1349">
      <c r="A1349" s="6" t="n"/>
    </row>
    <row r="1350">
      <c r="A1350" s="6" t="n"/>
    </row>
    <row r="1351">
      <c r="A1351" s="6" t="n"/>
    </row>
    <row r="1352">
      <c r="A1352" s="6" t="n"/>
    </row>
    <row r="1353">
      <c r="A1353" s="6" t="n"/>
    </row>
    <row r="1354">
      <c r="A1354" s="6" t="n"/>
    </row>
    <row r="1355">
      <c r="A1355" s="6" t="n"/>
    </row>
    <row r="1356">
      <c r="A1356" s="6" t="n"/>
    </row>
    <row r="1357">
      <c r="A1357" s="6" t="n"/>
    </row>
    <row r="1358">
      <c r="A1358" s="6" t="n"/>
    </row>
    <row r="1359">
      <c r="A1359" s="6" t="n"/>
    </row>
    <row r="1360">
      <c r="A1360" s="6" t="n"/>
    </row>
    <row r="1361">
      <c r="A1361" s="6" t="n"/>
    </row>
    <row r="1362">
      <c r="A1362" s="6" t="n"/>
    </row>
    <row r="1363">
      <c r="A1363" s="6" t="n"/>
    </row>
    <row r="1364">
      <c r="A1364" s="6" t="n"/>
    </row>
    <row r="1365">
      <c r="A1365" s="6" t="n"/>
    </row>
    <row r="1366">
      <c r="A1366" s="6" t="n"/>
    </row>
    <row r="1367">
      <c r="A1367" s="6" t="n"/>
    </row>
    <row r="1368">
      <c r="A1368" s="6" t="n"/>
    </row>
    <row r="1369">
      <c r="A1369" s="6" t="n"/>
    </row>
    <row r="1370">
      <c r="A1370" s="6" t="n"/>
    </row>
    <row r="1371">
      <c r="A1371" s="6" t="n"/>
    </row>
    <row r="1372">
      <c r="A1372" s="6" t="n"/>
    </row>
    <row r="1373">
      <c r="A1373" s="6" t="n"/>
    </row>
    <row r="1374">
      <c r="A1374" s="6" t="n"/>
    </row>
    <row r="1375">
      <c r="A1375" s="6" t="n"/>
    </row>
    <row r="1376">
      <c r="A1376" s="6" t="n"/>
    </row>
    <row r="1377">
      <c r="A1377" s="6" t="n"/>
    </row>
    <row r="1378">
      <c r="A1378" s="6" t="n"/>
    </row>
    <row r="1379">
      <c r="A1379" s="6" t="n"/>
    </row>
    <row r="1380">
      <c r="A1380" s="6" t="n"/>
    </row>
    <row r="1381">
      <c r="A1381" s="6" t="n"/>
    </row>
    <row r="1382">
      <c r="A1382" s="6" t="n"/>
    </row>
    <row r="1383">
      <c r="A1383" s="6" t="n"/>
    </row>
    <row r="1384">
      <c r="A1384" s="6" t="n"/>
    </row>
    <row r="1385">
      <c r="A1385" s="6" t="n"/>
    </row>
    <row r="1386">
      <c r="A1386" s="6" t="n"/>
    </row>
    <row r="1387">
      <c r="A1387" s="6" t="n"/>
    </row>
    <row r="1388">
      <c r="A1388" s="6" t="n"/>
    </row>
    <row r="1389">
      <c r="A1389" s="6" t="n"/>
    </row>
    <row r="1390">
      <c r="A1390" s="6" t="n"/>
    </row>
    <row r="1391">
      <c r="A1391" s="6" t="n"/>
    </row>
    <row r="1392">
      <c r="A1392" s="6" t="n"/>
    </row>
    <row r="1393">
      <c r="A1393" s="6" t="n"/>
    </row>
    <row r="1394">
      <c r="A1394" s="6" t="n"/>
    </row>
    <row r="1395">
      <c r="A1395" s="6" t="n"/>
    </row>
    <row r="1396">
      <c r="A1396" s="6" t="n"/>
    </row>
    <row r="1397">
      <c r="A1397" s="6" t="n"/>
    </row>
    <row r="1398">
      <c r="A1398" s="6" t="n"/>
    </row>
    <row r="1399">
      <c r="A1399" s="6" t="n"/>
    </row>
    <row r="1400">
      <c r="A1400" s="6" t="n"/>
    </row>
    <row r="1401">
      <c r="A1401" s="6" t="n"/>
    </row>
    <row r="1402">
      <c r="A1402" s="6" t="n"/>
    </row>
    <row r="1403">
      <c r="A1403" s="6" t="n"/>
    </row>
    <row r="1404">
      <c r="A1404" s="6" t="n"/>
    </row>
    <row r="1405">
      <c r="A1405" s="6" t="n"/>
    </row>
    <row r="1406">
      <c r="A1406" s="6" t="n"/>
    </row>
    <row r="1407">
      <c r="A1407" s="6" t="n"/>
    </row>
    <row r="1408">
      <c r="A1408" s="6" t="n"/>
    </row>
    <row r="1409">
      <c r="A1409" s="6" t="n"/>
    </row>
    <row r="1410">
      <c r="A1410" s="6" t="n"/>
    </row>
    <row r="1411">
      <c r="A1411" s="6" t="n"/>
    </row>
    <row r="1412">
      <c r="A1412" s="6" t="n"/>
    </row>
    <row r="1413">
      <c r="A1413" s="6" t="n"/>
    </row>
    <row r="1414">
      <c r="A1414" s="6" t="n"/>
    </row>
    <row r="1415">
      <c r="A1415" s="6" t="n"/>
    </row>
    <row r="1416">
      <c r="A1416" s="6" t="n"/>
    </row>
    <row r="1417">
      <c r="A1417" s="6" t="n"/>
    </row>
    <row r="1418">
      <c r="A1418" s="6" t="n"/>
    </row>
    <row r="1419">
      <c r="A1419" s="6" t="n"/>
    </row>
    <row r="1420">
      <c r="A1420" s="6" t="n"/>
    </row>
    <row r="1421">
      <c r="A1421" s="6" t="n"/>
    </row>
    <row r="1422">
      <c r="A1422" s="6" t="n"/>
    </row>
    <row r="1423">
      <c r="A1423" s="6" t="n"/>
    </row>
    <row r="1424">
      <c r="A1424" s="6" t="n"/>
    </row>
    <row r="1425">
      <c r="A1425" s="6" t="n"/>
    </row>
    <row r="1426">
      <c r="A1426" s="6" t="n"/>
    </row>
    <row r="1427">
      <c r="A1427" s="6" t="n"/>
    </row>
    <row r="1428">
      <c r="A1428" s="6" t="n"/>
    </row>
    <row r="1429">
      <c r="A1429" s="6" t="n"/>
    </row>
    <row r="1430">
      <c r="A1430" s="6" t="n"/>
    </row>
    <row r="1431">
      <c r="A1431" s="6" t="n"/>
    </row>
    <row r="1432">
      <c r="A1432" s="6" t="n"/>
    </row>
    <row r="1433">
      <c r="A1433" s="6" t="n"/>
    </row>
    <row r="1434">
      <c r="A1434" s="6" t="n"/>
    </row>
    <row r="1435">
      <c r="A1435" s="6" t="n"/>
    </row>
    <row r="1436">
      <c r="A1436" s="6" t="n"/>
    </row>
    <row r="1437">
      <c r="A1437" s="6" t="n"/>
    </row>
    <row r="1438">
      <c r="A1438" s="6" t="n"/>
    </row>
    <row r="1439">
      <c r="A1439" s="6" t="n"/>
    </row>
    <row r="1440">
      <c r="A1440" s="6" t="n"/>
    </row>
    <row r="1441">
      <c r="A1441" s="6" t="n"/>
    </row>
    <row r="1442">
      <c r="A1442" s="6" t="n"/>
    </row>
    <row r="1443">
      <c r="A1443" s="6" t="n"/>
    </row>
    <row r="1444">
      <c r="A1444" s="6" t="n"/>
    </row>
    <row r="1445">
      <c r="A1445" s="6" t="n"/>
    </row>
    <row r="1446">
      <c r="A1446" s="6" t="n"/>
    </row>
    <row r="1447">
      <c r="A1447" s="6" t="n"/>
    </row>
    <row r="1448">
      <c r="A1448" s="6" t="n"/>
    </row>
    <row r="1449">
      <c r="A1449" s="6" t="n"/>
    </row>
    <row r="1450">
      <c r="A1450" s="6" t="n"/>
    </row>
    <row r="1451">
      <c r="A1451" s="6" t="n"/>
    </row>
    <row r="1452">
      <c r="A1452" s="6" t="n"/>
    </row>
    <row r="1453">
      <c r="A1453" s="6" t="n"/>
    </row>
    <row r="1454">
      <c r="A1454" s="6" t="n"/>
    </row>
    <row r="1455">
      <c r="A1455" s="6" t="n"/>
    </row>
    <row r="1456">
      <c r="A1456" s="6" t="n"/>
    </row>
    <row r="1457">
      <c r="A1457" s="6" t="n"/>
    </row>
    <row r="1458">
      <c r="A1458" s="6" t="n"/>
    </row>
    <row r="1459">
      <c r="A1459" s="6" t="n"/>
    </row>
    <row r="1460">
      <c r="A1460" s="6" t="n"/>
    </row>
    <row r="1461">
      <c r="A1461" s="6" t="n"/>
    </row>
    <row r="1462">
      <c r="A1462" s="6" t="n"/>
    </row>
    <row r="1463">
      <c r="A1463" s="6" t="n"/>
    </row>
    <row r="1464">
      <c r="A1464" s="6" t="n"/>
    </row>
    <row r="1465">
      <c r="A1465" s="6" t="n"/>
    </row>
    <row r="1466">
      <c r="A1466" s="6" t="n"/>
    </row>
    <row r="1467">
      <c r="A1467" s="6" t="n"/>
    </row>
    <row r="1468">
      <c r="A1468" s="6" t="n"/>
    </row>
    <row r="1469">
      <c r="A1469" s="6" t="n"/>
    </row>
    <row r="1470">
      <c r="A1470" s="6" t="n"/>
    </row>
    <row r="1471">
      <c r="A1471" s="6" t="n"/>
    </row>
    <row r="1472">
      <c r="A1472" s="6" t="n"/>
    </row>
    <row r="1473">
      <c r="A1473" s="6" t="n"/>
    </row>
    <row r="1474">
      <c r="A1474" s="6" t="n"/>
    </row>
    <row r="1475">
      <c r="A1475" s="6" t="n"/>
    </row>
    <row r="1476">
      <c r="A1476" s="6" t="n"/>
    </row>
    <row r="1477">
      <c r="A1477" s="6" t="n"/>
    </row>
    <row r="1478">
      <c r="A1478" s="6" t="n"/>
    </row>
    <row r="1479">
      <c r="A1479" s="6" t="n"/>
    </row>
    <row r="1480">
      <c r="A1480" s="6" t="n"/>
    </row>
    <row r="1481">
      <c r="A1481" s="6" t="n"/>
    </row>
    <row r="1482">
      <c r="A1482" s="6" t="n"/>
    </row>
    <row r="1483">
      <c r="A1483" s="6" t="n"/>
    </row>
    <row r="1484">
      <c r="A1484" s="6" t="n"/>
    </row>
    <row r="1485">
      <c r="A1485" s="6" t="n"/>
    </row>
    <row r="1486">
      <c r="A1486" s="6" t="n"/>
    </row>
    <row r="1487">
      <c r="A1487" s="6" t="n"/>
    </row>
    <row r="1488">
      <c r="A1488" s="6" t="n"/>
    </row>
    <row r="1489">
      <c r="A1489" s="6" t="n"/>
    </row>
    <row r="1490">
      <c r="A1490" s="6" t="n"/>
    </row>
    <row r="1491">
      <c r="A1491" s="6" t="n"/>
    </row>
    <row r="1492">
      <c r="A1492" s="6" t="n"/>
    </row>
    <row r="1493">
      <c r="A1493" s="6" t="n"/>
    </row>
    <row r="1494">
      <c r="A1494" s="6" t="n"/>
    </row>
    <row r="1495">
      <c r="A1495" s="6" t="n"/>
    </row>
    <row r="1496">
      <c r="A1496" s="6" t="n"/>
    </row>
    <row r="1497">
      <c r="A1497" s="6" t="n"/>
    </row>
    <row r="1498">
      <c r="A1498" s="6" t="n"/>
    </row>
    <row r="1499">
      <c r="A1499" s="6" t="n"/>
    </row>
    <row r="1500">
      <c r="A1500" s="6" t="n"/>
    </row>
    <row r="1501">
      <c r="A1501" s="6" t="n"/>
    </row>
    <row r="1502">
      <c r="A1502" s="6" t="n"/>
    </row>
    <row r="1503">
      <c r="A1503" s="6" t="n"/>
    </row>
    <row r="1504">
      <c r="A1504" s="6" t="n"/>
    </row>
    <row r="1505">
      <c r="A1505" s="6" t="n"/>
    </row>
    <row r="1506">
      <c r="A1506" s="6" t="n"/>
    </row>
    <row r="1507">
      <c r="A1507" s="6" t="n"/>
    </row>
    <row r="1508">
      <c r="A1508" s="6" t="n"/>
    </row>
    <row r="1509">
      <c r="A1509" s="6" t="n"/>
    </row>
    <row r="1510">
      <c r="A1510" s="6" t="n"/>
    </row>
    <row r="1511">
      <c r="A1511" s="6" t="n"/>
    </row>
    <row r="1512">
      <c r="A1512" s="6" t="n"/>
    </row>
    <row r="1513">
      <c r="A1513" s="6" t="n"/>
    </row>
    <row r="1514">
      <c r="A1514" s="6" t="n"/>
    </row>
    <row r="1515">
      <c r="A1515" s="6" t="n"/>
    </row>
    <row r="1516">
      <c r="A1516" s="6" t="n"/>
    </row>
    <row r="1517">
      <c r="A1517" s="6" t="n"/>
    </row>
    <row r="1518">
      <c r="A1518" s="6" t="n"/>
    </row>
    <row r="1519">
      <c r="A1519" s="6" t="n"/>
    </row>
    <row r="1520">
      <c r="A1520" s="6" t="n"/>
    </row>
    <row r="1521">
      <c r="A1521" s="6" t="n"/>
    </row>
    <row r="1522">
      <c r="A1522" s="6" t="n"/>
    </row>
    <row r="1523">
      <c r="A1523" s="6" t="n"/>
    </row>
    <row r="1524">
      <c r="A1524" s="6" t="n"/>
    </row>
    <row r="1525">
      <c r="A1525" s="6" t="n"/>
    </row>
    <row r="1526">
      <c r="A1526" s="6" t="n"/>
    </row>
    <row r="1527">
      <c r="A1527" s="6" t="n"/>
    </row>
    <row r="1528">
      <c r="A1528" s="6" t="n"/>
    </row>
    <row r="1529">
      <c r="A1529" s="6" t="n"/>
    </row>
    <row r="1530">
      <c r="A1530" s="6" t="n"/>
    </row>
    <row r="1531">
      <c r="A1531" s="6" t="n"/>
    </row>
    <row r="1532">
      <c r="A1532" s="6" t="n"/>
    </row>
    <row r="1533">
      <c r="A1533" s="6" t="n"/>
    </row>
    <row r="1534">
      <c r="A1534" s="6" t="n"/>
    </row>
    <row r="1535">
      <c r="A1535" s="6" t="n"/>
    </row>
    <row r="1536">
      <c r="A1536" s="6" t="n"/>
    </row>
    <row r="1537">
      <c r="A1537" s="6" t="n"/>
    </row>
    <row r="1538">
      <c r="A1538" s="6" t="n"/>
    </row>
    <row r="1539">
      <c r="A1539" s="6" t="n"/>
    </row>
    <row r="1540">
      <c r="A1540" s="6" t="n"/>
    </row>
    <row r="1541">
      <c r="A1541" s="6" t="n"/>
    </row>
    <row r="1542">
      <c r="A1542" s="6" t="n"/>
    </row>
    <row r="1543">
      <c r="A1543" s="6" t="n"/>
    </row>
    <row r="1544">
      <c r="A1544" s="6" t="n"/>
    </row>
    <row r="1545">
      <c r="A1545" s="6" t="n"/>
    </row>
    <row r="1546">
      <c r="A1546" s="6" t="n"/>
    </row>
    <row r="1547">
      <c r="A1547" s="6" t="n"/>
    </row>
    <row r="1548">
      <c r="A1548" s="6" t="n"/>
    </row>
    <row r="1549">
      <c r="A1549" s="6" t="n"/>
    </row>
    <row r="1550">
      <c r="A1550" s="6" t="n"/>
    </row>
    <row r="1551">
      <c r="A1551" s="6" t="n"/>
    </row>
    <row r="1552">
      <c r="A1552" s="6" t="n"/>
    </row>
    <row r="1553">
      <c r="A1553" s="6" t="n"/>
    </row>
    <row r="1554">
      <c r="A1554" s="6" t="n"/>
    </row>
    <row r="1555">
      <c r="A1555" s="6" t="n"/>
    </row>
    <row r="1556">
      <c r="A1556" s="6" t="n"/>
    </row>
    <row r="1557">
      <c r="A1557" s="6" t="n"/>
    </row>
    <row r="1558">
      <c r="A1558" s="6" t="n"/>
    </row>
    <row r="1559">
      <c r="A1559" s="6" t="n"/>
    </row>
    <row r="1560">
      <c r="A1560" s="6" t="n"/>
    </row>
    <row r="1561">
      <c r="A1561" s="6" t="n"/>
    </row>
    <row r="1562">
      <c r="A1562" s="6" t="n"/>
    </row>
    <row r="1563">
      <c r="A1563" s="6" t="n"/>
    </row>
    <row r="1564">
      <c r="A1564" s="6" t="n"/>
    </row>
    <row r="1565">
      <c r="A1565" s="6" t="n"/>
    </row>
    <row r="1566">
      <c r="A1566" s="6" t="n"/>
    </row>
    <row r="1567">
      <c r="A1567" s="6" t="n"/>
    </row>
    <row r="1568">
      <c r="A1568" s="6" t="n"/>
    </row>
    <row r="1569">
      <c r="A1569" s="6" t="n"/>
    </row>
    <row r="1570">
      <c r="A1570" s="6" t="n"/>
    </row>
    <row r="1571">
      <c r="A1571" s="6" t="n"/>
    </row>
    <row r="1572">
      <c r="A1572" s="6" t="n"/>
    </row>
    <row r="1573">
      <c r="A1573" s="6" t="n"/>
    </row>
    <row r="1574">
      <c r="A1574" s="6" t="n"/>
    </row>
    <row r="1575">
      <c r="A1575" s="6" t="n"/>
    </row>
    <row r="1576">
      <c r="A1576" s="6" t="n"/>
    </row>
    <row r="1577">
      <c r="A1577" s="6" t="n"/>
    </row>
    <row r="1578">
      <c r="A1578" s="6" t="n"/>
    </row>
    <row r="1579">
      <c r="A1579" s="6" t="n"/>
    </row>
    <row r="1580">
      <c r="A1580" s="6" t="n"/>
    </row>
    <row r="1581">
      <c r="A1581" s="6" t="n"/>
    </row>
    <row r="1582">
      <c r="A1582" s="6" t="n"/>
    </row>
    <row r="1583">
      <c r="A1583" s="6" t="n"/>
    </row>
    <row r="1584">
      <c r="A1584" s="6" t="n"/>
    </row>
    <row r="1585">
      <c r="A1585" s="6" t="n"/>
    </row>
    <row r="1586">
      <c r="A1586" s="6" t="n"/>
    </row>
    <row r="1587">
      <c r="A1587" s="6" t="n"/>
    </row>
    <row r="1588">
      <c r="A1588" s="6" t="n"/>
    </row>
    <row r="1589">
      <c r="A1589" s="6" t="n"/>
    </row>
    <row r="1590">
      <c r="A1590" s="6" t="n"/>
    </row>
    <row r="1591">
      <c r="A1591" s="6" t="n"/>
    </row>
    <row r="1592">
      <c r="A1592" s="6" t="n"/>
    </row>
    <row r="1593">
      <c r="A1593" s="6" t="n"/>
    </row>
    <row r="1594">
      <c r="A1594" s="6" t="n"/>
    </row>
    <row r="1595">
      <c r="A1595" s="6" t="n"/>
    </row>
    <row r="1596">
      <c r="A1596" s="6" t="n"/>
    </row>
    <row r="1597">
      <c r="A1597" s="6" t="n"/>
    </row>
    <row r="1598">
      <c r="A1598" s="6" t="n"/>
    </row>
    <row r="1599">
      <c r="A1599" s="6" t="n"/>
    </row>
    <row r="1600">
      <c r="A1600" s="6" t="n"/>
    </row>
    <row r="1601">
      <c r="A1601" s="6" t="n"/>
    </row>
    <row r="1602">
      <c r="A1602" s="6" t="n"/>
    </row>
    <row r="1603">
      <c r="A1603" s="6" t="n"/>
    </row>
    <row r="1604">
      <c r="A1604" s="6" t="n"/>
    </row>
    <row r="1605">
      <c r="A1605" s="6" t="n"/>
    </row>
    <row r="1606">
      <c r="A1606" s="6" t="n"/>
    </row>
    <row r="1607">
      <c r="A1607" s="6" t="n"/>
    </row>
    <row r="1608">
      <c r="A1608" s="6" t="n"/>
    </row>
    <row r="1609">
      <c r="A1609" s="6" t="n"/>
    </row>
    <row r="1610">
      <c r="A1610" s="6" t="n"/>
    </row>
    <row r="1611">
      <c r="A1611" s="6" t="n"/>
    </row>
    <row r="1612">
      <c r="A1612" s="6" t="n"/>
    </row>
    <row r="1613">
      <c r="A1613" s="6" t="n"/>
    </row>
    <row r="1614">
      <c r="A1614" s="6" t="n"/>
    </row>
    <row r="1615">
      <c r="A1615" s="6" t="n"/>
    </row>
    <row r="1616">
      <c r="A1616" s="6" t="n"/>
    </row>
    <row r="1617">
      <c r="A1617" s="6" t="n"/>
    </row>
    <row r="1618">
      <c r="A1618" s="6" t="n"/>
    </row>
    <row r="1619">
      <c r="A1619" s="6" t="n"/>
    </row>
    <row r="1620">
      <c r="A1620" s="6" t="n"/>
    </row>
    <row r="1621">
      <c r="A1621" s="6" t="n"/>
    </row>
    <row r="1622">
      <c r="A1622" s="6" t="n"/>
    </row>
    <row r="1623">
      <c r="A1623" s="6" t="n"/>
    </row>
    <row r="1624">
      <c r="A1624" s="6" t="n"/>
    </row>
    <row r="1625">
      <c r="A1625" s="6" t="n"/>
    </row>
    <row r="1626">
      <c r="A1626" s="6" t="n"/>
    </row>
    <row r="1627">
      <c r="A1627" s="6" t="n"/>
    </row>
    <row r="1628">
      <c r="A1628" s="6" t="n"/>
    </row>
    <row r="1629">
      <c r="A1629" s="6" t="n"/>
    </row>
    <row r="1630">
      <c r="A1630" s="6" t="n"/>
    </row>
    <row r="1631">
      <c r="A1631" s="6" t="n"/>
    </row>
    <row r="1632">
      <c r="A1632" s="6" t="n"/>
    </row>
    <row r="1633">
      <c r="A1633" s="6" t="n"/>
    </row>
    <row r="1634">
      <c r="A1634" s="6" t="n"/>
    </row>
    <row r="1635">
      <c r="A1635" s="6" t="n"/>
    </row>
    <row r="1636">
      <c r="A1636" s="6" t="n"/>
    </row>
    <row r="1637">
      <c r="A1637" s="6" t="n"/>
    </row>
    <row r="1638">
      <c r="A1638" s="6" t="n"/>
    </row>
    <row r="1639">
      <c r="A1639" s="6" t="n"/>
    </row>
    <row r="1640">
      <c r="A1640" s="6" t="n"/>
    </row>
    <row r="1641">
      <c r="A1641" s="6" t="n"/>
    </row>
    <row r="1642">
      <c r="A1642" s="6" t="n"/>
    </row>
    <row r="1643">
      <c r="A1643" s="6" t="n"/>
    </row>
    <row r="1644">
      <c r="A1644" s="6" t="n"/>
    </row>
    <row r="1645">
      <c r="A1645" s="6" t="n"/>
    </row>
    <row r="1646">
      <c r="A1646" s="6" t="n"/>
    </row>
    <row r="1647">
      <c r="A1647" s="6" t="n"/>
    </row>
    <row r="1648">
      <c r="A1648" s="6" t="n"/>
    </row>
    <row r="1649">
      <c r="A1649" s="6" t="n"/>
    </row>
    <row r="1650">
      <c r="A1650" s="6" t="n"/>
    </row>
    <row r="1651">
      <c r="A1651" s="6" t="n"/>
    </row>
    <row r="1652">
      <c r="A1652" s="6" t="n"/>
    </row>
    <row r="1653">
      <c r="A1653" s="6" t="n"/>
    </row>
    <row r="1654">
      <c r="A1654" s="6" t="n"/>
    </row>
    <row r="1655">
      <c r="A1655" s="6" t="n"/>
    </row>
    <row r="1656">
      <c r="A1656" s="6" t="n"/>
    </row>
    <row r="1657">
      <c r="A1657" s="6" t="n"/>
    </row>
    <row r="1658">
      <c r="A1658" s="6" t="n"/>
    </row>
    <row r="1659">
      <c r="A1659" s="6" t="n"/>
    </row>
    <row r="1660">
      <c r="A1660" s="6" t="n"/>
    </row>
    <row r="1661">
      <c r="A1661" s="6" t="n"/>
    </row>
    <row r="1662">
      <c r="A1662" s="6" t="n"/>
    </row>
    <row r="1663">
      <c r="A1663" s="6" t="n"/>
    </row>
    <row r="1664">
      <c r="A1664" s="6" t="n"/>
    </row>
    <row r="1665">
      <c r="A1665" s="6" t="n"/>
    </row>
    <row r="1666">
      <c r="A1666" s="6" t="n"/>
    </row>
    <row r="1667">
      <c r="A1667" s="6" t="n"/>
    </row>
    <row r="1668">
      <c r="A1668" s="6" t="n"/>
    </row>
    <row r="1669">
      <c r="A1669" s="6" t="n"/>
    </row>
    <row r="1670">
      <c r="A1670" s="6" t="n"/>
    </row>
    <row r="1671">
      <c r="A1671" s="6" t="n"/>
    </row>
    <row r="1672">
      <c r="A1672" s="6" t="n"/>
    </row>
    <row r="1673">
      <c r="A1673" s="6" t="n"/>
    </row>
    <row r="1674">
      <c r="A1674" s="6" t="n"/>
    </row>
    <row r="1675">
      <c r="A1675" s="6" t="n"/>
    </row>
    <row r="1676">
      <c r="A1676" s="6" t="n"/>
    </row>
    <row r="1677">
      <c r="A1677" s="6" t="n"/>
    </row>
    <row r="1678">
      <c r="A1678" s="6" t="n"/>
    </row>
    <row r="1679">
      <c r="A1679" s="6" t="n"/>
    </row>
    <row r="1680">
      <c r="A1680" s="6" t="n"/>
    </row>
    <row r="1681">
      <c r="A1681" s="6" t="n"/>
    </row>
    <row r="1682">
      <c r="A1682" s="6" t="n"/>
    </row>
    <row r="1683">
      <c r="A1683" s="6" t="n"/>
    </row>
    <row r="1684">
      <c r="A1684" s="6" t="n"/>
    </row>
    <row r="1685">
      <c r="A1685" s="6" t="n"/>
    </row>
    <row r="1686">
      <c r="A1686" s="6" t="n"/>
    </row>
    <row r="1687">
      <c r="A1687" s="6" t="n"/>
    </row>
    <row r="1688">
      <c r="A1688" s="6" t="n"/>
    </row>
    <row r="1689">
      <c r="A1689" s="6" t="n"/>
    </row>
    <row r="1690">
      <c r="A1690" s="6" t="n"/>
    </row>
    <row r="1691">
      <c r="A1691" s="6" t="n"/>
    </row>
    <row r="1692">
      <c r="A1692" s="6" t="n"/>
    </row>
    <row r="1693">
      <c r="A1693" s="6" t="n"/>
    </row>
    <row r="1694">
      <c r="A1694" s="6" t="n"/>
    </row>
    <row r="1695">
      <c r="A1695" s="6" t="n"/>
    </row>
    <row r="1696">
      <c r="A1696" s="6" t="n"/>
    </row>
    <row r="1697">
      <c r="A1697" s="6" t="n"/>
    </row>
    <row r="1698">
      <c r="A1698" s="6" t="n"/>
    </row>
    <row r="1699">
      <c r="A1699" s="6" t="n"/>
    </row>
    <row r="1700">
      <c r="A1700" s="6" t="n"/>
    </row>
    <row r="1701">
      <c r="A1701" s="6" t="n"/>
    </row>
    <row r="1702">
      <c r="A1702" s="6" t="n"/>
    </row>
    <row r="1703">
      <c r="A1703" s="6" t="n"/>
    </row>
    <row r="1704">
      <c r="A1704" s="6" t="n"/>
    </row>
    <row r="1705">
      <c r="A1705" s="6" t="n"/>
    </row>
    <row r="1706">
      <c r="A1706" s="6" t="n"/>
    </row>
    <row r="1707">
      <c r="A1707" s="6" t="n"/>
    </row>
    <row r="1708">
      <c r="A1708" s="6" t="n"/>
    </row>
    <row r="1709">
      <c r="A1709" s="6" t="n"/>
    </row>
    <row r="1710">
      <c r="A1710" s="6" t="n"/>
    </row>
    <row r="1711">
      <c r="A1711" s="6" t="n"/>
    </row>
    <row r="1712">
      <c r="A1712" s="6" t="n"/>
    </row>
    <row r="1713">
      <c r="A1713" s="6" t="n"/>
    </row>
    <row r="1714">
      <c r="A1714" s="6" t="n"/>
    </row>
    <row r="1715">
      <c r="A1715" s="6" t="n"/>
    </row>
    <row r="1716">
      <c r="A1716" s="6" t="n"/>
    </row>
    <row r="1717">
      <c r="A1717" s="6" t="n"/>
    </row>
    <row r="1718">
      <c r="A1718" s="6" t="n"/>
    </row>
    <row r="1719">
      <c r="A1719" s="6" t="n"/>
    </row>
    <row r="1720">
      <c r="A1720" s="6" t="n"/>
    </row>
    <row r="1721">
      <c r="A1721" s="6" t="n"/>
    </row>
    <row r="1722">
      <c r="A1722" s="6" t="n"/>
    </row>
    <row r="1723">
      <c r="A1723" s="6" t="n"/>
    </row>
    <row r="1724">
      <c r="A1724" s="6" t="n"/>
    </row>
    <row r="1725">
      <c r="A1725" s="6" t="n"/>
    </row>
    <row r="1726">
      <c r="A1726" s="6" t="n"/>
    </row>
    <row r="1727">
      <c r="A1727" s="6" t="n"/>
    </row>
    <row r="1728">
      <c r="A1728" s="6" t="n"/>
    </row>
    <row r="1729">
      <c r="A1729" s="6" t="n"/>
    </row>
    <row r="1730">
      <c r="A1730" s="6" t="n"/>
    </row>
    <row r="1731">
      <c r="A1731" s="6" t="n"/>
    </row>
    <row r="1732">
      <c r="A1732" s="6" t="n"/>
    </row>
    <row r="1733">
      <c r="A1733" s="6" t="n"/>
    </row>
    <row r="1734">
      <c r="A1734" s="6" t="n"/>
    </row>
    <row r="1735">
      <c r="A1735" s="6" t="n"/>
    </row>
    <row r="1736">
      <c r="A1736" s="6" t="n"/>
    </row>
    <row r="1737">
      <c r="A1737" s="6" t="n"/>
    </row>
    <row r="1738">
      <c r="A1738" s="6" t="n"/>
    </row>
    <row r="1739">
      <c r="A1739" s="6" t="n"/>
    </row>
    <row r="1740">
      <c r="A1740" s="6" t="n"/>
    </row>
    <row r="1741">
      <c r="A1741" s="6" t="n"/>
    </row>
    <row r="1742">
      <c r="A1742" s="6" t="n"/>
    </row>
    <row r="1743">
      <c r="A1743" s="6" t="n"/>
    </row>
    <row r="1744">
      <c r="A1744" s="6" t="n"/>
    </row>
    <row r="1745">
      <c r="A1745" s="6" t="n"/>
    </row>
    <row r="1746">
      <c r="A1746" s="6" t="n"/>
    </row>
    <row r="1747">
      <c r="A1747" s="6" t="n"/>
    </row>
    <row r="1748">
      <c r="A1748" s="6" t="n"/>
    </row>
    <row r="1749">
      <c r="A1749" s="6" t="n"/>
    </row>
    <row r="1750">
      <c r="A1750" s="6" t="n"/>
    </row>
    <row r="1751">
      <c r="A1751" s="6" t="n"/>
    </row>
    <row r="1752">
      <c r="A1752" s="6" t="n"/>
    </row>
    <row r="1753">
      <c r="A1753" s="6" t="n"/>
    </row>
    <row r="1754">
      <c r="A1754" s="6" t="n"/>
    </row>
    <row r="1755">
      <c r="A1755" s="6" t="n"/>
    </row>
    <row r="1756">
      <c r="A1756" s="6" t="n"/>
    </row>
    <row r="1757">
      <c r="A1757" s="6" t="n"/>
    </row>
    <row r="1758">
      <c r="A1758" s="6" t="n"/>
    </row>
    <row r="1759">
      <c r="A1759" s="6" t="n"/>
    </row>
    <row r="1760">
      <c r="A1760" s="6" t="n"/>
    </row>
    <row r="1761">
      <c r="A1761" s="6" t="n"/>
    </row>
    <row r="1762">
      <c r="A1762" s="6" t="n"/>
    </row>
    <row r="1763">
      <c r="A1763" s="6" t="n"/>
    </row>
    <row r="1764">
      <c r="A1764" s="6" t="n"/>
    </row>
    <row r="1765">
      <c r="A1765" s="6" t="n"/>
    </row>
    <row r="1766">
      <c r="A1766" s="6" t="n"/>
    </row>
    <row r="1767">
      <c r="A1767" s="6" t="n"/>
    </row>
    <row r="1768">
      <c r="A1768" s="6" t="n"/>
    </row>
    <row r="1769">
      <c r="A1769" s="6" t="n"/>
    </row>
    <row r="1770">
      <c r="A1770" s="6" t="n"/>
    </row>
    <row r="1771">
      <c r="A1771" s="6" t="n"/>
    </row>
    <row r="1772">
      <c r="A1772" s="6" t="n"/>
    </row>
    <row r="1773">
      <c r="A1773" s="6" t="n"/>
    </row>
    <row r="1774">
      <c r="A1774" s="6" t="n"/>
    </row>
    <row r="1775">
      <c r="A1775" s="6" t="n"/>
    </row>
    <row r="1776">
      <c r="A1776" s="6" t="n"/>
    </row>
    <row r="1777">
      <c r="A1777" s="6" t="n"/>
    </row>
    <row r="1778">
      <c r="A1778" s="6" t="n"/>
    </row>
    <row r="1779">
      <c r="A1779" s="6" t="n"/>
    </row>
    <row r="1780">
      <c r="A1780" s="6" t="n"/>
    </row>
    <row r="1781">
      <c r="A1781" s="6" t="n"/>
    </row>
    <row r="1782">
      <c r="A1782" s="6" t="n"/>
    </row>
    <row r="1783">
      <c r="A1783" s="6" t="n"/>
    </row>
    <row r="1784">
      <c r="A1784" s="6" t="n"/>
    </row>
    <row r="1785">
      <c r="A1785" s="6" t="n"/>
    </row>
    <row r="1786">
      <c r="A1786" s="6" t="n"/>
    </row>
    <row r="1787">
      <c r="A1787" s="6" t="n"/>
    </row>
    <row r="1788">
      <c r="A1788" s="6" t="n"/>
    </row>
    <row r="1789">
      <c r="A1789" s="6" t="n"/>
    </row>
    <row r="1790">
      <c r="A1790" s="6" t="n"/>
    </row>
    <row r="1791">
      <c r="A1791" s="6" t="n"/>
    </row>
    <row r="1792">
      <c r="A1792" s="6" t="n"/>
    </row>
    <row r="1793">
      <c r="A1793" s="6" t="n"/>
    </row>
    <row r="1794">
      <c r="A1794" s="6" t="n"/>
    </row>
    <row r="1795">
      <c r="A1795" s="6" t="n"/>
    </row>
    <row r="1796">
      <c r="A1796" s="6" t="n"/>
    </row>
    <row r="1797">
      <c r="A1797" s="6" t="n"/>
    </row>
    <row r="1798">
      <c r="A1798" s="6" t="n"/>
    </row>
    <row r="1799">
      <c r="A1799" s="6" t="n"/>
    </row>
    <row r="1800">
      <c r="A1800" s="6" t="n"/>
    </row>
    <row r="1801">
      <c r="A1801" s="6" t="n"/>
    </row>
    <row r="1802">
      <c r="A1802" s="6" t="n"/>
    </row>
    <row r="1803">
      <c r="A1803" s="6" t="n"/>
    </row>
    <row r="1804">
      <c r="A1804" s="6" t="n"/>
    </row>
    <row r="1805">
      <c r="A1805" s="6" t="n"/>
    </row>
    <row r="1806">
      <c r="A1806" s="6" t="n"/>
    </row>
    <row r="1807">
      <c r="A1807" s="6" t="n"/>
    </row>
    <row r="1808">
      <c r="A1808" s="6" t="n"/>
    </row>
    <row r="1809">
      <c r="A1809" s="6" t="n"/>
    </row>
    <row r="1810">
      <c r="A1810" s="6" t="n"/>
    </row>
    <row r="1811">
      <c r="A1811" s="6" t="n"/>
    </row>
    <row r="1812">
      <c r="A1812" s="6" t="n"/>
    </row>
    <row r="1813">
      <c r="A1813" s="6" t="n"/>
    </row>
    <row r="1814">
      <c r="A1814" s="6" t="n"/>
    </row>
    <row r="1815">
      <c r="A1815" s="6" t="n"/>
    </row>
    <row r="1816">
      <c r="A1816" s="6" t="n"/>
    </row>
    <row r="1817">
      <c r="A1817" s="6" t="n"/>
    </row>
    <row r="1818">
      <c r="A1818" s="6" t="n"/>
    </row>
    <row r="1819">
      <c r="A1819" s="6" t="n"/>
    </row>
    <row r="1820">
      <c r="A1820" s="6" t="n"/>
    </row>
    <row r="1821">
      <c r="A1821" s="6" t="n"/>
    </row>
    <row r="1822">
      <c r="A1822" s="6" t="n"/>
    </row>
    <row r="1823">
      <c r="A1823" s="6" t="n"/>
    </row>
    <row r="1824">
      <c r="A1824" s="6" t="n"/>
    </row>
    <row r="1825">
      <c r="A1825" s="6" t="n"/>
    </row>
    <row r="1826">
      <c r="A1826" s="6" t="n"/>
    </row>
    <row r="1827">
      <c r="A1827" s="6" t="n"/>
    </row>
    <row r="1828">
      <c r="A1828" s="6" t="n"/>
    </row>
    <row r="1829">
      <c r="A1829" s="6" t="n"/>
    </row>
    <row r="1830">
      <c r="A1830" s="6" t="n"/>
    </row>
    <row r="1831">
      <c r="A1831" s="6" t="n"/>
    </row>
    <row r="1832">
      <c r="A1832" s="6" t="n"/>
    </row>
    <row r="1833">
      <c r="A1833" s="6" t="n"/>
    </row>
    <row r="1834">
      <c r="A1834" s="6" t="n"/>
    </row>
    <row r="1835">
      <c r="A1835" s="6" t="n"/>
    </row>
    <row r="1836">
      <c r="A1836" s="6" t="n"/>
    </row>
    <row r="1837">
      <c r="A1837" s="6" t="n"/>
    </row>
    <row r="1838">
      <c r="A1838" s="6" t="n"/>
    </row>
    <row r="1839">
      <c r="A1839" s="6" t="n"/>
    </row>
    <row r="1840">
      <c r="A1840" s="6" t="n"/>
    </row>
    <row r="1841">
      <c r="A1841" s="6" t="n"/>
    </row>
    <row r="1842">
      <c r="A1842" s="6" t="n"/>
    </row>
    <row r="1843">
      <c r="A1843" s="6" t="n"/>
    </row>
    <row r="1844">
      <c r="A1844" s="6" t="n"/>
    </row>
    <row r="1845">
      <c r="A1845" s="6" t="n"/>
    </row>
    <row r="1846">
      <c r="A1846" s="6" t="n"/>
    </row>
    <row r="1847">
      <c r="A1847" s="6" t="n"/>
    </row>
    <row r="1848">
      <c r="A1848" s="6" t="n"/>
    </row>
    <row r="1849">
      <c r="A1849" s="6" t="n"/>
    </row>
    <row r="1850">
      <c r="A1850" s="6" t="n"/>
    </row>
    <row r="1851">
      <c r="A1851" s="6" t="n"/>
    </row>
    <row r="1852">
      <c r="A1852" s="6" t="n"/>
    </row>
    <row r="1853">
      <c r="A1853" s="6" t="n"/>
    </row>
    <row r="1854">
      <c r="A1854" s="6" t="n"/>
    </row>
    <row r="1855">
      <c r="A1855" s="6" t="n"/>
    </row>
    <row r="1856">
      <c r="A1856" s="6" t="n"/>
    </row>
    <row r="1857">
      <c r="A1857" s="6" t="n"/>
    </row>
    <row r="1858">
      <c r="A1858" s="6" t="n"/>
    </row>
    <row r="1859">
      <c r="A1859" s="6" t="n"/>
    </row>
    <row r="1860">
      <c r="A1860" s="6" t="n"/>
    </row>
    <row r="1861">
      <c r="A1861" s="6" t="n"/>
    </row>
    <row r="1862">
      <c r="A1862" s="6" t="n"/>
    </row>
    <row r="1863">
      <c r="A1863" s="6" t="n"/>
    </row>
    <row r="1864">
      <c r="A1864" s="6" t="n"/>
    </row>
    <row r="1865">
      <c r="A1865" s="6" t="n"/>
    </row>
    <row r="1866">
      <c r="A1866" s="6" t="n"/>
    </row>
    <row r="1867">
      <c r="A1867" s="6" t="n"/>
    </row>
    <row r="1868">
      <c r="A1868" s="6" t="n"/>
    </row>
    <row r="1869">
      <c r="A1869" s="6" t="n"/>
    </row>
    <row r="1870">
      <c r="A1870" s="6" t="n"/>
    </row>
    <row r="1871">
      <c r="A1871" s="6" t="n"/>
    </row>
    <row r="1872">
      <c r="A1872" s="6" t="n"/>
    </row>
    <row r="1873">
      <c r="A1873" s="6" t="n"/>
    </row>
    <row r="1874">
      <c r="A1874" s="6" t="n"/>
    </row>
    <row r="1875">
      <c r="A1875" s="6" t="n"/>
    </row>
    <row r="1876">
      <c r="A1876" s="6" t="n"/>
    </row>
    <row r="1877">
      <c r="A1877" s="6" t="n"/>
    </row>
    <row r="1878">
      <c r="A1878" s="6" t="n"/>
    </row>
    <row r="1879">
      <c r="A1879" s="6" t="n"/>
    </row>
    <row r="1880">
      <c r="A1880" s="6" t="n"/>
    </row>
    <row r="1881">
      <c r="A1881" s="6" t="n"/>
    </row>
    <row r="1882">
      <c r="A1882" s="6" t="n"/>
    </row>
    <row r="1883">
      <c r="A1883" s="6" t="n"/>
    </row>
    <row r="1884">
      <c r="A1884" s="6" t="n"/>
    </row>
    <row r="1885">
      <c r="A1885" s="6" t="n"/>
    </row>
    <row r="1886">
      <c r="A1886" s="6" t="n"/>
    </row>
    <row r="1887">
      <c r="A1887" s="6" t="n"/>
    </row>
    <row r="1888">
      <c r="A1888" s="6" t="n"/>
    </row>
    <row r="1889">
      <c r="A1889" s="6" t="n"/>
    </row>
    <row r="1890">
      <c r="A1890" s="6" t="n"/>
    </row>
    <row r="1891">
      <c r="A1891" s="6" t="n"/>
    </row>
    <row r="1892">
      <c r="A1892" s="6" t="n"/>
    </row>
    <row r="1893">
      <c r="A1893" s="6" t="n"/>
    </row>
    <row r="1894">
      <c r="A1894" s="6" t="n"/>
    </row>
    <row r="1895">
      <c r="A1895" s="6" t="n"/>
    </row>
    <row r="1896">
      <c r="A1896" s="6" t="n"/>
    </row>
    <row r="1897">
      <c r="A1897" s="6" t="n"/>
    </row>
    <row r="1898">
      <c r="A1898" s="6" t="n"/>
    </row>
    <row r="1899">
      <c r="A1899" s="6" t="n"/>
    </row>
    <row r="1900">
      <c r="A1900" s="6" t="n"/>
    </row>
    <row r="1901">
      <c r="A1901" s="6" t="n"/>
    </row>
    <row r="1902">
      <c r="A1902" s="6" t="n"/>
    </row>
    <row r="1903">
      <c r="A1903" s="6" t="n"/>
    </row>
    <row r="1904">
      <c r="A1904" s="6" t="n"/>
    </row>
    <row r="1905">
      <c r="A1905" s="6" t="n"/>
    </row>
    <row r="1906">
      <c r="A1906" s="6" t="n"/>
    </row>
    <row r="1907">
      <c r="A1907" s="6" t="n"/>
    </row>
    <row r="1908">
      <c r="A1908" s="6" t="n"/>
    </row>
    <row r="1909">
      <c r="A1909" s="6" t="n"/>
    </row>
    <row r="1910">
      <c r="A1910" s="6" t="n"/>
    </row>
    <row r="1911">
      <c r="A1911" s="6" t="n"/>
    </row>
    <row r="1912">
      <c r="A1912" s="6" t="n"/>
    </row>
    <row r="1913">
      <c r="A1913" s="6" t="n"/>
    </row>
    <row r="1914">
      <c r="A1914" s="6" t="n"/>
    </row>
    <row r="1915">
      <c r="A1915" s="6" t="n"/>
    </row>
    <row r="1916">
      <c r="A1916" s="6" t="n"/>
    </row>
    <row r="1917">
      <c r="A1917" s="6" t="n"/>
    </row>
    <row r="1918">
      <c r="A1918" s="6" t="n"/>
    </row>
    <row r="1919">
      <c r="A1919" s="6" t="n"/>
    </row>
    <row r="1920">
      <c r="A1920" s="6" t="n"/>
    </row>
    <row r="1921">
      <c r="A1921" s="6" t="n"/>
    </row>
    <row r="1922">
      <c r="A1922" s="6" t="n"/>
    </row>
    <row r="1923">
      <c r="A1923" s="6" t="n"/>
    </row>
    <row r="1924">
      <c r="A1924" s="6" t="n"/>
    </row>
    <row r="1925">
      <c r="A1925" s="6" t="n"/>
    </row>
    <row r="1926">
      <c r="A1926" s="6" t="n"/>
    </row>
    <row r="1927">
      <c r="A1927" s="6" t="n"/>
    </row>
    <row r="1928">
      <c r="A1928" s="6" t="n"/>
    </row>
    <row r="1929">
      <c r="A1929" s="6" t="n"/>
    </row>
    <row r="1930">
      <c r="A1930" s="6" t="n"/>
    </row>
    <row r="1931">
      <c r="A1931" s="6" t="n"/>
    </row>
    <row r="1932">
      <c r="A1932" s="6" t="n"/>
    </row>
    <row r="1933">
      <c r="A1933" s="6" t="n"/>
    </row>
    <row r="1934">
      <c r="A1934" s="6" t="n"/>
    </row>
    <row r="1935">
      <c r="A1935" s="6" t="n"/>
    </row>
    <row r="1936">
      <c r="A1936" s="6" t="n"/>
    </row>
    <row r="1937">
      <c r="A1937" s="6" t="n"/>
    </row>
    <row r="1938">
      <c r="A1938" s="6" t="n"/>
    </row>
    <row r="1939">
      <c r="A1939" s="6" t="n"/>
    </row>
    <row r="1940">
      <c r="A1940" s="6" t="n"/>
    </row>
    <row r="1941">
      <c r="A1941" s="6" t="n"/>
    </row>
    <row r="1942">
      <c r="A1942" s="6" t="n"/>
    </row>
    <row r="1943">
      <c r="A1943" s="6" t="n"/>
    </row>
    <row r="1944">
      <c r="A1944" s="6" t="n"/>
    </row>
    <row r="1945">
      <c r="A1945" s="6" t="n"/>
    </row>
    <row r="1946">
      <c r="A1946" s="6" t="n"/>
    </row>
    <row r="1947">
      <c r="A1947" s="6" t="n"/>
    </row>
    <row r="1948">
      <c r="A1948" s="6" t="n"/>
    </row>
    <row r="1949">
      <c r="A1949" s="6" t="n"/>
    </row>
    <row r="1950">
      <c r="A1950" s="6" t="n"/>
    </row>
    <row r="1951">
      <c r="A1951" s="6" t="n"/>
    </row>
    <row r="1952">
      <c r="A1952" s="6" t="n"/>
    </row>
    <row r="1953">
      <c r="A1953" s="6" t="n"/>
    </row>
    <row r="1954">
      <c r="A1954" s="6" t="n"/>
    </row>
    <row r="1955">
      <c r="A1955" s="6" t="n"/>
    </row>
    <row r="1956">
      <c r="A1956" s="6" t="n"/>
    </row>
    <row r="1957">
      <c r="A1957" s="6" t="n"/>
    </row>
    <row r="1958">
      <c r="A1958" s="6" t="n"/>
    </row>
    <row r="1959">
      <c r="A1959" s="6" t="n"/>
    </row>
    <row r="1960">
      <c r="A1960" s="6" t="n"/>
    </row>
    <row r="1961">
      <c r="A1961" s="6" t="n"/>
    </row>
    <row r="1962">
      <c r="A1962" s="6" t="n"/>
    </row>
    <row r="1963">
      <c r="A1963" s="6" t="n"/>
    </row>
    <row r="1964">
      <c r="A1964" s="6" t="n"/>
    </row>
    <row r="1965">
      <c r="A1965" s="6" t="n"/>
    </row>
    <row r="1966">
      <c r="A1966" s="6" t="n"/>
    </row>
    <row r="1967">
      <c r="A1967" s="6" t="n"/>
    </row>
    <row r="1968">
      <c r="A1968" s="6" t="n"/>
    </row>
    <row r="1969">
      <c r="A1969" s="6" t="n"/>
    </row>
    <row r="1970">
      <c r="A1970" s="6" t="n"/>
    </row>
    <row r="1971">
      <c r="A1971" s="6" t="n"/>
    </row>
    <row r="1972">
      <c r="A1972" s="6" t="n"/>
    </row>
    <row r="1973">
      <c r="A1973" s="6" t="n"/>
    </row>
    <row r="1974">
      <c r="A1974" s="6" t="n"/>
    </row>
    <row r="1975">
      <c r="A1975" s="6" t="n"/>
    </row>
    <row r="1976">
      <c r="A1976" s="6" t="n"/>
    </row>
    <row r="1977">
      <c r="A1977" s="6" t="n"/>
    </row>
    <row r="1978">
      <c r="A1978" s="6" t="n"/>
    </row>
    <row r="1979">
      <c r="A1979" s="6" t="n"/>
    </row>
    <row r="1980">
      <c r="A1980" s="6" t="n"/>
    </row>
    <row r="1981">
      <c r="A1981" s="6" t="n"/>
    </row>
    <row r="1982">
      <c r="A1982" s="6" t="n"/>
    </row>
    <row r="1983">
      <c r="A1983" s="6" t="n"/>
    </row>
    <row r="1984">
      <c r="A1984" s="6" t="n"/>
    </row>
    <row r="1985">
      <c r="A1985" s="6" t="n"/>
    </row>
    <row r="1986">
      <c r="A1986" s="6" t="n"/>
    </row>
    <row r="1987">
      <c r="A1987" s="6" t="n"/>
    </row>
    <row r="1988">
      <c r="A1988" s="6" t="n"/>
    </row>
    <row r="1989">
      <c r="A1989" s="6" t="n"/>
    </row>
    <row r="1990">
      <c r="A1990" s="6" t="n"/>
    </row>
    <row r="1991">
      <c r="A1991" s="6" t="n"/>
    </row>
    <row r="1992">
      <c r="A1992" s="6" t="n"/>
    </row>
    <row r="1993">
      <c r="A1993" s="6" t="n"/>
    </row>
    <row r="1994">
      <c r="A1994" s="6" t="n"/>
    </row>
    <row r="1995">
      <c r="A1995" s="6" t="n"/>
    </row>
    <row r="1996">
      <c r="A1996" s="6" t="n"/>
    </row>
    <row r="1997">
      <c r="A1997" s="6" t="n"/>
    </row>
    <row r="1998">
      <c r="A1998" s="6" t="n"/>
    </row>
    <row r="1999">
      <c r="A1999" s="6" t="n"/>
    </row>
    <row r="2000">
      <c r="A2000" s="6" t="n"/>
    </row>
    <row r="2001">
      <c r="A2001" s="6" t="n"/>
    </row>
    <row r="2002">
      <c r="A2002" s="6" t="n"/>
    </row>
    <row r="2003">
      <c r="A2003" s="6" t="n"/>
    </row>
    <row r="2004">
      <c r="A2004" s="6" t="n"/>
    </row>
    <row r="2005">
      <c r="A2005" s="6" t="n"/>
    </row>
    <row r="2006">
      <c r="A2006" s="6" t="n"/>
    </row>
    <row r="2007">
      <c r="A2007" s="6" t="n"/>
    </row>
    <row r="2008">
      <c r="A2008" s="6" t="n"/>
    </row>
    <row r="2009">
      <c r="A2009" s="6" t="n"/>
    </row>
    <row r="2010">
      <c r="A2010" s="6" t="n"/>
    </row>
    <row r="2011">
      <c r="A2011" s="6" t="n"/>
    </row>
    <row r="2012">
      <c r="A2012" s="6" t="n"/>
    </row>
    <row r="2013">
      <c r="A2013" s="6" t="n"/>
    </row>
    <row r="2014">
      <c r="A2014" s="6" t="n"/>
    </row>
    <row r="2015">
      <c r="A2015" s="6" t="n"/>
    </row>
    <row r="2016">
      <c r="A2016" s="6" t="n"/>
    </row>
    <row r="2017">
      <c r="A2017" s="6" t="n"/>
    </row>
    <row r="2018">
      <c r="A2018" s="6" t="n"/>
    </row>
    <row r="2019">
      <c r="A2019" s="6" t="n"/>
    </row>
    <row r="2020">
      <c r="A2020" s="6" t="n"/>
    </row>
    <row r="2021">
      <c r="A2021" s="6" t="n"/>
    </row>
    <row r="2022">
      <c r="A2022" s="6" t="n"/>
    </row>
    <row r="2023">
      <c r="A2023" s="6" t="n"/>
    </row>
    <row r="2024">
      <c r="A2024" s="6" t="n"/>
    </row>
    <row r="2025">
      <c r="A2025" s="6" t="n"/>
    </row>
    <row r="2026">
      <c r="A2026" s="6" t="n"/>
    </row>
    <row r="2027">
      <c r="A2027" s="6" t="n"/>
    </row>
    <row r="2028">
      <c r="A2028" s="6" t="n"/>
    </row>
    <row r="2029">
      <c r="A2029" s="6" t="n"/>
    </row>
    <row r="2030">
      <c r="A2030" s="6" t="n"/>
    </row>
    <row r="2031">
      <c r="A2031" s="6" t="n"/>
    </row>
    <row r="2032">
      <c r="A2032" s="6" t="n"/>
    </row>
    <row r="2033">
      <c r="A2033" s="6" t="n"/>
    </row>
    <row r="2034">
      <c r="A2034" s="6" t="n"/>
    </row>
    <row r="2035">
      <c r="A2035" s="6" t="n"/>
    </row>
    <row r="2036">
      <c r="A2036" s="6" t="n"/>
    </row>
    <row r="2037">
      <c r="A2037" s="6" t="n"/>
    </row>
    <row r="2038">
      <c r="A2038" s="6" t="n"/>
    </row>
    <row r="2039">
      <c r="A2039" s="6" t="n"/>
    </row>
    <row r="2040">
      <c r="A2040" s="6" t="n"/>
    </row>
    <row r="2041">
      <c r="A2041" s="6" t="n"/>
    </row>
    <row r="2042">
      <c r="A2042" s="6" t="n"/>
    </row>
    <row r="2043">
      <c r="A2043" s="6" t="n"/>
    </row>
    <row r="2044">
      <c r="A2044" s="6" t="n"/>
    </row>
    <row r="2045">
      <c r="A2045" s="6" t="n"/>
    </row>
    <row r="2046">
      <c r="A2046" s="6" t="n"/>
    </row>
    <row r="2047">
      <c r="A2047" s="6" t="n"/>
    </row>
    <row r="2048">
      <c r="A2048" s="6" t="n"/>
    </row>
    <row r="2049">
      <c r="A2049" s="6" t="n"/>
    </row>
    <row r="2050">
      <c r="A2050" s="6" t="n"/>
    </row>
    <row r="2051">
      <c r="A2051" s="6" t="n"/>
    </row>
    <row r="2052">
      <c r="A2052" s="6" t="n"/>
    </row>
    <row r="2053">
      <c r="A2053" s="6" t="n"/>
    </row>
    <row r="2054">
      <c r="A2054" s="6" t="n"/>
    </row>
    <row r="2055">
      <c r="A2055" s="6" t="n"/>
    </row>
    <row r="2056">
      <c r="A2056" s="6" t="n"/>
    </row>
    <row r="2057">
      <c r="A2057" s="6" t="n"/>
    </row>
    <row r="2058">
      <c r="A2058" s="6" t="n"/>
    </row>
    <row r="2059">
      <c r="A2059" s="6" t="n"/>
    </row>
    <row r="2060">
      <c r="A2060" s="6" t="n"/>
    </row>
    <row r="2061">
      <c r="A2061" s="6" t="n"/>
    </row>
    <row r="2062">
      <c r="A2062" s="6" t="n"/>
    </row>
    <row r="2063">
      <c r="A2063" s="6" t="n"/>
    </row>
    <row r="2064">
      <c r="A2064" s="6" t="n"/>
    </row>
    <row r="2065">
      <c r="A2065" s="6" t="n"/>
    </row>
    <row r="2066">
      <c r="A2066" s="6" t="n"/>
    </row>
    <row r="2067">
      <c r="A2067" s="6" t="n"/>
    </row>
    <row r="2068">
      <c r="A2068" s="6" t="n"/>
    </row>
    <row r="2069">
      <c r="A2069" s="6" t="n"/>
    </row>
    <row r="2070">
      <c r="A2070" s="6" t="n"/>
    </row>
    <row r="2071">
      <c r="A2071" s="6" t="n"/>
    </row>
    <row r="2072">
      <c r="A2072" s="6" t="n"/>
    </row>
    <row r="2073">
      <c r="A2073" s="6" t="n"/>
    </row>
    <row r="2074">
      <c r="A2074" s="6" t="n"/>
    </row>
    <row r="2075">
      <c r="A2075" s="6" t="n"/>
    </row>
    <row r="2076">
      <c r="A2076" s="6" t="n"/>
    </row>
    <row r="2077">
      <c r="A2077" s="6" t="n"/>
    </row>
    <row r="2078">
      <c r="A2078" s="6" t="n"/>
    </row>
    <row r="2079">
      <c r="A2079" s="6" t="n"/>
    </row>
    <row r="2080">
      <c r="A2080" s="6" t="n"/>
    </row>
    <row r="2081">
      <c r="A2081" s="6" t="n"/>
    </row>
    <row r="2082">
      <c r="A2082" s="6" t="n"/>
    </row>
    <row r="2083">
      <c r="A2083" s="6" t="n"/>
    </row>
    <row r="2084">
      <c r="A2084" s="6" t="n"/>
    </row>
    <row r="2085">
      <c r="A2085" s="6" t="n"/>
    </row>
    <row r="2086">
      <c r="A2086" s="6" t="n"/>
    </row>
    <row r="2087">
      <c r="A2087" s="6" t="n"/>
    </row>
    <row r="2088">
      <c r="A2088" s="6" t="n"/>
    </row>
    <row r="2089">
      <c r="A2089" s="6" t="n"/>
    </row>
    <row r="2090">
      <c r="A2090" s="6" t="n"/>
    </row>
    <row r="2091">
      <c r="A2091" s="6" t="n"/>
    </row>
    <row r="2092">
      <c r="A2092" s="6" t="n"/>
    </row>
    <row r="2093">
      <c r="A2093" s="6" t="n"/>
    </row>
    <row r="2094">
      <c r="A2094" s="6" t="n"/>
    </row>
    <row r="2095">
      <c r="A2095" s="6" t="n"/>
    </row>
    <row r="2096">
      <c r="A2096" s="6" t="n"/>
    </row>
    <row r="2097">
      <c r="A2097" s="6" t="n"/>
    </row>
    <row r="2098">
      <c r="A2098" s="6" t="n"/>
    </row>
    <row r="2099">
      <c r="A2099" s="6" t="n"/>
    </row>
    <row r="2100">
      <c r="A2100" s="6" t="n"/>
    </row>
    <row r="2101">
      <c r="A2101" s="6" t="n"/>
    </row>
    <row r="2102">
      <c r="A2102" s="6" t="n"/>
    </row>
    <row r="2103">
      <c r="A2103" s="6" t="n"/>
    </row>
    <row r="2104">
      <c r="A2104" s="6" t="n"/>
    </row>
    <row r="2105">
      <c r="A2105" s="6" t="n"/>
    </row>
    <row r="2106">
      <c r="A2106" s="6" t="n"/>
    </row>
    <row r="2107">
      <c r="A2107" s="6" t="n"/>
    </row>
    <row r="2108">
      <c r="A2108" s="6" t="n"/>
    </row>
    <row r="2109">
      <c r="A2109" s="6" t="n"/>
    </row>
    <row r="2110">
      <c r="A2110" s="6" t="n"/>
    </row>
    <row r="2111">
      <c r="A2111" s="6" t="n"/>
    </row>
    <row r="2112">
      <c r="A2112" s="6" t="n"/>
    </row>
    <row r="2113">
      <c r="A2113" s="6" t="n"/>
    </row>
    <row r="2114">
      <c r="A2114" s="6" t="n"/>
    </row>
    <row r="2115">
      <c r="A2115" s="6" t="n"/>
    </row>
    <row r="2116">
      <c r="A2116" s="6" t="n"/>
    </row>
    <row r="2117">
      <c r="A2117" s="6" t="n"/>
    </row>
    <row r="2118">
      <c r="A2118" s="6" t="n"/>
    </row>
    <row r="2119">
      <c r="A2119" s="6" t="n"/>
    </row>
    <row r="2120">
      <c r="A2120" s="6" t="n"/>
    </row>
    <row r="2121">
      <c r="A2121" s="6" t="n"/>
    </row>
    <row r="2122">
      <c r="A2122" s="6" t="n"/>
    </row>
    <row r="2123">
      <c r="A2123" s="6" t="n"/>
    </row>
    <row r="2124">
      <c r="A2124" s="6" t="n"/>
    </row>
    <row r="2125">
      <c r="A2125" s="6" t="n"/>
    </row>
    <row r="2126">
      <c r="A2126" s="6" t="n"/>
    </row>
    <row r="2127">
      <c r="A2127" s="6" t="n"/>
    </row>
    <row r="2128">
      <c r="A2128" s="6" t="n"/>
    </row>
    <row r="2129">
      <c r="A2129" s="6" t="n"/>
    </row>
    <row r="2130">
      <c r="A2130" s="6" t="n"/>
    </row>
    <row r="2131">
      <c r="A2131" s="6" t="n"/>
    </row>
    <row r="2132">
      <c r="A2132" s="6" t="n"/>
    </row>
    <row r="2133">
      <c r="A2133" s="6" t="n"/>
    </row>
    <row r="2134">
      <c r="A2134" s="6" t="n"/>
    </row>
    <row r="2135">
      <c r="A2135" s="6" t="n"/>
    </row>
    <row r="2136">
      <c r="A2136" s="6" t="n"/>
    </row>
    <row r="2137">
      <c r="A2137" s="6" t="n"/>
    </row>
    <row r="2138">
      <c r="A2138" s="6" t="n"/>
    </row>
    <row r="2139">
      <c r="A2139" s="6" t="n"/>
    </row>
    <row r="2140">
      <c r="A2140" s="6" t="n"/>
    </row>
    <row r="2141">
      <c r="A2141" s="6" t="n"/>
    </row>
    <row r="2142">
      <c r="A2142" s="6" t="n"/>
    </row>
    <row r="2143">
      <c r="A2143" s="6" t="n"/>
    </row>
    <row r="2144">
      <c r="A2144" s="6" t="n"/>
    </row>
    <row r="2145">
      <c r="A2145" s="6" t="n"/>
    </row>
    <row r="2146">
      <c r="A2146" s="6" t="n"/>
    </row>
    <row r="2147">
      <c r="A2147" s="6" t="n"/>
    </row>
    <row r="2148">
      <c r="A2148" s="6" t="n"/>
    </row>
    <row r="2149">
      <c r="A2149" s="6" t="n"/>
    </row>
    <row r="2150">
      <c r="A2150" s="6" t="n"/>
    </row>
    <row r="2151">
      <c r="A2151" s="6" t="n"/>
    </row>
    <row r="2152">
      <c r="A2152" s="6" t="n"/>
    </row>
    <row r="2153">
      <c r="A2153" s="6" t="n"/>
    </row>
    <row r="2154">
      <c r="A2154" s="6" t="n"/>
    </row>
    <row r="2155">
      <c r="A2155" s="6" t="n"/>
    </row>
    <row r="2156">
      <c r="A2156" s="6" t="n"/>
    </row>
    <row r="2157">
      <c r="A2157" s="6" t="n"/>
    </row>
    <row r="2158">
      <c r="A2158" s="6" t="n"/>
    </row>
    <row r="2159">
      <c r="A2159" s="6" t="n"/>
    </row>
    <row r="2160">
      <c r="A2160" s="6" t="n"/>
    </row>
    <row r="2161">
      <c r="A2161" s="6" t="n"/>
    </row>
    <row r="2162">
      <c r="A2162" s="6" t="n"/>
    </row>
    <row r="2163">
      <c r="A2163" s="6" t="n"/>
    </row>
    <row r="2164">
      <c r="A2164" s="6" t="n"/>
    </row>
    <row r="2165">
      <c r="A2165" s="6" t="n"/>
    </row>
    <row r="2166">
      <c r="A2166" s="6" t="n"/>
    </row>
    <row r="2167">
      <c r="A2167" s="6" t="n"/>
    </row>
    <row r="2168">
      <c r="A2168" s="6" t="n"/>
    </row>
    <row r="2169">
      <c r="A2169" s="6" t="n"/>
    </row>
    <row r="2170">
      <c r="A2170" s="6" t="n"/>
    </row>
    <row r="2171">
      <c r="A2171" s="6" t="n"/>
    </row>
    <row r="2172">
      <c r="A2172" s="6" t="n"/>
    </row>
    <row r="2173">
      <c r="A2173" s="6" t="n"/>
    </row>
    <row r="2174">
      <c r="A2174" s="6" t="n"/>
    </row>
    <row r="2175">
      <c r="A2175" s="6" t="n"/>
    </row>
    <row r="2176">
      <c r="A2176" s="6" t="n"/>
    </row>
    <row r="2177">
      <c r="A2177" s="6" t="n"/>
    </row>
    <row r="2178">
      <c r="A2178" s="6" t="n"/>
    </row>
    <row r="2179">
      <c r="A2179" s="6" t="n"/>
    </row>
    <row r="2180">
      <c r="A2180" s="6" t="n"/>
    </row>
    <row r="2181">
      <c r="A2181" s="6" t="n"/>
    </row>
    <row r="2182">
      <c r="A2182" s="6" t="n"/>
    </row>
    <row r="2183">
      <c r="A2183" s="6" t="n"/>
    </row>
    <row r="2184">
      <c r="A2184" s="6" t="n"/>
    </row>
    <row r="2185">
      <c r="A2185" s="6" t="n"/>
    </row>
    <row r="2186">
      <c r="A2186" s="6" t="n"/>
    </row>
    <row r="2187">
      <c r="A2187" s="6" t="n"/>
    </row>
    <row r="2188">
      <c r="A2188" s="6" t="n"/>
    </row>
    <row r="2189">
      <c r="A2189" s="6" t="n"/>
    </row>
    <row r="2190">
      <c r="A2190" s="6" t="n"/>
    </row>
    <row r="2191">
      <c r="A2191" s="6" t="n"/>
    </row>
    <row r="2192">
      <c r="A2192" s="6" t="n"/>
    </row>
    <row r="2193">
      <c r="A2193" s="6" t="n"/>
    </row>
    <row r="2194">
      <c r="A2194" s="6" t="n"/>
    </row>
    <row r="2195">
      <c r="A2195" s="6" t="n"/>
    </row>
    <row r="2196">
      <c r="A2196" s="6" t="n"/>
    </row>
    <row r="2197">
      <c r="A2197" s="6" t="n"/>
    </row>
    <row r="2198">
      <c r="A2198" s="6" t="n"/>
    </row>
    <row r="2199">
      <c r="A2199" s="6" t="n"/>
    </row>
    <row r="2200">
      <c r="A2200" s="6" t="n"/>
    </row>
    <row r="2201">
      <c r="A2201" s="6" t="n"/>
    </row>
    <row r="2202">
      <c r="A2202" s="6" t="n"/>
    </row>
    <row r="2203">
      <c r="A2203" s="6" t="n"/>
    </row>
    <row r="2204">
      <c r="A2204" s="6" t="n"/>
    </row>
    <row r="2205">
      <c r="A2205" s="6" t="n"/>
    </row>
    <row r="2206">
      <c r="A2206" s="6" t="n"/>
    </row>
    <row r="2207">
      <c r="A2207" s="6" t="n"/>
    </row>
    <row r="2208">
      <c r="A2208" s="6" t="n"/>
    </row>
    <row r="2209">
      <c r="A2209" s="6" t="n"/>
    </row>
    <row r="2210">
      <c r="A2210" s="6" t="n"/>
    </row>
    <row r="2211">
      <c r="A2211" s="6" t="n"/>
    </row>
    <row r="2212">
      <c r="A2212" s="6" t="n"/>
    </row>
    <row r="2213">
      <c r="A2213" s="6" t="n"/>
    </row>
    <row r="2214">
      <c r="A2214" s="6" t="n"/>
    </row>
    <row r="2215">
      <c r="A2215" s="6" t="n"/>
    </row>
    <row r="2216">
      <c r="A2216" s="6" t="n"/>
    </row>
    <row r="2217">
      <c r="A2217" s="6" t="n"/>
    </row>
    <row r="2218">
      <c r="A2218" s="6" t="n"/>
    </row>
    <row r="2219">
      <c r="A2219" s="6" t="n"/>
    </row>
    <row r="2220">
      <c r="A2220" s="6" t="n"/>
    </row>
    <row r="2221">
      <c r="A2221" s="6" t="n"/>
    </row>
    <row r="2222">
      <c r="A2222" s="6" t="n"/>
    </row>
    <row r="2223">
      <c r="A2223" s="6" t="n"/>
    </row>
    <row r="2224">
      <c r="A2224" s="6" t="n"/>
    </row>
    <row r="2225">
      <c r="A2225" s="6" t="n"/>
    </row>
    <row r="2226">
      <c r="A2226" s="6" t="n"/>
    </row>
    <row r="2227">
      <c r="A2227" s="6" t="n"/>
    </row>
    <row r="2228">
      <c r="A2228" s="6" t="n"/>
    </row>
    <row r="2229">
      <c r="A2229" s="6" t="n"/>
    </row>
    <row r="2230">
      <c r="A2230" s="6" t="n"/>
    </row>
    <row r="2231">
      <c r="A2231" s="6" t="n"/>
    </row>
    <row r="2232">
      <c r="A2232" s="6" t="n"/>
    </row>
    <row r="2233">
      <c r="A2233" s="6" t="n"/>
    </row>
    <row r="2234">
      <c r="A2234" s="6" t="n"/>
    </row>
    <row r="2235">
      <c r="A2235" s="6" t="n"/>
    </row>
    <row r="2236">
      <c r="A2236" s="6" t="n"/>
    </row>
    <row r="2237">
      <c r="A2237" s="6" t="n"/>
    </row>
    <row r="2238">
      <c r="A2238" s="6" t="n"/>
    </row>
    <row r="2239">
      <c r="A2239" s="6" t="n"/>
    </row>
    <row r="2240">
      <c r="A2240" s="6" t="n"/>
    </row>
    <row r="2241">
      <c r="A2241" s="6" t="n"/>
    </row>
    <row r="2242">
      <c r="A2242" s="6" t="n"/>
    </row>
    <row r="2243">
      <c r="A2243" s="6" t="n"/>
    </row>
    <row r="2244">
      <c r="A2244" s="6" t="n"/>
    </row>
    <row r="2245">
      <c r="A2245" s="6" t="n"/>
    </row>
    <row r="2246">
      <c r="A2246" s="6" t="n"/>
    </row>
    <row r="2247">
      <c r="A2247" s="6" t="n"/>
    </row>
    <row r="2248">
      <c r="A2248" s="6" t="n"/>
    </row>
    <row r="2249">
      <c r="A2249" s="6" t="n"/>
    </row>
    <row r="2250">
      <c r="A2250" s="6" t="n"/>
    </row>
    <row r="2251">
      <c r="A2251" s="6" t="n"/>
    </row>
    <row r="2252">
      <c r="A2252" s="6" t="n"/>
    </row>
    <row r="2253">
      <c r="A2253" s="6" t="n"/>
    </row>
    <row r="2254">
      <c r="A2254" s="6" t="n"/>
    </row>
    <row r="2255">
      <c r="A2255" s="6" t="n"/>
    </row>
    <row r="2256">
      <c r="A2256" s="6" t="n"/>
    </row>
    <row r="2257">
      <c r="A2257" s="6" t="n"/>
    </row>
    <row r="2258">
      <c r="A2258" s="6" t="n"/>
    </row>
    <row r="2259">
      <c r="A2259" s="6" t="n"/>
    </row>
    <row r="2260">
      <c r="A2260" s="6" t="n"/>
    </row>
    <row r="2261">
      <c r="A2261" s="6" t="n"/>
    </row>
    <row r="2262">
      <c r="A2262" s="6" t="n"/>
    </row>
    <row r="2263">
      <c r="A2263" s="6" t="n"/>
    </row>
    <row r="2264">
      <c r="A2264" s="6" t="n"/>
    </row>
    <row r="2265">
      <c r="A2265" s="6" t="n"/>
    </row>
    <row r="2266">
      <c r="A2266" s="6" t="n"/>
    </row>
    <row r="2267">
      <c r="A2267" s="6" t="n"/>
    </row>
    <row r="2268">
      <c r="A2268" s="6" t="n"/>
    </row>
    <row r="2269">
      <c r="A2269" s="6" t="n"/>
    </row>
    <row r="2270">
      <c r="A2270" s="6" t="n"/>
    </row>
    <row r="2271">
      <c r="A2271" s="6" t="n"/>
    </row>
    <row r="2272">
      <c r="A2272" s="6" t="n"/>
    </row>
    <row r="2273">
      <c r="A2273" s="6" t="n"/>
    </row>
    <row r="2274">
      <c r="A2274" s="6" t="n"/>
    </row>
    <row r="2275">
      <c r="A2275" s="6" t="n"/>
    </row>
    <row r="2276">
      <c r="A2276" s="6" t="n"/>
    </row>
    <row r="2277">
      <c r="A2277" s="6" t="n"/>
    </row>
    <row r="2278">
      <c r="A2278" s="6" t="n"/>
    </row>
    <row r="2279">
      <c r="A2279" s="6" t="n"/>
    </row>
    <row r="2280">
      <c r="A2280" s="6" t="n"/>
    </row>
    <row r="2281">
      <c r="A2281" s="6" t="n"/>
    </row>
    <row r="2282">
      <c r="A2282" s="6" t="n"/>
    </row>
    <row r="2283">
      <c r="A2283" s="6" t="n"/>
    </row>
    <row r="2284">
      <c r="A2284" s="6" t="n"/>
    </row>
    <row r="2285">
      <c r="A2285" s="6" t="n"/>
    </row>
    <row r="2286">
      <c r="A2286" s="6" t="n"/>
    </row>
    <row r="2287">
      <c r="A2287" s="6" t="n"/>
    </row>
    <row r="2288">
      <c r="A2288" s="6" t="n"/>
    </row>
    <row r="2289">
      <c r="A2289" s="6" t="n"/>
    </row>
    <row r="2290">
      <c r="A2290" s="6" t="n"/>
    </row>
    <row r="2291">
      <c r="A2291" s="6" t="n"/>
    </row>
    <row r="2292">
      <c r="A2292" s="6" t="n"/>
    </row>
    <row r="2293">
      <c r="A2293" s="6" t="n"/>
    </row>
    <row r="2294">
      <c r="A2294" s="6" t="n"/>
    </row>
    <row r="2295">
      <c r="A2295" s="6" t="n"/>
    </row>
    <row r="2296">
      <c r="A2296" s="6" t="n"/>
    </row>
    <row r="2297">
      <c r="A2297" s="6" t="n"/>
    </row>
    <row r="2298">
      <c r="A2298" s="6" t="n"/>
    </row>
    <row r="2299">
      <c r="A2299" s="6" t="n"/>
    </row>
    <row r="2300">
      <c r="A2300" s="6" t="n"/>
    </row>
    <row r="2301">
      <c r="A2301" s="6" t="n"/>
    </row>
    <row r="2302">
      <c r="A2302" s="6" t="n"/>
    </row>
    <row r="2303">
      <c r="A2303" s="6" t="n"/>
    </row>
    <row r="2304">
      <c r="A2304" s="6" t="n"/>
    </row>
    <row r="2305">
      <c r="A2305" s="6" t="n"/>
    </row>
    <row r="2306">
      <c r="A2306" s="6" t="n"/>
    </row>
    <row r="2307">
      <c r="A2307" s="6" t="n"/>
    </row>
    <row r="2308">
      <c r="A2308" s="6" t="n"/>
    </row>
    <row r="2309">
      <c r="A2309" s="6" t="n"/>
    </row>
    <row r="2310">
      <c r="A2310" s="6" t="n"/>
    </row>
    <row r="2311">
      <c r="A2311" s="6" t="n"/>
    </row>
    <row r="2312">
      <c r="A2312" s="6" t="n"/>
    </row>
    <row r="2313">
      <c r="A2313" s="6" t="n"/>
    </row>
    <row r="2314">
      <c r="A2314" s="6" t="n"/>
    </row>
    <row r="2315">
      <c r="A2315" s="6" t="n"/>
    </row>
    <row r="2316">
      <c r="A2316" s="6" t="n"/>
    </row>
    <row r="2317">
      <c r="A2317" s="6" t="n"/>
    </row>
    <row r="2318">
      <c r="A2318" s="6" t="n"/>
    </row>
    <row r="2319">
      <c r="A2319" s="6" t="n"/>
    </row>
    <row r="2320">
      <c r="A2320" s="6" t="n"/>
    </row>
    <row r="2321">
      <c r="A2321" s="6" t="n"/>
    </row>
    <row r="2322">
      <c r="A2322" s="6" t="n"/>
    </row>
    <row r="2323">
      <c r="A2323" s="6" t="n"/>
    </row>
    <row r="2324">
      <c r="A2324" s="6" t="n"/>
    </row>
    <row r="2325">
      <c r="A2325" s="6" t="n"/>
    </row>
    <row r="2326">
      <c r="A2326" s="6" t="n"/>
    </row>
    <row r="2327">
      <c r="A2327" s="6" t="n"/>
    </row>
    <row r="2328">
      <c r="A2328" s="6" t="n"/>
    </row>
    <row r="2329">
      <c r="A2329" s="6" t="n"/>
    </row>
    <row r="2330">
      <c r="A2330" s="6" t="n"/>
    </row>
    <row r="2331">
      <c r="A2331" s="6" t="n"/>
    </row>
    <row r="2332">
      <c r="A2332" s="6" t="n"/>
    </row>
    <row r="2333">
      <c r="A2333" s="6" t="n"/>
    </row>
    <row r="2334">
      <c r="A2334" s="6" t="n"/>
    </row>
    <row r="2335">
      <c r="A2335" s="6" t="n"/>
    </row>
    <row r="2336">
      <c r="A2336" s="6" t="n"/>
    </row>
    <row r="2337">
      <c r="A2337" s="6" t="n"/>
    </row>
    <row r="2338">
      <c r="A2338" s="6" t="n"/>
    </row>
    <row r="2339">
      <c r="A2339" s="6" t="n"/>
    </row>
    <row r="2340">
      <c r="A2340" s="6" t="n"/>
    </row>
    <row r="2341">
      <c r="A2341" s="6" t="n"/>
    </row>
    <row r="2342">
      <c r="A2342" s="6" t="n"/>
    </row>
    <row r="2343">
      <c r="A2343" s="6" t="n"/>
    </row>
    <row r="2344">
      <c r="A2344" s="6" t="n"/>
    </row>
    <row r="2345">
      <c r="A2345" s="6" t="n"/>
    </row>
    <row r="2346">
      <c r="A2346" s="6" t="n"/>
    </row>
    <row r="2347">
      <c r="A2347" s="6" t="n"/>
    </row>
    <row r="2348">
      <c r="A2348" s="6" t="n"/>
    </row>
    <row r="2349">
      <c r="A2349" s="6" t="n"/>
    </row>
    <row r="2350">
      <c r="A2350" s="6" t="n"/>
    </row>
    <row r="2351">
      <c r="A2351" s="6" t="n"/>
    </row>
    <row r="2352">
      <c r="A2352" s="6" t="n"/>
    </row>
    <row r="2353">
      <c r="A2353" s="6" t="n"/>
    </row>
    <row r="2354">
      <c r="A2354" s="6" t="n"/>
    </row>
    <row r="2355">
      <c r="A2355" s="6" t="n"/>
    </row>
    <row r="2356">
      <c r="A2356" s="6" t="n"/>
    </row>
    <row r="2357">
      <c r="A2357" s="6" t="n"/>
    </row>
    <row r="2358">
      <c r="A2358" s="6" t="n"/>
    </row>
    <row r="2359">
      <c r="A2359" s="6" t="n"/>
    </row>
    <row r="2360">
      <c r="A2360" s="6" t="n"/>
    </row>
    <row r="2361">
      <c r="A2361" s="6" t="n"/>
    </row>
    <row r="2362">
      <c r="A2362" s="6" t="n"/>
    </row>
    <row r="2363">
      <c r="A2363" s="6" t="n"/>
    </row>
    <row r="2364">
      <c r="A2364" s="6" t="n"/>
    </row>
    <row r="2365">
      <c r="A2365" s="6" t="n"/>
    </row>
    <row r="2366">
      <c r="A2366" s="6" t="n"/>
    </row>
    <row r="2367">
      <c r="A2367" s="6" t="n"/>
    </row>
    <row r="2368">
      <c r="A2368" s="6" t="n"/>
    </row>
    <row r="2369">
      <c r="A2369" s="6" t="n"/>
    </row>
    <row r="2370">
      <c r="A2370" s="6" t="n"/>
    </row>
    <row r="2371">
      <c r="A2371" s="6" t="n"/>
    </row>
    <row r="2372">
      <c r="A2372" s="6" t="n"/>
    </row>
    <row r="2373">
      <c r="A2373" s="6" t="n"/>
    </row>
    <row r="2374">
      <c r="A2374" s="6" t="n"/>
    </row>
    <row r="2375">
      <c r="A2375" s="6" t="n"/>
    </row>
    <row r="2376">
      <c r="A2376" s="6" t="n"/>
    </row>
    <row r="2377">
      <c r="A2377" s="6" t="n"/>
    </row>
    <row r="2378">
      <c r="A2378" s="6" t="n"/>
    </row>
    <row r="2379">
      <c r="A2379" s="6" t="n"/>
    </row>
    <row r="2380">
      <c r="A2380" s="6" t="n"/>
    </row>
    <row r="2381">
      <c r="A2381" s="6" t="n"/>
    </row>
    <row r="2382">
      <c r="A2382" s="6" t="n"/>
    </row>
    <row r="2383">
      <c r="A2383" s="6" t="n"/>
    </row>
    <row r="2384">
      <c r="A2384" s="6" t="n"/>
    </row>
    <row r="2385">
      <c r="A2385" s="6" t="n"/>
    </row>
    <row r="2386">
      <c r="A2386" s="6" t="n"/>
    </row>
    <row r="2387">
      <c r="A2387" s="6" t="n"/>
    </row>
    <row r="2388">
      <c r="A2388" s="6" t="n"/>
    </row>
    <row r="2389">
      <c r="A2389" s="6" t="n"/>
    </row>
    <row r="2390">
      <c r="A2390" s="6" t="n"/>
    </row>
    <row r="2391">
      <c r="A2391" s="6" t="n"/>
    </row>
    <row r="2392">
      <c r="A2392" s="6" t="n"/>
    </row>
    <row r="2393">
      <c r="A2393" s="6" t="n"/>
    </row>
    <row r="2394">
      <c r="A2394" s="6" t="n"/>
    </row>
    <row r="2395">
      <c r="A2395" s="6" t="n"/>
    </row>
    <row r="2396">
      <c r="A2396" s="6" t="n"/>
    </row>
    <row r="2397">
      <c r="A2397" s="6" t="n"/>
    </row>
    <row r="2398">
      <c r="A2398" s="6" t="n"/>
    </row>
    <row r="2399">
      <c r="A2399" s="6" t="n"/>
    </row>
    <row r="2400">
      <c r="A2400" s="6" t="n"/>
    </row>
    <row r="2401">
      <c r="A2401" s="6" t="n"/>
    </row>
    <row r="2402">
      <c r="A2402" s="6" t="n"/>
    </row>
    <row r="2403">
      <c r="A2403" s="6" t="n"/>
    </row>
    <row r="2404">
      <c r="A2404" s="6" t="n"/>
    </row>
    <row r="2405">
      <c r="A2405" s="6" t="n"/>
    </row>
    <row r="2406">
      <c r="A2406" s="6" t="n"/>
    </row>
    <row r="2407">
      <c r="A2407" s="6" t="n"/>
    </row>
    <row r="2408">
      <c r="A2408" s="6" t="n"/>
    </row>
    <row r="2409">
      <c r="A2409" s="6" t="n"/>
    </row>
    <row r="2410">
      <c r="A2410" s="6" t="n"/>
    </row>
    <row r="2411">
      <c r="A2411" s="6" t="n"/>
    </row>
    <row r="2412">
      <c r="A2412" s="6" t="n"/>
    </row>
    <row r="2413">
      <c r="A2413" s="6" t="n"/>
    </row>
    <row r="2414">
      <c r="A2414" s="6" t="n"/>
    </row>
    <row r="2415">
      <c r="A2415" s="6" t="n"/>
    </row>
    <row r="2416">
      <c r="A2416" s="6" t="n"/>
    </row>
    <row r="2417">
      <c r="A2417" s="6" t="n"/>
    </row>
    <row r="2418">
      <c r="A2418" s="6" t="n"/>
    </row>
    <row r="2419">
      <c r="A2419" s="6" t="n"/>
    </row>
    <row r="2420">
      <c r="A2420" s="6" t="n"/>
    </row>
    <row r="2421">
      <c r="A2421" s="6" t="n"/>
    </row>
    <row r="2422">
      <c r="A2422" s="6" t="n"/>
    </row>
    <row r="2423">
      <c r="A2423" s="6" t="n"/>
    </row>
    <row r="2424">
      <c r="A2424" s="6" t="n"/>
    </row>
    <row r="2425">
      <c r="A2425" s="6" t="n"/>
    </row>
    <row r="2426">
      <c r="A2426" s="6" t="n"/>
    </row>
    <row r="2427">
      <c r="A2427" s="6" t="n"/>
    </row>
    <row r="2428">
      <c r="A2428" s="6" t="n"/>
    </row>
    <row r="2429">
      <c r="A2429" s="6" t="n"/>
    </row>
    <row r="2430">
      <c r="A2430" s="6" t="n"/>
    </row>
    <row r="2431">
      <c r="A2431" s="6" t="n"/>
    </row>
    <row r="2432">
      <c r="A2432" s="6" t="n"/>
    </row>
    <row r="2433">
      <c r="A2433" s="6" t="n"/>
    </row>
    <row r="2434">
      <c r="A2434" s="6" t="n"/>
    </row>
    <row r="2435">
      <c r="A2435" s="6" t="n"/>
    </row>
    <row r="2436">
      <c r="A2436" s="6" t="n"/>
    </row>
    <row r="2437">
      <c r="A2437" s="6" t="n"/>
    </row>
    <row r="2438">
      <c r="A2438" s="6" t="n"/>
    </row>
    <row r="2439">
      <c r="A2439" s="6" t="n"/>
    </row>
    <row r="2440">
      <c r="A2440" s="6" t="n"/>
    </row>
    <row r="2441">
      <c r="A2441" s="6" t="n"/>
    </row>
    <row r="2442">
      <c r="A2442" s="6" t="n"/>
    </row>
    <row r="2443">
      <c r="A2443" s="6" t="n"/>
    </row>
    <row r="2444">
      <c r="A2444" s="6" t="n"/>
    </row>
    <row r="2445">
      <c r="A2445" s="6" t="n"/>
    </row>
    <row r="2446">
      <c r="A2446" s="6" t="n"/>
    </row>
    <row r="2447">
      <c r="A2447" s="6" t="n"/>
    </row>
    <row r="2448">
      <c r="A2448" s="6" t="n"/>
    </row>
    <row r="2449">
      <c r="A2449" s="6" t="n"/>
    </row>
    <row r="2450">
      <c r="A2450" s="6" t="n"/>
    </row>
    <row r="2451">
      <c r="A2451" s="6" t="n"/>
    </row>
    <row r="2452">
      <c r="A2452" s="6" t="n"/>
    </row>
    <row r="2453">
      <c r="A2453" s="6" t="n"/>
    </row>
    <row r="2454">
      <c r="A2454" s="6" t="n"/>
    </row>
    <row r="2455">
      <c r="A2455" s="6" t="n"/>
    </row>
    <row r="2456">
      <c r="A2456" s="6" t="n"/>
    </row>
    <row r="2457">
      <c r="A2457" s="6" t="n"/>
    </row>
    <row r="2458">
      <c r="A2458" s="6" t="n"/>
    </row>
    <row r="2459">
      <c r="A2459" s="6" t="n"/>
    </row>
    <row r="2460">
      <c r="A2460" s="6" t="n"/>
    </row>
    <row r="2461">
      <c r="A2461" s="6" t="n"/>
    </row>
    <row r="2462">
      <c r="A2462" s="6" t="n"/>
    </row>
    <row r="2463">
      <c r="A2463" s="6" t="n"/>
    </row>
    <row r="2464">
      <c r="A2464" s="6" t="n"/>
    </row>
    <row r="2465">
      <c r="A2465" s="6" t="n"/>
    </row>
    <row r="2466">
      <c r="A2466" s="6" t="n"/>
    </row>
    <row r="2467">
      <c r="A2467" s="6" t="n"/>
    </row>
    <row r="2468">
      <c r="A2468" s="6" t="n"/>
    </row>
    <row r="2469">
      <c r="A2469" s="6" t="n"/>
    </row>
    <row r="2470">
      <c r="A2470" s="6" t="n"/>
    </row>
    <row r="2471">
      <c r="A2471" s="6" t="n"/>
    </row>
    <row r="2472">
      <c r="A2472" s="6" t="n"/>
    </row>
    <row r="2473">
      <c r="A2473" s="6" t="n"/>
    </row>
    <row r="2474">
      <c r="A2474" s="6" t="n"/>
    </row>
    <row r="2475">
      <c r="A2475" s="6" t="n"/>
    </row>
    <row r="2476">
      <c r="A2476" s="6" t="n"/>
    </row>
    <row r="2477">
      <c r="A2477" s="6" t="n"/>
    </row>
    <row r="2478">
      <c r="A2478" s="6" t="n"/>
    </row>
    <row r="2479">
      <c r="A2479" s="6" t="n"/>
    </row>
    <row r="2480">
      <c r="A2480" s="6" t="n"/>
    </row>
    <row r="2481">
      <c r="A2481" s="6" t="n"/>
    </row>
    <row r="2482">
      <c r="A2482" s="6" t="n"/>
    </row>
    <row r="2483">
      <c r="A2483" s="6" t="n"/>
    </row>
    <row r="2484">
      <c r="A2484" s="6" t="n"/>
    </row>
    <row r="2485">
      <c r="A2485" s="6" t="n"/>
    </row>
    <row r="2486">
      <c r="A2486" s="6" t="n"/>
    </row>
    <row r="2487">
      <c r="A2487" s="6" t="n"/>
    </row>
    <row r="2488">
      <c r="A2488" s="6" t="n"/>
    </row>
    <row r="2489">
      <c r="A2489" s="6" t="n"/>
    </row>
    <row r="2490">
      <c r="A2490" s="6" t="n"/>
    </row>
    <row r="2491">
      <c r="A2491" s="6" t="n"/>
    </row>
    <row r="2492">
      <c r="A2492" s="6" t="n"/>
    </row>
    <row r="2493">
      <c r="A2493" s="6" t="n"/>
    </row>
    <row r="2494">
      <c r="A2494" s="6" t="n"/>
    </row>
    <row r="2495">
      <c r="A2495" s="6" t="n"/>
    </row>
    <row r="2496">
      <c r="A2496" s="6" t="n"/>
    </row>
    <row r="2497">
      <c r="A2497" s="6" t="n"/>
    </row>
    <row r="2498">
      <c r="A2498" s="6" t="n"/>
    </row>
    <row r="2499">
      <c r="A2499" s="6" t="n"/>
    </row>
    <row r="2500">
      <c r="A2500" s="6" t="n"/>
    </row>
    <row r="2501">
      <c r="A2501" s="6" t="n"/>
    </row>
    <row r="2502">
      <c r="A2502" s="6" t="n"/>
    </row>
    <row r="2503">
      <c r="A2503" s="6" t="n"/>
    </row>
    <row r="2504">
      <c r="A2504" s="6" t="n"/>
    </row>
    <row r="2505">
      <c r="A2505" s="6" t="n"/>
    </row>
    <row r="2506">
      <c r="A2506" s="6" t="n"/>
    </row>
    <row r="2507">
      <c r="A2507" s="6" t="n"/>
    </row>
    <row r="2508">
      <c r="A2508" s="6" t="n"/>
    </row>
    <row r="2509">
      <c r="A2509" s="6" t="n"/>
    </row>
    <row r="2510">
      <c r="A2510" s="6" t="n"/>
    </row>
    <row r="2511">
      <c r="A2511" s="6" t="n"/>
    </row>
    <row r="2512">
      <c r="A2512" s="6" t="n"/>
    </row>
    <row r="2513">
      <c r="A2513" s="6" t="n"/>
    </row>
    <row r="2514">
      <c r="A2514" s="6" t="n"/>
    </row>
    <row r="2515">
      <c r="A2515" s="6" t="n"/>
    </row>
    <row r="2516">
      <c r="A2516" s="6" t="n"/>
    </row>
    <row r="2517">
      <c r="A2517" s="6" t="n"/>
    </row>
    <row r="2518">
      <c r="A2518" s="6" t="n"/>
    </row>
    <row r="2519">
      <c r="A2519" s="6" t="n"/>
    </row>
    <row r="2520">
      <c r="A2520" s="6" t="n"/>
    </row>
    <row r="2521">
      <c r="A2521" s="6" t="n"/>
    </row>
    <row r="2522">
      <c r="A2522" s="6" t="n"/>
    </row>
    <row r="2523">
      <c r="A2523" s="6" t="n"/>
    </row>
    <row r="2524">
      <c r="A2524" s="6" t="n"/>
    </row>
    <row r="2525">
      <c r="A2525" s="6" t="n"/>
    </row>
    <row r="2526">
      <c r="A2526" s="6" t="n"/>
    </row>
    <row r="2527">
      <c r="A2527" s="6" t="n"/>
    </row>
    <row r="2528">
      <c r="A2528" s="6" t="n"/>
    </row>
    <row r="2529">
      <c r="A2529" s="6" t="n"/>
    </row>
    <row r="2530">
      <c r="A2530" s="6" t="n"/>
    </row>
    <row r="2531">
      <c r="A2531" s="6" t="n"/>
    </row>
    <row r="2532">
      <c r="A2532" s="6" t="n"/>
    </row>
    <row r="2533">
      <c r="A2533" s="6" t="n"/>
    </row>
    <row r="2534">
      <c r="A2534" s="6" t="n"/>
    </row>
    <row r="2535">
      <c r="A2535" s="6" t="n"/>
    </row>
    <row r="2536">
      <c r="A2536" s="6" t="n"/>
    </row>
    <row r="2537">
      <c r="A2537" s="6" t="n"/>
    </row>
    <row r="2538">
      <c r="A2538" s="6" t="n"/>
    </row>
    <row r="2539">
      <c r="A2539" s="6" t="n"/>
    </row>
    <row r="2540">
      <c r="A2540" s="6" t="n"/>
    </row>
    <row r="2541">
      <c r="A2541" s="6" t="n"/>
    </row>
    <row r="2542">
      <c r="A2542" s="6" t="n"/>
    </row>
    <row r="2543">
      <c r="A2543" s="6" t="n"/>
    </row>
    <row r="2544">
      <c r="A2544" s="6" t="n"/>
    </row>
    <row r="2545">
      <c r="A2545" s="6" t="n"/>
    </row>
    <row r="2546">
      <c r="A2546" s="6" t="n"/>
    </row>
    <row r="2547">
      <c r="A2547" s="6" t="n"/>
    </row>
    <row r="2548">
      <c r="A2548" s="6" t="n"/>
    </row>
    <row r="2549">
      <c r="A2549" s="6" t="n"/>
    </row>
    <row r="2550">
      <c r="A2550" s="6" t="n"/>
    </row>
    <row r="2551">
      <c r="A2551" s="6" t="n"/>
    </row>
    <row r="2552">
      <c r="A2552" s="6" t="n"/>
    </row>
    <row r="2553">
      <c r="A2553" s="6" t="n"/>
    </row>
    <row r="2554">
      <c r="A2554" s="6" t="n"/>
    </row>
    <row r="2555">
      <c r="A2555" s="6" t="n"/>
    </row>
    <row r="2556">
      <c r="A2556" s="6" t="n"/>
    </row>
    <row r="2557">
      <c r="A2557" s="6" t="n"/>
    </row>
    <row r="2558">
      <c r="A2558" s="6" t="n"/>
    </row>
    <row r="2559">
      <c r="A2559" s="6" t="n"/>
    </row>
    <row r="2560">
      <c r="A2560" s="6" t="n"/>
    </row>
    <row r="2561">
      <c r="A2561" s="6" t="n"/>
    </row>
    <row r="2562">
      <c r="A2562" s="6" t="n"/>
    </row>
    <row r="2563">
      <c r="A2563" s="6" t="n"/>
    </row>
    <row r="2564">
      <c r="A2564" s="6" t="n"/>
    </row>
    <row r="2565">
      <c r="A2565" s="6" t="n"/>
    </row>
    <row r="2566">
      <c r="A2566" s="6" t="n"/>
    </row>
    <row r="2567">
      <c r="A2567" s="6" t="n"/>
    </row>
    <row r="2568">
      <c r="A2568" s="6" t="n"/>
    </row>
    <row r="2569">
      <c r="A2569" s="6" t="n"/>
    </row>
    <row r="2570">
      <c r="A2570" s="6" t="n"/>
    </row>
    <row r="2571">
      <c r="A2571" s="6" t="n"/>
    </row>
    <row r="2572">
      <c r="A2572" s="6" t="n"/>
    </row>
    <row r="2573">
      <c r="A2573" s="6" t="n"/>
    </row>
    <row r="2574">
      <c r="A2574" s="6" t="n"/>
    </row>
    <row r="2575">
      <c r="A2575" s="6" t="n"/>
    </row>
    <row r="2576">
      <c r="A2576" s="6" t="n"/>
    </row>
    <row r="2577">
      <c r="A2577" s="6" t="n"/>
    </row>
    <row r="2578">
      <c r="A2578" s="6" t="n"/>
    </row>
    <row r="2579">
      <c r="A2579" s="6" t="n"/>
    </row>
    <row r="2580">
      <c r="A2580" s="6" t="n"/>
    </row>
    <row r="2581">
      <c r="A2581" s="6" t="n"/>
    </row>
    <row r="2582">
      <c r="A2582" s="6" t="n"/>
    </row>
    <row r="2583">
      <c r="A2583" s="6" t="n"/>
    </row>
    <row r="2584">
      <c r="A2584" s="6" t="n"/>
    </row>
    <row r="2585">
      <c r="A2585" s="6" t="n"/>
    </row>
    <row r="2586">
      <c r="A2586" s="6" t="n"/>
    </row>
    <row r="2587">
      <c r="A2587" s="6" t="n"/>
    </row>
    <row r="2588">
      <c r="A2588" s="6" t="n"/>
    </row>
    <row r="2589">
      <c r="A2589" s="6" t="n"/>
    </row>
    <row r="2590">
      <c r="A2590" s="6" t="n"/>
    </row>
    <row r="2591">
      <c r="A2591" s="6" t="n"/>
    </row>
    <row r="2592">
      <c r="A2592" s="6" t="n"/>
    </row>
    <row r="2593">
      <c r="A2593" s="6" t="n"/>
    </row>
    <row r="2594">
      <c r="A2594" s="6" t="n"/>
    </row>
    <row r="2595">
      <c r="A2595" s="6" t="n"/>
    </row>
    <row r="2596">
      <c r="A2596" s="6" t="n"/>
    </row>
    <row r="2597">
      <c r="A2597" s="6" t="n"/>
    </row>
    <row r="2598">
      <c r="A2598" s="6" t="n"/>
    </row>
    <row r="2599">
      <c r="A2599" s="6" t="n"/>
    </row>
    <row r="2600">
      <c r="A2600" s="6" t="n"/>
    </row>
    <row r="2601">
      <c r="A2601" s="6" t="n"/>
    </row>
    <row r="2602">
      <c r="A2602" s="6" t="n"/>
    </row>
    <row r="2603">
      <c r="A2603" s="6" t="n"/>
    </row>
    <row r="2604">
      <c r="A2604" s="6" t="n"/>
    </row>
    <row r="2605">
      <c r="A2605" s="6" t="n"/>
    </row>
    <row r="2606">
      <c r="A2606" s="6" t="n"/>
    </row>
    <row r="2607">
      <c r="A2607" s="6" t="n"/>
    </row>
    <row r="2608">
      <c r="A2608" s="6" t="n"/>
    </row>
    <row r="2609">
      <c r="A2609" s="6" t="n"/>
    </row>
    <row r="2610">
      <c r="A2610" s="6" t="n"/>
    </row>
    <row r="2611">
      <c r="A2611" s="6" t="n"/>
    </row>
    <row r="2612">
      <c r="A2612" s="6" t="n"/>
    </row>
    <row r="2613">
      <c r="A2613" s="6" t="n"/>
    </row>
    <row r="2614">
      <c r="A2614" s="6" t="n"/>
    </row>
    <row r="2615">
      <c r="A2615" s="6" t="n"/>
    </row>
    <row r="2616">
      <c r="A2616" s="6" t="n"/>
    </row>
    <row r="2617">
      <c r="A2617" s="6" t="n"/>
    </row>
    <row r="2618">
      <c r="A2618" s="6" t="n"/>
    </row>
    <row r="2619">
      <c r="A2619" s="6" t="n"/>
    </row>
    <row r="2620">
      <c r="A2620" s="6" t="n"/>
    </row>
    <row r="2621">
      <c r="A2621" s="6" t="n"/>
    </row>
    <row r="2622">
      <c r="A2622" s="6" t="n"/>
    </row>
    <row r="2623">
      <c r="A2623" s="6" t="n"/>
    </row>
    <row r="2624">
      <c r="A2624" s="6" t="n"/>
    </row>
    <row r="2625">
      <c r="A2625" s="6" t="n"/>
    </row>
    <row r="2626">
      <c r="A2626" s="6" t="n"/>
    </row>
    <row r="2627">
      <c r="A2627" s="6" t="n"/>
    </row>
    <row r="2628">
      <c r="A2628" s="6" t="n"/>
    </row>
    <row r="2629">
      <c r="A2629" s="6" t="n"/>
    </row>
    <row r="2630">
      <c r="A2630" s="6" t="n"/>
    </row>
    <row r="2631">
      <c r="A2631" s="6" t="n"/>
    </row>
    <row r="2632">
      <c r="A2632" s="6" t="n"/>
    </row>
    <row r="2633">
      <c r="A2633" s="6" t="n"/>
    </row>
    <row r="2634">
      <c r="A2634" s="6" t="n"/>
    </row>
    <row r="2635">
      <c r="A2635" s="6" t="n"/>
    </row>
    <row r="2636">
      <c r="A2636" s="6" t="n"/>
    </row>
    <row r="2637">
      <c r="A2637" s="6" t="n"/>
    </row>
    <row r="2638">
      <c r="A2638" s="6" t="n"/>
    </row>
    <row r="2639">
      <c r="A2639" s="6" t="n"/>
    </row>
    <row r="2640">
      <c r="A2640" s="6" t="n"/>
    </row>
    <row r="2641">
      <c r="A2641" s="6" t="n"/>
    </row>
    <row r="2642">
      <c r="A2642" s="6" t="n"/>
    </row>
    <row r="2643">
      <c r="A2643" s="6" t="n"/>
    </row>
    <row r="2644">
      <c r="A2644" s="6" t="n"/>
    </row>
    <row r="2645">
      <c r="A2645" s="6" t="n"/>
    </row>
    <row r="2646">
      <c r="A2646" s="6" t="n"/>
    </row>
    <row r="2647">
      <c r="A2647" s="6" t="n"/>
    </row>
    <row r="2648">
      <c r="A2648" s="6" t="n"/>
    </row>
    <row r="2649">
      <c r="A2649" s="6" t="n"/>
    </row>
    <row r="2650">
      <c r="A2650" s="6" t="n"/>
    </row>
    <row r="2651">
      <c r="A2651" s="6" t="n"/>
    </row>
    <row r="2652">
      <c r="A2652" s="6" t="n"/>
    </row>
    <row r="2653">
      <c r="A2653" s="6" t="n"/>
    </row>
    <row r="2654">
      <c r="A2654" s="6" t="n"/>
    </row>
    <row r="2655">
      <c r="A2655" s="6" t="n"/>
    </row>
    <row r="2656">
      <c r="A2656" s="6" t="n"/>
    </row>
    <row r="2657">
      <c r="A2657" s="6" t="n"/>
    </row>
    <row r="2658">
      <c r="A2658" s="6" t="n"/>
    </row>
    <row r="2659">
      <c r="A2659" s="6" t="n"/>
    </row>
    <row r="2660">
      <c r="A2660" s="6" t="n"/>
    </row>
    <row r="2661">
      <c r="A2661" s="6" t="n"/>
    </row>
    <row r="2662">
      <c r="A2662" s="6" t="n"/>
    </row>
    <row r="2663">
      <c r="A2663" s="6" t="n"/>
    </row>
    <row r="2664">
      <c r="A2664" s="6" t="n"/>
    </row>
    <row r="2665">
      <c r="A2665" s="6" t="n"/>
    </row>
    <row r="2666">
      <c r="A2666" s="6" t="n"/>
    </row>
    <row r="2667">
      <c r="A2667" s="6" t="n"/>
    </row>
    <row r="2668">
      <c r="A2668" s="6" t="n"/>
    </row>
    <row r="2669">
      <c r="A2669" s="6" t="n"/>
    </row>
    <row r="2670">
      <c r="A2670" s="6" t="n"/>
    </row>
    <row r="2671">
      <c r="A2671" s="6" t="n"/>
    </row>
    <row r="2672">
      <c r="A2672" s="6" t="n"/>
    </row>
    <row r="2673">
      <c r="A2673" s="6" t="n"/>
    </row>
    <row r="2674">
      <c r="A2674" s="6" t="n"/>
    </row>
    <row r="2675">
      <c r="A2675" s="6" t="n"/>
    </row>
    <row r="2676">
      <c r="A2676" s="6" t="n"/>
    </row>
    <row r="2677">
      <c r="A2677" s="6" t="n"/>
    </row>
    <row r="2678">
      <c r="A2678" s="6" t="n"/>
    </row>
    <row r="2679">
      <c r="A2679" s="6" t="n"/>
    </row>
    <row r="2680">
      <c r="A2680" s="6" t="n"/>
    </row>
    <row r="2681">
      <c r="A2681" s="6" t="n"/>
    </row>
    <row r="2682">
      <c r="A2682" s="6" t="n"/>
    </row>
    <row r="2683">
      <c r="A2683" s="6" t="n"/>
    </row>
    <row r="2684">
      <c r="A2684" s="6" t="n"/>
    </row>
    <row r="2685">
      <c r="A2685" s="6" t="n"/>
    </row>
    <row r="2686">
      <c r="A2686" s="6" t="n"/>
    </row>
    <row r="2687">
      <c r="A2687" s="6" t="n"/>
    </row>
    <row r="2688">
      <c r="A2688" s="6" t="n"/>
    </row>
    <row r="2689">
      <c r="A2689" s="6" t="n"/>
    </row>
    <row r="2690">
      <c r="A2690" s="6" t="n"/>
    </row>
    <row r="2691">
      <c r="A2691" s="6" t="n"/>
    </row>
    <row r="2692">
      <c r="A2692" s="6" t="n"/>
    </row>
    <row r="2693">
      <c r="A2693" s="6" t="n"/>
    </row>
    <row r="2694">
      <c r="A2694" s="6" t="n"/>
    </row>
    <row r="2695">
      <c r="A2695" s="6" t="n"/>
    </row>
    <row r="2696">
      <c r="A2696" s="6" t="n"/>
    </row>
    <row r="2697">
      <c r="A2697" s="6" t="n"/>
    </row>
    <row r="2698">
      <c r="A2698" s="6" t="n"/>
    </row>
    <row r="2699">
      <c r="A2699" s="6" t="n"/>
    </row>
    <row r="2700">
      <c r="A2700" s="6" t="n"/>
    </row>
    <row r="2701">
      <c r="A2701" s="6" t="n"/>
    </row>
    <row r="2702">
      <c r="A2702" s="6" t="n"/>
    </row>
    <row r="2703">
      <c r="A2703" s="6" t="n"/>
    </row>
    <row r="2704">
      <c r="A2704" s="6" t="n"/>
    </row>
    <row r="2705">
      <c r="A2705" s="6" t="n"/>
    </row>
    <row r="2706">
      <c r="A2706" s="6" t="n"/>
    </row>
    <row r="2707">
      <c r="A2707" s="6" t="n"/>
    </row>
    <row r="2708">
      <c r="A2708" s="6" t="n"/>
    </row>
    <row r="2709">
      <c r="A2709" s="6" t="n"/>
    </row>
    <row r="2710">
      <c r="A2710" s="6" t="n"/>
    </row>
    <row r="2711">
      <c r="A2711" s="6" t="n"/>
    </row>
    <row r="2712">
      <c r="A2712" s="6" t="n"/>
    </row>
    <row r="2713">
      <c r="A2713" s="6" t="n"/>
    </row>
    <row r="2714">
      <c r="A2714" s="6" t="n"/>
    </row>
    <row r="2715">
      <c r="A2715" s="6" t="n"/>
    </row>
    <row r="2716">
      <c r="A2716" s="6" t="n"/>
    </row>
    <row r="2717">
      <c r="A2717" s="6" t="n"/>
    </row>
    <row r="2718">
      <c r="A2718" s="6" t="n"/>
    </row>
    <row r="2719">
      <c r="A2719" s="6" t="n"/>
    </row>
    <row r="2720">
      <c r="A2720" s="6" t="n"/>
    </row>
    <row r="2721">
      <c r="A2721" s="6" t="n"/>
    </row>
    <row r="2722">
      <c r="A2722" s="6" t="n"/>
    </row>
    <row r="2723">
      <c r="A2723" s="6" t="n"/>
    </row>
    <row r="2724">
      <c r="A2724" s="6" t="n"/>
    </row>
    <row r="2725">
      <c r="A2725" s="6" t="n"/>
    </row>
    <row r="2726">
      <c r="A2726" s="6" t="n"/>
    </row>
    <row r="2727">
      <c r="A2727" s="6" t="n"/>
    </row>
    <row r="2728">
      <c r="A2728" s="6" t="n"/>
    </row>
    <row r="2729">
      <c r="A2729" s="6" t="n"/>
    </row>
    <row r="2730">
      <c r="A2730" s="6" t="n"/>
    </row>
    <row r="2731">
      <c r="A2731" s="6" t="n"/>
    </row>
    <row r="2732">
      <c r="A2732" s="6" t="n"/>
    </row>
    <row r="2733">
      <c r="A2733" s="6" t="n"/>
    </row>
    <row r="2734">
      <c r="A2734" s="6" t="n"/>
    </row>
    <row r="2735">
      <c r="A2735" s="6" t="n"/>
    </row>
    <row r="2736">
      <c r="A2736" s="6" t="n"/>
    </row>
    <row r="2737">
      <c r="A2737" s="6" t="n"/>
    </row>
    <row r="2738">
      <c r="A2738" s="6" t="n"/>
    </row>
    <row r="2739">
      <c r="A2739" s="6" t="n"/>
    </row>
    <row r="2740">
      <c r="A2740" s="6" t="n"/>
    </row>
    <row r="2741">
      <c r="A2741" s="6" t="n"/>
    </row>
    <row r="2742">
      <c r="A2742" s="6" t="n"/>
    </row>
    <row r="2743">
      <c r="A2743" s="6" t="n"/>
    </row>
    <row r="2744">
      <c r="A2744" s="6" t="n"/>
    </row>
    <row r="2745">
      <c r="A2745" s="6" t="n"/>
    </row>
    <row r="2746">
      <c r="A2746" s="6" t="n"/>
    </row>
    <row r="2747">
      <c r="A2747" s="6" t="n"/>
    </row>
    <row r="2748">
      <c r="A2748" s="6" t="n"/>
    </row>
    <row r="2749">
      <c r="A2749" s="6" t="n"/>
    </row>
    <row r="2750">
      <c r="A2750" s="6" t="n"/>
    </row>
    <row r="2751">
      <c r="A2751" s="6" t="n"/>
    </row>
    <row r="2752">
      <c r="A2752" s="6" t="n"/>
    </row>
    <row r="2753">
      <c r="A2753" s="6" t="n"/>
    </row>
    <row r="2754">
      <c r="A2754" s="6" t="n"/>
    </row>
    <row r="2755">
      <c r="A2755" s="6" t="n"/>
    </row>
    <row r="2756">
      <c r="A2756" s="6" t="n"/>
    </row>
    <row r="2757">
      <c r="A2757" s="6" t="n"/>
    </row>
    <row r="2758">
      <c r="A2758" s="6" t="n"/>
    </row>
    <row r="2759">
      <c r="A2759" s="6" t="n"/>
    </row>
    <row r="2760">
      <c r="A2760" s="6" t="n"/>
    </row>
    <row r="2761">
      <c r="A2761" s="6" t="n"/>
    </row>
    <row r="2762">
      <c r="A2762" s="6" t="n"/>
    </row>
    <row r="2763">
      <c r="A2763" s="6" t="n"/>
    </row>
    <row r="2764">
      <c r="A2764" s="6" t="n"/>
    </row>
    <row r="2765">
      <c r="A2765" s="6" t="n"/>
    </row>
    <row r="2766">
      <c r="A2766" s="6" t="n"/>
    </row>
    <row r="2767">
      <c r="A2767" s="6" t="n"/>
    </row>
    <row r="2768">
      <c r="A2768" s="6" t="n"/>
    </row>
    <row r="2769">
      <c r="A2769" s="6" t="n"/>
    </row>
    <row r="2770">
      <c r="A2770" s="6" t="n"/>
    </row>
    <row r="2771">
      <c r="A2771" s="6" t="n"/>
    </row>
    <row r="2772">
      <c r="A2772" s="6" t="n"/>
    </row>
    <row r="2773">
      <c r="A2773" s="6" t="n"/>
    </row>
    <row r="2774">
      <c r="A2774" s="6" t="n"/>
    </row>
    <row r="2775">
      <c r="A2775" s="6" t="n"/>
    </row>
    <row r="2776">
      <c r="A2776" s="6" t="n"/>
    </row>
    <row r="2777">
      <c r="A2777" s="6" t="n"/>
    </row>
    <row r="2778">
      <c r="A2778" s="6" t="n"/>
    </row>
    <row r="2779">
      <c r="A2779" s="6" t="n"/>
    </row>
    <row r="2780">
      <c r="A2780" s="6" t="n"/>
    </row>
    <row r="2781">
      <c r="A2781" s="6" t="n"/>
    </row>
    <row r="2782">
      <c r="A2782" s="6" t="n"/>
    </row>
    <row r="2783">
      <c r="A2783" s="6" t="n"/>
    </row>
    <row r="2784">
      <c r="A2784" s="6" t="n"/>
    </row>
    <row r="2785">
      <c r="A2785" s="6" t="n"/>
    </row>
    <row r="2786">
      <c r="A2786" s="6" t="n"/>
    </row>
    <row r="2787">
      <c r="A2787" s="6" t="n"/>
    </row>
    <row r="2788">
      <c r="A2788" s="6" t="n"/>
    </row>
    <row r="2789">
      <c r="A2789" s="6" t="n"/>
    </row>
    <row r="2790">
      <c r="A2790" s="6" t="n"/>
    </row>
    <row r="2791">
      <c r="A2791" s="6" t="n"/>
    </row>
    <row r="2792">
      <c r="A2792" s="6" t="n"/>
    </row>
    <row r="2793">
      <c r="A2793" s="6" t="n"/>
    </row>
    <row r="2794">
      <c r="A2794" s="6" t="n"/>
    </row>
    <row r="2795">
      <c r="A2795" s="6" t="n"/>
    </row>
    <row r="2796">
      <c r="A2796" s="6" t="n"/>
    </row>
    <row r="2797">
      <c r="A2797" s="6" t="n"/>
    </row>
    <row r="2798">
      <c r="A2798" s="6" t="n"/>
    </row>
    <row r="2799">
      <c r="A2799" s="6" t="n"/>
    </row>
    <row r="2800">
      <c r="A2800" s="6" t="n"/>
    </row>
    <row r="2801">
      <c r="A2801" s="6" t="n"/>
    </row>
    <row r="2802">
      <c r="A2802" s="6" t="n"/>
    </row>
    <row r="2803">
      <c r="A2803" s="6" t="n"/>
    </row>
    <row r="2804">
      <c r="A2804" s="6" t="n"/>
    </row>
    <row r="2805">
      <c r="A2805" s="6" t="n"/>
    </row>
    <row r="2806">
      <c r="A2806" s="6" t="n"/>
    </row>
    <row r="2807">
      <c r="A2807" s="6" t="n"/>
    </row>
    <row r="2808">
      <c r="A2808" s="6" t="n"/>
    </row>
    <row r="2809">
      <c r="A2809" s="6" t="n"/>
    </row>
    <row r="2810">
      <c r="A2810" s="6" t="n"/>
    </row>
    <row r="2811">
      <c r="A2811" s="6" t="n"/>
    </row>
    <row r="2812">
      <c r="A2812" s="6" t="n"/>
    </row>
    <row r="2813">
      <c r="A2813" s="6" t="n"/>
    </row>
    <row r="2814">
      <c r="A2814" s="6" t="n"/>
    </row>
    <row r="2815">
      <c r="A2815" s="6" t="n"/>
    </row>
    <row r="2816">
      <c r="A2816" s="6" t="n"/>
    </row>
    <row r="2817">
      <c r="A2817" s="6" t="n"/>
    </row>
    <row r="2818">
      <c r="A2818" s="6" t="n"/>
    </row>
    <row r="2819">
      <c r="A2819" s="6" t="n"/>
    </row>
    <row r="2820">
      <c r="A2820" s="6" t="n"/>
    </row>
    <row r="2821">
      <c r="A2821" s="6" t="n"/>
    </row>
    <row r="2822">
      <c r="A2822" s="6" t="n"/>
    </row>
    <row r="2823">
      <c r="A2823" s="6" t="n"/>
    </row>
    <row r="2824">
      <c r="A2824" s="6" t="n"/>
    </row>
    <row r="2825">
      <c r="A2825" s="6" t="n"/>
    </row>
    <row r="2826">
      <c r="A2826" s="6" t="n"/>
    </row>
    <row r="2827">
      <c r="A2827" s="6" t="n"/>
    </row>
    <row r="2828">
      <c r="A2828" s="6" t="n"/>
    </row>
    <row r="2829">
      <c r="A2829" s="6" t="n"/>
    </row>
    <row r="2830">
      <c r="A2830" s="6" t="n"/>
    </row>
    <row r="2831">
      <c r="A2831" s="6" t="n"/>
    </row>
    <row r="2832">
      <c r="A2832" s="6" t="n"/>
    </row>
    <row r="2833">
      <c r="A2833" s="6" t="n"/>
    </row>
    <row r="2834">
      <c r="A2834" s="6" t="n"/>
    </row>
    <row r="2835">
      <c r="A2835" s="6" t="n"/>
    </row>
    <row r="2836">
      <c r="A2836" s="6" t="n"/>
    </row>
    <row r="2837">
      <c r="A2837" s="6" t="n"/>
    </row>
    <row r="2838">
      <c r="A2838" s="6" t="n"/>
    </row>
    <row r="2839">
      <c r="A2839" s="6" t="n"/>
    </row>
    <row r="2840">
      <c r="A2840" s="6" t="n"/>
    </row>
    <row r="2841">
      <c r="A2841" s="6" t="n"/>
    </row>
    <row r="2842">
      <c r="A2842" s="6" t="n"/>
    </row>
    <row r="2843">
      <c r="A2843" s="6" t="n"/>
    </row>
    <row r="2844">
      <c r="A2844" s="6" t="n"/>
    </row>
    <row r="2845">
      <c r="A2845" s="6" t="n"/>
    </row>
    <row r="2846">
      <c r="A2846" s="6" t="n"/>
    </row>
    <row r="2847">
      <c r="A2847" s="6" t="n"/>
    </row>
    <row r="2848">
      <c r="A2848" s="6" t="n"/>
    </row>
    <row r="2849">
      <c r="A2849" s="6" t="n"/>
    </row>
    <row r="2850">
      <c r="A2850" s="6" t="n"/>
    </row>
    <row r="2851">
      <c r="A2851" s="6" t="n"/>
    </row>
    <row r="2852">
      <c r="A2852" s="6" t="n"/>
    </row>
    <row r="2853">
      <c r="A2853" s="6" t="n"/>
    </row>
    <row r="2854">
      <c r="A2854" s="6" t="n"/>
    </row>
    <row r="2855">
      <c r="A2855" s="6" t="n"/>
    </row>
    <row r="2856">
      <c r="A2856" s="6" t="n"/>
    </row>
    <row r="2857">
      <c r="A2857" s="6" t="n"/>
    </row>
    <row r="2858">
      <c r="A2858" s="6" t="n"/>
    </row>
    <row r="2859">
      <c r="A2859" s="6" t="n"/>
    </row>
    <row r="2860">
      <c r="A2860" s="6" t="n"/>
    </row>
    <row r="2861">
      <c r="A2861" s="6" t="n"/>
    </row>
    <row r="2862">
      <c r="A2862" s="6" t="n"/>
    </row>
    <row r="2863">
      <c r="A2863" s="6" t="n"/>
    </row>
    <row r="2864">
      <c r="A2864" s="6" t="n"/>
    </row>
    <row r="2865">
      <c r="A2865" s="6" t="n"/>
    </row>
    <row r="2866">
      <c r="A2866" s="6" t="n"/>
    </row>
    <row r="2867">
      <c r="A2867" s="6" t="n"/>
    </row>
    <row r="2868">
      <c r="A2868" s="6" t="n"/>
    </row>
    <row r="2869">
      <c r="A2869" s="6" t="n"/>
    </row>
    <row r="2870">
      <c r="A2870" s="6" t="n"/>
    </row>
    <row r="2871">
      <c r="A2871" s="6" t="n"/>
    </row>
    <row r="2872">
      <c r="A2872" s="6" t="n"/>
    </row>
    <row r="2873">
      <c r="A2873" s="6" t="n"/>
    </row>
    <row r="2874">
      <c r="A2874" s="6" t="n"/>
    </row>
    <row r="2875">
      <c r="A2875" s="6" t="n"/>
    </row>
    <row r="2876">
      <c r="A2876" s="6" t="n"/>
    </row>
    <row r="2877">
      <c r="A2877" s="6" t="n"/>
    </row>
    <row r="2878">
      <c r="A2878" s="6" t="n"/>
    </row>
    <row r="2879">
      <c r="A2879" s="6" t="n"/>
    </row>
    <row r="2880">
      <c r="A2880" s="6" t="n"/>
    </row>
    <row r="2881">
      <c r="A2881" s="6" t="n"/>
    </row>
    <row r="2882">
      <c r="A2882" s="6" t="n"/>
    </row>
    <row r="2883">
      <c r="A2883" s="6" t="n"/>
    </row>
    <row r="2884">
      <c r="A2884" s="6" t="n"/>
    </row>
    <row r="2885">
      <c r="A2885" s="6" t="n"/>
    </row>
    <row r="2886">
      <c r="A2886" s="6" t="n"/>
    </row>
    <row r="2887">
      <c r="A2887" s="6" t="n"/>
    </row>
    <row r="2888">
      <c r="A2888" s="6" t="n"/>
    </row>
    <row r="2889">
      <c r="A2889" s="6" t="n"/>
    </row>
    <row r="2890">
      <c r="A2890" s="6" t="n"/>
    </row>
    <row r="2891">
      <c r="A2891" s="6" t="n"/>
    </row>
    <row r="2892">
      <c r="A2892" s="6" t="n"/>
    </row>
    <row r="2893">
      <c r="A2893" s="6" t="n"/>
    </row>
    <row r="2894">
      <c r="A2894" s="6" t="n"/>
    </row>
    <row r="2895">
      <c r="A2895" s="6" t="n"/>
    </row>
    <row r="2896">
      <c r="A2896" s="6" t="n"/>
    </row>
    <row r="2897">
      <c r="A2897" s="6" t="n"/>
    </row>
    <row r="2898">
      <c r="A2898" s="6" t="n"/>
    </row>
    <row r="2899">
      <c r="A2899" s="6" t="n"/>
    </row>
    <row r="2900">
      <c r="A2900" s="6" t="n"/>
    </row>
    <row r="2901">
      <c r="A2901" s="6" t="n"/>
    </row>
    <row r="2902">
      <c r="A2902" s="6" t="n"/>
    </row>
    <row r="2903">
      <c r="A2903" s="6" t="n"/>
    </row>
    <row r="2904">
      <c r="A2904" s="6" t="n"/>
    </row>
    <row r="2905">
      <c r="A2905" s="6" t="n"/>
    </row>
    <row r="2906">
      <c r="A2906" s="6" t="n"/>
    </row>
    <row r="2907">
      <c r="A2907" s="6" t="n"/>
    </row>
    <row r="2908">
      <c r="A2908" s="6" t="n"/>
    </row>
    <row r="2909">
      <c r="A2909" s="6" t="n"/>
    </row>
    <row r="2910">
      <c r="A2910" s="6" t="n"/>
    </row>
    <row r="2911">
      <c r="A2911" s="6" t="n"/>
    </row>
    <row r="2912">
      <c r="A2912" s="6" t="n"/>
    </row>
    <row r="2913">
      <c r="A2913" s="6" t="n"/>
    </row>
    <row r="2914">
      <c r="A2914" s="6" t="n"/>
    </row>
    <row r="2915">
      <c r="A2915" s="6" t="n"/>
    </row>
    <row r="2916">
      <c r="A2916" s="6" t="n"/>
    </row>
    <row r="2917">
      <c r="A2917" s="6" t="n"/>
    </row>
    <row r="2918">
      <c r="A2918" s="6" t="n"/>
    </row>
    <row r="2919">
      <c r="A2919" s="6" t="n"/>
    </row>
    <row r="2920">
      <c r="A2920" s="6" t="n"/>
    </row>
    <row r="2921">
      <c r="A2921" s="6" t="n"/>
    </row>
    <row r="2922">
      <c r="A2922" s="6" t="n"/>
    </row>
    <row r="2923">
      <c r="A2923" s="6" t="n"/>
    </row>
    <row r="2924">
      <c r="A2924" s="6" t="n"/>
    </row>
    <row r="2925">
      <c r="A2925" s="6" t="n"/>
    </row>
    <row r="2926">
      <c r="A2926" s="6" t="n"/>
    </row>
    <row r="2927">
      <c r="A2927" s="6" t="n"/>
    </row>
    <row r="2928">
      <c r="A2928" s="6" t="n"/>
    </row>
    <row r="2929">
      <c r="A2929" s="6" t="n"/>
    </row>
    <row r="2930">
      <c r="A2930" s="6" t="n"/>
    </row>
    <row r="2931">
      <c r="A2931" s="6" t="n"/>
    </row>
    <row r="2932">
      <c r="A2932" s="6" t="n"/>
    </row>
    <row r="2933">
      <c r="A2933" s="6" t="n"/>
    </row>
    <row r="2934">
      <c r="A2934" s="6" t="n"/>
    </row>
    <row r="2935">
      <c r="A2935" s="6" t="n"/>
    </row>
    <row r="2936">
      <c r="A2936" s="6" t="n"/>
    </row>
    <row r="2937">
      <c r="A2937" s="6" t="n"/>
    </row>
    <row r="2938">
      <c r="A2938" s="6" t="n"/>
    </row>
    <row r="2939">
      <c r="A2939" s="6" t="n"/>
    </row>
    <row r="2940">
      <c r="A2940" s="6" t="n"/>
    </row>
    <row r="2941">
      <c r="A2941" s="6" t="n"/>
    </row>
    <row r="2942">
      <c r="A2942" s="6" t="n"/>
    </row>
    <row r="2943">
      <c r="A2943" s="6" t="n"/>
    </row>
    <row r="2944">
      <c r="A2944" s="6" t="n"/>
    </row>
    <row r="2945">
      <c r="A2945" s="6" t="n"/>
    </row>
    <row r="2946">
      <c r="A2946" s="6" t="n"/>
    </row>
    <row r="2947">
      <c r="A2947" s="6" t="n"/>
    </row>
    <row r="2948">
      <c r="A2948" s="6" t="n"/>
    </row>
    <row r="2949">
      <c r="A2949" s="6" t="n"/>
    </row>
    <row r="2950">
      <c r="A2950" s="6" t="n"/>
    </row>
    <row r="2951">
      <c r="A2951" s="6" t="n"/>
    </row>
    <row r="2952">
      <c r="A2952" s="6" t="n"/>
    </row>
    <row r="2953">
      <c r="A2953" s="6" t="n"/>
    </row>
    <row r="2954">
      <c r="A2954" s="6" t="n"/>
    </row>
    <row r="2955">
      <c r="A2955" s="6" t="n"/>
    </row>
    <row r="2956">
      <c r="A2956" s="6" t="n"/>
    </row>
    <row r="2957">
      <c r="A2957" s="6" t="n"/>
    </row>
    <row r="2958">
      <c r="A2958" s="6" t="n"/>
    </row>
    <row r="2959">
      <c r="A2959" s="6" t="n"/>
    </row>
    <row r="2960">
      <c r="A2960" s="6" t="n"/>
    </row>
    <row r="2961">
      <c r="A2961" s="6" t="n"/>
    </row>
    <row r="2962">
      <c r="A2962" s="6" t="n"/>
    </row>
    <row r="2963">
      <c r="A2963" s="6" t="n"/>
    </row>
    <row r="2964">
      <c r="A2964" s="6" t="n"/>
    </row>
    <row r="2965">
      <c r="A2965" s="6" t="n"/>
    </row>
    <row r="2966">
      <c r="A2966" s="6" t="n"/>
    </row>
    <row r="2967">
      <c r="A2967" s="6" t="n"/>
    </row>
    <row r="2968">
      <c r="A2968" s="6" t="n"/>
    </row>
    <row r="2969">
      <c r="A2969" s="6" t="n"/>
    </row>
    <row r="2970">
      <c r="A2970" s="6" t="n"/>
    </row>
    <row r="2971">
      <c r="A2971" s="6" t="n"/>
    </row>
    <row r="2972">
      <c r="A2972" s="6" t="n"/>
    </row>
    <row r="2973">
      <c r="A2973" s="6" t="n"/>
    </row>
    <row r="2974">
      <c r="A2974" s="6" t="n"/>
    </row>
    <row r="2975">
      <c r="A2975" s="6" t="n"/>
    </row>
    <row r="2976">
      <c r="A2976" s="6" t="n"/>
    </row>
    <row r="2977">
      <c r="A2977" s="6" t="n"/>
    </row>
    <row r="2978">
      <c r="A2978" s="6" t="n"/>
    </row>
    <row r="2979">
      <c r="A2979" s="6" t="n"/>
    </row>
    <row r="2980">
      <c r="A2980" s="6" t="n"/>
    </row>
    <row r="2981">
      <c r="A2981" s="6" t="n"/>
    </row>
    <row r="2982">
      <c r="A2982" s="6" t="n"/>
    </row>
    <row r="2983">
      <c r="A2983" s="6" t="n"/>
    </row>
    <row r="2984">
      <c r="A2984" s="6" t="n"/>
    </row>
    <row r="2985">
      <c r="A2985" s="6" t="n"/>
    </row>
    <row r="2986">
      <c r="A2986" s="6" t="n"/>
    </row>
    <row r="2987">
      <c r="A2987" s="6" t="n"/>
    </row>
    <row r="2988">
      <c r="A2988" s="6" t="n"/>
    </row>
    <row r="2989">
      <c r="A2989" s="6" t="n"/>
    </row>
    <row r="2990">
      <c r="A2990" s="6" t="n"/>
    </row>
    <row r="2991">
      <c r="A2991" s="6" t="n"/>
    </row>
    <row r="2992">
      <c r="A2992" s="6" t="n"/>
    </row>
    <row r="2993">
      <c r="A2993" s="6" t="n"/>
    </row>
    <row r="2994">
      <c r="A2994" s="6" t="n"/>
    </row>
    <row r="2995">
      <c r="A2995" s="6" t="n"/>
    </row>
    <row r="2996">
      <c r="A2996" s="6" t="n"/>
    </row>
    <row r="2997">
      <c r="A2997" s="6" t="n"/>
    </row>
    <row r="2998">
      <c r="A2998" s="6" t="n"/>
    </row>
    <row r="2999">
      <c r="A2999" s="6" t="n"/>
    </row>
    <row r="3000">
      <c r="A3000" s="6" t="n"/>
    </row>
    <row r="3001">
      <c r="A3001" s="6" t="n"/>
    </row>
    <row r="3002">
      <c r="A3002" s="6" t="n"/>
    </row>
    <row r="3003">
      <c r="A3003" s="6" t="n"/>
    </row>
    <row r="3004">
      <c r="A3004" s="6" t="n"/>
    </row>
    <row r="3005">
      <c r="A3005" s="6" t="n"/>
    </row>
    <row r="3006">
      <c r="A3006" s="6" t="n"/>
    </row>
    <row r="3007">
      <c r="A3007" s="6" t="n"/>
    </row>
    <row r="3008">
      <c r="A3008" s="6" t="n"/>
    </row>
    <row r="3009">
      <c r="A3009" s="6" t="n"/>
    </row>
    <row r="3010">
      <c r="A3010" s="6" t="n"/>
    </row>
    <row r="3011">
      <c r="A3011" s="6" t="n"/>
    </row>
    <row r="3012">
      <c r="A3012" s="6" t="n"/>
    </row>
    <row r="3013">
      <c r="A3013" s="6" t="n"/>
    </row>
    <row r="3014">
      <c r="A3014" s="6" t="n"/>
    </row>
    <row r="3015">
      <c r="A3015" s="6" t="n"/>
    </row>
    <row r="3016">
      <c r="A3016" s="6" t="n"/>
    </row>
    <row r="3017">
      <c r="A3017" s="6" t="n"/>
    </row>
    <row r="3018">
      <c r="A3018" s="6" t="n"/>
    </row>
    <row r="3019">
      <c r="A3019" s="6" t="n"/>
    </row>
    <row r="3020">
      <c r="A3020" s="6" t="n"/>
    </row>
    <row r="3021">
      <c r="A3021" s="6" t="n"/>
    </row>
    <row r="3022">
      <c r="A3022" s="6" t="n"/>
    </row>
    <row r="3023">
      <c r="A3023" s="6" t="n"/>
    </row>
    <row r="3024">
      <c r="A3024" s="6" t="n"/>
    </row>
    <row r="3025">
      <c r="A3025" s="6" t="n"/>
    </row>
    <row r="3026">
      <c r="A3026" s="6" t="n"/>
    </row>
    <row r="3027">
      <c r="A3027" s="6" t="n"/>
    </row>
    <row r="3028">
      <c r="A3028" s="6" t="n"/>
    </row>
    <row r="3029">
      <c r="A3029" s="6" t="n"/>
    </row>
    <row r="3030">
      <c r="A3030" s="6" t="n"/>
    </row>
    <row r="3031">
      <c r="A3031" s="6" t="n"/>
    </row>
    <row r="3032">
      <c r="A3032" s="6" t="n"/>
    </row>
    <row r="3033">
      <c r="A3033" s="6" t="n"/>
    </row>
    <row r="3034">
      <c r="A3034" s="6" t="n"/>
    </row>
    <row r="3035">
      <c r="A3035" s="6" t="n"/>
    </row>
    <row r="3036">
      <c r="A3036" s="6" t="n"/>
    </row>
    <row r="3037">
      <c r="A3037" s="6" t="n"/>
    </row>
    <row r="3038">
      <c r="A3038" s="6" t="n"/>
    </row>
    <row r="3039">
      <c r="A3039" s="6" t="n"/>
    </row>
    <row r="3040">
      <c r="A3040" s="6" t="n"/>
    </row>
    <row r="3041">
      <c r="A3041" s="6" t="n"/>
    </row>
    <row r="3042">
      <c r="A3042" s="6" t="n"/>
    </row>
    <row r="3043">
      <c r="A3043" s="6" t="n"/>
    </row>
    <row r="3044">
      <c r="A3044" s="6" t="n"/>
    </row>
    <row r="3045">
      <c r="A3045" s="6" t="n"/>
    </row>
    <row r="3046">
      <c r="A3046" s="6" t="n"/>
    </row>
    <row r="3047">
      <c r="A3047" s="6" t="n"/>
    </row>
    <row r="3048">
      <c r="A3048" s="6" t="n"/>
    </row>
    <row r="3049">
      <c r="A3049" s="6" t="n"/>
    </row>
    <row r="3050">
      <c r="A3050" s="6" t="n"/>
    </row>
    <row r="3051">
      <c r="A3051" s="6" t="n"/>
    </row>
    <row r="3052">
      <c r="A3052" s="6" t="n"/>
    </row>
    <row r="3053">
      <c r="A3053" s="6" t="n"/>
    </row>
    <row r="3054">
      <c r="A3054" s="6" t="n"/>
    </row>
    <row r="3055">
      <c r="A3055" s="6" t="n"/>
    </row>
    <row r="3056">
      <c r="A3056" s="6" t="n"/>
    </row>
    <row r="3057">
      <c r="A3057" s="6" t="n"/>
    </row>
    <row r="3058">
      <c r="A3058" s="6" t="n"/>
    </row>
    <row r="3059">
      <c r="A3059" s="6" t="n"/>
    </row>
    <row r="3060">
      <c r="A3060" s="6" t="n"/>
    </row>
    <row r="3061">
      <c r="A3061" s="6" t="n"/>
    </row>
    <row r="3062">
      <c r="A3062" s="6" t="n"/>
    </row>
    <row r="3063">
      <c r="A3063" s="6" t="n"/>
    </row>
    <row r="3064">
      <c r="A3064" s="6" t="n"/>
    </row>
    <row r="3065">
      <c r="A3065" s="6" t="n"/>
    </row>
    <row r="3066">
      <c r="A3066" s="6" t="n"/>
    </row>
    <row r="3067">
      <c r="A3067" s="6" t="n"/>
    </row>
    <row r="3068">
      <c r="A3068" s="6" t="n"/>
    </row>
    <row r="3069">
      <c r="A3069" s="6" t="n"/>
    </row>
    <row r="3070">
      <c r="A3070" s="6" t="n"/>
    </row>
    <row r="3071">
      <c r="A3071" s="6" t="n"/>
    </row>
    <row r="3072">
      <c r="A3072" s="6" t="n"/>
    </row>
    <row r="3073">
      <c r="A3073" s="6" t="n"/>
    </row>
    <row r="3074">
      <c r="A3074" s="6" t="n"/>
    </row>
    <row r="3075">
      <c r="A3075" s="6" t="n"/>
    </row>
    <row r="3076">
      <c r="A3076" s="6" t="n"/>
    </row>
    <row r="3077">
      <c r="A3077" s="6" t="n"/>
    </row>
    <row r="3078">
      <c r="A3078" s="6" t="n"/>
    </row>
    <row r="3079">
      <c r="A3079" s="6" t="n"/>
    </row>
    <row r="3080">
      <c r="A3080" s="6" t="n"/>
    </row>
    <row r="3081">
      <c r="A3081" s="6" t="n"/>
    </row>
    <row r="3082">
      <c r="A3082" s="6" t="n"/>
    </row>
    <row r="3083">
      <c r="A3083" s="6" t="n"/>
    </row>
    <row r="3084">
      <c r="A3084" s="6" t="n"/>
    </row>
    <row r="3085">
      <c r="A3085" s="6" t="n"/>
    </row>
    <row r="3086">
      <c r="A3086" s="6" t="n"/>
    </row>
    <row r="3087">
      <c r="A3087" s="6" t="n"/>
    </row>
    <row r="3088">
      <c r="A3088" s="6" t="n"/>
    </row>
    <row r="3089">
      <c r="A3089" s="6" t="n"/>
    </row>
    <row r="3090">
      <c r="A3090" s="6" t="n"/>
    </row>
    <row r="3091">
      <c r="A3091" s="6" t="n"/>
    </row>
    <row r="3092">
      <c r="A3092" s="6" t="n"/>
    </row>
    <row r="3093">
      <c r="A3093" s="6" t="n"/>
    </row>
    <row r="3094">
      <c r="A3094" s="6" t="n"/>
    </row>
    <row r="3095">
      <c r="A3095" s="6" t="n"/>
    </row>
    <row r="3096">
      <c r="A3096" s="6" t="n"/>
    </row>
    <row r="3097">
      <c r="A3097" s="6" t="n"/>
    </row>
    <row r="3098">
      <c r="A3098" s="6" t="n"/>
    </row>
    <row r="3099">
      <c r="A3099" s="6" t="n"/>
    </row>
    <row r="3100">
      <c r="A3100" s="6" t="n"/>
    </row>
    <row r="3101">
      <c r="A3101" s="6" t="n"/>
    </row>
    <row r="3102">
      <c r="A3102" s="6" t="n"/>
    </row>
    <row r="3103">
      <c r="A3103" s="6" t="n"/>
    </row>
    <row r="3104">
      <c r="A3104" s="6" t="n"/>
    </row>
    <row r="3105">
      <c r="A3105" s="6" t="n"/>
    </row>
    <row r="3106">
      <c r="A3106" s="6" t="n"/>
    </row>
    <row r="3107">
      <c r="A3107" s="6" t="n"/>
    </row>
    <row r="3108">
      <c r="A3108" s="6" t="n"/>
    </row>
    <row r="3109">
      <c r="A3109" s="6" t="n"/>
    </row>
    <row r="3110">
      <c r="A3110" s="6" t="n"/>
    </row>
    <row r="3111">
      <c r="A3111" s="6" t="n"/>
    </row>
    <row r="3112">
      <c r="A3112" s="6" t="n"/>
    </row>
    <row r="3113">
      <c r="A3113" s="6" t="n"/>
    </row>
    <row r="3114">
      <c r="A3114" s="6" t="n"/>
    </row>
    <row r="3115">
      <c r="A3115" s="6" t="n"/>
    </row>
    <row r="3116">
      <c r="A3116" s="6" t="n"/>
    </row>
    <row r="3117">
      <c r="A3117" s="6" t="n"/>
    </row>
    <row r="3118">
      <c r="A3118" s="6" t="n"/>
    </row>
    <row r="3119">
      <c r="A3119" s="6" t="n"/>
    </row>
    <row r="3120">
      <c r="A3120" s="6" t="n"/>
    </row>
    <row r="3121">
      <c r="A3121" s="6" t="n"/>
    </row>
    <row r="3122">
      <c r="A3122" s="6" t="n"/>
    </row>
    <row r="3123">
      <c r="A3123" s="6" t="n"/>
    </row>
    <row r="3124">
      <c r="A3124" s="6" t="n"/>
    </row>
    <row r="3125">
      <c r="A3125" s="6" t="n"/>
    </row>
    <row r="3126">
      <c r="A3126" s="6" t="n"/>
    </row>
    <row r="3127">
      <c r="A3127" s="6" t="n"/>
    </row>
    <row r="3128">
      <c r="A3128" s="6" t="n"/>
    </row>
    <row r="3129">
      <c r="A3129" s="6" t="n"/>
    </row>
    <row r="3130">
      <c r="A3130" s="6" t="n"/>
    </row>
    <row r="3131">
      <c r="A3131" s="6" t="n"/>
    </row>
    <row r="3132">
      <c r="A3132" s="6" t="n"/>
    </row>
    <row r="3133">
      <c r="A3133" s="6" t="n"/>
    </row>
    <row r="3134">
      <c r="A3134" s="6" t="n"/>
    </row>
    <row r="3135">
      <c r="A3135" s="6" t="n"/>
    </row>
    <row r="3136">
      <c r="A3136" s="6" t="n"/>
    </row>
    <row r="3137">
      <c r="A3137" s="6" t="n"/>
    </row>
    <row r="3138">
      <c r="A3138" s="6" t="n"/>
    </row>
    <row r="3139">
      <c r="A3139" s="6" t="n"/>
    </row>
    <row r="3140">
      <c r="A3140" s="6" t="n"/>
    </row>
    <row r="3141">
      <c r="A3141" s="6" t="n"/>
    </row>
    <row r="3142">
      <c r="A3142" s="6" t="n"/>
    </row>
    <row r="3143">
      <c r="A3143" s="6" t="n"/>
    </row>
    <row r="3144">
      <c r="A3144" s="6" t="n"/>
    </row>
    <row r="3145">
      <c r="A3145" s="6" t="n"/>
    </row>
    <row r="3146">
      <c r="A3146" s="6" t="n"/>
    </row>
    <row r="3147">
      <c r="A3147" s="6" t="n"/>
    </row>
    <row r="3148">
      <c r="A3148" s="6" t="n"/>
    </row>
    <row r="3149">
      <c r="A3149" s="6" t="n"/>
    </row>
    <row r="3150">
      <c r="A3150" s="6" t="n"/>
    </row>
    <row r="3151">
      <c r="A3151" s="6" t="n"/>
    </row>
    <row r="3152">
      <c r="A3152" s="6" t="n"/>
    </row>
    <row r="3153">
      <c r="A3153" s="6" t="n"/>
    </row>
    <row r="3154">
      <c r="A3154" s="6" t="n"/>
    </row>
    <row r="3155">
      <c r="A3155" s="6" t="n"/>
    </row>
    <row r="3156">
      <c r="A3156" s="6" t="n"/>
    </row>
    <row r="3157">
      <c r="A3157" s="6" t="n"/>
    </row>
    <row r="3158">
      <c r="A3158" s="6" t="n"/>
    </row>
    <row r="3159">
      <c r="A3159" s="6" t="n"/>
    </row>
    <row r="3160">
      <c r="A3160" s="6" t="n"/>
    </row>
    <row r="3161">
      <c r="A3161" s="6" t="n"/>
    </row>
    <row r="3162">
      <c r="A3162" s="6" t="n"/>
    </row>
    <row r="3163">
      <c r="A3163" s="6" t="n"/>
    </row>
    <row r="3164">
      <c r="A3164" s="6" t="n"/>
    </row>
    <row r="3165">
      <c r="A3165" s="6" t="n"/>
    </row>
    <row r="3166">
      <c r="A3166" s="6" t="n"/>
    </row>
    <row r="3167">
      <c r="A3167" s="6" t="n"/>
    </row>
    <row r="3168">
      <c r="A3168" s="6" t="n"/>
    </row>
    <row r="3169">
      <c r="A3169" s="6" t="n"/>
    </row>
    <row r="3170">
      <c r="A3170" s="6" t="n"/>
    </row>
    <row r="3171">
      <c r="A3171" s="6" t="n"/>
    </row>
    <row r="3172">
      <c r="A3172" s="6" t="n"/>
    </row>
    <row r="3173">
      <c r="A3173" s="6" t="n"/>
    </row>
    <row r="3174">
      <c r="A3174" s="6" t="n"/>
    </row>
    <row r="3175">
      <c r="A3175" s="6" t="n"/>
    </row>
    <row r="3176">
      <c r="A3176" s="6" t="n"/>
    </row>
    <row r="3177">
      <c r="A3177" s="6" t="n"/>
    </row>
    <row r="3178">
      <c r="A3178" s="6" t="n"/>
    </row>
    <row r="3179">
      <c r="A3179" s="6" t="n"/>
    </row>
    <row r="3180">
      <c r="A3180" s="6" t="n"/>
    </row>
    <row r="3181">
      <c r="A3181" s="6" t="n"/>
    </row>
    <row r="3182">
      <c r="A3182" s="6" t="n"/>
    </row>
    <row r="3183">
      <c r="A3183" s="6" t="n"/>
    </row>
    <row r="3184">
      <c r="A3184" s="6" t="n"/>
    </row>
    <row r="3185">
      <c r="A3185" s="6" t="n"/>
    </row>
    <row r="3186">
      <c r="A3186" s="6" t="n"/>
    </row>
    <row r="3187">
      <c r="A3187" s="6" t="n"/>
    </row>
    <row r="3188">
      <c r="A3188" s="6" t="n"/>
    </row>
    <row r="3189">
      <c r="A3189" s="6" t="n"/>
    </row>
    <row r="3190">
      <c r="A3190" s="6" t="n"/>
    </row>
    <row r="3191">
      <c r="A3191" s="6" t="n"/>
    </row>
    <row r="3192">
      <c r="A3192" s="6" t="n"/>
    </row>
    <row r="3193">
      <c r="A3193" s="6" t="n"/>
    </row>
    <row r="3194">
      <c r="A3194" s="6" t="n"/>
    </row>
    <row r="3195">
      <c r="A3195" s="6" t="n"/>
    </row>
    <row r="3196">
      <c r="A3196" s="6" t="n"/>
    </row>
    <row r="3197">
      <c r="A3197" s="6" t="n"/>
    </row>
    <row r="3198">
      <c r="A3198" s="6" t="n"/>
    </row>
    <row r="3199">
      <c r="A3199" s="6" t="n"/>
    </row>
    <row r="3200">
      <c r="A3200" s="6" t="n"/>
    </row>
    <row r="3201">
      <c r="A3201" s="6" t="n"/>
    </row>
    <row r="3202">
      <c r="A3202" s="6" t="n"/>
    </row>
    <row r="3203">
      <c r="A3203" s="6" t="n"/>
    </row>
    <row r="3204">
      <c r="A3204" s="6" t="n"/>
    </row>
    <row r="3205">
      <c r="A3205" s="6" t="n"/>
    </row>
    <row r="3206">
      <c r="A3206" s="6" t="n"/>
    </row>
    <row r="3207">
      <c r="A3207" s="6" t="n"/>
    </row>
    <row r="3208">
      <c r="A3208" s="6" t="n"/>
    </row>
    <row r="3209">
      <c r="A3209" s="6" t="n"/>
    </row>
    <row r="3210">
      <c r="A3210" s="6" t="n"/>
    </row>
    <row r="3211">
      <c r="A3211" s="6" t="n"/>
    </row>
    <row r="3212">
      <c r="A3212" s="6" t="n"/>
    </row>
    <row r="3213">
      <c r="A3213" s="6" t="n"/>
    </row>
    <row r="3214">
      <c r="A3214" s="6" t="n"/>
    </row>
    <row r="3215">
      <c r="A3215" s="6" t="n"/>
    </row>
    <row r="3216">
      <c r="A3216" s="6" t="n"/>
    </row>
    <row r="3217">
      <c r="A3217" s="6" t="n"/>
    </row>
    <row r="3218">
      <c r="A3218" s="6" t="n"/>
    </row>
    <row r="3219">
      <c r="A3219" s="6" t="n"/>
    </row>
    <row r="3220">
      <c r="A3220" s="6" t="n"/>
    </row>
    <row r="3221">
      <c r="A3221" s="6" t="n"/>
    </row>
    <row r="3222">
      <c r="A3222" s="6" t="n"/>
    </row>
    <row r="3223">
      <c r="A3223" s="6" t="n"/>
    </row>
    <row r="3224">
      <c r="A3224" s="6" t="n"/>
    </row>
    <row r="3225">
      <c r="A3225" s="6" t="n"/>
    </row>
    <row r="3226">
      <c r="A3226" s="6" t="n"/>
    </row>
    <row r="3227">
      <c r="A3227" s="6" t="n"/>
    </row>
    <row r="3228">
      <c r="A3228" s="6" t="n"/>
    </row>
    <row r="3229">
      <c r="A3229" s="6" t="n"/>
    </row>
    <row r="3230">
      <c r="A3230" s="6" t="n"/>
    </row>
    <row r="3231">
      <c r="A3231" s="6" t="n"/>
    </row>
    <row r="3232">
      <c r="A3232" s="6" t="n"/>
    </row>
    <row r="3233">
      <c r="A3233" s="6" t="n"/>
    </row>
    <row r="3234">
      <c r="A3234" s="6" t="n"/>
    </row>
    <row r="3235">
      <c r="A3235" s="6" t="n"/>
    </row>
    <row r="3236">
      <c r="A3236" s="6" t="n"/>
    </row>
    <row r="3237">
      <c r="A3237" s="6" t="n"/>
    </row>
    <row r="3238">
      <c r="A3238" s="6" t="n"/>
    </row>
    <row r="3239">
      <c r="A3239" s="6" t="n"/>
    </row>
    <row r="3240">
      <c r="A3240" s="6" t="n"/>
    </row>
    <row r="3241">
      <c r="A3241" s="6" t="n"/>
    </row>
    <row r="3242">
      <c r="A3242" s="6" t="n"/>
    </row>
    <row r="3243">
      <c r="A3243" s="6" t="n"/>
    </row>
    <row r="3244">
      <c r="A3244" s="6" t="n"/>
    </row>
    <row r="3245">
      <c r="A3245" s="6" t="n"/>
    </row>
    <row r="3246">
      <c r="A3246" s="6" t="n"/>
    </row>
    <row r="3247">
      <c r="A3247" s="6" t="n"/>
    </row>
    <row r="3248">
      <c r="A3248" s="6" t="n"/>
    </row>
    <row r="3249">
      <c r="A3249" s="6" t="n"/>
    </row>
    <row r="3250">
      <c r="A3250" s="6" t="n"/>
    </row>
    <row r="3251">
      <c r="A3251" s="6" t="n"/>
    </row>
    <row r="3252">
      <c r="A3252" s="6" t="n"/>
    </row>
    <row r="3253">
      <c r="A3253" s="6" t="n"/>
    </row>
    <row r="3254">
      <c r="A3254" s="6" t="n"/>
    </row>
    <row r="3255">
      <c r="A3255" s="6" t="n"/>
    </row>
    <row r="3256">
      <c r="A3256" s="6" t="n"/>
    </row>
    <row r="3257">
      <c r="A3257" s="6" t="n"/>
    </row>
    <row r="3258">
      <c r="A3258" s="6" t="n"/>
    </row>
    <row r="3259">
      <c r="A3259" s="6" t="n"/>
    </row>
    <row r="3260">
      <c r="A3260" s="6" t="n"/>
    </row>
    <row r="3261">
      <c r="A3261" s="6" t="n"/>
    </row>
    <row r="3262">
      <c r="A3262" s="6" t="n"/>
    </row>
    <row r="3263">
      <c r="A3263" s="6" t="n"/>
    </row>
    <row r="3264">
      <c r="A3264" s="6" t="n"/>
    </row>
    <row r="3265">
      <c r="A3265" s="6" t="n"/>
    </row>
    <row r="3266">
      <c r="A3266" s="6" t="n"/>
    </row>
    <row r="3267">
      <c r="A3267" s="6" t="n"/>
    </row>
    <row r="3268">
      <c r="A3268" s="6" t="n"/>
    </row>
    <row r="3269">
      <c r="A3269" s="6" t="n"/>
    </row>
    <row r="3270">
      <c r="A3270" s="6" t="n"/>
    </row>
    <row r="3271">
      <c r="A3271" s="6" t="n"/>
    </row>
    <row r="3272">
      <c r="A3272" s="6" t="n"/>
    </row>
    <row r="3273">
      <c r="A3273" s="6" t="n"/>
    </row>
    <row r="3274">
      <c r="A3274" s="6" t="n"/>
    </row>
    <row r="3275">
      <c r="A3275" s="6" t="n"/>
    </row>
    <row r="3276">
      <c r="A3276" s="6" t="n"/>
    </row>
    <row r="3277">
      <c r="A3277" s="6" t="n"/>
    </row>
    <row r="3278">
      <c r="A3278" s="6" t="n"/>
    </row>
    <row r="3279">
      <c r="A3279" s="6" t="n"/>
    </row>
    <row r="3280">
      <c r="A3280" s="6" t="n"/>
    </row>
    <row r="3281">
      <c r="A3281" s="6" t="n"/>
    </row>
    <row r="3282">
      <c r="A3282" s="6" t="n"/>
    </row>
    <row r="3283">
      <c r="A3283" s="6" t="n"/>
    </row>
    <row r="3284">
      <c r="A3284" s="6" t="n"/>
    </row>
    <row r="3285">
      <c r="A3285" s="6" t="n"/>
    </row>
    <row r="3286">
      <c r="A3286" s="6" t="n"/>
    </row>
    <row r="3287">
      <c r="A3287" s="6" t="n"/>
    </row>
    <row r="3288">
      <c r="A3288" s="6" t="n"/>
    </row>
    <row r="3289">
      <c r="A3289" s="6" t="n"/>
    </row>
    <row r="3290">
      <c r="A3290" s="6" t="n"/>
    </row>
    <row r="3291">
      <c r="A3291" s="6" t="n"/>
    </row>
    <row r="3292">
      <c r="A3292" s="6" t="n"/>
    </row>
    <row r="3293">
      <c r="A3293" s="6" t="n"/>
    </row>
    <row r="3294">
      <c r="A3294" s="6" t="n"/>
    </row>
    <row r="3295">
      <c r="A3295" s="6" t="n"/>
    </row>
    <row r="3296">
      <c r="A3296" s="6" t="n"/>
    </row>
    <row r="3297">
      <c r="A3297" s="6" t="n"/>
    </row>
    <row r="3298">
      <c r="A3298" s="6" t="n"/>
    </row>
    <row r="3299">
      <c r="A3299" s="6" t="n"/>
    </row>
    <row r="3300">
      <c r="A3300" s="6" t="n"/>
    </row>
    <row r="3301">
      <c r="A3301" s="6" t="n"/>
    </row>
    <row r="3302">
      <c r="A3302" s="6" t="n"/>
    </row>
    <row r="3303">
      <c r="A3303" s="6" t="n"/>
    </row>
    <row r="3304">
      <c r="A3304" s="6" t="n"/>
    </row>
    <row r="3305">
      <c r="A3305" s="6" t="n"/>
    </row>
    <row r="3306">
      <c r="A3306" s="6" t="n"/>
    </row>
    <row r="3307">
      <c r="A3307" s="6" t="n"/>
    </row>
    <row r="3308">
      <c r="A3308" s="6" t="n"/>
    </row>
    <row r="3309">
      <c r="A3309" s="6" t="n"/>
    </row>
    <row r="3310">
      <c r="A3310" s="6" t="n"/>
    </row>
    <row r="3311">
      <c r="A3311" s="6" t="n"/>
    </row>
    <row r="3312">
      <c r="A3312" s="6" t="n"/>
    </row>
    <row r="3313">
      <c r="A3313" s="6" t="n"/>
    </row>
    <row r="3314">
      <c r="A3314" s="6" t="n"/>
    </row>
    <row r="3315">
      <c r="A3315" s="6" t="n"/>
    </row>
    <row r="3316">
      <c r="A3316" s="6" t="n"/>
    </row>
    <row r="3317">
      <c r="A3317" s="6" t="n"/>
    </row>
    <row r="3318">
      <c r="A3318" s="6" t="n"/>
    </row>
    <row r="3319">
      <c r="A3319" s="6" t="n"/>
    </row>
    <row r="3320">
      <c r="A3320" s="6" t="n"/>
    </row>
    <row r="3321">
      <c r="A3321" s="6" t="n"/>
    </row>
    <row r="3322">
      <c r="A3322" s="6" t="n"/>
    </row>
    <row r="3323">
      <c r="A3323" s="6" t="n"/>
    </row>
    <row r="3324">
      <c r="A3324" s="6" t="n"/>
    </row>
    <row r="3325">
      <c r="A3325" s="6" t="n"/>
    </row>
    <row r="3326">
      <c r="A3326" s="6" t="n"/>
    </row>
    <row r="3327">
      <c r="A3327" s="6" t="n"/>
    </row>
    <row r="3328">
      <c r="A3328" s="6" t="n"/>
    </row>
    <row r="3329">
      <c r="A3329" s="6" t="n"/>
    </row>
    <row r="3330">
      <c r="A3330" s="6" t="n"/>
    </row>
    <row r="3331">
      <c r="A3331" s="6" t="n"/>
    </row>
    <row r="3332">
      <c r="A3332" s="6" t="n"/>
    </row>
    <row r="3333">
      <c r="A3333" s="6" t="n"/>
    </row>
    <row r="3334">
      <c r="A3334" s="6" t="n"/>
    </row>
    <row r="3335">
      <c r="A3335" s="6" t="n"/>
    </row>
    <row r="3336">
      <c r="A3336" s="6" t="n"/>
    </row>
    <row r="3337">
      <c r="A3337" s="6" t="n"/>
    </row>
    <row r="3338">
      <c r="A3338" s="6" t="n"/>
    </row>
    <row r="3339">
      <c r="A3339" s="6" t="n"/>
    </row>
    <row r="3340">
      <c r="A3340" s="6" t="n"/>
    </row>
    <row r="3341">
      <c r="A3341" s="6" t="n"/>
    </row>
    <row r="3342">
      <c r="A3342" s="6" t="n"/>
    </row>
    <row r="3343">
      <c r="A3343" s="6" t="n"/>
    </row>
    <row r="3344">
      <c r="A3344" s="6" t="n"/>
    </row>
    <row r="3345">
      <c r="A3345" s="6" t="n"/>
    </row>
    <row r="3346">
      <c r="A3346" s="6" t="n"/>
    </row>
    <row r="3347">
      <c r="A3347" s="6" t="n"/>
    </row>
    <row r="3348">
      <c r="A3348" s="6" t="n"/>
    </row>
    <row r="3349">
      <c r="A3349" s="6" t="n"/>
    </row>
    <row r="3350">
      <c r="A3350" s="6" t="n"/>
    </row>
    <row r="3351">
      <c r="A3351" s="6" t="n"/>
    </row>
    <row r="3352">
      <c r="A3352" s="6" t="n"/>
    </row>
    <row r="3353">
      <c r="A3353" s="6" t="n"/>
    </row>
    <row r="3354">
      <c r="A3354" s="6" t="n"/>
    </row>
    <row r="3355">
      <c r="A3355" s="6" t="n"/>
    </row>
    <row r="3356">
      <c r="A3356" s="6" t="n"/>
    </row>
    <row r="3357">
      <c r="A3357" s="6" t="n"/>
    </row>
    <row r="3358">
      <c r="A3358" s="6" t="n"/>
    </row>
    <row r="3359">
      <c r="A3359" s="6" t="n"/>
    </row>
    <row r="3360">
      <c r="A3360" s="6" t="n"/>
    </row>
    <row r="3361">
      <c r="A3361" s="6" t="n"/>
    </row>
    <row r="3362">
      <c r="A3362" s="6" t="n"/>
    </row>
    <row r="3363">
      <c r="A3363" s="6" t="n"/>
    </row>
    <row r="3364">
      <c r="A3364" s="6" t="n"/>
    </row>
    <row r="3365">
      <c r="A3365" s="6" t="n"/>
    </row>
    <row r="3366">
      <c r="A3366" s="6" t="n"/>
    </row>
    <row r="3367">
      <c r="A3367" s="6" t="n"/>
    </row>
    <row r="3368">
      <c r="A3368" s="6" t="n"/>
    </row>
    <row r="3369">
      <c r="A3369" s="6" t="n"/>
    </row>
    <row r="3370">
      <c r="A3370" s="6" t="n"/>
    </row>
    <row r="3371">
      <c r="A3371" s="6" t="n"/>
    </row>
    <row r="3372">
      <c r="A3372" s="6" t="n"/>
    </row>
    <row r="3373">
      <c r="A3373" s="6" t="n"/>
    </row>
    <row r="3374">
      <c r="A3374" s="6" t="n"/>
    </row>
    <row r="3375">
      <c r="A3375" s="6" t="n"/>
    </row>
    <row r="3376">
      <c r="A3376" s="6" t="n"/>
    </row>
    <row r="3377">
      <c r="A3377" s="6" t="n"/>
    </row>
    <row r="3378">
      <c r="A3378" s="6" t="n"/>
    </row>
    <row r="3379">
      <c r="A3379" s="6" t="n"/>
    </row>
    <row r="3380">
      <c r="A3380" s="6" t="n"/>
    </row>
    <row r="3381">
      <c r="A3381" s="6" t="n"/>
    </row>
    <row r="3382">
      <c r="A3382" s="6" t="n"/>
    </row>
    <row r="3383">
      <c r="A3383" s="6" t="n"/>
    </row>
    <row r="3384">
      <c r="A3384" s="6" t="n"/>
    </row>
    <row r="3385">
      <c r="A3385" s="6" t="n"/>
    </row>
    <row r="3386">
      <c r="A3386" s="6" t="n"/>
    </row>
    <row r="3387">
      <c r="A3387" s="6" t="n"/>
    </row>
    <row r="3388">
      <c r="A3388" s="6" t="n"/>
    </row>
    <row r="3389">
      <c r="A3389" s="6" t="n"/>
    </row>
    <row r="3390">
      <c r="A3390" s="6" t="n"/>
    </row>
    <row r="3391">
      <c r="A3391" s="6" t="n"/>
    </row>
    <row r="3392">
      <c r="A3392" s="6" t="n"/>
    </row>
    <row r="3393">
      <c r="A3393" s="6" t="n"/>
    </row>
    <row r="3394">
      <c r="A3394" s="6" t="n"/>
    </row>
    <row r="3395">
      <c r="A3395" s="6" t="n"/>
    </row>
    <row r="3396">
      <c r="A3396" s="6" t="n"/>
    </row>
    <row r="3397">
      <c r="A3397" s="6" t="n"/>
    </row>
    <row r="3398">
      <c r="A3398" s="6" t="n"/>
    </row>
    <row r="3399">
      <c r="A3399" s="6" t="n"/>
    </row>
    <row r="3400">
      <c r="A3400" s="6" t="n"/>
    </row>
    <row r="3401">
      <c r="A3401" s="6" t="n"/>
    </row>
    <row r="3402">
      <c r="A3402" s="6" t="n"/>
    </row>
    <row r="3403">
      <c r="A3403" s="6" t="n"/>
    </row>
    <row r="3404">
      <c r="A3404" s="6" t="n"/>
    </row>
    <row r="3405">
      <c r="A3405" s="6" t="n"/>
    </row>
    <row r="3406">
      <c r="A3406" s="6" t="n"/>
    </row>
    <row r="3407">
      <c r="A3407" s="6" t="n"/>
    </row>
    <row r="3408">
      <c r="A3408" s="6" t="n"/>
    </row>
    <row r="3409">
      <c r="A3409" s="6" t="n"/>
    </row>
    <row r="3410">
      <c r="A3410" s="6" t="n"/>
    </row>
    <row r="3411">
      <c r="A3411" s="6" t="n"/>
    </row>
    <row r="3412">
      <c r="A3412" s="6" t="n"/>
    </row>
    <row r="3413">
      <c r="A3413" s="6" t="n"/>
    </row>
    <row r="3414">
      <c r="A3414" s="6" t="n"/>
    </row>
    <row r="3415">
      <c r="A3415" s="6" t="n"/>
    </row>
    <row r="3416">
      <c r="A3416" s="6" t="n"/>
    </row>
    <row r="3417">
      <c r="A3417" s="6" t="n"/>
    </row>
    <row r="3418">
      <c r="A3418" s="6" t="n"/>
    </row>
    <row r="3419">
      <c r="A3419" s="6" t="n"/>
    </row>
    <row r="3420">
      <c r="A3420" s="6" t="n"/>
    </row>
    <row r="3421">
      <c r="A3421" s="6" t="n"/>
    </row>
    <row r="3422">
      <c r="A3422" s="6" t="n"/>
    </row>
    <row r="3423">
      <c r="A3423" s="6" t="n"/>
    </row>
    <row r="3424">
      <c r="A3424" s="6" t="n"/>
    </row>
    <row r="3425">
      <c r="A3425" s="6" t="n"/>
    </row>
    <row r="3426">
      <c r="A3426" s="6" t="n"/>
    </row>
    <row r="3427">
      <c r="A3427" s="6" t="n"/>
    </row>
    <row r="3428">
      <c r="A3428" s="6" t="n"/>
    </row>
    <row r="3429">
      <c r="A3429" s="6" t="n"/>
    </row>
    <row r="3430">
      <c r="A3430" s="6" t="n"/>
    </row>
    <row r="3431">
      <c r="A3431" s="6" t="n"/>
    </row>
    <row r="3432">
      <c r="A3432" s="6" t="n"/>
    </row>
    <row r="3433">
      <c r="A3433" s="6" t="n"/>
    </row>
    <row r="3434">
      <c r="A3434" s="6" t="n"/>
    </row>
    <row r="3435">
      <c r="A3435" s="6" t="n"/>
    </row>
    <row r="3436">
      <c r="A3436" s="6" t="n"/>
    </row>
    <row r="3437">
      <c r="A3437" s="6" t="n"/>
    </row>
    <row r="3438">
      <c r="A3438" s="6" t="n"/>
    </row>
    <row r="3439">
      <c r="A3439" s="6" t="n"/>
    </row>
    <row r="3440">
      <c r="A3440" s="6" t="n"/>
    </row>
    <row r="3441">
      <c r="A3441" s="6" t="n"/>
    </row>
    <row r="3442">
      <c r="A3442" s="6" t="n"/>
    </row>
    <row r="3443">
      <c r="A3443" s="6" t="n"/>
    </row>
    <row r="3444">
      <c r="A3444" s="6" t="n"/>
    </row>
    <row r="3445">
      <c r="A3445" s="6" t="n"/>
    </row>
    <row r="3446">
      <c r="A3446" s="6" t="n"/>
    </row>
    <row r="3447">
      <c r="A3447" s="6" t="n"/>
    </row>
    <row r="3448">
      <c r="A3448" s="6" t="n"/>
    </row>
    <row r="3449">
      <c r="A3449" s="6" t="n"/>
    </row>
    <row r="3450">
      <c r="A3450" s="6" t="n"/>
    </row>
    <row r="3451">
      <c r="A3451" s="6" t="n"/>
    </row>
    <row r="3452">
      <c r="A3452" s="6" t="n"/>
    </row>
    <row r="3453">
      <c r="A3453" s="6" t="n"/>
    </row>
    <row r="3454">
      <c r="A3454" s="6" t="n"/>
    </row>
    <row r="3455">
      <c r="A3455" s="6" t="n"/>
    </row>
    <row r="3456">
      <c r="A3456" s="6" t="n"/>
    </row>
    <row r="3457">
      <c r="A3457" s="6" t="n"/>
    </row>
    <row r="3458">
      <c r="A3458" s="6" t="n"/>
    </row>
    <row r="3459">
      <c r="A3459" s="6" t="n"/>
    </row>
    <row r="3460">
      <c r="A3460" s="6" t="n"/>
    </row>
    <row r="3461">
      <c r="A3461" s="6" t="n"/>
    </row>
    <row r="3462">
      <c r="A3462" s="6" t="n"/>
    </row>
    <row r="3463">
      <c r="A3463" s="6" t="n"/>
    </row>
    <row r="3464">
      <c r="A3464" s="6" t="n"/>
    </row>
    <row r="3465">
      <c r="A3465" s="6" t="n"/>
    </row>
    <row r="3466">
      <c r="A3466" s="6" t="n"/>
    </row>
    <row r="3467">
      <c r="A3467" s="6" t="n"/>
    </row>
    <row r="3468">
      <c r="A3468" s="6" t="n"/>
    </row>
    <row r="3469">
      <c r="A3469" s="6" t="n"/>
    </row>
    <row r="3470">
      <c r="A3470" s="6" t="n"/>
    </row>
    <row r="3471">
      <c r="A3471" s="6" t="n"/>
    </row>
    <row r="3472">
      <c r="A3472" s="6" t="n"/>
    </row>
    <row r="3473">
      <c r="A3473" s="6" t="n"/>
    </row>
    <row r="3474">
      <c r="A3474" s="6" t="n"/>
    </row>
    <row r="3475">
      <c r="A3475" s="6" t="n"/>
    </row>
    <row r="3476">
      <c r="A3476" s="6" t="n"/>
    </row>
    <row r="3477">
      <c r="A3477" s="6" t="n"/>
    </row>
    <row r="3478">
      <c r="A3478" s="6" t="n"/>
    </row>
    <row r="3479">
      <c r="A3479" s="6" t="n"/>
    </row>
    <row r="3480">
      <c r="A3480" s="6" t="n"/>
    </row>
    <row r="3481">
      <c r="A3481" s="6" t="n"/>
    </row>
    <row r="3482">
      <c r="A3482" s="6" t="n"/>
    </row>
    <row r="3483">
      <c r="A3483" s="6" t="n"/>
    </row>
    <row r="3484">
      <c r="A3484" s="6" t="n"/>
    </row>
    <row r="3485">
      <c r="A3485" s="6" t="n"/>
    </row>
    <row r="3486">
      <c r="A3486" s="6" t="n"/>
    </row>
    <row r="3487">
      <c r="A3487" s="6" t="n"/>
    </row>
    <row r="3488">
      <c r="A3488" s="6" t="n"/>
    </row>
    <row r="3489">
      <c r="A3489" s="6" t="n"/>
    </row>
    <row r="3490">
      <c r="A3490" s="6" t="n"/>
    </row>
    <row r="3491">
      <c r="A3491" s="6" t="n"/>
    </row>
    <row r="3492">
      <c r="A3492" s="6" t="n"/>
    </row>
    <row r="3493">
      <c r="A3493" s="6" t="n"/>
    </row>
    <row r="3494">
      <c r="A3494" s="6" t="n"/>
    </row>
    <row r="3495">
      <c r="A3495" s="6" t="n"/>
    </row>
    <row r="3496">
      <c r="A3496" s="6" t="n"/>
    </row>
    <row r="3497">
      <c r="A3497" s="6" t="n"/>
    </row>
    <row r="3498">
      <c r="A3498" s="6" t="n"/>
    </row>
    <row r="3499">
      <c r="A3499" s="6" t="n"/>
    </row>
    <row r="3500">
      <c r="A3500" s="6" t="n"/>
    </row>
    <row r="3501">
      <c r="A3501" s="6" t="n"/>
    </row>
    <row r="3502">
      <c r="A3502" s="6" t="n"/>
    </row>
    <row r="3503">
      <c r="A3503" s="6" t="n"/>
    </row>
    <row r="3504">
      <c r="A3504" s="6" t="n"/>
    </row>
    <row r="3505">
      <c r="A3505" s="6" t="n"/>
    </row>
    <row r="3506">
      <c r="A3506" s="6" t="n"/>
    </row>
    <row r="3507">
      <c r="A3507" s="6" t="n"/>
    </row>
    <row r="3508">
      <c r="A3508" s="6" t="n"/>
    </row>
    <row r="3509">
      <c r="A3509" s="6" t="n"/>
    </row>
    <row r="3510">
      <c r="A3510" s="6" t="n"/>
    </row>
    <row r="3511">
      <c r="A3511" s="6" t="n"/>
    </row>
    <row r="3512">
      <c r="A3512" s="6" t="n"/>
    </row>
    <row r="3513">
      <c r="A3513" s="6" t="n"/>
    </row>
    <row r="3514">
      <c r="A3514" s="6" t="n"/>
    </row>
    <row r="3515">
      <c r="A3515" s="6" t="n"/>
    </row>
    <row r="3516">
      <c r="A3516" s="6" t="n"/>
    </row>
    <row r="3517">
      <c r="A3517" s="6" t="n"/>
    </row>
    <row r="3518">
      <c r="A3518" s="6" t="n"/>
    </row>
    <row r="3519">
      <c r="A3519" s="6" t="n"/>
    </row>
    <row r="3520">
      <c r="A3520" s="6" t="n"/>
    </row>
    <row r="3521">
      <c r="A3521" s="6" t="n"/>
    </row>
    <row r="3522">
      <c r="A3522" s="6" t="n"/>
    </row>
    <row r="3523">
      <c r="A3523" s="6" t="n"/>
    </row>
    <row r="3524">
      <c r="A3524" s="6" t="n"/>
    </row>
    <row r="3525">
      <c r="A3525" s="6" t="n"/>
    </row>
    <row r="3526">
      <c r="A3526" s="6" t="n"/>
    </row>
    <row r="3527">
      <c r="A3527" s="6" t="n"/>
    </row>
    <row r="3528">
      <c r="A3528" s="6" t="n"/>
    </row>
    <row r="3529">
      <c r="A3529" s="6" t="n"/>
    </row>
    <row r="3530">
      <c r="A3530" s="6" t="n"/>
    </row>
    <row r="3531">
      <c r="A3531" s="6" t="n"/>
    </row>
    <row r="3532">
      <c r="A3532" s="6" t="n"/>
    </row>
    <row r="3533">
      <c r="A3533" s="6" t="n"/>
    </row>
    <row r="3534">
      <c r="A3534" s="6" t="n"/>
    </row>
    <row r="3535">
      <c r="A3535" s="6" t="n"/>
    </row>
    <row r="3536">
      <c r="A3536" s="6" t="n"/>
    </row>
    <row r="3537">
      <c r="A3537" s="6" t="n"/>
    </row>
    <row r="3538">
      <c r="A3538" s="6" t="n"/>
    </row>
    <row r="3539">
      <c r="A3539" s="6" t="n"/>
    </row>
    <row r="3540">
      <c r="A3540" s="6" t="n"/>
    </row>
    <row r="3541">
      <c r="A3541" s="6" t="n"/>
    </row>
    <row r="3542">
      <c r="A3542" s="6" t="n"/>
    </row>
    <row r="3543">
      <c r="A3543" s="6" t="n"/>
    </row>
    <row r="3544">
      <c r="A3544" s="6" t="n"/>
    </row>
    <row r="3545">
      <c r="A3545" s="6" t="n"/>
    </row>
    <row r="3546">
      <c r="A3546" s="6" t="n"/>
    </row>
    <row r="3547">
      <c r="A3547" s="6" t="n"/>
    </row>
    <row r="3548">
      <c r="A3548" s="6" t="n"/>
    </row>
    <row r="3549">
      <c r="A3549" s="6" t="n"/>
    </row>
    <row r="3550">
      <c r="A3550" s="6" t="n"/>
    </row>
    <row r="3551">
      <c r="A3551" s="6" t="n"/>
    </row>
    <row r="3552">
      <c r="A3552" s="6" t="n"/>
    </row>
    <row r="3553">
      <c r="A3553" s="6" t="n"/>
    </row>
    <row r="3554">
      <c r="A3554" s="6" t="n"/>
    </row>
    <row r="3555">
      <c r="A3555" s="6" t="n"/>
    </row>
    <row r="3556">
      <c r="A3556" s="6" t="n"/>
    </row>
    <row r="3557">
      <c r="A3557" s="6" t="n"/>
    </row>
    <row r="3558">
      <c r="A3558" s="6" t="n"/>
    </row>
    <row r="3559">
      <c r="A3559" s="6" t="n"/>
    </row>
    <row r="3560">
      <c r="A3560" s="6" t="n"/>
    </row>
    <row r="3561">
      <c r="A3561" s="6" t="n"/>
    </row>
    <row r="3562">
      <c r="A3562" s="6" t="n"/>
    </row>
    <row r="3563">
      <c r="A3563" s="6" t="n"/>
    </row>
    <row r="3564">
      <c r="A3564" s="6" t="n"/>
    </row>
    <row r="3565">
      <c r="A3565" s="6" t="n"/>
    </row>
    <row r="3566">
      <c r="A3566" s="6" t="n"/>
    </row>
    <row r="3567">
      <c r="A3567" s="6" t="n"/>
    </row>
    <row r="3568">
      <c r="A3568" s="6" t="n"/>
    </row>
    <row r="3569">
      <c r="A3569" s="6" t="n"/>
    </row>
    <row r="3570">
      <c r="A3570" s="6" t="n"/>
    </row>
    <row r="3571">
      <c r="A3571" s="6" t="n"/>
    </row>
    <row r="3572">
      <c r="A3572" s="6" t="n"/>
    </row>
    <row r="3573">
      <c r="A3573" s="6" t="n"/>
    </row>
    <row r="3574">
      <c r="A3574" s="6" t="n"/>
    </row>
    <row r="3575">
      <c r="A3575" s="6" t="n"/>
    </row>
    <row r="3576">
      <c r="A3576" s="6" t="n"/>
    </row>
    <row r="3577">
      <c r="A3577" s="6" t="n"/>
    </row>
    <row r="3578">
      <c r="A3578" s="6" t="n"/>
    </row>
    <row r="3579">
      <c r="A3579" s="6" t="n"/>
    </row>
    <row r="3580">
      <c r="A3580" s="6" t="n"/>
    </row>
    <row r="3581">
      <c r="A3581" s="6" t="n"/>
    </row>
    <row r="3582">
      <c r="A3582" s="6" t="n"/>
    </row>
    <row r="3583">
      <c r="A3583" s="6" t="n"/>
    </row>
    <row r="3584">
      <c r="A3584" s="6" t="n"/>
    </row>
    <row r="3585">
      <c r="A3585" s="6" t="n"/>
    </row>
    <row r="3586">
      <c r="A3586" s="6" t="n"/>
    </row>
    <row r="3587">
      <c r="A3587" s="6" t="n"/>
    </row>
    <row r="3588">
      <c r="A3588" s="6" t="n"/>
    </row>
    <row r="3589">
      <c r="A3589" s="6" t="n"/>
    </row>
    <row r="3590">
      <c r="A3590" s="6" t="n"/>
    </row>
    <row r="3591">
      <c r="A3591" s="6" t="n"/>
    </row>
    <row r="3592">
      <c r="A3592" s="6" t="n"/>
    </row>
    <row r="3593">
      <c r="A3593" s="6" t="n"/>
    </row>
    <row r="3594">
      <c r="A3594" s="6" t="n"/>
    </row>
    <row r="3595">
      <c r="A3595" s="6" t="n"/>
    </row>
    <row r="3596">
      <c r="A3596" s="6" t="n"/>
    </row>
    <row r="3597">
      <c r="A3597" s="6" t="n"/>
    </row>
    <row r="3598">
      <c r="A3598" s="6" t="n"/>
    </row>
    <row r="3599">
      <c r="A3599" s="6" t="n"/>
    </row>
    <row r="3600">
      <c r="A3600" s="6" t="n"/>
    </row>
    <row r="3601">
      <c r="A3601" s="6" t="n"/>
    </row>
    <row r="3602">
      <c r="A3602" s="6" t="n"/>
    </row>
    <row r="3603">
      <c r="A3603" s="6" t="n"/>
    </row>
    <row r="3604">
      <c r="A3604" s="6" t="n"/>
    </row>
    <row r="3605">
      <c r="A3605" s="6" t="n"/>
    </row>
    <row r="3606">
      <c r="A3606" s="6" t="n"/>
    </row>
    <row r="3607">
      <c r="A3607" s="6" t="n"/>
    </row>
    <row r="3608">
      <c r="A3608" s="6" t="n"/>
    </row>
    <row r="3609">
      <c r="A3609" s="6" t="n"/>
    </row>
    <row r="3610">
      <c r="A3610" s="6" t="n"/>
    </row>
    <row r="3611">
      <c r="A3611" s="6" t="n"/>
    </row>
    <row r="3612">
      <c r="A3612" s="6" t="n"/>
    </row>
    <row r="3613">
      <c r="A3613" s="6" t="n"/>
    </row>
    <row r="3614">
      <c r="A3614" s="6" t="n"/>
    </row>
    <row r="3615">
      <c r="A3615" s="6" t="n"/>
    </row>
    <row r="3616">
      <c r="A3616" s="6" t="n"/>
    </row>
    <row r="3617">
      <c r="A3617" s="6" t="n"/>
    </row>
    <row r="3618">
      <c r="A3618" s="6" t="n"/>
    </row>
    <row r="3619">
      <c r="A3619" s="6" t="n"/>
    </row>
    <row r="3620">
      <c r="A3620" s="6" t="n"/>
    </row>
    <row r="3621">
      <c r="A3621" s="6" t="n"/>
    </row>
    <row r="3622">
      <c r="A3622" s="6" t="n"/>
    </row>
    <row r="3623">
      <c r="A3623" s="6" t="n"/>
    </row>
    <row r="3624">
      <c r="A3624" s="6" t="n"/>
    </row>
    <row r="3625">
      <c r="A3625" s="6" t="n"/>
    </row>
    <row r="3626">
      <c r="A3626" s="6" t="n"/>
    </row>
    <row r="3627">
      <c r="A3627" s="6" t="n"/>
    </row>
    <row r="3628">
      <c r="A3628" s="6" t="n"/>
    </row>
    <row r="3629">
      <c r="A3629" s="6" t="n"/>
    </row>
    <row r="3630">
      <c r="A3630" s="6" t="n"/>
    </row>
    <row r="3631">
      <c r="A3631" s="6" t="n"/>
    </row>
    <row r="3632">
      <c r="A3632" s="6" t="n"/>
    </row>
    <row r="3633">
      <c r="A3633" s="6" t="n"/>
    </row>
    <row r="3634">
      <c r="A3634" s="6" t="n"/>
    </row>
    <row r="3635">
      <c r="A3635" s="6" t="n"/>
    </row>
    <row r="3636">
      <c r="A3636" s="6" t="n"/>
    </row>
    <row r="3637">
      <c r="A3637" s="6" t="n"/>
    </row>
    <row r="3638">
      <c r="A3638" s="6" t="n"/>
    </row>
    <row r="3639">
      <c r="A3639" s="6" t="n"/>
    </row>
    <row r="3640">
      <c r="A3640" s="6" t="n"/>
    </row>
    <row r="3641">
      <c r="A3641" s="6" t="n"/>
    </row>
    <row r="3642">
      <c r="A3642" s="6" t="n"/>
    </row>
    <row r="3643">
      <c r="A3643" s="6" t="n"/>
    </row>
    <row r="3644">
      <c r="A3644" s="6" t="n"/>
    </row>
    <row r="3645">
      <c r="A3645" s="6" t="n"/>
    </row>
    <row r="3646">
      <c r="A3646" s="6" t="n"/>
    </row>
    <row r="3647">
      <c r="A3647" s="6" t="n"/>
    </row>
    <row r="3648">
      <c r="A3648" s="6" t="n"/>
    </row>
    <row r="3649">
      <c r="A3649" s="6" t="n"/>
    </row>
    <row r="3650">
      <c r="A3650" s="6" t="n"/>
    </row>
    <row r="3651">
      <c r="A3651" s="6" t="n"/>
    </row>
    <row r="3652">
      <c r="A3652" s="6" t="n"/>
    </row>
    <row r="3653">
      <c r="A3653" s="6" t="n"/>
    </row>
    <row r="3654">
      <c r="A3654" s="6" t="n"/>
    </row>
    <row r="3655">
      <c r="A3655" s="6" t="n"/>
    </row>
    <row r="3656">
      <c r="A3656" s="6" t="n"/>
    </row>
    <row r="3657">
      <c r="A3657" s="6" t="n"/>
    </row>
    <row r="3658">
      <c r="A3658" s="6" t="n"/>
    </row>
    <row r="3659">
      <c r="A3659" s="6" t="n"/>
    </row>
    <row r="3660">
      <c r="A3660" s="6" t="n"/>
    </row>
    <row r="3661">
      <c r="A3661" s="6" t="n"/>
    </row>
    <row r="3662">
      <c r="A3662" s="6" t="n"/>
    </row>
    <row r="3663">
      <c r="A3663" s="6" t="n"/>
    </row>
    <row r="3664">
      <c r="A3664" s="6" t="n"/>
    </row>
    <row r="3665">
      <c r="A3665" s="6" t="n"/>
    </row>
    <row r="3666">
      <c r="A3666" s="6" t="n"/>
    </row>
    <row r="3667">
      <c r="A3667" s="6" t="n"/>
    </row>
    <row r="3668">
      <c r="A3668" s="6" t="n"/>
    </row>
    <row r="3669">
      <c r="A3669" s="6" t="n"/>
    </row>
    <row r="3670">
      <c r="A3670" s="6" t="n"/>
    </row>
    <row r="3671">
      <c r="A3671" s="6" t="n"/>
    </row>
    <row r="3672">
      <c r="A3672" s="6" t="n"/>
    </row>
    <row r="3673">
      <c r="A3673" s="6" t="n"/>
    </row>
    <row r="3674">
      <c r="A3674" s="6" t="n"/>
    </row>
    <row r="3675">
      <c r="A3675" s="6" t="n"/>
    </row>
    <row r="3676">
      <c r="A3676" s="6" t="n"/>
    </row>
    <row r="3677">
      <c r="A3677" s="6" t="n"/>
    </row>
    <row r="3678">
      <c r="A3678" s="6" t="n"/>
    </row>
    <row r="3679">
      <c r="A3679" s="6" t="n"/>
    </row>
    <row r="3680">
      <c r="A3680" s="6" t="n"/>
    </row>
    <row r="3681">
      <c r="A3681" s="6" t="n"/>
    </row>
    <row r="3682">
      <c r="A3682" s="6" t="n"/>
    </row>
    <row r="3683">
      <c r="A3683" s="6" t="n"/>
    </row>
    <row r="3684">
      <c r="A3684" s="6" t="n"/>
    </row>
    <row r="3685">
      <c r="A3685" s="6" t="n"/>
    </row>
    <row r="3686">
      <c r="A3686" s="6" t="n"/>
    </row>
    <row r="3687">
      <c r="A3687" s="6" t="n"/>
    </row>
    <row r="3688">
      <c r="A3688" s="6" t="n"/>
    </row>
    <row r="3689">
      <c r="A3689" s="6" t="n"/>
    </row>
    <row r="3690">
      <c r="A3690" s="6" t="n"/>
    </row>
    <row r="3691">
      <c r="A3691" s="6" t="n"/>
    </row>
    <row r="3692">
      <c r="A3692" s="6" t="n"/>
    </row>
    <row r="3693">
      <c r="A3693" s="6" t="n"/>
    </row>
    <row r="3694">
      <c r="A3694" s="6" t="n"/>
    </row>
    <row r="3695">
      <c r="A3695" s="6" t="n"/>
    </row>
    <row r="3696">
      <c r="A3696" s="6" t="n"/>
    </row>
    <row r="3697">
      <c r="A3697" s="6" t="n"/>
    </row>
    <row r="3698">
      <c r="A3698" s="6" t="n"/>
    </row>
    <row r="3699">
      <c r="A3699" s="6" t="n"/>
    </row>
    <row r="3700">
      <c r="A3700" s="6" t="n"/>
    </row>
    <row r="3701">
      <c r="A3701" s="6" t="n"/>
    </row>
    <row r="3702">
      <c r="A3702" s="6" t="n"/>
    </row>
    <row r="3703">
      <c r="A3703" s="6" t="n"/>
    </row>
    <row r="3704">
      <c r="A3704" s="6" t="n"/>
    </row>
    <row r="3705">
      <c r="A3705" s="6" t="n"/>
    </row>
    <row r="3706">
      <c r="A3706" s="6" t="n"/>
    </row>
    <row r="3707">
      <c r="A3707" s="6" t="n"/>
    </row>
    <row r="3708">
      <c r="A3708" s="6" t="n"/>
    </row>
    <row r="3709">
      <c r="A3709" s="6" t="n"/>
    </row>
    <row r="3710">
      <c r="A3710" s="6" t="n"/>
    </row>
    <row r="3711">
      <c r="A3711" s="6" t="n"/>
    </row>
    <row r="3712">
      <c r="A3712" s="6" t="n"/>
    </row>
    <row r="3713">
      <c r="A3713" s="6" t="n"/>
    </row>
    <row r="3714">
      <c r="A3714" s="6" t="n"/>
    </row>
    <row r="3715">
      <c r="A3715" s="6" t="n"/>
    </row>
    <row r="3716">
      <c r="A3716" s="6" t="n"/>
    </row>
    <row r="3717">
      <c r="A3717" s="6" t="n"/>
    </row>
    <row r="3718">
      <c r="A3718" s="6" t="n"/>
    </row>
    <row r="3719">
      <c r="A3719" s="6" t="n"/>
    </row>
    <row r="3720">
      <c r="A3720" s="6" t="n"/>
    </row>
    <row r="3721">
      <c r="A3721" s="6" t="n"/>
    </row>
    <row r="3722">
      <c r="A3722" s="6" t="n"/>
    </row>
    <row r="3723">
      <c r="A3723" s="6" t="n"/>
    </row>
    <row r="3724">
      <c r="A3724" s="6" t="n"/>
    </row>
    <row r="3725">
      <c r="A3725" s="6" t="n"/>
    </row>
    <row r="3726">
      <c r="A3726" s="6" t="n"/>
    </row>
    <row r="3727">
      <c r="A3727" s="6" t="n"/>
    </row>
    <row r="3728">
      <c r="A3728" s="6" t="n"/>
    </row>
    <row r="3729">
      <c r="A3729" s="6" t="n"/>
    </row>
    <row r="3730">
      <c r="A3730" s="6" t="n"/>
    </row>
    <row r="3731">
      <c r="A3731" s="6" t="n"/>
    </row>
    <row r="3732">
      <c r="A3732" s="6" t="n"/>
    </row>
    <row r="3733">
      <c r="A3733" s="6" t="n"/>
    </row>
    <row r="3734">
      <c r="A3734" s="6" t="n"/>
    </row>
    <row r="3735">
      <c r="A3735" s="6" t="n"/>
    </row>
    <row r="3736">
      <c r="A3736" s="6" t="n"/>
    </row>
    <row r="3737">
      <c r="A3737" s="6" t="n"/>
    </row>
    <row r="3738">
      <c r="A3738" s="6" t="n"/>
    </row>
    <row r="3739">
      <c r="A3739" s="6" t="n"/>
    </row>
    <row r="3740">
      <c r="A3740" s="6" t="n"/>
    </row>
    <row r="3741">
      <c r="A3741" s="6" t="n"/>
    </row>
    <row r="3742">
      <c r="A3742" s="6" t="n"/>
    </row>
    <row r="3743">
      <c r="A3743" s="6" t="n"/>
    </row>
    <row r="3744">
      <c r="A3744" s="6" t="n"/>
    </row>
    <row r="3745">
      <c r="A3745" s="6" t="n"/>
    </row>
    <row r="3746">
      <c r="A3746" s="6" t="n"/>
    </row>
    <row r="3747">
      <c r="A3747" s="6" t="n"/>
    </row>
    <row r="3748">
      <c r="A3748" s="6" t="n"/>
    </row>
    <row r="3749">
      <c r="A3749" s="6" t="n"/>
    </row>
    <row r="3750">
      <c r="A3750" s="6" t="n"/>
    </row>
    <row r="3751">
      <c r="A3751" s="6" t="n"/>
    </row>
    <row r="3752">
      <c r="A3752" s="6" t="n"/>
    </row>
    <row r="3753">
      <c r="A3753" s="6" t="n"/>
    </row>
    <row r="3754">
      <c r="A3754" s="6" t="n"/>
    </row>
    <row r="3755">
      <c r="A3755" s="6" t="n"/>
    </row>
    <row r="3756">
      <c r="A3756" s="6" t="n"/>
    </row>
    <row r="3757">
      <c r="A3757" s="6" t="n"/>
    </row>
    <row r="3758">
      <c r="A3758" s="6" t="n"/>
    </row>
    <row r="3759">
      <c r="A3759" s="6" t="n"/>
    </row>
    <row r="3760">
      <c r="A3760" s="6" t="n"/>
    </row>
    <row r="3761">
      <c r="A3761" s="6" t="n"/>
    </row>
    <row r="3762">
      <c r="A3762" s="6" t="n"/>
    </row>
    <row r="3763">
      <c r="A3763" s="6" t="n"/>
    </row>
    <row r="3764">
      <c r="A3764" s="6" t="n"/>
    </row>
    <row r="3765">
      <c r="A3765" s="6" t="n"/>
    </row>
    <row r="3766">
      <c r="A3766" s="6" t="n"/>
    </row>
    <row r="3767">
      <c r="A3767" s="6" t="n"/>
    </row>
    <row r="3768">
      <c r="A3768" s="6" t="n"/>
    </row>
    <row r="3769">
      <c r="A3769" s="6" t="n"/>
    </row>
    <row r="3770">
      <c r="A3770" s="6" t="n"/>
    </row>
    <row r="3771">
      <c r="A3771" s="6" t="n"/>
    </row>
    <row r="3772">
      <c r="A3772" s="6" t="n"/>
    </row>
    <row r="3773">
      <c r="A3773" s="6" t="n"/>
    </row>
    <row r="3774">
      <c r="A3774" s="6" t="n"/>
    </row>
    <row r="3775">
      <c r="A3775" s="6" t="n"/>
    </row>
    <row r="3776">
      <c r="A3776" s="6" t="n"/>
    </row>
    <row r="3777">
      <c r="A3777" s="6" t="n"/>
    </row>
    <row r="3778">
      <c r="A3778" s="6" t="n"/>
    </row>
    <row r="3779">
      <c r="A3779" s="6" t="n"/>
    </row>
    <row r="3780">
      <c r="A3780" s="6" t="n"/>
    </row>
    <row r="3781">
      <c r="A3781" s="6" t="n"/>
    </row>
    <row r="3782">
      <c r="A3782" s="6" t="n"/>
    </row>
    <row r="3783">
      <c r="A3783" s="6" t="n"/>
    </row>
    <row r="3784">
      <c r="A3784" s="6" t="n"/>
    </row>
    <row r="3785">
      <c r="A3785" s="6" t="n"/>
    </row>
    <row r="3786">
      <c r="A3786" s="6" t="n"/>
    </row>
    <row r="3787">
      <c r="A3787" s="6" t="n"/>
    </row>
    <row r="3788">
      <c r="A3788" s="6" t="n"/>
    </row>
    <row r="3789">
      <c r="A3789" s="6" t="n"/>
    </row>
    <row r="3790">
      <c r="A3790" s="6" t="n"/>
    </row>
    <row r="3791">
      <c r="A3791" s="6" t="n"/>
    </row>
    <row r="3792">
      <c r="A3792" s="6" t="n"/>
    </row>
    <row r="3793">
      <c r="A3793" s="6" t="n"/>
    </row>
    <row r="3794">
      <c r="A3794" s="6" t="n"/>
    </row>
    <row r="3795">
      <c r="A3795" s="6" t="n"/>
    </row>
    <row r="3796">
      <c r="A3796" s="6" t="n"/>
    </row>
    <row r="3797">
      <c r="A3797" s="6" t="n"/>
    </row>
    <row r="3798">
      <c r="A3798" s="6" t="n"/>
    </row>
    <row r="3799">
      <c r="A3799" s="6" t="n"/>
    </row>
    <row r="3800">
      <c r="A3800" s="6" t="n"/>
    </row>
    <row r="3801">
      <c r="A3801" s="6" t="n"/>
    </row>
    <row r="3802">
      <c r="A3802" s="6" t="n"/>
    </row>
    <row r="3803">
      <c r="A3803" s="6" t="n"/>
    </row>
    <row r="3804">
      <c r="A3804" s="6" t="n"/>
    </row>
    <row r="3805">
      <c r="A3805" s="6" t="n"/>
    </row>
    <row r="3806">
      <c r="A3806" s="6" t="n"/>
    </row>
    <row r="3807">
      <c r="A3807" s="6" t="n"/>
    </row>
    <row r="3808">
      <c r="A3808" s="6" t="n"/>
    </row>
    <row r="3809">
      <c r="A3809" s="6" t="n"/>
    </row>
    <row r="3810">
      <c r="A3810" s="6" t="n"/>
    </row>
    <row r="3811">
      <c r="A3811" s="6" t="n"/>
    </row>
    <row r="3812">
      <c r="A3812" s="6" t="n"/>
    </row>
    <row r="3813">
      <c r="A3813" s="6" t="n"/>
    </row>
    <row r="3814">
      <c r="A3814" s="6" t="n"/>
    </row>
    <row r="3815">
      <c r="A3815" s="6" t="n"/>
    </row>
    <row r="3816">
      <c r="A3816" s="6" t="n"/>
    </row>
    <row r="3817">
      <c r="A3817" s="6" t="n"/>
    </row>
    <row r="3818">
      <c r="A3818" s="6" t="n"/>
    </row>
    <row r="3819">
      <c r="A3819" s="6" t="n"/>
    </row>
    <row r="3820">
      <c r="A3820" s="6" t="n"/>
    </row>
    <row r="3821">
      <c r="A3821" s="6" t="n"/>
    </row>
    <row r="3822">
      <c r="A3822" s="6" t="n"/>
    </row>
    <row r="3823">
      <c r="A3823" s="6" t="n"/>
    </row>
    <row r="3824">
      <c r="A3824" s="6" t="n"/>
    </row>
    <row r="3825">
      <c r="A3825" s="6" t="n"/>
    </row>
    <row r="3826">
      <c r="A3826" s="6" t="n"/>
    </row>
    <row r="3827">
      <c r="A3827" s="6" t="n"/>
    </row>
    <row r="3828">
      <c r="A3828" s="6" t="n"/>
    </row>
    <row r="3829">
      <c r="A3829" s="6" t="n"/>
    </row>
    <row r="3830">
      <c r="A3830" s="6" t="n"/>
    </row>
    <row r="3831">
      <c r="A3831" s="6" t="n"/>
    </row>
    <row r="3832">
      <c r="A3832" s="6" t="n"/>
    </row>
    <row r="3833">
      <c r="A3833" s="6" t="n"/>
    </row>
    <row r="3834">
      <c r="A3834" s="6" t="n"/>
    </row>
    <row r="3835">
      <c r="A3835" s="6" t="n"/>
    </row>
    <row r="3836">
      <c r="A3836" s="6" t="n"/>
    </row>
    <row r="3837">
      <c r="A3837" s="6" t="n"/>
    </row>
    <row r="3838">
      <c r="A3838" s="6" t="n"/>
    </row>
    <row r="3839">
      <c r="A3839" s="6" t="n"/>
    </row>
    <row r="3840">
      <c r="A3840" s="6" t="n"/>
    </row>
    <row r="3841">
      <c r="A3841" s="6" t="n"/>
    </row>
    <row r="3842">
      <c r="A3842" s="6" t="n"/>
    </row>
    <row r="3843">
      <c r="A3843" s="6" t="n"/>
    </row>
    <row r="3844">
      <c r="A3844" s="6" t="n"/>
    </row>
    <row r="3845">
      <c r="A3845" s="6" t="n"/>
    </row>
    <row r="3846">
      <c r="A3846" s="6" t="n"/>
    </row>
    <row r="3847">
      <c r="A3847" s="6" t="n"/>
    </row>
    <row r="3848">
      <c r="A3848" s="6" t="n"/>
    </row>
    <row r="3849">
      <c r="A3849" s="6" t="n"/>
    </row>
    <row r="3850">
      <c r="A3850" s="6" t="n"/>
    </row>
    <row r="3851">
      <c r="A3851" s="6" t="n"/>
    </row>
    <row r="3852">
      <c r="A3852" s="6" t="n"/>
    </row>
    <row r="3853">
      <c r="A3853" s="6" t="n"/>
    </row>
    <row r="3854">
      <c r="A3854" s="6" t="n"/>
    </row>
    <row r="3855">
      <c r="A3855" s="6" t="n"/>
    </row>
    <row r="3856">
      <c r="A3856" s="6" t="n"/>
    </row>
    <row r="3857">
      <c r="A3857" s="6" t="n"/>
    </row>
    <row r="3858">
      <c r="A3858" s="6" t="n"/>
    </row>
    <row r="3859">
      <c r="A3859" s="6" t="n"/>
    </row>
    <row r="3860">
      <c r="A3860" s="6" t="n"/>
    </row>
    <row r="3861">
      <c r="A3861" s="6" t="n"/>
    </row>
    <row r="3862">
      <c r="A3862" s="6" t="n"/>
    </row>
    <row r="3863">
      <c r="A3863" s="6" t="n"/>
    </row>
    <row r="3864">
      <c r="A3864" s="6" t="n"/>
    </row>
    <row r="3865">
      <c r="A3865" s="6" t="n"/>
    </row>
    <row r="3866">
      <c r="A3866" s="6" t="n"/>
    </row>
    <row r="3867">
      <c r="A3867" s="6" t="n"/>
    </row>
    <row r="3868">
      <c r="A3868" s="6" t="n"/>
    </row>
    <row r="3869">
      <c r="A3869" s="6" t="n"/>
    </row>
    <row r="3870">
      <c r="A3870" s="6" t="n"/>
    </row>
    <row r="3871">
      <c r="A3871" s="6" t="n"/>
    </row>
    <row r="3872">
      <c r="A3872" s="6" t="n"/>
    </row>
    <row r="3873">
      <c r="A3873" s="6" t="n"/>
    </row>
    <row r="3874">
      <c r="A3874" s="6" t="n"/>
    </row>
    <row r="3875">
      <c r="A3875" s="6" t="n"/>
    </row>
    <row r="3876">
      <c r="A3876" s="6" t="n"/>
    </row>
    <row r="3877">
      <c r="A3877" s="6" t="n"/>
    </row>
    <row r="3878">
      <c r="A3878" s="6" t="n"/>
    </row>
    <row r="3879">
      <c r="A3879" s="6" t="n"/>
    </row>
    <row r="3880">
      <c r="A3880" s="6" t="n"/>
    </row>
    <row r="3881">
      <c r="A3881" s="6" t="n"/>
    </row>
    <row r="3882">
      <c r="A3882" s="6" t="n"/>
    </row>
    <row r="3883">
      <c r="A3883" s="6" t="n"/>
    </row>
    <row r="3884">
      <c r="A3884" s="6" t="n"/>
    </row>
    <row r="3885">
      <c r="A3885" s="6" t="n"/>
    </row>
    <row r="3886">
      <c r="A3886" s="6" t="n"/>
    </row>
    <row r="3887">
      <c r="A3887" s="6" t="n"/>
    </row>
    <row r="3888">
      <c r="A3888" s="6" t="n"/>
    </row>
    <row r="3889">
      <c r="A3889" s="6" t="n"/>
    </row>
    <row r="3890">
      <c r="A3890" s="6" t="n"/>
    </row>
    <row r="3891">
      <c r="A3891" s="6" t="n"/>
    </row>
    <row r="3892">
      <c r="A3892" s="6" t="n"/>
    </row>
    <row r="3893">
      <c r="A3893" s="6" t="n"/>
    </row>
    <row r="3894">
      <c r="A3894" s="6" t="n"/>
    </row>
    <row r="3895">
      <c r="A3895" s="6" t="n"/>
    </row>
    <row r="3896">
      <c r="A3896" s="6" t="n"/>
    </row>
    <row r="3897">
      <c r="A3897" s="6" t="n"/>
    </row>
    <row r="3898">
      <c r="A3898" s="6" t="n"/>
    </row>
    <row r="3899">
      <c r="A3899" s="6" t="n"/>
    </row>
    <row r="3900">
      <c r="A3900" s="6" t="n"/>
    </row>
    <row r="3901">
      <c r="A3901" s="6" t="n"/>
    </row>
    <row r="3902">
      <c r="A3902" s="6" t="n"/>
    </row>
    <row r="3903">
      <c r="A3903" s="6" t="n"/>
    </row>
    <row r="3904">
      <c r="A3904" s="6" t="n"/>
    </row>
    <row r="3905">
      <c r="A3905" s="6" t="n"/>
    </row>
    <row r="3906">
      <c r="A3906" s="6" t="n"/>
    </row>
    <row r="3907">
      <c r="A3907" s="6" t="n"/>
    </row>
    <row r="3908">
      <c r="A3908" s="6" t="n"/>
    </row>
    <row r="3909">
      <c r="A3909" s="6" t="n"/>
    </row>
    <row r="3910">
      <c r="A3910" s="6" t="n"/>
    </row>
    <row r="3911">
      <c r="A3911" s="6" t="n"/>
    </row>
    <row r="3912">
      <c r="A3912" s="6" t="n"/>
    </row>
    <row r="3913">
      <c r="A3913" s="6" t="n"/>
    </row>
    <row r="3914">
      <c r="A3914" s="6" t="n"/>
    </row>
    <row r="3915">
      <c r="A3915" s="6" t="n"/>
    </row>
    <row r="3916">
      <c r="A3916" s="6" t="n"/>
    </row>
    <row r="3917">
      <c r="A3917" s="6" t="n"/>
    </row>
    <row r="3918">
      <c r="A3918" s="6" t="n"/>
    </row>
    <row r="3919">
      <c r="A3919" s="6" t="n"/>
    </row>
    <row r="3920">
      <c r="A3920" s="6" t="n"/>
    </row>
    <row r="3921">
      <c r="A3921" s="6" t="n"/>
    </row>
    <row r="3922">
      <c r="A3922" s="6" t="n"/>
    </row>
    <row r="3923">
      <c r="A3923" s="6" t="n"/>
    </row>
    <row r="3924">
      <c r="A3924" s="6" t="n"/>
    </row>
    <row r="3925">
      <c r="A3925" s="6" t="n"/>
    </row>
    <row r="3926">
      <c r="A3926" s="6" t="n"/>
    </row>
    <row r="3927">
      <c r="A3927" s="6" t="n"/>
    </row>
    <row r="3928">
      <c r="A3928" s="6" t="n"/>
    </row>
    <row r="3929">
      <c r="A3929" s="6" t="n"/>
    </row>
    <row r="3930">
      <c r="A3930" s="6" t="n"/>
    </row>
    <row r="3931">
      <c r="A3931" s="6" t="n"/>
    </row>
    <row r="3932">
      <c r="A3932" s="6" t="n"/>
    </row>
    <row r="3933">
      <c r="A3933" s="6" t="n"/>
    </row>
    <row r="3934">
      <c r="A3934" s="6" t="n"/>
    </row>
    <row r="3935">
      <c r="A3935" s="6" t="n"/>
    </row>
    <row r="3936">
      <c r="A3936" s="6" t="n"/>
    </row>
    <row r="3937">
      <c r="A3937" s="6" t="n"/>
    </row>
    <row r="3938">
      <c r="A3938" s="6" t="n"/>
    </row>
    <row r="3939">
      <c r="A3939" s="6" t="n"/>
    </row>
    <row r="3940">
      <c r="A3940" s="6" t="n"/>
    </row>
    <row r="3941">
      <c r="A3941" s="6" t="n"/>
    </row>
    <row r="3942">
      <c r="A3942" s="6" t="n"/>
    </row>
    <row r="3943">
      <c r="A3943" s="6" t="n"/>
    </row>
    <row r="3944">
      <c r="A3944" s="6" t="n"/>
    </row>
    <row r="3945">
      <c r="A3945" s="6" t="n"/>
    </row>
    <row r="3946">
      <c r="A3946" s="6" t="n"/>
    </row>
    <row r="3947">
      <c r="A3947" s="6" t="n"/>
    </row>
    <row r="3948">
      <c r="A3948" s="6" t="n"/>
    </row>
    <row r="3949">
      <c r="A3949" s="6" t="n"/>
    </row>
    <row r="3950">
      <c r="A3950" s="6" t="n"/>
    </row>
    <row r="3951">
      <c r="A3951" s="6" t="n"/>
    </row>
    <row r="3952">
      <c r="A3952" s="6" t="n"/>
    </row>
    <row r="3953">
      <c r="A3953" s="6" t="n"/>
    </row>
    <row r="3954">
      <c r="A3954" s="6" t="n"/>
    </row>
    <row r="3955">
      <c r="A3955" s="6" t="n"/>
    </row>
    <row r="3956">
      <c r="A3956" s="6" t="n"/>
    </row>
    <row r="3957">
      <c r="A3957" s="6" t="n"/>
    </row>
    <row r="3958">
      <c r="A3958" s="6" t="n"/>
    </row>
    <row r="3959">
      <c r="A3959" s="6" t="n"/>
    </row>
    <row r="3960">
      <c r="A3960" s="6" t="n"/>
    </row>
    <row r="3961">
      <c r="A3961" s="6" t="n"/>
    </row>
    <row r="3962">
      <c r="A3962" s="6" t="n"/>
    </row>
    <row r="3963">
      <c r="A3963" s="6" t="n"/>
    </row>
    <row r="3964">
      <c r="A3964" s="6" t="n"/>
    </row>
    <row r="3965">
      <c r="A3965" s="6" t="n"/>
    </row>
    <row r="3966">
      <c r="A3966" s="6" t="n"/>
    </row>
    <row r="3967">
      <c r="A3967" s="6" t="n"/>
    </row>
    <row r="3968">
      <c r="A3968" s="6" t="n"/>
    </row>
    <row r="3969">
      <c r="A3969" s="6" t="n"/>
    </row>
    <row r="3970">
      <c r="A3970" s="6" t="n"/>
    </row>
    <row r="3971">
      <c r="A3971" s="6" t="n"/>
    </row>
    <row r="3972">
      <c r="A3972" s="6" t="n"/>
    </row>
    <row r="3973">
      <c r="A3973" s="6" t="n"/>
    </row>
    <row r="3974">
      <c r="A3974" s="6" t="n"/>
    </row>
    <row r="3975">
      <c r="A3975" s="6" t="n"/>
    </row>
    <row r="3976">
      <c r="A3976" s="6" t="n"/>
    </row>
    <row r="3977">
      <c r="A3977" s="6" t="n"/>
    </row>
    <row r="3978">
      <c r="A3978" s="6" t="n"/>
    </row>
    <row r="3979">
      <c r="A3979" s="6" t="n"/>
    </row>
    <row r="3980">
      <c r="A3980" s="6" t="n"/>
    </row>
    <row r="3981">
      <c r="A3981" s="6" t="n"/>
    </row>
    <row r="3982">
      <c r="A3982" s="6" t="n"/>
    </row>
    <row r="3983">
      <c r="A3983" s="6" t="n"/>
    </row>
    <row r="3984">
      <c r="A3984" s="6" t="n"/>
    </row>
    <row r="3985">
      <c r="A3985" s="6" t="n"/>
    </row>
    <row r="3986">
      <c r="A3986" s="6" t="n"/>
    </row>
    <row r="3987">
      <c r="A3987" s="6" t="n"/>
    </row>
    <row r="3988">
      <c r="A3988" s="6" t="n"/>
    </row>
    <row r="3989">
      <c r="A3989" s="6" t="n"/>
    </row>
    <row r="3990">
      <c r="A3990" s="6" t="n"/>
    </row>
    <row r="3991">
      <c r="A3991" s="6" t="n"/>
    </row>
    <row r="3992">
      <c r="A3992" s="6" t="n"/>
    </row>
    <row r="3993">
      <c r="A3993" s="6" t="n"/>
    </row>
    <row r="3994">
      <c r="A3994" s="6" t="n"/>
    </row>
    <row r="3995">
      <c r="A3995" s="6" t="n"/>
    </row>
    <row r="3996">
      <c r="A3996" s="6" t="n"/>
    </row>
    <row r="3997">
      <c r="A3997" s="6" t="n"/>
    </row>
    <row r="3998">
      <c r="A3998" s="6" t="n"/>
    </row>
    <row r="3999">
      <c r="A3999" s="6" t="n"/>
    </row>
    <row r="4000">
      <c r="A4000" s="6" t="n"/>
    </row>
    <row r="4001">
      <c r="A4001" s="6" t="n"/>
    </row>
    <row r="4002">
      <c r="A4002" s="6" t="n"/>
    </row>
    <row r="4003">
      <c r="A4003" s="6" t="n"/>
    </row>
    <row r="4004">
      <c r="A4004" s="6" t="n"/>
    </row>
    <row r="4005">
      <c r="A4005" s="6" t="n"/>
    </row>
    <row r="4006">
      <c r="A4006" s="6" t="n"/>
    </row>
    <row r="4007">
      <c r="A4007" s="6" t="n"/>
    </row>
    <row r="4008">
      <c r="A4008" s="6" t="n"/>
    </row>
    <row r="4009">
      <c r="A4009" s="6" t="n"/>
    </row>
    <row r="4010">
      <c r="A4010" s="6" t="n"/>
    </row>
    <row r="4011">
      <c r="A4011" s="6" t="n"/>
    </row>
    <row r="4012">
      <c r="A4012" s="6" t="n"/>
    </row>
    <row r="4013">
      <c r="A4013" s="6" t="n"/>
    </row>
    <row r="4014">
      <c r="A4014" s="6" t="n"/>
    </row>
    <row r="4015">
      <c r="A4015" s="6" t="n"/>
    </row>
    <row r="4016">
      <c r="A4016" s="6" t="n"/>
    </row>
    <row r="4017">
      <c r="A4017" s="6" t="n"/>
    </row>
    <row r="4018">
      <c r="A4018" s="6" t="n"/>
    </row>
    <row r="4019">
      <c r="A4019" s="6" t="n"/>
    </row>
    <row r="4020">
      <c r="A4020" s="6" t="n"/>
    </row>
    <row r="4021">
      <c r="A4021" s="6" t="n"/>
    </row>
    <row r="4022">
      <c r="A4022" s="6" t="n"/>
    </row>
    <row r="4023">
      <c r="A4023" s="6" t="n"/>
    </row>
    <row r="4024">
      <c r="A4024" s="6" t="n"/>
    </row>
    <row r="4025">
      <c r="A4025" s="6" t="n"/>
    </row>
    <row r="4026">
      <c r="A4026" s="6" t="n"/>
    </row>
    <row r="4027">
      <c r="A4027" s="6" t="n"/>
    </row>
    <row r="4028">
      <c r="A4028" s="6" t="n"/>
    </row>
    <row r="4029">
      <c r="A4029" s="6" t="n"/>
    </row>
    <row r="4030">
      <c r="A4030" s="6" t="n"/>
    </row>
    <row r="4031">
      <c r="A4031" s="6" t="n"/>
    </row>
    <row r="4032">
      <c r="A4032" s="6" t="n"/>
    </row>
    <row r="4033">
      <c r="A4033" s="6" t="n"/>
    </row>
    <row r="4034">
      <c r="A4034" s="6" t="n"/>
    </row>
    <row r="4035">
      <c r="A4035" s="6" t="n"/>
    </row>
    <row r="4036">
      <c r="A4036" s="6" t="n"/>
    </row>
    <row r="4037">
      <c r="A4037" s="6" t="n"/>
    </row>
    <row r="4038">
      <c r="A4038" s="6" t="n"/>
    </row>
    <row r="4039">
      <c r="A4039" s="6" t="n"/>
    </row>
    <row r="4040">
      <c r="A4040" s="6" t="n"/>
    </row>
    <row r="4041">
      <c r="A4041" s="6" t="n"/>
    </row>
    <row r="4042">
      <c r="A4042" s="6" t="n"/>
    </row>
    <row r="4043">
      <c r="A4043" s="6" t="n"/>
    </row>
    <row r="4044">
      <c r="A4044" s="6" t="n"/>
    </row>
    <row r="4045">
      <c r="A4045" s="6" t="n"/>
    </row>
    <row r="4046">
      <c r="A4046" s="6" t="n"/>
    </row>
    <row r="4047">
      <c r="A4047" s="6" t="n"/>
    </row>
    <row r="4048">
      <c r="A4048" s="6" t="n"/>
    </row>
    <row r="4049">
      <c r="A4049" s="6" t="n"/>
    </row>
    <row r="4050">
      <c r="A4050" s="6" t="n"/>
    </row>
    <row r="4051">
      <c r="A4051" s="6" t="n"/>
    </row>
    <row r="4052">
      <c r="A4052" s="6" t="n"/>
    </row>
    <row r="4053">
      <c r="A4053" s="6" t="n"/>
    </row>
    <row r="4054">
      <c r="A4054" s="6" t="n"/>
    </row>
    <row r="4055">
      <c r="A4055" s="6" t="n"/>
    </row>
    <row r="4056">
      <c r="A4056" s="6" t="n"/>
    </row>
    <row r="4057">
      <c r="A4057" s="6" t="n"/>
    </row>
    <row r="4058">
      <c r="A4058" s="6" t="n"/>
    </row>
    <row r="4059">
      <c r="A4059" s="6" t="n"/>
    </row>
    <row r="4060">
      <c r="A4060" s="6" t="n"/>
    </row>
    <row r="4061">
      <c r="A4061" s="6" t="n"/>
    </row>
    <row r="4062">
      <c r="A4062" s="6" t="n"/>
    </row>
    <row r="4063">
      <c r="A4063" s="6" t="n"/>
    </row>
    <row r="4064">
      <c r="A4064" s="6" t="n"/>
    </row>
    <row r="4065">
      <c r="A4065" s="6" t="n"/>
    </row>
    <row r="4066">
      <c r="A4066" s="6" t="n"/>
    </row>
    <row r="4067">
      <c r="A4067" s="6" t="n"/>
    </row>
    <row r="4068">
      <c r="A4068" s="6" t="n"/>
    </row>
    <row r="4069">
      <c r="A4069" s="6" t="n"/>
    </row>
    <row r="4070">
      <c r="A4070" s="6" t="n"/>
    </row>
    <row r="4071">
      <c r="A4071" s="6" t="n"/>
    </row>
    <row r="4072">
      <c r="A4072" s="6" t="n"/>
    </row>
    <row r="4073">
      <c r="A4073" s="6" t="n"/>
    </row>
    <row r="4074">
      <c r="A4074" s="6" t="n"/>
    </row>
    <row r="4075">
      <c r="A4075" s="6" t="n"/>
    </row>
    <row r="4076">
      <c r="A4076" s="6" t="n"/>
    </row>
    <row r="4077">
      <c r="A4077" s="6" t="n"/>
    </row>
    <row r="4078">
      <c r="A4078" s="6" t="n"/>
    </row>
    <row r="4079">
      <c r="A4079" s="6" t="n"/>
    </row>
    <row r="4080">
      <c r="A4080" s="6" t="n"/>
    </row>
    <row r="4081">
      <c r="A4081" s="6" t="n"/>
    </row>
    <row r="4082">
      <c r="A4082" s="6" t="n"/>
    </row>
    <row r="4083">
      <c r="A4083" s="6" t="n"/>
    </row>
    <row r="4084">
      <c r="A4084" s="6" t="n"/>
    </row>
    <row r="4085">
      <c r="A4085" s="6" t="n"/>
    </row>
    <row r="4086">
      <c r="A4086" s="6" t="n"/>
    </row>
    <row r="4087">
      <c r="A4087" s="6" t="n"/>
    </row>
    <row r="4088">
      <c r="A4088" s="6" t="n"/>
    </row>
    <row r="4089">
      <c r="A4089" s="6" t="n"/>
    </row>
    <row r="4090">
      <c r="A4090" s="6" t="n"/>
    </row>
    <row r="4091">
      <c r="A4091" s="6" t="n"/>
    </row>
    <row r="4092">
      <c r="A4092" s="6" t="n"/>
    </row>
    <row r="4093">
      <c r="A4093" s="6" t="n"/>
    </row>
    <row r="4094">
      <c r="A4094" s="6" t="n"/>
    </row>
    <row r="4095">
      <c r="A4095" s="6" t="n"/>
    </row>
    <row r="4096">
      <c r="A4096" s="6" t="n"/>
    </row>
    <row r="4097">
      <c r="A4097" s="6" t="n"/>
    </row>
    <row r="4098">
      <c r="A4098" s="6" t="n"/>
    </row>
    <row r="4099">
      <c r="A4099" s="6" t="n"/>
    </row>
    <row r="4100">
      <c r="A4100" s="6" t="n"/>
    </row>
    <row r="4101">
      <c r="A4101" s="6" t="n"/>
    </row>
    <row r="4102">
      <c r="A4102" s="6" t="n"/>
    </row>
    <row r="4103">
      <c r="A4103" s="6" t="n"/>
    </row>
    <row r="4104">
      <c r="A4104" s="6" t="n"/>
    </row>
    <row r="4105">
      <c r="A4105" s="6" t="n"/>
    </row>
    <row r="4106">
      <c r="A4106" s="6" t="n"/>
    </row>
    <row r="4107">
      <c r="A4107" s="6" t="n"/>
    </row>
    <row r="4108">
      <c r="A4108" s="6" t="n"/>
    </row>
    <row r="4109">
      <c r="A4109" s="6" t="n"/>
    </row>
    <row r="4110">
      <c r="A4110" s="6" t="n"/>
    </row>
    <row r="4111">
      <c r="A4111" s="6" t="n"/>
    </row>
    <row r="4112">
      <c r="A4112" s="6" t="n"/>
    </row>
    <row r="4113">
      <c r="A4113" s="6" t="n"/>
    </row>
    <row r="4114">
      <c r="A4114" s="6" t="n"/>
    </row>
    <row r="4115">
      <c r="A4115" s="6" t="n"/>
    </row>
    <row r="4116">
      <c r="A4116" s="6" t="n"/>
    </row>
    <row r="4117">
      <c r="A4117" s="6" t="n"/>
    </row>
    <row r="4118">
      <c r="A4118" s="6" t="n"/>
    </row>
    <row r="4119">
      <c r="A4119" s="6" t="n"/>
    </row>
    <row r="4120">
      <c r="A4120" s="6" t="n"/>
    </row>
    <row r="4121">
      <c r="A4121" s="6" t="n"/>
    </row>
    <row r="4122">
      <c r="A4122" s="6" t="n"/>
    </row>
    <row r="4123">
      <c r="A4123" s="6" t="n"/>
    </row>
    <row r="4124">
      <c r="A4124" s="6" t="n"/>
    </row>
    <row r="4125">
      <c r="A4125" s="6" t="n"/>
    </row>
    <row r="4126">
      <c r="A4126" s="6" t="n"/>
    </row>
    <row r="4127">
      <c r="A4127" s="6" t="n"/>
    </row>
    <row r="4128">
      <c r="A4128" s="6" t="n"/>
    </row>
    <row r="4129">
      <c r="A4129" s="6" t="n"/>
    </row>
    <row r="4130">
      <c r="A4130" s="6" t="n"/>
    </row>
    <row r="4131">
      <c r="A4131" s="6" t="n"/>
    </row>
    <row r="4132">
      <c r="A4132" s="6" t="n"/>
    </row>
    <row r="4133">
      <c r="A4133" s="6" t="n"/>
    </row>
    <row r="4134">
      <c r="A4134" s="6" t="n"/>
    </row>
    <row r="4135">
      <c r="A4135" s="6" t="n"/>
    </row>
    <row r="4136">
      <c r="A4136" s="6" t="n"/>
    </row>
    <row r="4137">
      <c r="A4137" s="6" t="n"/>
    </row>
    <row r="4138">
      <c r="A4138" s="6" t="n"/>
    </row>
    <row r="4139">
      <c r="A4139" s="6" t="n"/>
    </row>
    <row r="4140">
      <c r="A4140" s="6" t="n"/>
    </row>
    <row r="4141">
      <c r="A4141" s="6" t="n"/>
    </row>
    <row r="4142">
      <c r="A4142" s="6" t="n"/>
    </row>
    <row r="4143">
      <c r="A4143" s="6" t="n"/>
    </row>
    <row r="4144">
      <c r="A4144" s="6" t="n"/>
    </row>
    <row r="4145">
      <c r="A4145" s="6" t="n"/>
    </row>
    <row r="4146">
      <c r="A4146" s="6" t="n"/>
    </row>
    <row r="4147">
      <c r="A4147" s="6" t="n"/>
    </row>
    <row r="4148">
      <c r="A4148" s="6" t="n"/>
    </row>
    <row r="4149">
      <c r="A4149" s="6" t="n"/>
    </row>
    <row r="4150">
      <c r="A4150" s="6" t="n"/>
    </row>
    <row r="4151">
      <c r="A4151" s="6" t="n"/>
    </row>
    <row r="4152">
      <c r="A4152" s="6" t="n"/>
    </row>
    <row r="4153">
      <c r="A4153" s="6" t="n"/>
    </row>
    <row r="4154">
      <c r="A4154" s="6" t="n"/>
    </row>
    <row r="4155">
      <c r="A4155" s="6" t="n"/>
    </row>
    <row r="4156">
      <c r="A4156" s="6" t="n"/>
    </row>
    <row r="4157">
      <c r="A4157" s="6" t="n"/>
    </row>
    <row r="4158">
      <c r="A4158" s="6" t="n"/>
    </row>
    <row r="4159">
      <c r="A4159" s="6" t="n"/>
    </row>
    <row r="4160">
      <c r="A4160" s="6" t="n"/>
    </row>
    <row r="4161">
      <c r="A4161" s="6" t="n"/>
    </row>
    <row r="4162">
      <c r="A4162" s="6" t="n"/>
    </row>
    <row r="4163">
      <c r="A4163" s="6" t="n"/>
    </row>
    <row r="4164">
      <c r="A4164" s="6" t="n"/>
    </row>
    <row r="4165">
      <c r="A4165" s="6" t="n"/>
    </row>
    <row r="4166">
      <c r="A4166" s="6" t="n"/>
    </row>
    <row r="4167">
      <c r="A4167" s="6" t="n"/>
    </row>
    <row r="4168">
      <c r="A4168" s="6" t="n"/>
    </row>
    <row r="4169">
      <c r="A4169" s="6" t="n"/>
    </row>
    <row r="4170">
      <c r="A4170" s="6" t="n"/>
    </row>
    <row r="4171">
      <c r="A4171" s="6" t="n"/>
    </row>
    <row r="4172">
      <c r="A4172" s="6" t="n"/>
    </row>
    <row r="4173">
      <c r="A4173" s="6" t="n"/>
    </row>
    <row r="4174">
      <c r="A4174" s="6" t="n"/>
    </row>
    <row r="4175">
      <c r="A4175" s="6" t="n"/>
    </row>
    <row r="4176">
      <c r="A4176" s="6" t="n"/>
    </row>
    <row r="4177">
      <c r="A4177" s="6" t="n"/>
    </row>
    <row r="4178">
      <c r="A4178" s="6" t="n"/>
    </row>
    <row r="4179">
      <c r="A4179" s="6" t="n"/>
    </row>
    <row r="4180">
      <c r="A4180" s="6" t="n"/>
    </row>
    <row r="4181">
      <c r="A4181" s="6" t="n"/>
    </row>
    <row r="4182">
      <c r="A4182" s="6" t="n"/>
    </row>
    <row r="4183">
      <c r="A4183" s="6" t="n"/>
    </row>
    <row r="4184">
      <c r="A4184" s="6" t="n"/>
    </row>
    <row r="4185">
      <c r="A4185" s="6" t="n"/>
    </row>
    <row r="4186">
      <c r="A4186" s="6" t="n"/>
    </row>
    <row r="4187">
      <c r="A4187" s="6" t="n"/>
    </row>
    <row r="4188">
      <c r="A4188" s="6" t="n"/>
    </row>
    <row r="4189">
      <c r="A4189" s="6" t="n"/>
    </row>
    <row r="4190">
      <c r="A4190" s="6" t="n"/>
    </row>
    <row r="4191">
      <c r="A4191" s="6" t="n"/>
    </row>
    <row r="4192">
      <c r="A4192" s="6" t="n"/>
    </row>
    <row r="4193">
      <c r="A4193" s="6" t="n"/>
    </row>
    <row r="4194">
      <c r="A4194" s="6" t="n"/>
    </row>
    <row r="4195">
      <c r="A4195" s="6" t="n"/>
    </row>
    <row r="4196">
      <c r="A4196" s="6" t="n"/>
    </row>
    <row r="4197">
      <c r="A4197" s="6" t="n"/>
    </row>
    <row r="4198">
      <c r="A4198" s="6" t="n"/>
    </row>
    <row r="4199">
      <c r="A4199" s="6" t="n"/>
    </row>
    <row r="4200">
      <c r="A4200" s="6" t="n"/>
    </row>
    <row r="4201">
      <c r="A4201" s="6" t="n"/>
    </row>
    <row r="4202">
      <c r="A4202" s="6" t="n"/>
    </row>
    <row r="4203">
      <c r="A4203" s="6" t="n"/>
    </row>
    <row r="4204">
      <c r="A4204" s="6" t="n"/>
    </row>
    <row r="4205">
      <c r="A4205" s="6" t="n"/>
    </row>
    <row r="4206">
      <c r="A4206" s="6" t="n"/>
    </row>
    <row r="4207">
      <c r="A4207" s="6" t="n"/>
    </row>
    <row r="4208">
      <c r="A4208" s="6" t="n"/>
    </row>
    <row r="4209">
      <c r="A4209" s="6" t="n"/>
    </row>
    <row r="4210">
      <c r="A4210" s="6" t="n"/>
    </row>
    <row r="4211">
      <c r="A4211" s="6" t="n"/>
    </row>
    <row r="4212">
      <c r="A4212" s="6" t="n"/>
    </row>
    <row r="4213">
      <c r="A4213" s="6" t="n"/>
    </row>
    <row r="4214">
      <c r="A4214" s="6" t="n"/>
    </row>
    <row r="4215">
      <c r="A4215" s="6" t="n"/>
    </row>
    <row r="4216">
      <c r="A4216" s="6" t="n"/>
    </row>
    <row r="4217">
      <c r="A4217" s="6" t="n"/>
    </row>
    <row r="4218">
      <c r="A4218" s="6" t="n"/>
    </row>
    <row r="4219">
      <c r="A4219" s="6" t="n"/>
    </row>
    <row r="4220">
      <c r="A4220" s="6" t="n"/>
    </row>
    <row r="4221">
      <c r="A4221" s="6" t="n"/>
    </row>
    <row r="4222">
      <c r="A4222" s="6" t="n"/>
    </row>
    <row r="4223">
      <c r="A4223" s="6" t="n"/>
    </row>
    <row r="4224">
      <c r="A4224" s="6" t="n"/>
    </row>
    <row r="4225">
      <c r="A4225" s="6" t="n"/>
    </row>
    <row r="4226">
      <c r="A4226" s="6" t="n"/>
    </row>
    <row r="4227">
      <c r="A4227" s="6" t="n"/>
    </row>
    <row r="4228">
      <c r="A4228" s="6" t="n"/>
    </row>
    <row r="4229">
      <c r="A4229" s="6" t="n"/>
    </row>
    <row r="4230">
      <c r="A4230" s="6" t="n"/>
    </row>
    <row r="4231">
      <c r="A4231" s="6" t="n"/>
    </row>
    <row r="4232">
      <c r="A4232" s="6" t="n"/>
    </row>
    <row r="4233">
      <c r="A4233" s="6" t="n"/>
    </row>
    <row r="4234">
      <c r="A4234" s="6" t="n"/>
    </row>
    <row r="4235">
      <c r="A4235" s="6" t="n"/>
    </row>
    <row r="4236">
      <c r="A4236" s="6" t="n"/>
    </row>
    <row r="4237">
      <c r="A4237" s="6" t="n"/>
    </row>
    <row r="4238">
      <c r="A4238" s="6" t="n"/>
    </row>
    <row r="4239">
      <c r="A4239" s="6" t="n"/>
    </row>
    <row r="4240">
      <c r="A4240" s="6" t="n"/>
    </row>
    <row r="4241">
      <c r="A4241" s="6" t="n"/>
    </row>
    <row r="4242">
      <c r="A4242" s="6" t="n"/>
    </row>
    <row r="4243">
      <c r="A4243" s="6" t="n"/>
    </row>
    <row r="4244">
      <c r="A4244" s="6" t="n"/>
    </row>
    <row r="4245">
      <c r="A4245" s="6" t="n"/>
    </row>
    <row r="4246">
      <c r="A4246" s="6" t="n"/>
    </row>
    <row r="4247">
      <c r="A4247" s="6" t="n"/>
    </row>
    <row r="4248">
      <c r="A4248" s="6" t="n"/>
    </row>
    <row r="4249">
      <c r="A4249" s="6" t="n"/>
    </row>
    <row r="4250">
      <c r="A4250" s="6" t="n"/>
    </row>
    <row r="4251">
      <c r="A4251" s="6" t="n"/>
    </row>
    <row r="4252">
      <c r="A4252" s="6" t="n"/>
    </row>
    <row r="4253">
      <c r="A4253" s="6" t="n"/>
    </row>
    <row r="4254">
      <c r="A4254" s="6" t="n"/>
    </row>
    <row r="4255">
      <c r="A4255" s="6" t="n"/>
    </row>
    <row r="4256">
      <c r="A4256" s="6" t="n"/>
    </row>
    <row r="4257">
      <c r="A4257" s="6" t="n"/>
    </row>
    <row r="4258">
      <c r="A4258" s="6" t="n"/>
    </row>
    <row r="4259">
      <c r="A4259" s="6" t="n"/>
    </row>
    <row r="4260">
      <c r="A4260" s="6" t="n"/>
    </row>
    <row r="4261">
      <c r="A4261" s="6" t="n"/>
    </row>
    <row r="4262">
      <c r="A4262" s="6" t="n"/>
    </row>
    <row r="4263">
      <c r="A4263" s="6" t="n"/>
    </row>
    <row r="4264">
      <c r="A4264" s="6" t="n"/>
    </row>
    <row r="4265">
      <c r="A4265" s="6" t="n"/>
    </row>
    <row r="4266">
      <c r="A4266" s="6" t="n"/>
    </row>
    <row r="4267">
      <c r="A4267" s="6" t="n"/>
    </row>
    <row r="4268">
      <c r="A4268" s="6" t="n"/>
    </row>
    <row r="4269">
      <c r="A4269" s="6" t="n"/>
    </row>
    <row r="4270">
      <c r="A4270" s="6" t="n"/>
    </row>
    <row r="4271">
      <c r="A4271" s="6" t="n"/>
    </row>
    <row r="4272">
      <c r="A4272" s="6" t="n"/>
    </row>
    <row r="4273">
      <c r="A4273" s="6" t="n"/>
    </row>
    <row r="4274">
      <c r="A4274" s="6" t="n"/>
    </row>
    <row r="4275">
      <c r="A4275" s="6" t="n"/>
    </row>
    <row r="4276">
      <c r="A4276" s="6" t="n"/>
    </row>
    <row r="4277">
      <c r="A4277" s="6" t="n"/>
    </row>
    <row r="4278">
      <c r="A4278" s="6" t="n"/>
    </row>
    <row r="4279">
      <c r="A4279" s="6" t="n"/>
    </row>
    <row r="4280">
      <c r="A4280" s="6" t="n"/>
    </row>
    <row r="4281">
      <c r="A4281" s="6" t="n"/>
    </row>
    <row r="4282">
      <c r="A4282" s="6" t="n"/>
    </row>
    <row r="4283">
      <c r="A4283" s="6" t="n"/>
    </row>
    <row r="4284">
      <c r="A4284" s="6" t="n"/>
    </row>
    <row r="4285">
      <c r="A4285" s="6" t="n"/>
    </row>
    <row r="4286">
      <c r="A4286" s="6" t="n"/>
    </row>
    <row r="4287">
      <c r="A4287" s="6" t="n"/>
    </row>
    <row r="4288">
      <c r="A4288" s="6" t="n"/>
    </row>
    <row r="4289">
      <c r="A4289" s="6" t="n"/>
    </row>
    <row r="4290">
      <c r="A4290" s="6" t="n"/>
    </row>
    <row r="4291">
      <c r="A4291" s="6" t="n"/>
    </row>
    <row r="4292">
      <c r="A4292" s="6" t="n"/>
    </row>
    <row r="4293">
      <c r="A4293" s="6" t="n"/>
    </row>
    <row r="4294">
      <c r="A4294" s="6" t="n"/>
    </row>
    <row r="4295">
      <c r="A4295" s="6" t="n"/>
    </row>
    <row r="4296">
      <c r="A4296" s="6" t="n"/>
    </row>
    <row r="4297">
      <c r="A4297" s="6" t="n"/>
    </row>
    <row r="4298">
      <c r="A4298" s="6" t="n"/>
    </row>
    <row r="4299">
      <c r="A4299" s="6" t="n"/>
    </row>
    <row r="4300">
      <c r="A4300" s="6" t="n"/>
    </row>
    <row r="4301">
      <c r="A4301" s="6" t="n"/>
    </row>
    <row r="4302">
      <c r="A4302" s="6" t="n"/>
    </row>
    <row r="4303">
      <c r="A4303" s="6" t="n"/>
    </row>
    <row r="4304">
      <c r="A4304" s="6" t="n"/>
    </row>
    <row r="4305">
      <c r="A4305" s="6" t="n"/>
    </row>
    <row r="4306">
      <c r="A4306" s="6" t="n"/>
    </row>
    <row r="4307">
      <c r="A4307" s="6" t="n"/>
    </row>
    <row r="4308">
      <c r="A4308" s="6" t="n"/>
    </row>
    <row r="4309">
      <c r="A4309" s="6" t="n"/>
    </row>
    <row r="4310">
      <c r="A4310" s="6" t="n"/>
    </row>
    <row r="4311">
      <c r="A4311" s="6" t="n"/>
    </row>
    <row r="4312">
      <c r="A4312" s="6" t="n"/>
    </row>
    <row r="4313">
      <c r="A4313" s="6" t="n"/>
    </row>
    <row r="4314">
      <c r="A4314" s="6" t="n"/>
    </row>
    <row r="4315">
      <c r="A4315" s="6" t="n"/>
    </row>
    <row r="4316">
      <c r="A4316" s="6" t="n"/>
    </row>
    <row r="4317">
      <c r="A4317" s="6" t="n"/>
    </row>
    <row r="4318">
      <c r="A4318" s="6" t="n"/>
    </row>
    <row r="4319">
      <c r="A4319" s="6" t="n"/>
    </row>
    <row r="4320">
      <c r="A4320" s="6" t="n"/>
    </row>
    <row r="4321">
      <c r="A4321" s="6" t="n"/>
    </row>
    <row r="4322">
      <c r="A4322" s="6" t="n"/>
    </row>
    <row r="4323">
      <c r="A4323" s="6" t="n"/>
    </row>
    <row r="4324">
      <c r="A4324" s="6" t="n"/>
    </row>
    <row r="4325">
      <c r="A4325" s="6" t="n"/>
    </row>
    <row r="4326">
      <c r="A4326" s="6" t="n"/>
    </row>
    <row r="4327">
      <c r="A4327" s="6" t="n"/>
    </row>
    <row r="4328">
      <c r="A4328" s="6" t="n"/>
    </row>
    <row r="4329">
      <c r="A4329" s="6" t="n"/>
    </row>
    <row r="4330">
      <c r="A4330" s="6" t="n"/>
    </row>
    <row r="4331">
      <c r="A4331" s="6" t="n"/>
    </row>
    <row r="4332">
      <c r="A4332" s="6" t="n"/>
    </row>
    <row r="4333">
      <c r="A4333" s="6" t="n"/>
    </row>
    <row r="4334">
      <c r="A4334" s="6" t="n"/>
    </row>
    <row r="4335">
      <c r="A4335" s="6" t="n"/>
    </row>
    <row r="4336">
      <c r="A4336" s="6" t="n"/>
    </row>
    <row r="4337">
      <c r="A4337" s="6" t="n"/>
    </row>
    <row r="4338">
      <c r="A4338" s="6" t="n"/>
    </row>
    <row r="4339">
      <c r="A4339" s="6" t="n"/>
    </row>
    <row r="4340">
      <c r="A4340" s="6" t="n"/>
    </row>
    <row r="4341">
      <c r="A4341" s="6" t="n"/>
    </row>
    <row r="4342">
      <c r="A4342" s="6" t="n"/>
    </row>
    <row r="4343">
      <c r="A4343" s="6" t="n"/>
    </row>
    <row r="4344">
      <c r="A4344" s="6" t="n"/>
    </row>
    <row r="4345">
      <c r="A4345" s="6" t="n"/>
    </row>
    <row r="4346">
      <c r="A4346" s="6" t="n"/>
    </row>
    <row r="4347">
      <c r="A4347" s="6" t="n"/>
    </row>
    <row r="4348">
      <c r="A4348" s="6" t="n"/>
    </row>
    <row r="4349">
      <c r="A4349" s="6" t="n"/>
    </row>
    <row r="4350">
      <c r="A4350" s="6" t="n"/>
    </row>
    <row r="4351">
      <c r="A4351" s="6" t="n"/>
    </row>
    <row r="4352">
      <c r="A4352" s="6" t="n"/>
    </row>
    <row r="4353">
      <c r="A4353" s="6" t="n"/>
    </row>
    <row r="4354">
      <c r="A4354" s="6" t="n"/>
    </row>
    <row r="4355">
      <c r="A4355" s="6" t="n"/>
    </row>
    <row r="4356">
      <c r="A4356" s="6" t="n"/>
    </row>
    <row r="4357">
      <c r="A4357" s="6" t="n"/>
    </row>
    <row r="4358">
      <c r="A4358" s="6" t="n"/>
    </row>
    <row r="4359">
      <c r="A4359" s="6" t="n"/>
    </row>
    <row r="4360">
      <c r="A4360" s="6" t="n"/>
    </row>
    <row r="4361">
      <c r="A4361" s="6" t="n"/>
    </row>
    <row r="4362">
      <c r="A4362" s="6" t="n"/>
    </row>
    <row r="4363">
      <c r="A4363" s="6" t="n"/>
    </row>
    <row r="4364">
      <c r="A4364" s="6" t="n"/>
    </row>
    <row r="4365">
      <c r="A4365" s="6" t="n"/>
    </row>
    <row r="4366">
      <c r="A4366" s="6" t="n"/>
    </row>
    <row r="4367">
      <c r="A4367" s="6" t="n"/>
    </row>
    <row r="4368">
      <c r="A4368" s="6" t="n"/>
    </row>
    <row r="4369">
      <c r="A4369" s="6" t="n"/>
    </row>
    <row r="4370">
      <c r="A4370" s="6" t="n"/>
    </row>
    <row r="4371">
      <c r="A4371" s="6" t="n"/>
    </row>
    <row r="4372">
      <c r="A4372" s="6" t="n"/>
    </row>
    <row r="4373">
      <c r="A4373" s="6" t="n"/>
    </row>
    <row r="4374">
      <c r="A4374" s="6" t="n"/>
    </row>
    <row r="4375">
      <c r="A4375" s="6" t="n"/>
    </row>
    <row r="4376">
      <c r="A4376" s="6" t="n"/>
    </row>
    <row r="4377">
      <c r="A4377" s="6" t="n"/>
    </row>
    <row r="4378">
      <c r="A4378" s="6" t="n"/>
    </row>
    <row r="4379">
      <c r="A4379" s="6" t="n"/>
    </row>
    <row r="4380">
      <c r="A4380" s="6" t="n"/>
    </row>
    <row r="4381">
      <c r="A4381" s="6" t="n"/>
    </row>
    <row r="4382">
      <c r="A4382" s="6" t="n"/>
    </row>
    <row r="4383">
      <c r="A4383" s="6" t="n"/>
    </row>
    <row r="4384">
      <c r="A4384" s="6" t="n"/>
    </row>
    <row r="4385">
      <c r="A4385" s="6" t="n"/>
    </row>
    <row r="4386">
      <c r="A4386" s="6" t="n"/>
    </row>
    <row r="4387">
      <c r="A4387" s="6" t="n"/>
    </row>
    <row r="4388">
      <c r="A4388" s="6" t="n"/>
    </row>
    <row r="4389">
      <c r="A4389" s="6" t="n"/>
    </row>
    <row r="4390">
      <c r="A4390" s="6" t="n"/>
    </row>
    <row r="4391">
      <c r="A4391" s="6" t="n"/>
    </row>
    <row r="4392">
      <c r="A4392" s="6" t="n"/>
    </row>
    <row r="4393">
      <c r="A4393" s="6" t="n"/>
    </row>
    <row r="4394">
      <c r="A4394" s="6" t="n"/>
    </row>
    <row r="4395">
      <c r="A4395" s="6" t="n"/>
    </row>
    <row r="4396">
      <c r="A4396" s="6" t="n"/>
    </row>
    <row r="4397">
      <c r="A4397" s="6" t="n"/>
    </row>
    <row r="4398">
      <c r="A4398" s="6" t="n"/>
    </row>
    <row r="4399">
      <c r="A4399" s="6" t="n"/>
    </row>
    <row r="4400">
      <c r="A4400" s="6" t="n"/>
    </row>
    <row r="4401">
      <c r="A4401" s="6" t="n"/>
    </row>
    <row r="4402">
      <c r="A4402" s="6" t="n"/>
    </row>
    <row r="4403">
      <c r="A4403" s="6" t="n"/>
    </row>
    <row r="4404">
      <c r="A4404" s="6" t="n"/>
    </row>
    <row r="4405">
      <c r="A4405" s="6" t="n"/>
    </row>
    <row r="4406">
      <c r="A4406" s="6" t="n"/>
    </row>
    <row r="4407">
      <c r="A4407" s="6" t="n"/>
    </row>
    <row r="4408">
      <c r="A4408" s="6" t="n"/>
    </row>
    <row r="4409">
      <c r="A4409" s="6" t="n"/>
    </row>
    <row r="4410">
      <c r="A4410" s="6" t="n"/>
    </row>
    <row r="4411">
      <c r="A4411" s="6" t="n"/>
    </row>
    <row r="4412">
      <c r="A4412" s="6" t="n"/>
    </row>
    <row r="4413">
      <c r="A4413" s="6" t="n"/>
    </row>
    <row r="4414">
      <c r="A4414" s="6" t="n"/>
    </row>
    <row r="4415">
      <c r="A4415" s="6" t="n"/>
    </row>
    <row r="4416">
      <c r="A4416" s="6" t="n"/>
    </row>
    <row r="4417">
      <c r="A4417" s="6" t="n"/>
    </row>
    <row r="4418">
      <c r="A4418" s="6" t="n"/>
    </row>
    <row r="4419">
      <c r="A4419" s="6" t="n"/>
    </row>
    <row r="4420">
      <c r="A4420" s="6" t="n"/>
    </row>
    <row r="4421">
      <c r="A4421" s="6" t="n"/>
    </row>
    <row r="4422">
      <c r="A4422" s="6" t="n"/>
    </row>
    <row r="4423">
      <c r="A4423" s="6" t="n"/>
    </row>
    <row r="4424">
      <c r="A4424" s="6" t="n"/>
    </row>
    <row r="4425">
      <c r="A4425" s="6" t="n"/>
    </row>
    <row r="4426">
      <c r="A4426" s="6" t="n"/>
    </row>
    <row r="4427">
      <c r="A4427" s="6" t="n"/>
    </row>
    <row r="4428">
      <c r="A4428" s="6" t="n"/>
    </row>
    <row r="4429">
      <c r="A4429" s="6" t="n"/>
    </row>
    <row r="4430">
      <c r="A4430" s="6" t="n"/>
    </row>
    <row r="4431">
      <c r="A4431" s="6" t="n"/>
    </row>
    <row r="4432">
      <c r="A4432" s="6" t="n"/>
    </row>
    <row r="4433">
      <c r="A4433" s="6" t="n"/>
    </row>
    <row r="4434">
      <c r="A4434" s="6" t="n"/>
    </row>
    <row r="4435">
      <c r="A4435" s="6" t="n"/>
    </row>
    <row r="4436">
      <c r="A4436" s="6" t="n"/>
    </row>
    <row r="4437">
      <c r="A4437" s="6" t="n"/>
    </row>
    <row r="4438">
      <c r="A4438" s="6" t="n"/>
    </row>
    <row r="4439">
      <c r="A4439" s="6" t="n"/>
    </row>
    <row r="4440">
      <c r="A4440" s="6" t="n"/>
    </row>
    <row r="4441">
      <c r="A4441" s="6" t="n"/>
    </row>
    <row r="4442">
      <c r="A4442" s="6" t="n"/>
    </row>
    <row r="4443">
      <c r="A4443" s="6" t="n"/>
    </row>
    <row r="4444">
      <c r="A4444" s="6" t="n"/>
    </row>
    <row r="4445">
      <c r="A4445" s="6" t="n"/>
    </row>
    <row r="4446">
      <c r="A4446" s="6" t="n"/>
    </row>
    <row r="4447">
      <c r="A4447" s="6" t="n"/>
    </row>
    <row r="4448">
      <c r="A4448" s="6" t="n"/>
    </row>
    <row r="4449">
      <c r="A4449" s="6" t="n"/>
    </row>
    <row r="4450">
      <c r="A4450" s="6" t="n"/>
    </row>
    <row r="4451">
      <c r="A4451" s="6" t="n"/>
    </row>
    <row r="4452">
      <c r="A4452" s="6" t="n"/>
    </row>
    <row r="4453">
      <c r="A4453" s="6" t="n"/>
    </row>
    <row r="4454">
      <c r="A4454" s="6" t="n"/>
    </row>
    <row r="4455">
      <c r="A4455" s="6" t="n"/>
    </row>
    <row r="4456">
      <c r="A4456" s="6" t="n"/>
    </row>
    <row r="4457">
      <c r="A4457" s="6" t="n"/>
    </row>
    <row r="4458">
      <c r="A4458" s="6" t="n"/>
    </row>
    <row r="4459">
      <c r="A4459" s="6" t="n"/>
    </row>
    <row r="4460">
      <c r="A4460" s="6" t="n"/>
    </row>
    <row r="4461">
      <c r="A4461" s="6" t="n"/>
    </row>
    <row r="4462">
      <c r="A4462" s="6" t="n"/>
    </row>
    <row r="4463">
      <c r="A4463" s="6" t="n"/>
    </row>
    <row r="4464">
      <c r="A4464" s="6" t="n"/>
    </row>
    <row r="4465">
      <c r="A4465" s="6" t="n"/>
    </row>
    <row r="4466">
      <c r="A4466" s="6" t="n"/>
    </row>
    <row r="4467">
      <c r="A4467" s="6" t="n"/>
    </row>
    <row r="4468">
      <c r="A4468" s="6" t="n"/>
    </row>
    <row r="4469">
      <c r="A4469" s="6" t="n"/>
    </row>
    <row r="4470">
      <c r="A4470" s="6" t="n"/>
    </row>
    <row r="4471">
      <c r="A4471" s="6" t="n"/>
    </row>
    <row r="4472">
      <c r="A4472" s="6" t="n"/>
    </row>
    <row r="4473">
      <c r="A4473" s="6" t="n"/>
    </row>
    <row r="4474">
      <c r="A4474" s="6" t="n"/>
    </row>
    <row r="4475">
      <c r="A4475" s="6" t="n"/>
    </row>
    <row r="4476">
      <c r="A4476" s="6" t="n"/>
    </row>
    <row r="4477">
      <c r="A4477" s="6" t="n"/>
    </row>
    <row r="4478">
      <c r="A4478" s="6" t="n"/>
    </row>
    <row r="4479">
      <c r="A4479" s="6" t="n"/>
    </row>
    <row r="4480">
      <c r="A4480" s="6" t="n"/>
    </row>
    <row r="4481">
      <c r="A4481" s="6" t="n"/>
    </row>
    <row r="4482">
      <c r="A4482" s="6" t="n"/>
    </row>
    <row r="4483">
      <c r="A4483" s="6" t="n"/>
    </row>
    <row r="4484">
      <c r="A4484" s="6" t="n"/>
    </row>
    <row r="4485">
      <c r="A4485" s="6" t="n"/>
    </row>
    <row r="4486">
      <c r="A4486" s="6" t="n"/>
    </row>
    <row r="4487">
      <c r="A4487" s="6" t="n"/>
    </row>
    <row r="4488">
      <c r="A4488" s="6" t="n"/>
    </row>
    <row r="4489">
      <c r="A4489" s="6" t="n"/>
    </row>
    <row r="4490">
      <c r="A4490" s="6" t="n"/>
    </row>
    <row r="4491">
      <c r="A4491" s="6" t="n"/>
    </row>
    <row r="4492">
      <c r="A4492" s="6" t="n"/>
    </row>
    <row r="4493">
      <c r="A4493" s="6" t="n"/>
    </row>
    <row r="4494">
      <c r="A4494" s="6" t="n"/>
    </row>
    <row r="4495">
      <c r="A4495" s="6" t="n"/>
    </row>
    <row r="4496">
      <c r="A4496" s="6" t="n"/>
    </row>
    <row r="4497">
      <c r="A4497" s="6" t="n"/>
    </row>
    <row r="4498">
      <c r="A4498" s="6" t="n"/>
    </row>
    <row r="4499">
      <c r="A4499" s="6" t="n"/>
    </row>
    <row r="4500">
      <c r="A4500" s="6" t="n"/>
    </row>
    <row r="4501">
      <c r="A4501" s="6" t="n"/>
    </row>
    <row r="4502">
      <c r="A4502" s="6" t="n"/>
    </row>
    <row r="4503">
      <c r="A4503" s="6" t="n"/>
    </row>
    <row r="4504">
      <c r="A4504" s="6" t="n"/>
    </row>
    <row r="4505">
      <c r="A4505" s="6" t="n"/>
    </row>
    <row r="4506">
      <c r="A4506" s="6" t="n"/>
    </row>
    <row r="4507">
      <c r="A4507" s="6" t="n"/>
    </row>
    <row r="4508">
      <c r="A4508" s="6" t="n"/>
    </row>
    <row r="4509">
      <c r="A4509" s="6" t="n"/>
    </row>
    <row r="4510">
      <c r="A4510" s="6" t="n"/>
    </row>
    <row r="4511">
      <c r="A4511" s="6" t="n"/>
    </row>
    <row r="4512">
      <c r="A4512" s="6" t="n"/>
    </row>
    <row r="4513">
      <c r="A4513" s="6" t="n"/>
    </row>
    <row r="4514">
      <c r="A4514" s="6" t="n"/>
    </row>
    <row r="4515">
      <c r="A4515" s="6" t="n"/>
    </row>
    <row r="4516">
      <c r="A4516" s="6" t="n"/>
    </row>
    <row r="4517">
      <c r="A4517" s="6" t="n"/>
    </row>
    <row r="4518">
      <c r="A4518" s="6" t="n"/>
    </row>
    <row r="4519">
      <c r="A4519" s="6" t="n"/>
    </row>
    <row r="4520">
      <c r="A4520" s="6" t="n"/>
    </row>
    <row r="4521">
      <c r="A4521" s="6" t="n"/>
    </row>
    <row r="4522">
      <c r="A4522" s="6" t="n"/>
    </row>
    <row r="4523">
      <c r="A4523" s="6" t="n"/>
    </row>
    <row r="4524">
      <c r="A4524" s="6" t="n"/>
    </row>
    <row r="4525">
      <c r="A4525" s="6" t="n"/>
    </row>
    <row r="4526">
      <c r="A4526" s="6" t="n"/>
    </row>
    <row r="4527">
      <c r="A4527" s="6" t="n"/>
    </row>
    <row r="4528">
      <c r="A4528" s="6" t="n"/>
    </row>
    <row r="4529">
      <c r="A4529" s="6" t="n"/>
    </row>
    <row r="4530">
      <c r="A4530" s="6" t="n"/>
    </row>
    <row r="4531">
      <c r="A4531" s="6" t="n"/>
    </row>
    <row r="4532">
      <c r="A4532" s="6" t="n"/>
    </row>
    <row r="4533">
      <c r="A4533" s="6" t="n"/>
    </row>
    <row r="4534">
      <c r="A4534" s="6" t="n"/>
    </row>
    <row r="4535">
      <c r="A4535" s="6" t="n"/>
    </row>
    <row r="4536">
      <c r="A4536" s="6" t="n"/>
    </row>
    <row r="4537">
      <c r="A4537" s="6" t="n"/>
    </row>
    <row r="4538">
      <c r="A4538" s="6" t="n"/>
    </row>
    <row r="4539">
      <c r="A4539" s="6" t="n"/>
    </row>
    <row r="4540">
      <c r="A4540" s="6" t="n"/>
    </row>
    <row r="4541">
      <c r="A4541" s="6" t="n"/>
    </row>
    <row r="4542">
      <c r="A4542" s="6" t="n"/>
    </row>
    <row r="4543">
      <c r="A4543" s="6" t="n"/>
    </row>
    <row r="4544">
      <c r="A4544" s="6" t="n"/>
    </row>
    <row r="4545">
      <c r="A4545" s="6" t="n"/>
    </row>
    <row r="4546">
      <c r="A4546" s="6" t="n"/>
    </row>
    <row r="4547">
      <c r="A4547" s="6" t="n"/>
    </row>
    <row r="4548">
      <c r="A4548" s="6" t="n"/>
    </row>
    <row r="4549">
      <c r="A4549" s="6" t="n"/>
    </row>
    <row r="4550">
      <c r="A4550" s="6" t="n"/>
    </row>
    <row r="4551">
      <c r="A4551" s="6" t="n"/>
    </row>
    <row r="4552">
      <c r="A4552" s="6" t="n"/>
    </row>
    <row r="4553">
      <c r="A4553" s="6" t="n"/>
    </row>
    <row r="4554">
      <c r="A4554" s="6" t="n"/>
    </row>
    <row r="4555">
      <c r="A4555" s="6" t="n"/>
    </row>
    <row r="4556">
      <c r="A4556" s="6" t="n"/>
    </row>
    <row r="4557">
      <c r="A4557" s="6" t="n"/>
    </row>
    <row r="4558">
      <c r="A4558" s="6" t="n"/>
    </row>
    <row r="4559">
      <c r="A4559" s="6" t="n"/>
    </row>
    <row r="4560">
      <c r="A4560" s="6" t="n"/>
    </row>
    <row r="4561">
      <c r="A4561" s="6" t="n"/>
    </row>
    <row r="4562">
      <c r="A4562" s="6" t="n"/>
    </row>
    <row r="4563">
      <c r="A4563" s="6" t="n"/>
    </row>
    <row r="4564">
      <c r="A4564" s="6" t="n"/>
    </row>
    <row r="4565">
      <c r="A4565" s="6" t="n"/>
    </row>
    <row r="4566">
      <c r="A4566" s="6" t="n"/>
    </row>
    <row r="4567">
      <c r="A4567" s="6" t="n"/>
    </row>
    <row r="4568">
      <c r="A4568" s="6" t="n"/>
    </row>
    <row r="4569">
      <c r="A4569" s="6" t="n"/>
    </row>
    <row r="4570">
      <c r="A4570" s="6" t="n"/>
    </row>
    <row r="4571">
      <c r="A4571" s="6" t="n"/>
    </row>
    <row r="4572">
      <c r="A4572" s="6" t="n"/>
    </row>
    <row r="4573">
      <c r="A4573" s="6" t="n"/>
    </row>
    <row r="4574">
      <c r="A4574" s="6" t="n"/>
    </row>
    <row r="4575">
      <c r="A4575" s="6" t="n"/>
    </row>
    <row r="4576">
      <c r="A4576" s="6" t="n"/>
    </row>
    <row r="4577">
      <c r="A4577" s="6" t="n"/>
    </row>
    <row r="4578">
      <c r="A4578" s="6" t="n"/>
    </row>
    <row r="4579">
      <c r="A4579" s="6" t="n"/>
    </row>
    <row r="4580">
      <c r="A4580" s="6" t="n"/>
    </row>
    <row r="4581">
      <c r="A4581" s="6" t="n"/>
    </row>
    <row r="4582">
      <c r="A4582" s="6" t="n"/>
    </row>
    <row r="4583">
      <c r="A4583" s="6" t="n"/>
    </row>
    <row r="4584">
      <c r="A4584" s="6" t="n"/>
    </row>
    <row r="4585">
      <c r="A4585" s="6" t="n"/>
    </row>
    <row r="4586">
      <c r="A4586" s="6" t="n"/>
    </row>
    <row r="4587">
      <c r="A4587" s="6" t="n"/>
    </row>
    <row r="4588">
      <c r="A4588" s="6" t="n"/>
    </row>
    <row r="4589">
      <c r="A4589" s="6" t="n"/>
    </row>
    <row r="4590">
      <c r="A4590" s="6" t="n"/>
    </row>
    <row r="4591">
      <c r="A4591" s="6" t="n"/>
    </row>
    <row r="4592">
      <c r="A4592" s="6" t="n"/>
    </row>
    <row r="4593">
      <c r="A4593" s="6" t="n"/>
    </row>
    <row r="4594">
      <c r="A4594" s="6" t="n"/>
    </row>
    <row r="4595">
      <c r="A4595" s="6" t="n"/>
    </row>
    <row r="4596">
      <c r="A4596" s="6" t="n"/>
    </row>
    <row r="4597">
      <c r="A4597" s="6" t="n"/>
    </row>
    <row r="4598">
      <c r="A4598" s="6" t="n"/>
    </row>
    <row r="4599">
      <c r="A4599" s="6" t="n"/>
    </row>
    <row r="4600">
      <c r="A4600" s="6" t="n"/>
    </row>
    <row r="4601">
      <c r="A4601" s="6" t="n"/>
    </row>
    <row r="4602">
      <c r="A4602" s="6" t="n"/>
    </row>
    <row r="4603">
      <c r="A4603" s="6" t="n"/>
    </row>
    <row r="4604">
      <c r="A4604" s="6" t="n"/>
    </row>
    <row r="4605">
      <c r="A4605" s="6" t="n"/>
    </row>
    <row r="4606">
      <c r="A4606" s="6" t="n"/>
    </row>
    <row r="4607">
      <c r="A4607" s="6" t="n"/>
    </row>
    <row r="4608">
      <c r="A4608" s="6" t="n"/>
    </row>
    <row r="4609">
      <c r="A4609" s="6" t="n"/>
    </row>
    <row r="4610">
      <c r="A4610" s="6" t="n"/>
    </row>
    <row r="4611">
      <c r="A4611" s="6" t="n"/>
    </row>
    <row r="4612">
      <c r="A4612" s="6" t="n"/>
    </row>
    <row r="4613">
      <c r="A4613" s="6" t="n"/>
    </row>
    <row r="4614">
      <c r="A4614" s="6" t="n"/>
    </row>
    <row r="4615">
      <c r="A4615" s="6" t="n"/>
    </row>
    <row r="4616">
      <c r="A4616" s="6" t="n"/>
    </row>
    <row r="4617">
      <c r="A4617" s="6" t="n"/>
    </row>
    <row r="4618">
      <c r="A4618" s="6" t="n"/>
    </row>
    <row r="4619">
      <c r="A4619" s="6" t="n"/>
    </row>
    <row r="4620">
      <c r="A4620" s="6" t="n"/>
    </row>
    <row r="4621">
      <c r="A4621" s="6" t="n"/>
    </row>
    <row r="4622">
      <c r="A4622" s="6" t="n"/>
    </row>
    <row r="4623">
      <c r="A4623" s="6" t="n"/>
    </row>
    <row r="4624">
      <c r="A4624" s="6" t="n"/>
    </row>
    <row r="4625">
      <c r="A4625" s="6" t="n"/>
    </row>
    <row r="4626">
      <c r="A4626" s="6" t="n"/>
    </row>
    <row r="4627">
      <c r="A4627" s="6" t="n"/>
    </row>
    <row r="4628">
      <c r="A4628" s="6" t="n"/>
    </row>
    <row r="4629">
      <c r="A4629" s="6" t="n"/>
    </row>
    <row r="4630">
      <c r="A4630" s="6" t="n"/>
    </row>
    <row r="4631">
      <c r="A4631" s="6" t="n"/>
    </row>
    <row r="4632">
      <c r="A4632" s="6" t="n"/>
    </row>
    <row r="4633">
      <c r="A4633" s="6" t="n"/>
    </row>
    <row r="4634">
      <c r="A4634" s="6" t="n"/>
    </row>
    <row r="4635">
      <c r="A4635" s="6" t="n"/>
    </row>
    <row r="4636">
      <c r="A4636" s="6" t="n"/>
    </row>
    <row r="4637">
      <c r="A4637" s="6" t="n"/>
    </row>
    <row r="4638">
      <c r="A4638" s="6" t="n"/>
    </row>
    <row r="4639">
      <c r="A4639" s="6" t="n"/>
    </row>
    <row r="4640">
      <c r="A4640" s="6" t="n"/>
    </row>
    <row r="4641">
      <c r="A4641" s="6" t="n"/>
    </row>
    <row r="4642">
      <c r="A4642" s="6" t="n"/>
    </row>
    <row r="4643">
      <c r="A4643" s="6" t="n"/>
    </row>
    <row r="4644">
      <c r="A4644" s="6" t="n"/>
    </row>
    <row r="4645">
      <c r="A4645" s="6" t="n"/>
    </row>
    <row r="4646">
      <c r="A4646" s="6" t="n"/>
    </row>
    <row r="4647">
      <c r="A4647" s="6" t="n"/>
    </row>
    <row r="4648">
      <c r="A4648" s="6" t="n"/>
    </row>
    <row r="4649">
      <c r="A4649" s="6" t="n"/>
    </row>
    <row r="4650">
      <c r="A4650" s="6" t="n"/>
    </row>
    <row r="4651">
      <c r="A4651" s="6" t="n"/>
    </row>
    <row r="4652">
      <c r="A4652" s="6" t="n"/>
    </row>
    <row r="4653">
      <c r="A4653" s="6" t="n"/>
    </row>
    <row r="4654">
      <c r="A4654" s="6" t="n"/>
    </row>
    <row r="4655">
      <c r="A4655" s="6" t="n"/>
    </row>
    <row r="4656">
      <c r="A4656" s="6" t="n"/>
    </row>
    <row r="4657">
      <c r="A4657" s="6" t="n"/>
    </row>
    <row r="4658">
      <c r="A4658" s="6" t="n"/>
    </row>
    <row r="4659">
      <c r="A4659" s="6" t="n"/>
    </row>
    <row r="4660">
      <c r="A4660" s="6" t="n"/>
    </row>
    <row r="4661">
      <c r="A4661" s="6" t="n"/>
    </row>
    <row r="4662">
      <c r="A4662" s="6" t="n"/>
    </row>
    <row r="4663">
      <c r="A4663" s="6" t="n"/>
    </row>
    <row r="4664">
      <c r="A4664" s="6" t="n"/>
    </row>
    <row r="4665">
      <c r="A4665" s="6" t="n"/>
    </row>
    <row r="4666">
      <c r="A4666" s="6" t="n"/>
    </row>
    <row r="4667">
      <c r="A4667" s="6" t="n"/>
    </row>
    <row r="4668">
      <c r="A4668" s="6" t="n"/>
    </row>
    <row r="4669">
      <c r="A4669" s="6" t="n"/>
    </row>
    <row r="4670">
      <c r="A4670" s="6" t="n"/>
    </row>
    <row r="4671">
      <c r="A4671" s="6" t="n"/>
    </row>
    <row r="4672">
      <c r="A4672" s="6" t="n"/>
    </row>
    <row r="4673">
      <c r="A4673" s="6" t="n"/>
    </row>
    <row r="4674">
      <c r="A4674" s="6" t="n"/>
    </row>
    <row r="4675">
      <c r="A4675" s="6" t="n"/>
    </row>
    <row r="4676">
      <c r="A4676" s="6" t="n"/>
    </row>
    <row r="4677">
      <c r="A4677" s="6" t="n"/>
    </row>
    <row r="4678">
      <c r="A4678" s="6" t="n"/>
    </row>
    <row r="4679">
      <c r="A4679" s="6" t="n"/>
    </row>
    <row r="4680">
      <c r="A4680" s="6" t="n"/>
    </row>
    <row r="4681">
      <c r="A4681" s="6" t="n"/>
    </row>
    <row r="4682">
      <c r="A4682" s="6" t="n"/>
    </row>
    <row r="4683">
      <c r="A4683" s="6" t="n"/>
    </row>
    <row r="4684">
      <c r="A4684" s="6" t="n"/>
    </row>
    <row r="4685">
      <c r="A4685" s="6" t="n"/>
    </row>
    <row r="4686">
      <c r="A4686" s="6" t="n"/>
    </row>
    <row r="4687">
      <c r="A4687" s="6" t="n"/>
    </row>
    <row r="4688">
      <c r="A4688" s="6" t="n"/>
    </row>
    <row r="4689">
      <c r="A4689" s="6" t="n"/>
    </row>
    <row r="4690">
      <c r="A4690" s="6" t="n"/>
    </row>
    <row r="4691">
      <c r="A4691" s="6" t="n"/>
    </row>
    <row r="4692">
      <c r="A4692" s="6" t="n"/>
    </row>
    <row r="4693">
      <c r="A4693" s="6" t="n"/>
    </row>
    <row r="4694">
      <c r="A4694" s="6" t="n"/>
    </row>
    <row r="4695">
      <c r="A4695" s="6" t="n"/>
    </row>
    <row r="4696">
      <c r="A4696" s="6" t="n"/>
    </row>
    <row r="4697">
      <c r="A4697" s="6" t="n"/>
    </row>
    <row r="4698">
      <c r="A4698" s="6" t="n"/>
    </row>
    <row r="4699">
      <c r="A4699" s="6" t="n"/>
    </row>
    <row r="4700">
      <c r="A4700" s="6" t="n"/>
    </row>
    <row r="4701">
      <c r="A4701" s="6" t="n"/>
    </row>
    <row r="4702">
      <c r="A4702" s="6" t="n"/>
    </row>
    <row r="4703">
      <c r="A4703" s="6" t="n"/>
    </row>
    <row r="4704">
      <c r="A4704" s="6" t="n"/>
    </row>
    <row r="4705">
      <c r="A4705" s="6" t="n"/>
    </row>
    <row r="4706">
      <c r="A4706" s="6" t="n"/>
    </row>
    <row r="4707">
      <c r="A4707" s="6" t="n"/>
    </row>
    <row r="4708">
      <c r="A4708" s="6" t="n"/>
    </row>
    <row r="4709">
      <c r="A4709" s="6" t="n"/>
    </row>
    <row r="4710">
      <c r="A4710" s="6" t="n"/>
    </row>
    <row r="4711">
      <c r="A4711" s="6" t="n"/>
    </row>
    <row r="4712">
      <c r="A4712" s="6" t="n"/>
    </row>
    <row r="4713">
      <c r="A4713" s="6" t="n"/>
    </row>
    <row r="4714">
      <c r="A4714" s="6" t="n"/>
    </row>
    <row r="4715">
      <c r="A4715" s="6" t="n"/>
    </row>
    <row r="4716">
      <c r="A4716" s="6" t="n"/>
    </row>
    <row r="4717">
      <c r="A4717" s="6" t="n"/>
    </row>
    <row r="4718">
      <c r="A4718" s="6" t="n"/>
    </row>
    <row r="4719">
      <c r="A4719" s="6" t="n"/>
    </row>
    <row r="4720">
      <c r="A4720" s="6" t="n"/>
    </row>
    <row r="4721">
      <c r="A4721" s="6" t="n"/>
    </row>
    <row r="4722">
      <c r="A4722" s="6" t="n"/>
    </row>
    <row r="4723">
      <c r="A4723" s="6" t="n"/>
    </row>
    <row r="4724">
      <c r="A4724" s="6" t="n"/>
    </row>
    <row r="4725">
      <c r="A4725" s="6" t="n"/>
    </row>
    <row r="4726">
      <c r="A4726" s="6" t="n"/>
    </row>
    <row r="4727">
      <c r="A4727" s="6" t="n"/>
    </row>
    <row r="4728">
      <c r="A4728" s="6" t="n"/>
    </row>
    <row r="4729">
      <c r="A4729" s="6" t="n"/>
    </row>
    <row r="4730">
      <c r="A4730" s="6" t="n"/>
    </row>
    <row r="4731">
      <c r="A4731" s="6" t="n"/>
    </row>
    <row r="4732">
      <c r="A4732" s="6" t="n"/>
    </row>
    <row r="4733">
      <c r="A4733" s="6" t="n"/>
    </row>
    <row r="4734">
      <c r="A4734" s="6" t="n"/>
    </row>
    <row r="4735">
      <c r="A4735" s="6" t="n"/>
    </row>
    <row r="4736">
      <c r="A4736" s="6" t="n"/>
    </row>
    <row r="4737">
      <c r="A4737" s="6" t="n"/>
    </row>
    <row r="4738">
      <c r="A4738" s="6" t="n"/>
    </row>
    <row r="4739">
      <c r="A4739" s="6" t="n"/>
    </row>
    <row r="4740">
      <c r="A4740" s="6" t="n"/>
    </row>
    <row r="4741">
      <c r="A4741" s="6" t="n"/>
    </row>
    <row r="4742">
      <c r="A4742" s="6" t="n"/>
    </row>
    <row r="4743">
      <c r="A4743" s="6" t="n"/>
    </row>
    <row r="4744">
      <c r="A4744" s="6" t="n"/>
    </row>
    <row r="4745">
      <c r="A4745" s="6" t="n"/>
    </row>
    <row r="4746">
      <c r="A4746" s="6" t="n"/>
    </row>
    <row r="4747">
      <c r="A4747" s="6" t="n"/>
    </row>
    <row r="4748">
      <c r="A4748" s="6" t="n"/>
    </row>
    <row r="4749">
      <c r="A4749" s="6" t="n"/>
    </row>
    <row r="4750">
      <c r="A4750" s="6" t="n"/>
    </row>
    <row r="4751">
      <c r="A4751" s="6" t="n"/>
    </row>
    <row r="4752">
      <c r="A4752" s="6" t="n"/>
    </row>
    <row r="4753">
      <c r="A4753" s="6" t="n"/>
    </row>
    <row r="4754">
      <c r="A4754" s="6" t="n"/>
    </row>
    <row r="4755">
      <c r="A4755" s="6" t="n"/>
    </row>
    <row r="4756">
      <c r="A4756" s="6" t="n"/>
    </row>
    <row r="4757">
      <c r="A4757" s="6" t="n"/>
    </row>
    <row r="4758">
      <c r="A4758" s="6" t="n"/>
    </row>
    <row r="4759">
      <c r="A4759" s="6" t="n"/>
    </row>
    <row r="4760">
      <c r="A4760" s="6" t="n"/>
    </row>
    <row r="4761">
      <c r="A4761" s="6" t="n"/>
    </row>
    <row r="4762">
      <c r="A4762" s="6" t="n"/>
    </row>
    <row r="4763">
      <c r="A4763" s="6" t="n"/>
    </row>
    <row r="4764">
      <c r="A4764" s="6" t="n"/>
    </row>
    <row r="4765">
      <c r="A4765" s="6" t="n"/>
    </row>
    <row r="4766">
      <c r="A4766" s="6" t="n"/>
    </row>
    <row r="4767">
      <c r="A4767" s="6" t="n"/>
    </row>
    <row r="4768">
      <c r="A4768" s="6" t="n"/>
    </row>
    <row r="4769">
      <c r="A4769" s="6" t="n"/>
    </row>
    <row r="4770">
      <c r="A4770" s="6" t="n"/>
    </row>
    <row r="4771">
      <c r="A4771" s="6" t="n"/>
    </row>
    <row r="4772">
      <c r="A4772" s="6" t="n"/>
    </row>
    <row r="4773">
      <c r="A4773" s="6" t="n"/>
    </row>
    <row r="4774">
      <c r="A4774" s="6" t="n"/>
    </row>
    <row r="4775">
      <c r="A4775" s="6" t="n"/>
    </row>
    <row r="4776">
      <c r="A4776" s="6" t="n"/>
    </row>
    <row r="4777">
      <c r="A4777" s="6" t="n"/>
    </row>
    <row r="4778">
      <c r="A4778" s="6" t="n"/>
    </row>
    <row r="4779">
      <c r="A4779" s="6" t="n"/>
    </row>
    <row r="4780">
      <c r="A4780" s="6" t="n"/>
    </row>
    <row r="4781">
      <c r="A4781" s="6" t="n"/>
    </row>
    <row r="4782">
      <c r="A4782" s="6" t="n"/>
    </row>
    <row r="4783">
      <c r="A4783" s="6" t="n"/>
    </row>
    <row r="4784">
      <c r="A4784" s="6" t="n"/>
    </row>
    <row r="4785">
      <c r="A4785" s="6" t="n"/>
    </row>
    <row r="4786">
      <c r="A4786" s="6" t="n"/>
    </row>
    <row r="4787">
      <c r="A4787" s="6" t="n"/>
    </row>
    <row r="4788">
      <c r="A4788" s="6" t="n"/>
    </row>
    <row r="4789">
      <c r="A4789" s="6" t="n"/>
    </row>
    <row r="4790">
      <c r="A4790" s="6" t="n"/>
    </row>
    <row r="4791">
      <c r="A4791" s="6" t="n"/>
    </row>
    <row r="4792">
      <c r="A4792" s="6" t="n"/>
    </row>
    <row r="4793">
      <c r="A4793" s="6" t="n"/>
    </row>
    <row r="4794">
      <c r="A4794" s="6" t="n"/>
    </row>
    <row r="4795">
      <c r="A4795" s="6" t="n"/>
    </row>
    <row r="4796">
      <c r="A4796" s="6" t="n"/>
    </row>
    <row r="4797">
      <c r="A4797" s="6" t="n"/>
    </row>
    <row r="4798">
      <c r="A4798" s="6" t="n"/>
    </row>
    <row r="4799">
      <c r="A4799" s="6" t="n"/>
    </row>
    <row r="4800">
      <c r="A4800" s="6" t="n"/>
    </row>
    <row r="4801">
      <c r="A4801" s="6" t="n"/>
    </row>
    <row r="4802">
      <c r="A4802" s="6" t="n"/>
    </row>
    <row r="4803">
      <c r="A4803" s="6" t="n"/>
    </row>
    <row r="4804">
      <c r="A4804" s="6" t="n"/>
    </row>
    <row r="4805">
      <c r="A4805" s="6" t="n"/>
    </row>
    <row r="4806">
      <c r="A4806" s="6" t="n"/>
    </row>
    <row r="4807">
      <c r="A4807" s="6" t="n"/>
    </row>
    <row r="4808">
      <c r="A4808" s="6" t="n"/>
    </row>
    <row r="4809">
      <c r="A4809" s="6" t="n"/>
    </row>
    <row r="4810">
      <c r="A4810" s="6" t="n"/>
    </row>
    <row r="4811">
      <c r="A4811" s="6" t="n"/>
    </row>
    <row r="4812">
      <c r="A4812" s="6" t="n"/>
    </row>
    <row r="4813">
      <c r="A4813" s="6" t="n"/>
    </row>
    <row r="4814">
      <c r="A4814" s="6" t="n"/>
    </row>
    <row r="4815">
      <c r="A4815" s="6" t="n"/>
    </row>
    <row r="4816">
      <c r="A4816" s="6" t="n"/>
    </row>
    <row r="4817">
      <c r="A4817" s="6" t="n"/>
    </row>
    <row r="4818">
      <c r="A4818" s="6" t="n"/>
    </row>
    <row r="4819">
      <c r="A4819" s="6" t="n"/>
    </row>
    <row r="4820">
      <c r="A4820" s="6" t="n"/>
    </row>
    <row r="4821">
      <c r="A4821" s="6" t="n"/>
    </row>
    <row r="4822">
      <c r="A4822" s="6" t="n"/>
    </row>
    <row r="4823">
      <c r="A4823" s="6" t="n"/>
    </row>
    <row r="4824">
      <c r="A4824" s="6" t="n"/>
    </row>
    <row r="4825">
      <c r="A4825" s="6" t="n"/>
    </row>
    <row r="4826">
      <c r="A4826" s="6" t="n"/>
    </row>
    <row r="4827">
      <c r="A4827" s="6" t="n"/>
    </row>
    <row r="4828">
      <c r="A4828" s="6" t="n"/>
    </row>
    <row r="4829">
      <c r="A4829" s="6" t="n"/>
    </row>
    <row r="4830">
      <c r="A4830" s="6" t="n"/>
    </row>
    <row r="4831">
      <c r="A4831" s="6" t="n"/>
    </row>
    <row r="4832">
      <c r="A4832" s="6" t="n"/>
    </row>
    <row r="4833">
      <c r="A4833" s="6" t="n"/>
    </row>
    <row r="4834">
      <c r="A4834" s="6" t="n"/>
    </row>
    <row r="4835">
      <c r="A4835" s="6" t="n"/>
    </row>
    <row r="4836">
      <c r="A4836" s="6" t="n"/>
    </row>
    <row r="4837">
      <c r="A4837" s="6" t="n"/>
    </row>
    <row r="4838">
      <c r="A4838" s="6" t="n"/>
    </row>
    <row r="4839">
      <c r="A4839" s="6" t="n"/>
    </row>
    <row r="4840">
      <c r="A4840" s="6" t="n"/>
    </row>
    <row r="4841">
      <c r="A4841" s="6" t="n"/>
    </row>
    <row r="4842">
      <c r="A4842" s="6" t="n"/>
    </row>
    <row r="4843">
      <c r="A4843" s="6" t="n"/>
    </row>
    <row r="4844">
      <c r="A4844" s="6" t="n"/>
    </row>
    <row r="4845">
      <c r="A4845" s="6" t="n"/>
    </row>
    <row r="4846">
      <c r="A4846" s="6" t="n"/>
    </row>
    <row r="4847">
      <c r="A4847" s="6" t="n"/>
    </row>
    <row r="4848">
      <c r="A4848" s="6" t="n"/>
    </row>
    <row r="4849">
      <c r="A4849" s="6" t="n"/>
    </row>
    <row r="4850">
      <c r="A4850" s="6" t="n"/>
    </row>
    <row r="4851">
      <c r="A4851" s="6" t="n"/>
    </row>
    <row r="4852">
      <c r="A4852" s="6" t="n"/>
    </row>
    <row r="4853">
      <c r="A4853" s="6" t="n"/>
    </row>
    <row r="4854">
      <c r="A4854" s="6" t="n"/>
    </row>
    <row r="4855">
      <c r="A4855" s="6" t="n"/>
    </row>
    <row r="4856">
      <c r="A4856" s="6" t="n"/>
    </row>
    <row r="4857">
      <c r="A4857" s="6" t="n"/>
    </row>
    <row r="4858">
      <c r="A4858" s="6" t="n"/>
    </row>
    <row r="4859">
      <c r="A4859" s="6" t="n"/>
    </row>
    <row r="4860">
      <c r="A4860" s="6" t="n"/>
    </row>
    <row r="4861">
      <c r="A4861" s="6" t="n"/>
    </row>
    <row r="4862">
      <c r="A4862" s="6" t="n"/>
    </row>
    <row r="4863">
      <c r="A4863" s="6" t="n"/>
    </row>
    <row r="4864">
      <c r="A4864" s="6" t="n"/>
    </row>
    <row r="4865">
      <c r="A4865" s="6" t="n"/>
    </row>
    <row r="4866">
      <c r="A4866" s="6" t="n"/>
    </row>
    <row r="4867">
      <c r="A4867" s="6" t="n"/>
    </row>
    <row r="4868">
      <c r="A4868" s="6" t="n"/>
    </row>
    <row r="4869">
      <c r="A4869" s="6" t="n"/>
    </row>
    <row r="4870">
      <c r="A4870" s="6" t="n"/>
    </row>
    <row r="4871">
      <c r="A4871" s="6" t="n"/>
    </row>
    <row r="4872">
      <c r="A4872" s="6" t="n"/>
    </row>
    <row r="4873">
      <c r="A4873" s="6" t="n"/>
    </row>
    <row r="4874">
      <c r="A4874" s="6" t="n"/>
    </row>
    <row r="4875">
      <c r="A4875" s="6" t="n"/>
    </row>
    <row r="4876">
      <c r="A4876" s="6" t="n"/>
    </row>
    <row r="4877">
      <c r="A4877" s="6" t="n"/>
    </row>
    <row r="4878">
      <c r="A4878" s="6" t="n"/>
    </row>
    <row r="4879">
      <c r="A4879" s="6" t="n"/>
    </row>
    <row r="4880">
      <c r="A4880" s="6" t="n"/>
    </row>
    <row r="4881">
      <c r="A4881" s="6" t="n"/>
    </row>
    <row r="4882">
      <c r="A4882" s="6" t="n"/>
    </row>
    <row r="4883">
      <c r="A4883" s="6" t="n"/>
    </row>
    <row r="4884">
      <c r="A4884" s="6" t="n"/>
    </row>
    <row r="4885">
      <c r="A4885" s="6" t="n"/>
    </row>
    <row r="4886">
      <c r="A4886" s="6" t="n"/>
    </row>
    <row r="4887">
      <c r="A4887" s="6" t="n"/>
    </row>
    <row r="4888">
      <c r="A4888" s="6" t="n"/>
    </row>
    <row r="4889">
      <c r="A4889" s="6" t="n"/>
    </row>
    <row r="4890">
      <c r="A4890" s="6" t="n"/>
    </row>
    <row r="4891">
      <c r="A4891" s="6" t="n"/>
    </row>
    <row r="4892">
      <c r="A4892" s="6" t="n"/>
    </row>
    <row r="4893">
      <c r="A4893" s="6" t="n"/>
    </row>
    <row r="4894">
      <c r="A4894" s="6" t="n"/>
    </row>
    <row r="4895">
      <c r="A4895" s="6" t="n"/>
    </row>
    <row r="4896">
      <c r="A4896" s="6" t="n"/>
    </row>
    <row r="4897">
      <c r="A4897" s="6" t="n"/>
    </row>
    <row r="4898">
      <c r="A4898" s="6" t="n"/>
    </row>
    <row r="4899">
      <c r="A4899" s="6" t="n"/>
    </row>
    <row r="4900">
      <c r="A4900" s="6" t="n"/>
    </row>
    <row r="4901">
      <c r="A4901" s="6" t="n"/>
    </row>
    <row r="4902">
      <c r="A4902" s="6" t="n"/>
    </row>
    <row r="4903">
      <c r="A4903" s="6" t="n"/>
    </row>
    <row r="4904">
      <c r="A4904" s="6" t="n"/>
    </row>
    <row r="4905">
      <c r="A4905" s="6" t="n"/>
    </row>
    <row r="4906">
      <c r="A4906" s="6" t="n"/>
    </row>
    <row r="4907">
      <c r="A4907" s="6" t="n"/>
    </row>
    <row r="4908">
      <c r="A4908" s="6" t="n"/>
    </row>
    <row r="4909">
      <c r="A4909" s="6" t="n"/>
    </row>
    <row r="4910">
      <c r="A4910" s="6" t="n"/>
    </row>
    <row r="4911">
      <c r="A4911" s="6" t="n"/>
    </row>
    <row r="4912">
      <c r="A4912" s="6" t="n"/>
    </row>
    <row r="4913">
      <c r="A4913" s="6" t="n"/>
    </row>
    <row r="4914">
      <c r="A4914" s="6" t="n"/>
    </row>
    <row r="4915">
      <c r="A4915" s="6" t="n"/>
    </row>
    <row r="4916">
      <c r="A4916" s="6" t="n"/>
    </row>
    <row r="4917">
      <c r="A4917" s="6" t="n"/>
    </row>
    <row r="4918">
      <c r="A4918" s="6" t="n"/>
    </row>
    <row r="4919">
      <c r="A4919" s="6" t="n"/>
    </row>
    <row r="4920">
      <c r="A4920" s="6" t="n"/>
    </row>
    <row r="4921">
      <c r="A4921" s="6" t="n"/>
    </row>
    <row r="4922">
      <c r="A4922" s="6" t="n"/>
    </row>
    <row r="4923">
      <c r="A4923" s="6" t="n"/>
    </row>
    <row r="4924">
      <c r="A4924" s="6" t="n"/>
    </row>
    <row r="4925">
      <c r="A4925" s="6" t="n"/>
    </row>
    <row r="4926">
      <c r="A4926" s="6" t="n"/>
    </row>
    <row r="4927">
      <c r="A4927" s="6" t="n"/>
    </row>
    <row r="4928">
      <c r="A4928" s="6" t="n"/>
    </row>
    <row r="4929">
      <c r="A4929" s="6" t="n"/>
    </row>
    <row r="4930">
      <c r="A4930" s="6" t="n"/>
    </row>
    <row r="4931">
      <c r="A4931" s="6" t="n"/>
    </row>
    <row r="4932">
      <c r="A4932" s="6" t="n"/>
    </row>
    <row r="4933">
      <c r="A4933" s="6" t="n"/>
    </row>
    <row r="4934">
      <c r="A4934" s="6" t="n"/>
    </row>
    <row r="4935">
      <c r="A4935" s="6" t="n"/>
    </row>
    <row r="4936">
      <c r="A4936" s="6" t="n"/>
    </row>
    <row r="4937">
      <c r="A4937" s="6" t="n"/>
    </row>
    <row r="4938">
      <c r="A4938" s="6" t="n"/>
    </row>
    <row r="4939">
      <c r="A4939" s="6" t="n"/>
    </row>
    <row r="4940">
      <c r="A4940" s="6" t="n"/>
    </row>
    <row r="4941">
      <c r="A4941" s="6" t="n"/>
    </row>
    <row r="4942">
      <c r="A4942" s="6" t="n"/>
    </row>
    <row r="4943">
      <c r="A4943" s="6" t="n"/>
    </row>
    <row r="4944">
      <c r="A4944" s="6" t="n"/>
    </row>
    <row r="4945">
      <c r="A4945" s="6" t="n"/>
    </row>
    <row r="4946">
      <c r="A4946" s="6" t="n"/>
    </row>
    <row r="4947">
      <c r="A4947" s="6" t="n"/>
    </row>
    <row r="4948">
      <c r="A4948" s="6" t="n"/>
    </row>
    <row r="4949">
      <c r="A4949" s="6" t="n"/>
    </row>
    <row r="4950">
      <c r="A4950" s="6" t="n"/>
    </row>
    <row r="4951">
      <c r="A4951" s="6" t="n"/>
    </row>
    <row r="4952">
      <c r="A4952" s="6" t="n"/>
    </row>
    <row r="4953">
      <c r="A4953" s="6" t="n"/>
    </row>
    <row r="4954">
      <c r="A4954" s="6" t="n"/>
    </row>
    <row r="4955">
      <c r="A4955" s="6" t="n"/>
    </row>
    <row r="4956">
      <c r="A4956" s="6" t="n"/>
    </row>
    <row r="4957">
      <c r="A4957" s="6" t="n"/>
    </row>
    <row r="4958">
      <c r="A4958" s="6" t="n"/>
    </row>
    <row r="4959">
      <c r="A4959" s="6" t="n"/>
    </row>
    <row r="4960">
      <c r="A4960" s="6" t="n"/>
    </row>
    <row r="4961">
      <c r="A4961" s="6" t="n"/>
    </row>
    <row r="4962">
      <c r="A4962" s="6" t="n"/>
    </row>
    <row r="4963">
      <c r="A4963" s="6" t="n"/>
    </row>
    <row r="4964">
      <c r="A4964" s="6" t="n"/>
    </row>
    <row r="4965">
      <c r="A4965" s="6" t="n"/>
    </row>
    <row r="4966">
      <c r="A4966" s="6" t="n"/>
    </row>
    <row r="4967">
      <c r="A4967" s="6" t="n"/>
    </row>
    <row r="4968">
      <c r="A4968" s="6" t="n"/>
    </row>
    <row r="4969">
      <c r="A4969" s="6" t="n"/>
    </row>
    <row r="4970">
      <c r="A4970" s="6" t="n"/>
    </row>
    <row r="4971">
      <c r="A4971" s="6" t="n"/>
    </row>
    <row r="4972">
      <c r="A4972" s="6" t="n"/>
    </row>
    <row r="4973">
      <c r="A4973" s="6" t="n"/>
    </row>
    <row r="4974">
      <c r="A4974" s="6" t="n"/>
    </row>
    <row r="4975">
      <c r="A4975" s="6" t="n"/>
    </row>
    <row r="4976">
      <c r="A4976" s="6" t="n"/>
    </row>
    <row r="4977">
      <c r="A4977" s="6" t="n"/>
    </row>
    <row r="4978">
      <c r="A4978" s="6" t="n"/>
    </row>
    <row r="4979">
      <c r="A4979" s="6" t="n"/>
    </row>
    <row r="4980">
      <c r="A4980" s="6" t="n"/>
    </row>
    <row r="4981">
      <c r="A4981" s="6" t="n"/>
    </row>
    <row r="4982">
      <c r="A4982" s="6" t="n"/>
    </row>
    <row r="4983">
      <c r="A4983" s="6" t="n"/>
    </row>
    <row r="4984">
      <c r="A4984" s="6" t="n"/>
    </row>
    <row r="4985">
      <c r="A4985" s="6" t="n"/>
    </row>
    <row r="4986">
      <c r="A4986" s="6" t="n"/>
    </row>
    <row r="4987">
      <c r="A4987" s="6" t="n"/>
    </row>
    <row r="4988">
      <c r="A4988" s="6" t="n"/>
    </row>
    <row r="4989">
      <c r="A4989" s="6" t="n"/>
    </row>
    <row r="4990">
      <c r="A4990" s="6" t="n"/>
    </row>
    <row r="4991">
      <c r="A4991" s="6" t="n"/>
    </row>
    <row r="4992">
      <c r="A4992" s="6" t="n"/>
    </row>
    <row r="4993">
      <c r="A4993" s="6" t="n"/>
    </row>
    <row r="4994">
      <c r="A4994" s="6" t="n"/>
    </row>
    <row r="4995">
      <c r="A4995" s="6" t="n"/>
    </row>
    <row r="4996">
      <c r="A4996" s="6" t="n"/>
    </row>
    <row r="4997">
      <c r="A4997" s="6" t="n"/>
    </row>
    <row r="4998">
      <c r="A4998" s="6" t="n"/>
    </row>
    <row r="4999">
      <c r="A4999" s="6" t="n"/>
    </row>
    <row r="5000">
      <c r="A5000" s="6" t="n"/>
    </row>
  </sheetData>
  <dataValidations count="1">
    <dataValidation sqref="F2:F5000" showDropDown="0" showInputMessage="0" showErrorMessage="0" allowBlank="1" type="list">
      <formula1>"Cash,EFT,Bank Deposit,Other"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8" customWidth="1" style="10" min="2" max="2"/>
    <col width="26" customWidth="1" style="10" min="3" max="3"/>
    <col width="10" customWidth="1" style="10" min="4" max="4"/>
    <col width="18" customWidth="1" style="10" min="5" max="6"/>
    <col width="22" customWidth="1" style="10" min="7" max="7"/>
    <col width="10" customWidth="1" style="10" min="8" max="8"/>
    <col width="18" customWidth="1" style="10" min="9" max="9"/>
    <col width="28" customWidth="1" style="10" min="10" max="10"/>
  </cols>
  <sheetData>
    <row r="1" ht="28.8" customHeight="1" s="10">
      <c r="A1" s="12" t="inlineStr">
        <is>
          <t>Assessment Date</t>
        </is>
      </c>
      <c r="B1" s="12" t="inlineStr">
        <is>
          <t>Student Number</t>
        </is>
      </c>
      <c r="C1" s="12" t="inlineStr">
        <is>
          <t>Learner Name (auto)</t>
        </is>
      </c>
      <c r="D1" s="12" t="inlineStr">
        <is>
          <t>Grade (auto)</t>
        </is>
      </c>
      <c r="E1" s="12" t="inlineStr">
        <is>
          <t>Subject</t>
        </is>
      </c>
      <c r="F1" s="12" t="inlineStr">
        <is>
          <t>Assessment Type</t>
        </is>
      </c>
      <c r="G1" s="12" t="inlineStr">
        <is>
          <t>Topic</t>
        </is>
      </c>
      <c r="H1" s="12" t="inlineStr">
        <is>
          <t>Score (%)</t>
        </is>
      </c>
      <c r="I1" s="12" t="inlineStr">
        <is>
          <t>Tutor</t>
        </is>
      </c>
      <c r="J1" s="12" t="inlineStr">
        <is>
          <t>Notes</t>
        </is>
      </c>
    </row>
    <row r="2">
      <c r="C2" s="7">
        <f>IFERROR(XLOOKUP(B2,MASTER_REGISTER!E:E,MASTER_REGISTER!F:F,""),"")</f>
        <v/>
      </c>
      <c r="D2" s="4">
        <f>IFERROR(XLOOKUP(B2,MASTER_REGISTER!E:E,MASTER_REGISTER!C:C,""),"")</f>
        <v/>
      </c>
      <c r="H2" s="4" t="n"/>
    </row>
    <row r="3">
      <c r="C3" s="7">
        <f>IFERROR(XLOOKUP(B3,MASTER_REGISTER!E:E,MASTER_REGISTER!F:F,""),"")</f>
        <v/>
      </c>
      <c r="D3" s="4">
        <f>IFERROR(XLOOKUP(B3,MASTER_REGISTER!E:E,MASTER_REGISTER!C:C,""),"")</f>
        <v/>
      </c>
      <c r="H3" s="4" t="n"/>
    </row>
    <row r="4">
      <c r="C4" s="7">
        <f>IFERROR(XLOOKUP(B4,MASTER_REGISTER!E:E,MASTER_REGISTER!F:F,""),"")</f>
        <v/>
      </c>
      <c r="D4" s="4">
        <f>IFERROR(XLOOKUP(B4,MASTER_REGISTER!E:E,MASTER_REGISTER!C:C,""),"")</f>
        <v/>
      </c>
      <c r="H4" s="4" t="n"/>
    </row>
    <row r="5">
      <c r="C5" s="7">
        <f>IFERROR(XLOOKUP(B5,MASTER_REGISTER!E:E,MASTER_REGISTER!F:F,""),"")</f>
        <v/>
      </c>
      <c r="D5" s="4">
        <f>IFERROR(XLOOKUP(B5,MASTER_REGISTER!E:E,MASTER_REGISTER!C:C,""),"")</f>
        <v/>
      </c>
      <c r="H5" s="4" t="n"/>
    </row>
    <row r="6">
      <c r="C6" s="7">
        <f>IFERROR(XLOOKUP(B6,MASTER_REGISTER!E:E,MASTER_REGISTER!F:F,""),"")</f>
        <v/>
      </c>
      <c r="D6" s="4">
        <f>IFERROR(XLOOKUP(B6,MASTER_REGISTER!E:E,MASTER_REGISTER!C:C,""),"")</f>
        <v/>
      </c>
      <c r="H6" s="4" t="n"/>
    </row>
    <row r="7">
      <c r="C7" s="7">
        <f>IFERROR(XLOOKUP(B7,MASTER_REGISTER!E:E,MASTER_REGISTER!F:F,""),"")</f>
        <v/>
      </c>
      <c r="D7" s="4">
        <f>IFERROR(XLOOKUP(B7,MASTER_REGISTER!E:E,MASTER_REGISTER!C:C,""),"")</f>
        <v/>
      </c>
      <c r="H7" s="4" t="n"/>
    </row>
    <row r="8">
      <c r="C8" s="7">
        <f>IFERROR(XLOOKUP(B8,MASTER_REGISTER!E:E,MASTER_REGISTER!F:F,""),"")</f>
        <v/>
      </c>
      <c r="D8" s="4">
        <f>IFERROR(XLOOKUP(B8,MASTER_REGISTER!E:E,MASTER_REGISTER!C:C,""),"")</f>
        <v/>
      </c>
      <c r="H8" s="4" t="n"/>
    </row>
    <row r="9">
      <c r="C9" s="7">
        <f>IFERROR(XLOOKUP(B9,MASTER_REGISTER!E:E,MASTER_REGISTER!F:F,""),"")</f>
        <v/>
      </c>
      <c r="D9" s="4">
        <f>IFERROR(XLOOKUP(B9,MASTER_REGISTER!E:E,MASTER_REGISTER!C:C,""),"")</f>
        <v/>
      </c>
      <c r="H9" s="4" t="n"/>
    </row>
    <row r="10">
      <c r="C10" s="7">
        <f>IFERROR(XLOOKUP(B10,MASTER_REGISTER!E:E,MASTER_REGISTER!F:F,""),"")</f>
        <v/>
      </c>
      <c r="D10" s="4">
        <f>IFERROR(XLOOKUP(B10,MASTER_REGISTER!E:E,MASTER_REGISTER!C:C,""),"")</f>
        <v/>
      </c>
      <c r="H10" s="4" t="n"/>
    </row>
    <row r="11">
      <c r="C11" s="7">
        <f>IFERROR(XLOOKUP(B11,MASTER_REGISTER!E:E,MASTER_REGISTER!F:F,""),"")</f>
        <v/>
      </c>
      <c r="D11" s="4">
        <f>IFERROR(XLOOKUP(B11,MASTER_REGISTER!E:E,MASTER_REGISTER!C:C,""),"")</f>
        <v/>
      </c>
      <c r="H11" s="4" t="n"/>
    </row>
    <row r="12">
      <c r="C12" s="7">
        <f>IFERROR(XLOOKUP(B12,MASTER_REGISTER!E:E,MASTER_REGISTER!F:F,""),"")</f>
        <v/>
      </c>
      <c r="D12" s="4">
        <f>IFERROR(XLOOKUP(B12,MASTER_REGISTER!E:E,MASTER_REGISTER!C:C,""),"")</f>
        <v/>
      </c>
      <c r="H12" s="4" t="n"/>
    </row>
    <row r="13">
      <c r="C13" s="7">
        <f>IFERROR(XLOOKUP(B13,MASTER_REGISTER!E:E,MASTER_REGISTER!F:F,""),"")</f>
        <v/>
      </c>
      <c r="D13" s="4">
        <f>IFERROR(XLOOKUP(B13,MASTER_REGISTER!E:E,MASTER_REGISTER!C:C,""),"")</f>
        <v/>
      </c>
      <c r="H13" s="4" t="n"/>
    </row>
    <row r="14">
      <c r="C14" s="7">
        <f>IFERROR(XLOOKUP(B14,MASTER_REGISTER!E:E,MASTER_REGISTER!F:F,""),"")</f>
        <v/>
      </c>
      <c r="D14" s="4">
        <f>IFERROR(XLOOKUP(B14,MASTER_REGISTER!E:E,MASTER_REGISTER!C:C,""),"")</f>
        <v/>
      </c>
      <c r="H14" s="4" t="n"/>
    </row>
    <row r="15">
      <c r="C15" s="7">
        <f>IFERROR(XLOOKUP(B15,MASTER_REGISTER!E:E,MASTER_REGISTER!F:F,""),"")</f>
        <v/>
      </c>
      <c r="D15" s="4">
        <f>IFERROR(XLOOKUP(B15,MASTER_REGISTER!E:E,MASTER_REGISTER!C:C,""),"")</f>
        <v/>
      </c>
      <c r="H15" s="4" t="n"/>
    </row>
    <row r="16">
      <c r="C16" s="7">
        <f>IFERROR(XLOOKUP(B16,MASTER_REGISTER!E:E,MASTER_REGISTER!F:F,""),"")</f>
        <v/>
      </c>
      <c r="D16" s="4">
        <f>IFERROR(XLOOKUP(B16,MASTER_REGISTER!E:E,MASTER_REGISTER!C:C,""),"")</f>
        <v/>
      </c>
      <c r="H16" s="4" t="n"/>
    </row>
    <row r="17">
      <c r="C17" s="7">
        <f>IFERROR(XLOOKUP(B17,MASTER_REGISTER!E:E,MASTER_REGISTER!F:F,""),"")</f>
        <v/>
      </c>
      <c r="D17" s="4">
        <f>IFERROR(XLOOKUP(B17,MASTER_REGISTER!E:E,MASTER_REGISTER!C:C,""),"")</f>
        <v/>
      </c>
      <c r="H17" s="4" t="n"/>
    </row>
    <row r="18">
      <c r="C18" s="7">
        <f>IFERROR(XLOOKUP(B18,MASTER_REGISTER!E:E,MASTER_REGISTER!F:F,""),"")</f>
        <v/>
      </c>
      <c r="D18" s="4">
        <f>IFERROR(XLOOKUP(B18,MASTER_REGISTER!E:E,MASTER_REGISTER!C:C,""),"")</f>
        <v/>
      </c>
      <c r="H18" s="4" t="n"/>
    </row>
    <row r="19">
      <c r="C19" s="7">
        <f>IFERROR(XLOOKUP(B19,MASTER_REGISTER!E:E,MASTER_REGISTER!F:F,""),"")</f>
        <v/>
      </c>
      <c r="D19" s="4">
        <f>IFERROR(XLOOKUP(B19,MASTER_REGISTER!E:E,MASTER_REGISTER!C:C,""),"")</f>
        <v/>
      </c>
      <c r="H19" s="4" t="n"/>
    </row>
    <row r="20">
      <c r="C20" s="7">
        <f>IFERROR(XLOOKUP(B20,MASTER_REGISTER!E:E,MASTER_REGISTER!F:F,""),"")</f>
        <v/>
      </c>
      <c r="D20" s="4">
        <f>IFERROR(XLOOKUP(B20,MASTER_REGISTER!E:E,MASTER_REGISTER!C:C,""),"")</f>
        <v/>
      </c>
      <c r="H20" s="4" t="n"/>
    </row>
    <row r="21">
      <c r="C21" s="7">
        <f>IFERROR(XLOOKUP(B21,MASTER_REGISTER!E:E,MASTER_REGISTER!F:F,""),"")</f>
        <v/>
      </c>
      <c r="D21" s="4">
        <f>IFERROR(XLOOKUP(B21,MASTER_REGISTER!E:E,MASTER_REGISTER!C:C,""),"")</f>
        <v/>
      </c>
      <c r="H21" s="4" t="n"/>
    </row>
    <row r="22">
      <c r="C22" s="7">
        <f>IFERROR(XLOOKUP(B22,MASTER_REGISTER!E:E,MASTER_REGISTER!F:F,""),"")</f>
        <v/>
      </c>
      <c r="D22" s="4">
        <f>IFERROR(XLOOKUP(B22,MASTER_REGISTER!E:E,MASTER_REGISTER!C:C,""),"")</f>
        <v/>
      </c>
      <c r="H22" s="4" t="n"/>
    </row>
    <row r="23">
      <c r="C23" s="7">
        <f>IFERROR(XLOOKUP(B23,MASTER_REGISTER!E:E,MASTER_REGISTER!F:F,""),"")</f>
        <v/>
      </c>
      <c r="D23" s="4">
        <f>IFERROR(XLOOKUP(B23,MASTER_REGISTER!E:E,MASTER_REGISTER!C:C,""),"")</f>
        <v/>
      </c>
      <c r="H23" s="4" t="n"/>
    </row>
    <row r="24">
      <c r="C24" s="7">
        <f>IFERROR(XLOOKUP(B24,MASTER_REGISTER!E:E,MASTER_REGISTER!F:F,""),"")</f>
        <v/>
      </c>
      <c r="D24" s="4">
        <f>IFERROR(XLOOKUP(B24,MASTER_REGISTER!E:E,MASTER_REGISTER!C:C,""),"")</f>
        <v/>
      </c>
      <c r="H24" s="4" t="n"/>
    </row>
    <row r="25">
      <c r="C25" s="7">
        <f>IFERROR(XLOOKUP(B25,MASTER_REGISTER!E:E,MASTER_REGISTER!F:F,""),"")</f>
        <v/>
      </c>
      <c r="D25" s="4">
        <f>IFERROR(XLOOKUP(B25,MASTER_REGISTER!E:E,MASTER_REGISTER!C:C,""),"")</f>
        <v/>
      </c>
      <c r="H25" s="4" t="n"/>
    </row>
    <row r="26">
      <c r="C26" s="7">
        <f>IFERROR(XLOOKUP(B26,MASTER_REGISTER!E:E,MASTER_REGISTER!F:F,""),"")</f>
        <v/>
      </c>
      <c r="D26" s="4">
        <f>IFERROR(XLOOKUP(B26,MASTER_REGISTER!E:E,MASTER_REGISTER!C:C,""),"")</f>
        <v/>
      </c>
      <c r="H26" s="4" t="n"/>
    </row>
    <row r="27">
      <c r="C27" s="7">
        <f>IFERROR(XLOOKUP(B27,MASTER_REGISTER!E:E,MASTER_REGISTER!F:F,""),"")</f>
        <v/>
      </c>
      <c r="D27" s="4">
        <f>IFERROR(XLOOKUP(B27,MASTER_REGISTER!E:E,MASTER_REGISTER!C:C,""),"")</f>
        <v/>
      </c>
      <c r="H27" s="4" t="n"/>
    </row>
    <row r="28">
      <c r="C28" s="7">
        <f>IFERROR(XLOOKUP(B28,MASTER_REGISTER!E:E,MASTER_REGISTER!F:F,""),"")</f>
        <v/>
      </c>
      <c r="D28" s="4">
        <f>IFERROR(XLOOKUP(B28,MASTER_REGISTER!E:E,MASTER_REGISTER!C:C,""),"")</f>
        <v/>
      </c>
      <c r="H28" s="4" t="n"/>
    </row>
    <row r="29">
      <c r="C29" s="7">
        <f>IFERROR(XLOOKUP(B29,MASTER_REGISTER!E:E,MASTER_REGISTER!F:F,""),"")</f>
        <v/>
      </c>
      <c r="D29" s="4">
        <f>IFERROR(XLOOKUP(B29,MASTER_REGISTER!E:E,MASTER_REGISTER!C:C,""),"")</f>
        <v/>
      </c>
      <c r="H29" s="4" t="n"/>
    </row>
    <row r="30">
      <c r="C30" s="7">
        <f>IFERROR(XLOOKUP(B30,MASTER_REGISTER!E:E,MASTER_REGISTER!F:F,""),"")</f>
        <v/>
      </c>
      <c r="D30" s="4">
        <f>IFERROR(XLOOKUP(B30,MASTER_REGISTER!E:E,MASTER_REGISTER!C:C,""),"")</f>
        <v/>
      </c>
      <c r="H30" s="4" t="n"/>
    </row>
    <row r="31">
      <c r="C31" s="7">
        <f>IFERROR(XLOOKUP(B31,MASTER_REGISTER!E:E,MASTER_REGISTER!F:F,""),"")</f>
        <v/>
      </c>
      <c r="D31" s="4">
        <f>IFERROR(XLOOKUP(B31,MASTER_REGISTER!E:E,MASTER_REGISTER!C:C,""),"")</f>
        <v/>
      </c>
      <c r="H31" s="4" t="n"/>
    </row>
    <row r="32">
      <c r="C32" s="7">
        <f>IFERROR(XLOOKUP(B32,MASTER_REGISTER!E:E,MASTER_REGISTER!F:F,""),"")</f>
        <v/>
      </c>
      <c r="D32" s="4">
        <f>IFERROR(XLOOKUP(B32,MASTER_REGISTER!E:E,MASTER_REGISTER!C:C,""),"")</f>
        <v/>
      </c>
      <c r="H32" s="4" t="n"/>
    </row>
    <row r="33">
      <c r="C33" s="7">
        <f>IFERROR(XLOOKUP(B33,MASTER_REGISTER!E:E,MASTER_REGISTER!F:F,""),"")</f>
        <v/>
      </c>
      <c r="D33" s="4">
        <f>IFERROR(XLOOKUP(B33,MASTER_REGISTER!E:E,MASTER_REGISTER!C:C,""),"")</f>
        <v/>
      </c>
      <c r="H33" s="4" t="n"/>
    </row>
    <row r="34">
      <c r="C34" s="7">
        <f>IFERROR(XLOOKUP(B34,MASTER_REGISTER!E:E,MASTER_REGISTER!F:F,""),"")</f>
        <v/>
      </c>
      <c r="D34" s="4">
        <f>IFERROR(XLOOKUP(B34,MASTER_REGISTER!E:E,MASTER_REGISTER!C:C,""),"")</f>
        <v/>
      </c>
      <c r="H34" s="4" t="n"/>
    </row>
    <row r="35">
      <c r="C35" s="7">
        <f>IFERROR(XLOOKUP(B35,MASTER_REGISTER!E:E,MASTER_REGISTER!F:F,""),"")</f>
        <v/>
      </c>
      <c r="D35" s="4">
        <f>IFERROR(XLOOKUP(B35,MASTER_REGISTER!E:E,MASTER_REGISTER!C:C,""),"")</f>
        <v/>
      </c>
      <c r="H35" s="4" t="n"/>
    </row>
    <row r="36">
      <c r="C36" s="7">
        <f>IFERROR(XLOOKUP(B36,MASTER_REGISTER!E:E,MASTER_REGISTER!F:F,""),"")</f>
        <v/>
      </c>
      <c r="D36" s="4">
        <f>IFERROR(XLOOKUP(B36,MASTER_REGISTER!E:E,MASTER_REGISTER!C:C,""),"")</f>
        <v/>
      </c>
      <c r="H36" s="4" t="n"/>
    </row>
    <row r="37">
      <c r="C37" s="7">
        <f>IFERROR(XLOOKUP(B37,MASTER_REGISTER!E:E,MASTER_REGISTER!F:F,""),"")</f>
        <v/>
      </c>
      <c r="D37" s="4">
        <f>IFERROR(XLOOKUP(B37,MASTER_REGISTER!E:E,MASTER_REGISTER!C:C,""),"")</f>
        <v/>
      </c>
      <c r="H37" s="4" t="n"/>
    </row>
    <row r="38">
      <c r="C38" s="7">
        <f>IFERROR(XLOOKUP(B38,MASTER_REGISTER!E:E,MASTER_REGISTER!F:F,""),"")</f>
        <v/>
      </c>
      <c r="D38" s="4">
        <f>IFERROR(XLOOKUP(B38,MASTER_REGISTER!E:E,MASTER_REGISTER!C:C,""),"")</f>
        <v/>
      </c>
      <c r="H38" s="4" t="n"/>
    </row>
    <row r="39">
      <c r="C39" s="7">
        <f>IFERROR(XLOOKUP(B39,MASTER_REGISTER!E:E,MASTER_REGISTER!F:F,""),"")</f>
        <v/>
      </c>
      <c r="D39" s="4">
        <f>IFERROR(XLOOKUP(B39,MASTER_REGISTER!E:E,MASTER_REGISTER!C:C,""),"")</f>
        <v/>
      </c>
      <c r="H39" s="4" t="n"/>
    </row>
    <row r="40">
      <c r="C40" s="7">
        <f>IFERROR(XLOOKUP(B40,MASTER_REGISTER!E:E,MASTER_REGISTER!F:F,""),"")</f>
        <v/>
      </c>
      <c r="D40" s="4">
        <f>IFERROR(XLOOKUP(B40,MASTER_REGISTER!E:E,MASTER_REGISTER!C:C,""),"")</f>
        <v/>
      </c>
      <c r="H40" s="4" t="n"/>
    </row>
    <row r="41">
      <c r="C41" s="7">
        <f>IFERROR(XLOOKUP(B41,MASTER_REGISTER!E:E,MASTER_REGISTER!F:F,""),"")</f>
        <v/>
      </c>
      <c r="D41" s="4">
        <f>IFERROR(XLOOKUP(B41,MASTER_REGISTER!E:E,MASTER_REGISTER!C:C,""),"")</f>
        <v/>
      </c>
      <c r="H41" s="4" t="n"/>
    </row>
    <row r="42">
      <c r="C42" s="7">
        <f>IFERROR(XLOOKUP(B42,MASTER_REGISTER!E:E,MASTER_REGISTER!F:F,""),"")</f>
        <v/>
      </c>
      <c r="D42" s="4">
        <f>IFERROR(XLOOKUP(B42,MASTER_REGISTER!E:E,MASTER_REGISTER!C:C,""),"")</f>
        <v/>
      </c>
      <c r="H42" s="4" t="n"/>
    </row>
    <row r="43">
      <c r="C43" s="7">
        <f>IFERROR(XLOOKUP(B43,MASTER_REGISTER!E:E,MASTER_REGISTER!F:F,""),"")</f>
        <v/>
      </c>
      <c r="D43" s="4">
        <f>IFERROR(XLOOKUP(B43,MASTER_REGISTER!E:E,MASTER_REGISTER!C:C,""),"")</f>
        <v/>
      </c>
      <c r="H43" s="4" t="n"/>
    </row>
    <row r="44">
      <c r="C44" s="7">
        <f>IFERROR(XLOOKUP(B44,MASTER_REGISTER!E:E,MASTER_REGISTER!F:F,""),"")</f>
        <v/>
      </c>
      <c r="D44" s="4">
        <f>IFERROR(XLOOKUP(B44,MASTER_REGISTER!E:E,MASTER_REGISTER!C:C,""),"")</f>
        <v/>
      </c>
      <c r="H44" s="4" t="n"/>
    </row>
    <row r="45">
      <c r="C45" s="7">
        <f>IFERROR(XLOOKUP(B45,MASTER_REGISTER!E:E,MASTER_REGISTER!F:F,""),"")</f>
        <v/>
      </c>
      <c r="D45" s="4">
        <f>IFERROR(XLOOKUP(B45,MASTER_REGISTER!E:E,MASTER_REGISTER!C:C,""),"")</f>
        <v/>
      </c>
      <c r="H45" s="4" t="n"/>
    </row>
    <row r="46">
      <c r="C46" s="7">
        <f>IFERROR(XLOOKUP(B46,MASTER_REGISTER!E:E,MASTER_REGISTER!F:F,""),"")</f>
        <v/>
      </c>
      <c r="D46" s="4">
        <f>IFERROR(XLOOKUP(B46,MASTER_REGISTER!E:E,MASTER_REGISTER!C:C,""),"")</f>
        <v/>
      </c>
      <c r="H46" s="4" t="n"/>
    </row>
    <row r="47">
      <c r="C47" s="7">
        <f>IFERROR(XLOOKUP(B47,MASTER_REGISTER!E:E,MASTER_REGISTER!F:F,""),"")</f>
        <v/>
      </c>
      <c r="D47" s="4">
        <f>IFERROR(XLOOKUP(B47,MASTER_REGISTER!E:E,MASTER_REGISTER!C:C,""),"")</f>
        <v/>
      </c>
      <c r="H47" s="4" t="n"/>
    </row>
    <row r="48">
      <c r="C48" s="7">
        <f>IFERROR(XLOOKUP(B48,MASTER_REGISTER!E:E,MASTER_REGISTER!F:F,""),"")</f>
        <v/>
      </c>
      <c r="D48" s="4">
        <f>IFERROR(XLOOKUP(B48,MASTER_REGISTER!E:E,MASTER_REGISTER!C:C,""),"")</f>
        <v/>
      </c>
      <c r="H48" s="4" t="n"/>
    </row>
    <row r="49">
      <c r="C49" s="7">
        <f>IFERROR(XLOOKUP(B49,MASTER_REGISTER!E:E,MASTER_REGISTER!F:F,""),"")</f>
        <v/>
      </c>
      <c r="D49" s="4">
        <f>IFERROR(XLOOKUP(B49,MASTER_REGISTER!E:E,MASTER_REGISTER!C:C,""),"")</f>
        <v/>
      </c>
      <c r="H49" s="4" t="n"/>
    </row>
    <row r="50">
      <c r="C50" s="7">
        <f>IFERROR(XLOOKUP(B50,MASTER_REGISTER!E:E,MASTER_REGISTER!F:F,""),"")</f>
        <v/>
      </c>
      <c r="D50" s="4">
        <f>IFERROR(XLOOKUP(B50,MASTER_REGISTER!E:E,MASTER_REGISTER!C:C,""),"")</f>
        <v/>
      </c>
      <c r="H50" s="4" t="n"/>
    </row>
    <row r="51">
      <c r="C51" s="7">
        <f>IFERROR(XLOOKUP(B51,MASTER_REGISTER!E:E,MASTER_REGISTER!F:F,""),"")</f>
        <v/>
      </c>
      <c r="D51" s="4">
        <f>IFERROR(XLOOKUP(B51,MASTER_REGISTER!E:E,MASTER_REGISTER!C:C,""),"")</f>
        <v/>
      </c>
      <c r="H51" s="4" t="n"/>
    </row>
    <row r="52">
      <c r="C52" s="7">
        <f>IFERROR(XLOOKUP(B52,MASTER_REGISTER!E:E,MASTER_REGISTER!F:F,""),"")</f>
        <v/>
      </c>
      <c r="D52" s="4">
        <f>IFERROR(XLOOKUP(B52,MASTER_REGISTER!E:E,MASTER_REGISTER!C:C,""),"")</f>
        <v/>
      </c>
      <c r="H52" s="4" t="n"/>
    </row>
    <row r="53">
      <c r="C53" s="7">
        <f>IFERROR(XLOOKUP(B53,MASTER_REGISTER!E:E,MASTER_REGISTER!F:F,""),"")</f>
        <v/>
      </c>
      <c r="D53" s="4">
        <f>IFERROR(XLOOKUP(B53,MASTER_REGISTER!E:E,MASTER_REGISTER!C:C,""),"")</f>
        <v/>
      </c>
      <c r="H53" s="4" t="n"/>
    </row>
    <row r="54">
      <c r="C54" s="7">
        <f>IFERROR(XLOOKUP(B54,MASTER_REGISTER!E:E,MASTER_REGISTER!F:F,""),"")</f>
        <v/>
      </c>
      <c r="D54" s="4">
        <f>IFERROR(XLOOKUP(B54,MASTER_REGISTER!E:E,MASTER_REGISTER!C:C,""),"")</f>
        <v/>
      </c>
      <c r="H54" s="4" t="n"/>
    </row>
    <row r="55">
      <c r="C55" s="7">
        <f>IFERROR(XLOOKUP(B55,MASTER_REGISTER!E:E,MASTER_REGISTER!F:F,""),"")</f>
        <v/>
      </c>
      <c r="D55" s="4">
        <f>IFERROR(XLOOKUP(B55,MASTER_REGISTER!E:E,MASTER_REGISTER!C:C,""),"")</f>
        <v/>
      </c>
      <c r="H55" s="4" t="n"/>
    </row>
    <row r="56">
      <c r="C56" s="7">
        <f>IFERROR(XLOOKUP(B56,MASTER_REGISTER!E:E,MASTER_REGISTER!F:F,""),"")</f>
        <v/>
      </c>
      <c r="D56" s="4">
        <f>IFERROR(XLOOKUP(B56,MASTER_REGISTER!E:E,MASTER_REGISTER!C:C,""),"")</f>
        <v/>
      </c>
      <c r="H56" s="4" t="n"/>
    </row>
    <row r="57">
      <c r="C57" s="7">
        <f>IFERROR(XLOOKUP(B57,MASTER_REGISTER!E:E,MASTER_REGISTER!F:F,""),"")</f>
        <v/>
      </c>
      <c r="D57" s="4">
        <f>IFERROR(XLOOKUP(B57,MASTER_REGISTER!E:E,MASTER_REGISTER!C:C,""),"")</f>
        <v/>
      </c>
      <c r="H57" s="4" t="n"/>
    </row>
    <row r="58">
      <c r="C58" s="7">
        <f>IFERROR(XLOOKUP(B58,MASTER_REGISTER!E:E,MASTER_REGISTER!F:F,""),"")</f>
        <v/>
      </c>
      <c r="D58" s="4">
        <f>IFERROR(XLOOKUP(B58,MASTER_REGISTER!E:E,MASTER_REGISTER!C:C,""),"")</f>
        <v/>
      </c>
      <c r="H58" s="4" t="n"/>
    </row>
    <row r="59">
      <c r="C59" s="7">
        <f>IFERROR(XLOOKUP(B59,MASTER_REGISTER!E:E,MASTER_REGISTER!F:F,""),"")</f>
        <v/>
      </c>
      <c r="D59" s="4">
        <f>IFERROR(XLOOKUP(B59,MASTER_REGISTER!E:E,MASTER_REGISTER!C:C,""),"")</f>
        <v/>
      </c>
      <c r="H59" s="4" t="n"/>
    </row>
    <row r="60">
      <c r="C60" s="7">
        <f>IFERROR(XLOOKUP(B60,MASTER_REGISTER!E:E,MASTER_REGISTER!F:F,""),"")</f>
        <v/>
      </c>
      <c r="D60" s="4">
        <f>IFERROR(XLOOKUP(B60,MASTER_REGISTER!E:E,MASTER_REGISTER!C:C,""),"")</f>
        <v/>
      </c>
      <c r="H60" s="4" t="n"/>
    </row>
    <row r="61">
      <c r="C61" s="7">
        <f>IFERROR(XLOOKUP(B61,MASTER_REGISTER!E:E,MASTER_REGISTER!F:F,""),"")</f>
        <v/>
      </c>
      <c r="D61" s="4">
        <f>IFERROR(XLOOKUP(B61,MASTER_REGISTER!E:E,MASTER_REGISTER!C:C,""),"")</f>
        <v/>
      </c>
      <c r="H61" s="4" t="n"/>
    </row>
    <row r="62">
      <c r="C62" s="7">
        <f>IFERROR(XLOOKUP(B62,MASTER_REGISTER!E:E,MASTER_REGISTER!F:F,""),"")</f>
        <v/>
      </c>
      <c r="D62" s="4">
        <f>IFERROR(XLOOKUP(B62,MASTER_REGISTER!E:E,MASTER_REGISTER!C:C,""),"")</f>
        <v/>
      </c>
      <c r="H62" s="4" t="n"/>
    </row>
    <row r="63">
      <c r="C63" s="7">
        <f>IFERROR(XLOOKUP(B63,MASTER_REGISTER!E:E,MASTER_REGISTER!F:F,""),"")</f>
        <v/>
      </c>
      <c r="D63" s="4">
        <f>IFERROR(XLOOKUP(B63,MASTER_REGISTER!E:E,MASTER_REGISTER!C:C,""),"")</f>
        <v/>
      </c>
      <c r="H63" s="4" t="n"/>
    </row>
    <row r="64">
      <c r="C64" s="7">
        <f>IFERROR(XLOOKUP(B64,MASTER_REGISTER!E:E,MASTER_REGISTER!F:F,""),"")</f>
        <v/>
      </c>
      <c r="D64" s="4">
        <f>IFERROR(XLOOKUP(B64,MASTER_REGISTER!E:E,MASTER_REGISTER!C:C,""),"")</f>
        <v/>
      </c>
      <c r="H64" s="4" t="n"/>
    </row>
    <row r="65">
      <c r="C65" s="7">
        <f>IFERROR(XLOOKUP(B65,MASTER_REGISTER!E:E,MASTER_REGISTER!F:F,""),"")</f>
        <v/>
      </c>
      <c r="D65" s="4">
        <f>IFERROR(XLOOKUP(B65,MASTER_REGISTER!E:E,MASTER_REGISTER!C:C,""),"")</f>
        <v/>
      </c>
      <c r="H65" s="4" t="n"/>
    </row>
    <row r="66">
      <c r="C66" s="7">
        <f>IFERROR(XLOOKUP(B66,MASTER_REGISTER!E:E,MASTER_REGISTER!F:F,""),"")</f>
        <v/>
      </c>
      <c r="D66" s="4">
        <f>IFERROR(XLOOKUP(B66,MASTER_REGISTER!E:E,MASTER_REGISTER!C:C,""),"")</f>
        <v/>
      </c>
      <c r="H66" s="4" t="n"/>
    </row>
    <row r="67">
      <c r="C67" s="7">
        <f>IFERROR(XLOOKUP(B67,MASTER_REGISTER!E:E,MASTER_REGISTER!F:F,""),"")</f>
        <v/>
      </c>
      <c r="D67" s="4">
        <f>IFERROR(XLOOKUP(B67,MASTER_REGISTER!E:E,MASTER_REGISTER!C:C,""),"")</f>
        <v/>
      </c>
      <c r="H67" s="4" t="n"/>
    </row>
    <row r="68">
      <c r="C68" s="7">
        <f>IFERROR(XLOOKUP(B68,MASTER_REGISTER!E:E,MASTER_REGISTER!F:F,""),"")</f>
        <v/>
      </c>
      <c r="D68" s="4">
        <f>IFERROR(XLOOKUP(B68,MASTER_REGISTER!E:E,MASTER_REGISTER!C:C,""),"")</f>
        <v/>
      </c>
      <c r="H68" s="4" t="n"/>
    </row>
    <row r="69">
      <c r="C69" s="7">
        <f>IFERROR(XLOOKUP(B69,MASTER_REGISTER!E:E,MASTER_REGISTER!F:F,""),"")</f>
        <v/>
      </c>
      <c r="D69" s="4">
        <f>IFERROR(XLOOKUP(B69,MASTER_REGISTER!E:E,MASTER_REGISTER!C:C,""),"")</f>
        <v/>
      </c>
      <c r="H69" s="4" t="n"/>
    </row>
    <row r="70">
      <c r="C70" s="7">
        <f>IFERROR(XLOOKUP(B70,MASTER_REGISTER!E:E,MASTER_REGISTER!F:F,""),"")</f>
        <v/>
      </c>
      <c r="D70" s="4">
        <f>IFERROR(XLOOKUP(B70,MASTER_REGISTER!E:E,MASTER_REGISTER!C:C,""),"")</f>
        <v/>
      </c>
      <c r="H70" s="4" t="n"/>
    </row>
    <row r="71">
      <c r="C71" s="7">
        <f>IFERROR(XLOOKUP(B71,MASTER_REGISTER!E:E,MASTER_REGISTER!F:F,""),"")</f>
        <v/>
      </c>
      <c r="D71" s="4">
        <f>IFERROR(XLOOKUP(B71,MASTER_REGISTER!E:E,MASTER_REGISTER!C:C,""),"")</f>
        <v/>
      </c>
      <c r="H71" s="4" t="n"/>
    </row>
    <row r="72">
      <c r="C72" s="7">
        <f>IFERROR(XLOOKUP(B72,MASTER_REGISTER!E:E,MASTER_REGISTER!F:F,""),"")</f>
        <v/>
      </c>
      <c r="D72" s="4">
        <f>IFERROR(XLOOKUP(B72,MASTER_REGISTER!E:E,MASTER_REGISTER!C:C,""),"")</f>
        <v/>
      </c>
      <c r="H72" s="4" t="n"/>
    </row>
    <row r="73">
      <c r="C73" s="7">
        <f>IFERROR(XLOOKUP(B73,MASTER_REGISTER!E:E,MASTER_REGISTER!F:F,""),"")</f>
        <v/>
      </c>
      <c r="D73" s="4">
        <f>IFERROR(XLOOKUP(B73,MASTER_REGISTER!E:E,MASTER_REGISTER!C:C,""),"")</f>
        <v/>
      </c>
      <c r="H73" s="4" t="n"/>
    </row>
    <row r="74">
      <c r="C74" s="7">
        <f>IFERROR(XLOOKUP(B74,MASTER_REGISTER!E:E,MASTER_REGISTER!F:F,""),"")</f>
        <v/>
      </c>
      <c r="D74" s="4">
        <f>IFERROR(XLOOKUP(B74,MASTER_REGISTER!E:E,MASTER_REGISTER!C:C,""),"")</f>
        <v/>
      </c>
      <c r="H74" s="4" t="n"/>
    </row>
    <row r="75">
      <c r="C75" s="7">
        <f>IFERROR(XLOOKUP(B75,MASTER_REGISTER!E:E,MASTER_REGISTER!F:F,""),"")</f>
        <v/>
      </c>
      <c r="D75" s="4">
        <f>IFERROR(XLOOKUP(B75,MASTER_REGISTER!E:E,MASTER_REGISTER!C:C,""),"")</f>
        <v/>
      </c>
      <c r="H75" s="4" t="n"/>
    </row>
    <row r="76">
      <c r="C76" s="7">
        <f>IFERROR(XLOOKUP(B76,MASTER_REGISTER!E:E,MASTER_REGISTER!F:F,""),"")</f>
        <v/>
      </c>
      <c r="D76" s="4">
        <f>IFERROR(XLOOKUP(B76,MASTER_REGISTER!E:E,MASTER_REGISTER!C:C,""),"")</f>
        <v/>
      </c>
      <c r="H76" s="4" t="n"/>
    </row>
    <row r="77">
      <c r="C77" s="7">
        <f>IFERROR(XLOOKUP(B77,MASTER_REGISTER!E:E,MASTER_REGISTER!F:F,""),"")</f>
        <v/>
      </c>
      <c r="D77" s="4">
        <f>IFERROR(XLOOKUP(B77,MASTER_REGISTER!E:E,MASTER_REGISTER!C:C,""),"")</f>
        <v/>
      </c>
      <c r="H77" s="4" t="n"/>
    </row>
    <row r="78">
      <c r="C78" s="7">
        <f>IFERROR(XLOOKUP(B78,MASTER_REGISTER!E:E,MASTER_REGISTER!F:F,""),"")</f>
        <v/>
      </c>
      <c r="D78" s="4">
        <f>IFERROR(XLOOKUP(B78,MASTER_REGISTER!E:E,MASTER_REGISTER!C:C,""),"")</f>
        <v/>
      </c>
      <c r="H78" s="4" t="n"/>
    </row>
    <row r="79">
      <c r="C79" s="7">
        <f>IFERROR(XLOOKUP(B79,MASTER_REGISTER!E:E,MASTER_REGISTER!F:F,""),"")</f>
        <v/>
      </c>
      <c r="D79" s="4">
        <f>IFERROR(XLOOKUP(B79,MASTER_REGISTER!E:E,MASTER_REGISTER!C:C,""),"")</f>
        <v/>
      </c>
      <c r="H79" s="4" t="n"/>
    </row>
    <row r="80">
      <c r="C80" s="7">
        <f>IFERROR(XLOOKUP(B80,MASTER_REGISTER!E:E,MASTER_REGISTER!F:F,""),"")</f>
        <v/>
      </c>
      <c r="D80" s="4">
        <f>IFERROR(XLOOKUP(B80,MASTER_REGISTER!E:E,MASTER_REGISTER!C:C,""),"")</f>
        <v/>
      </c>
      <c r="H80" s="4" t="n"/>
    </row>
    <row r="81">
      <c r="C81" s="7">
        <f>IFERROR(XLOOKUP(B81,MASTER_REGISTER!E:E,MASTER_REGISTER!F:F,""),"")</f>
        <v/>
      </c>
      <c r="D81" s="4">
        <f>IFERROR(XLOOKUP(B81,MASTER_REGISTER!E:E,MASTER_REGISTER!C:C,""),"")</f>
        <v/>
      </c>
      <c r="H81" s="4" t="n"/>
    </row>
    <row r="82">
      <c r="C82" s="7">
        <f>IFERROR(XLOOKUP(B82,MASTER_REGISTER!E:E,MASTER_REGISTER!F:F,""),"")</f>
        <v/>
      </c>
      <c r="D82" s="4">
        <f>IFERROR(XLOOKUP(B82,MASTER_REGISTER!E:E,MASTER_REGISTER!C:C,""),"")</f>
        <v/>
      </c>
      <c r="H82" s="4" t="n"/>
    </row>
    <row r="83">
      <c r="C83" s="7">
        <f>IFERROR(XLOOKUP(B83,MASTER_REGISTER!E:E,MASTER_REGISTER!F:F,""),"")</f>
        <v/>
      </c>
      <c r="D83" s="4">
        <f>IFERROR(XLOOKUP(B83,MASTER_REGISTER!E:E,MASTER_REGISTER!C:C,""),"")</f>
        <v/>
      </c>
      <c r="H83" s="4" t="n"/>
    </row>
    <row r="84">
      <c r="C84" s="7">
        <f>IFERROR(XLOOKUP(B84,MASTER_REGISTER!E:E,MASTER_REGISTER!F:F,""),"")</f>
        <v/>
      </c>
      <c r="D84" s="4">
        <f>IFERROR(XLOOKUP(B84,MASTER_REGISTER!E:E,MASTER_REGISTER!C:C,""),"")</f>
        <v/>
      </c>
      <c r="H84" s="4" t="n"/>
    </row>
    <row r="85">
      <c r="C85" s="7">
        <f>IFERROR(XLOOKUP(B85,MASTER_REGISTER!E:E,MASTER_REGISTER!F:F,""),"")</f>
        <v/>
      </c>
      <c r="D85" s="4">
        <f>IFERROR(XLOOKUP(B85,MASTER_REGISTER!E:E,MASTER_REGISTER!C:C,""),"")</f>
        <v/>
      </c>
      <c r="H85" s="4" t="n"/>
    </row>
    <row r="86">
      <c r="C86" s="7">
        <f>IFERROR(XLOOKUP(B86,MASTER_REGISTER!E:E,MASTER_REGISTER!F:F,""),"")</f>
        <v/>
      </c>
      <c r="D86" s="4">
        <f>IFERROR(XLOOKUP(B86,MASTER_REGISTER!E:E,MASTER_REGISTER!C:C,""),"")</f>
        <v/>
      </c>
      <c r="H86" s="4" t="n"/>
    </row>
    <row r="87">
      <c r="C87" s="7">
        <f>IFERROR(XLOOKUP(B87,MASTER_REGISTER!E:E,MASTER_REGISTER!F:F,""),"")</f>
        <v/>
      </c>
      <c r="D87" s="4">
        <f>IFERROR(XLOOKUP(B87,MASTER_REGISTER!E:E,MASTER_REGISTER!C:C,""),"")</f>
        <v/>
      </c>
      <c r="H87" s="4" t="n"/>
    </row>
    <row r="88">
      <c r="C88" s="7">
        <f>IFERROR(XLOOKUP(B88,MASTER_REGISTER!E:E,MASTER_REGISTER!F:F,""),"")</f>
        <v/>
      </c>
      <c r="D88" s="4">
        <f>IFERROR(XLOOKUP(B88,MASTER_REGISTER!E:E,MASTER_REGISTER!C:C,""),"")</f>
        <v/>
      </c>
      <c r="H88" s="4" t="n"/>
    </row>
    <row r="89">
      <c r="C89" s="7">
        <f>IFERROR(XLOOKUP(B89,MASTER_REGISTER!E:E,MASTER_REGISTER!F:F,""),"")</f>
        <v/>
      </c>
      <c r="D89" s="4">
        <f>IFERROR(XLOOKUP(B89,MASTER_REGISTER!E:E,MASTER_REGISTER!C:C,""),"")</f>
        <v/>
      </c>
      <c r="H89" s="4" t="n"/>
    </row>
    <row r="90">
      <c r="C90" s="7">
        <f>IFERROR(XLOOKUP(B90,MASTER_REGISTER!E:E,MASTER_REGISTER!F:F,""),"")</f>
        <v/>
      </c>
      <c r="D90" s="4">
        <f>IFERROR(XLOOKUP(B90,MASTER_REGISTER!E:E,MASTER_REGISTER!C:C,""),"")</f>
        <v/>
      </c>
      <c r="H90" s="4" t="n"/>
    </row>
    <row r="91">
      <c r="C91" s="7">
        <f>IFERROR(XLOOKUP(B91,MASTER_REGISTER!E:E,MASTER_REGISTER!F:F,""),"")</f>
        <v/>
      </c>
      <c r="D91" s="4">
        <f>IFERROR(XLOOKUP(B91,MASTER_REGISTER!E:E,MASTER_REGISTER!C:C,""),"")</f>
        <v/>
      </c>
      <c r="H91" s="4" t="n"/>
    </row>
    <row r="92">
      <c r="C92" s="7">
        <f>IFERROR(XLOOKUP(B92,MASTER_REGISTER!E:E,MASTER_REGISTER!F:F,""),"")</f>
        <v/>
      </c>
      <c r="D92" s="4">
        <f>IFERROR(XLOOKUP(B92,MASTER_REGISTER!E:E,MASTER_REGISTER!C:C,""),"")</f>
        <v/>
      </c>
      <c r="H92" s="4" t="n"/>
    </row>
    <row r="93">
      <c r="C93" s="7">
        <f>IFERROR(XLOOKUP(B93,MASTER_REGISTER!E:E,MASTER_REGISTER!F:F,""),"")</f>
        <v/>
      </c>
      <c r="D93" s="4">
        <f>IFERROR(XLOOKUP(B93,MASTER_REGISTER!E:E,MASTER_REGISTER!C:C,""),"")</f>
        <v/>
      </c>
      <c r="H93" s="4" t="n"/>
    </row>
    <row r="94">
      <c r="C94" s="7">
        <f>IFERROR(XLOOKUP(B94,MASTER_REGISTER!E:E,MASTER_REGISTER!F:F,""),"")</f>
        <v/>
      </c>
      <c r="D94" s="4">
        <f>IFERROR(XLOOKUP(B94,MASTER_REGISTER!E:E,MASTER_REGISTER!C:C,""),"")</f>
        <v/>
      </c>
      <c r="H94" s="4" t="n"/>
    </row>
    <row r="95">
      <c r="C95" s="7">
        <f>IFERROR(XLOOKUP(B95,MASTER_REGISTER!E:E,MASTER_REGISTER!F:F,""),"")</f>
        <v/>
      </c>
      <c r="D95" s="4">
        <f>IFERROR(XLOOKUP(B95,MASTER_REGISTER!E:E,MASTER_REGISTER!C:C,""),"")</f>
        <v/>
      </c>
      <c r="H95" s="4" t="n"/>
    </row>
    <row r="96">
      <c r="C96" s="7">
        <f>IFERROR(XLOOKUP(B96,MASTER_REGISTER!E:E,MASTER_REGISTER!F:F,""),"")</f>
        <v/>
      </c>
      <c r="D96" s="4">
        <f>IFERROR(XLOOKUP(B96,MASTER_REGISTER!E:E,MASTER_REGISTER!C:C,""),"")</f>
        <v/>
      </c>
      <c r="H96" s="4" t="n"/>
    </row>
    <row r="97">
      <c r="C97" s="7">
        <f>IFERROR(XLOOKUP(B97,MASTER_REGISTER!E:E,MASTER_REGISTER!F:F,""),"")</f>
        <v/>
      </c>
      <c r="D97" s="4">
        <f>IFERROR(XLOOKUP(B97,MASTER_REGISTER!E:E,MASTER_REGISTER!C:C,""),"")</f>
        <v/>
      </c>
      <c r="H97" s="4" t="n"/>
    </row>
    <row r="98">
      <c r="C98" s="7">
        <f>IFERROR(XLOOKUP(B98,MASTER_REGISTER!E:E,MASTER_REGISTER!F:F,""),"")</f>
        <v/>
      </c>
      <c r="D98" s="4">
        <f>IFERROR(XLOOKUP(B98,MASTER_REGISTER!E:E,MASTER_REGISTER!C:C,""),"")</f>
        <v/>
      </c>
      <c r="H98" s="4" t="n"/>
    </row>
    <row r="99">
      <c r="C99" s="7">
        <f>IFERROR(XLOOKUP(B99,MASTER_REGISTER!E:E,MASTER_REGISTER!F:F,""),"")</f>
        <v/>
      </c>
      <c r="D99" s="4">
        <f>IFERROR(XLOOKUP(B99,MASTER_REGISTER!E:E,MASTER_REGISTER!C:C,""),"")</f>
        <v/>
      </c>
      <c r="H99" s="4" t="n"/>
    </row>
    <row r="100">
      <c r="C100" s="7">
        <f>IFERROR(XLOOKUP(B100,MASTER_REGISTER!E:E,MASTER_REGISTER!F:F,""),"")</f>
        <v/>
      </c>
      <c r="D100" s="4">
        <f>IFERROR(XLOOKUP(B100,MASTER_REGISTER!E:E,MASTER_REGISTER!C:C,""),"")</f>
        <v/>
      </c>
      <c r="H100" s="4" t="n"/>
    </row>
    <row r="101">
      <c r="C101" s="7">
        <f>IFERROR(XLOOKUP(B101,MASTER_REGISTER!E:E,MASTER_REGISTER!F:F,""),"")</f>
        <v/>
      </c>
      <c r="D101" s="4">
        <f>IFERROR(XLOOKUP(B101,MASTER_REGISTER!E:E,MASTER_REGISTER!C:C,""),"")</f>
        <v/>
      </c>
      <c r="H101" s="4" t="n"/>
    </row>
    <row r="102">
      <c r="C102" s="7">
        <f>IFERROR(XLOOKUP(B102,MASTER_REGISTER!E:E,MASTER_REGISTER!F:F,""),"")</f>
        <v/>
      </c>
      <c r="D102" s="4">
        <f>IFERROR(XLOOKUP(B102,MASTER_REGISTER!E:E,MASTER_REGISTER!C:C,""),"")</f>
        <v/>
      </c>
      <c r="H102" s="4" t="n"/>
    </row>
    <row r="103">
      <c r="C103" s="7">
        <f>IFERROR(XLOOKUP(B103,MASTER_REGISTER!E:E,MASTER_REGISTER!F:F,""),"")</f>
        <v/>
      </c>
      <c r="D103" s="4">
        <f>IFERROR(XLOOKUP(B103,MASTER_REGISTER!E:E,MASTER_REGISTER!C:C,""),"")</f>
        <v/>
      </c>
      <c r="H103" s="4" t="n"/>
    </row>
    <row r="104">
      <c r="C104" s="7">
        <f>IFERROR(XLOOKUP(B104,MASTER_REGISTER!E:E,MASTER_REGISTER!F:F,""),"")</f>
        <v/>
      </c>
      <c r="D104" s="4">
        <f>IFERROR(XLOOKUP(B104,MASTER_REGISTER!E:E,MASTER_REGISTER!C:C,""),"")</f>
        <v/>
      </c>
      <c r="H104" s="4" t="n"/>
    </row>
    <row r="105">
      <c r="C105" s="7">
        <f>IFERROR(XLOOKUP(B105,MASTER_REGISTER!E:E,MASTER_REGISTER!F:F,""),"")</f>
        <v/>
      </c>
      <c r="D105" s="4">
        <f>IFERROR(XLOOKUP(B105,MASTER_REGISTER!E:E,MASTER_REGISTER!C:C,""),"")</f>
        <v/>
      </c>
      <c r="H105" s="4" t="n"/>
    </row>
    <row r="106">
      <c r="C106" s="7">
        <f>IFERROR(XLOOKUP(B106,MASTER_REGISTER!E:E,MASTER_REGISTER!F:F,""),"")</f>
        <v/>
      </c>
      <c r="D106" s="4">
        <f>IFERROR(XLOOKUP(B106,MASTER_REGISTER!E:E,MASTER_REGISTER!C:C,""),"")</f>
        <v/>
      </c>
      <c r="H106" s="4" t="n"/>
    </row>
    <row r="107">
      <c r="C107" s="7">
        <f>IFERROR(XLOOKUP(B107,MASTER_REGISTER!E:E,MASTER_REGISTER!F:F,""),"")</f>
        <v/>
      </c>
      <c r="D107" s="4">
        <f>IFERROR(XLOOKUP(B107,MASTER_REGISTER!E:E,MASTER_REGISTER!C:C,""),"")</f>
        <v/>
      </c>
      <c r="H107" s="4" t="n"/>
    </row>
    <row r="108">
      <c r="C108" s="7">
        <f>IFERROR(XLOOKUP(B108,MASTER_REGISTER!E:E,MASTER_REGISTER!F:F,""),"")</f>
        <v/>
      </c>
      <c r="D108" s="4">
        <f>IFERROR(XLOOKUP(B108,MASTER_REGISTER!E:E,MASTER_REGISTER!C:C,""),"")</f>
        <v/>
      </c>
      <c r="H108" s="4" t="n"/>
    </row>
    <row r="109">
      <c r="C109" s="7">
        <f>IFERROR(XLOOKUP(B109,MASTER_REGISTER!E:E,MASTER_REGISTER!F:F,""),"")</f>
        <v/>
      </c>
      <c r="D109" s="4">
        <f>IFERROR(XLOOKUP(B109,MASTER_REGISTER!E:E,MASTER_REGISTER!C:C,""),"")</f>
        <v/>
      </c>
      <c r="H109" s="4" t="n"/>
    </row>
    <row r="110">
      <c r="C110" s="7">
        <f>IFERROR(XLOOKUP(B110,MASTER_REGISTER!E:E,MASTER_REGISTER!F:F,""),"")</f>
        <v/>
      </c>
      <c r="D110" s="4">
        <f>IFERROR(XLOOKUP(B110,MASTER_REGISTER!E:E,MASTER_REGISTER!C:C,""),"")</f>
        <v/>
      </c>
      <c r="H110" s="4" t="n"/>
    </row>
    <row r="111">
      <c r="C111" s="7">
        <f>IFERROR(XLOOKUP(B111,MASTER_REGISTER!E:E,MASTER_REGISTER!F:F,""),"")</f>
        <v/>
      </c>
      <c r="D111" s="4">
        <f>IFERROR(XLOOKUP(B111,MASTER_REGISTER!E:E,MASTER_REGISTER!C:C,""),"")</f>
        <v/>
      </c>
      <c r="H111" s="4" t="n"/>
    </row>
    <row r="112">
      <c r="C112" s="7">
        <f>IFERROR(XLOOKUP(B112,MASTER_REGISTER!E:E,MASTER_REGISTER!F:F,""),"")</f>
        <v/>
      </c>
      <c r="D112" s="4">
        <f>IFERROR(XLOOKUP(B112,MASTER_REGISTER!E:E,MASTER_REGISTER!C:C,""),"")</f>
        <v/>
      </c>
      <c r="H112" s="4" t="n"/>
    </row>
    <row r="113">
      <c r="C113" s="7">
        <f>IFERROR(XLOOKUP(B113,MASTER_REGISTER!E:E,MASTER_REGISTER!F:F,""),"")</f>
        <v/>
      </c>
      <c r="D113" s="4">
        <f>IFERROR(XLOOKUP(B113,MASTER_REGISTER!E:E,MASTER_REGISTER!C:C,""),"")</f>
        <v/>
      </c>
      <c r="H113" s="4" t="n"/>
    </row>
    <row r="114">
      <c r="C114" s="7">
        <f>IFERROR(XLOOKUP(B114,MASTER_REGISTER!E:E,MASTER_REGISTER!F:F,""),"")</f>
        <v/>
      </c>
      <c r="D114" s="4">
        <f>IFERROR(XLOOKUP(B114,MASTER_REGISTER!E:E,MASTER_REGISTER!C:C,""),"")</f>
        <v/>
      </c>
      <c r="H114" s="4" t="n"/>
    </row>
    <row r="115">
      <c r="C115" s="7">
        <f>IFERROR(XLOOKUP(B115,MASTER_REGISTER!E:E,MASTER_REGISTER!F:F,""),"")</f>
        <v/>
      </c>
      <c r="D115" s="4">
        <f>IFERROR(XLOOKUP(B115,MASTER_REGISTER!E:E,MASTER_REGISTER!C:C,""),"")</f>
        <v/>
      </c>
      <c r="H115" s="4" t="n"/>
    </row>
    <row r="116">
      <c r="C116" s="7">
        <f>IFERROR(XLOOKUP(B116,MASTER_REGISTER!E:E,MASTER_REGISTER!F:F,""),"")</f>
        <v/>
      </c>
      <c r="D116" s="4">
        <f>IFERROR(XLOOKUP(B116,MASTER_REGISTER!E:E,MASTER_REGISTER!C:C,""),"")</f>
        <v/>
      </c>
      <c r="H116" s="4" t="n"/>
    </row>
    <row r="117">
      <c r="C117" s="7">
        <f>IFERROR(XLOOKUP(B117,MASTER_REGISTER!E:E,MASTER_REGISTER!F:F,""),"")</f>
        <v/>
      </c>
      <c r="D117" s="4">
        <f>IFERROR(XLOOKUP(B117,MASTER_REGISTER!E:E,MASTER_REGISTER!C:C,""),"")</f>
        <v/>
      </c>
      <c r="H117" s="4" t="n"/>
    </row>
    <row r="118">
      <c r="C118" s="7">
        <f>IFERROR(XLOOKUP(B118,MASTER_REGISTER!E:E,MASTER_REGISTER!F:F,""),"")</f>
        <v/>
      </c>
      <c r="D118" s="4">
        <f>IFERROR(XLOOKUP(B118,MASTER_REGISTER!E:E,MASTER_REGISTER!C:C,""),"")</f>
        <v/>
      </c>
      <c r="H118" s="4" t="n"/>
    </row>
    <row r="119">
      <c r="C119" s="7">
        <f>IFERROR(XLOOKUP(B119,MASTER_REGISTER!E:E,MASTER_REGISTER!F:F,""),"")</f>
        <v/>
      </c>
      <c r="D119" s="4">
        <f>IFERROR(XLOOKUP(B119,MASTER_REGISTER!E:E,MASTER_REGISTER!C:C,""),"")</f>
        <v/>
      </c>
      <c r="H119" s="4" t="n"/>
    </row>
    <row r="120">
      <c r="C120" s="7">
        <f>IFERROR(XLOOKUP(B120,MASTER_REGISTER!E:E,MASTER_REGISTER!F:F,""),"")</f>
        <v/>
      </c>
      <c r="D120" s="4">
        <f>IFERROR(XLOOKUP(B120,MASTER_REGISTER!E:E,MASTER_REGISTER!C:C,""),"")</f>
        <v/>
      </c>
      <c r="H120" s="4" t="n"/>
    </row>
    <row r="121">
      <c r="C121" s="7">
        <f>IFERROR(XLOOKUP(B121,MASTER_REGISTER!E:E,MASTER_REGISTER!F:F,""),"")</f>
        <v/>
      </c>
      <c r="D121" s="4">
        <f>IFERROR(XLOOKUP(B121,MASTER_REGISTER!E:E,MASTER_REGISTER!C:C,""),"")</f>
        <v/>
      </c>
      <c r="H121" s="4" t="n"/>
    </row>
    <row r="122">
      <c r="C122" s="7">
        <f>IFERROR(XLOOKUP(B122,MASTER_REGISTER!E:E,MASTER_REGISTER!F:F,""),"")</f>
        <v/>
      </c>
      <c r="D122" s="4">
        <f>IFERROR(XLOOKUP(B122,MASTER_REGISTER!E:E,MASTER_REGISTER!C:C,""),"")</f>
        <v/>
      </c>
      <c r="H122" s="4" t="n"/>
    </row>
    <row r="123">
      <c r="C123" s="7">
        <f>IFERROR(XLOOKUP(B123,MASTER_REGISTER!E:E,MASTER_REGISTER!F:F,""),"")</f>
        <v/>
      </c>
      <c r="D123" s="4">
        <f>IFERROR(XLOOKUP(B123,MASTER_REGISTER!E:E,MASTER_REGISTER!C:C,""),"")</f>
        <v/>
      </c>
      <c r="H123" s="4" t="n"/>
    </row>
    <row r="124">
      <c r="C124" s="7">
        <f>IFERROR(XLOOKUP(B124,MASTER_REGISTER!E:E,MASTER_REGISTER!F:F,""),"")</f>
        <v/>
      </c>
      <c r="D124" s="4">
        <f>IFERROR(XLOOKUP(B124,MASTER_REGISTER!E:E,MASTER_REGISTER!C:C,""),"")</f>
        <v/>
      </c>
      <c r="H124" s="4" t="n"/>
    </row>
    <row r="125">
      <c r="C125" s="7">
        <f>IFERROR(XLOOKUP(B125,MASTER_REGISTER!E:E,MASTER_REGISTER!F:F,""),"")</f>
        <v/>
      </c>
      <c r="D125" s="4">
        <f>IFERROR(XLOOKUP(B125,MASTER_REGISTER!E:E,MASTER_REGISTER!C:C,""),"")</f>
        <v/>
      </c>
      <c r="H125" s="4" t="n"/>
    </row>
    <row r="126">
      <c r="C126" s="7">
        <f>IFERROR(XLOOKUP(B126,MASTER_REGISTER!E:E,MASTER_REGISTER!F:F,""),"")</f>
        <v/>
      </c>
      <c r="D126" s="4">
        <f>IFERROR(XLOOKUP(B126,MASTER_REGISTER!E:E,MASTER_REGISTER!C:C,""),"")</f>
        <v/>
      </c>
      <c r="H126" s="4" t="n"/>
    </row>
    <row r="127">
      <c r="C127" s="7">
        <f>IFERROR(XLOOKUP(B127,MASTER_REGISTER!E:E,MASTER_REGISTER!F:F,""),"")</f>
        <v/>
      </c>
      <c r="D127" s="4">
        <f>IFERROR(XLOOKUP(B127,MASTER_REGISTER!E:E,MASTER_REGISTER!C:C,""),"")</f>
        <v/>
      </c>
      <c r="H127" s="4" t="n"/>
    </row>
    <row r="128">
      <c r="C128" s="7">
        <f>IFERROR(XLOOKUP(B128,MASTER_REGISTER!E:E,MASTER_REGISTER!F:F,""),"")</f>
        <v/>
      </c>
      <c r="D128" s="4">
        <f>IFERROR(XLOOKUP(B128,MASTER_REGISTER!E:E,MASTER_REGISTER!C:C,""),"")</f>
        <v/>
      </c>
      <c r="H128" s="4" t="n"/>
    </row>
    <row r="129">
      <c r="C129" s="7">
        <f>IFERROR(XLOOKUP(B129,MASTER_REGISTER!E:E,MASTER_REGISTER!F:F,""),"")</f>
        <v/>
      </c>
      <c r="D129" s="4">
        <f>IFERROR(XLOOKUP(B129,MASTER_REGISTER!E:E,MASTER_REGISTER!C:C,""),"")</f>
        <v/>
      </c>
      <c r="H129" s="4" t="n"/>
    </row>
    <row r="130">
      <c r="C130" s="7">
        <f>IFERROR(XLOOKUP(B130,MASTER_REGISTER!E:E,MASTER_REGISTER!F:F,""),"")</f>
        <v/>
      </c>
      <c r="D130" s="4">
        <f>IFERROR(XLOOKUP(B130,MASTER_REGISTER!E:E,MASTER_REGISTER!C:C,""),"")</f>
        <v/>
      </c>
      <c r="H130" s="4" t="n"/>
    </row>
    <row r="131">
      <c r="C131" s="7">
        <f>IFERROR(XLOOKUP(B131,MASTER_REGISTER!E:E,MASTER_REGISTER!F:F,""),"")</f>
        <v/>
      </c>
      <c r="D131" s="4">
        <f>IFERROR(XLOOKUP(B131,MASTER_REGISTER!E:E,MASTER_REGISTER!C:C,""),"")</f>
        <v/>
      </c>
      <c r="H131" s="4" t="n"/>
    </row>
    <row r="132">
      <c r="C132" s="7">
        <f>IFERROR(XLOOKUP(B132,MASTER_REGISTER!E:E,MASTER_REGISTER!F:F,""),"")</f>
        <v/>
      </c>
      <c r="D132" s="4">
        <f>IFERROR(XLOOKUP(B132,MASTER_REGISTER!E:E,MASTER_REGISTER!C:C,""),"")</f>
        <v/>
      </c>
      <c r="H132" s="4" t="n"/>
    </row>
    <row r="133">
      <c r="C133" s="7">
        <f>IFERROR(XLOOKUP(B133,MASTER_REGISTER!E:E,MASTER_REGISTER!F:F,""),"")</f>
        <v/>
      </c>
      <c r="D133" s="4">
        <f>IFERROR(XLOOKUP(B133,MASTER_REGISTER!E:E,MASTER_REGISTER!C:C,""),"")</f>
        <v/>
      </c>
      <c r="H133" s="4" t="n"/>
    </row>
    <row r="134">
      <c r="C134" s="7">
        <f>IFERROR(XLOOKUP(B134,MASTER_REGISTER!E:E,MASTER_REGISTER!F:F,""),"")</f>
        <v/>
      </c>
      <c r="D134" s="4">
        <f>IFERROR(XLOOKUP(B134,MASTER_REGISTER!E:E,MASTER_REGISTER!C:C,""),"")</f>
        <v/>
      </c>
      <c r="H134" s="4" t="n"/>
    </row>
    <row r="135">
      <c r="C135" s="7">
        <f>IFERROR(XLOOKUP(B135,MASTER_REGISTER!E:E,MASTER_REGISTER!F:F,""),"")</f>
        <v/>
      </c>
      <c r="D135" s="4">
        <f>IFERROR(XLOOKUP(B135,MASTER_REGISTER!E:E,MASTER_REGISTER!C:C,""),"")</f>
        <v/>
      </c>
      <c r="H135" s="4" t="n"/>
    </row>
    <row r="136">
      <c r="C136" s="7">
        <f>IFERROR(XLOOKUP(B136,MASTER_REGISTER!E:E,MASTER_REGISTER!F:F,""),"")</f>
        <v/>
      </c>
      <c r="D136" s="4">
        <f>IFERROR(XLOOKUP(B136,MASTER_REGISTER!E:E,MASTER_REGISTER!C:C,""),"")</f>
        <v/>
      </c>
      <c r="H136" s="4" t="n"/>
    </row>
    <row r="137">
      <c r="C137" s="7">
        <f>IFERROR(XLOOKUP(B137,MASTER_REGISTER!E:E,MASTER_REGISTER!F:F,""),"")</f>
        <v/>
      </c>
      <c r="D137" s="4">
        <f>IFERROR(XLOOKUP(B137,MASTER_REGISTER!E:E,MASTER_REGISTER!C:C,""),"")</f>
        <v/>
      </c>
      <c r="H137" s="4" t="n"/>
    </row>
    <row r="138">
      <c r="C138" s="7">
        <f>IFERROR(XLOOKUP(B138,MASTER_REGISTER!E:E,MASTER_REGISTER!F:F,""),"")</f>
        <v/>
      </c>
      <c r="D138" s="4">
        <f>IFERROR(XLOOKUP(B138,MASTER_REGISTER!E:E,MASTER_REGISTER!C:C,""),"")</f>
        <v/>
      </c>
      <c r="H138" s="4" t="n"/>
    </row>
    <row r="139">
      <c r="C139" s="7">
        <f>IFERROR(XLOOKUP(B139,MASTER_REGISTER!E:E,MASTER_REGISTER!F:F,""),"")</f>
        <v/>
      </c>
      <c r="D139" s="4">
        <f>IFERROR(XLOOKUP(B139,MASTER_REGISTER!E:E,MASTER_REGISTER!C:C,""),"")</f>
        <v/>
      </c>
      <c r="H139" s="4" t="n"/>
    </row>
    <row r="140">
      <c r="C140" s="7">
        <f>IFERROR(XLOOKUP(B140,MASTER_REGISTER!E:E,MASTER_REGISTER!F:F,""),"")</f>
        <v/>
      </c>
      <c r="D140" s="4">
        <f>IFERROR(XLOOKUP(B140,MASTER_REGISTER!E:E,MASTER_REGISTER!C:C,""),"")</f>
        <v/>
      </c>
      <c r="H140" s="4" t="n"/>
    </row>
    <row r="141">
      <c r="C141" s="7">
        <f>IFERROR(XLOOKUP(B141,MASTER_REGISTER!E:E,MASTER_REGISTER!F:F,""),"")</f>
        <v/>
      </c>
      <c r="D141" s="4">
        <f>IFERROR(XLOOKUP(B141,MASTER_REGISTER!E:E,MASTER_REGISTER!C:C,""),"")</f>
        <v/>
      </c>
      <c r="H141" s="4" t="n"/>
    </row>
    <row r="142">
      <c r="C142" s="7">
        <f>IFERROR(XLOOKUP(B142,MASTER_REGISTER!E:E,MASTER_REGISTER!F:F,""),"")</f>
        <v/>
      </c>
      <c r="D142" s="4">
        <f>IFERROR(XLOOKUP(B142,MASTER_REGISTER!E:E,MASTER_REGISTER!C:C,""),"")</f>
        <v/>
      </c>
      <c r="H142" s="4" t="n"/>
    </row>
    <row r="143">
      <c r="C143" s="7">
        <f>IFERROR(XLOOKUP(B143,MASTER_REGISTER!E:E,MASTER_REGISTER!F:F,""),"")</f>
        <v/>
      </c>
      <c r="D143" s="4">
        <f>IFERROR(XLOOKUP(B143,MASTER_REGISTER!E:E,MASTER_REGISTER!C:C,""),"")</f>
        <v/>
      </c>
      <c r="H143" s="4" t="n"/>
    </row>
    <row r="144">
      <c r="C144" s="7">
        <f>IFERROR(XLOOKUP(B144,MASTER_REGISTER!E:E,MASTER_REGISTER!F:F,""),"")</f>
        <v/>
      </c>
      <c r="D144" s="4">
        <f>IFERROR(XLOOKUP(B144,MASTER_REGISTER!E:E,MASTER_REGISTER!C:C,""),"")</f>
        <v/>
      </c>
      <c r="H144" s="4" t="n"/>
    </row>
    <row r="145">
      <c r="C145" s="7">
        <f>IFERROR(XLOOKUP(B145,MASTER_REGISTER!E:E,MASTER_REGISTER!F:F,""),"")</f>
        <v/>
      </c>
      <c r="D145" s="4">
        <f>IFERROR(XLOOKUP(B145,MASTER_REGISTER!E:E,MASTER_REGISTER!C:C,""),"")</f>
        <v/>
      </c>
      <c r="H145" s="4" t="n"/>
    </row>
    <row r="146">
      <c r="C146" s="7">
        <f>IFERROR(XLOOKUP(B146,MASTER_REGISTER!E:E,MASTER_REGISTER!F:F,""),"")</f>
        <v/>
      </c>
      <c r="D146" s="4">
        <f>IFERROR(XLOOKUP(B146,MASTER_REGISTER!E:E,MASTER_REGISTER!C:C,""),"")</f>
        <v/>
      </c>
      <c r="H146" s="4" t="n"/>
    </row>
    <row r="147">
      <c r="C147" s="7">
        <f>IFERROR(XLOOKUP(B147,MASTER_REGISTER!E:E,MASTER_REGISTER!F:F,""),"")</f>
        <v/>
      </c>
      <c r="D147" s="4">
        <f>IFERROR(XLOOKUP(B147,MASTER_REGISTER!E:E,MASTER_REGISTER!C:C,""),"")</f>
        <v/>
      </c>
      <c r="H147" s="4" t="n"/>
    </row>
    <row r="148">
      <c r="C148" s="7">
        <f>IFERROR(XLOOKUP(B148,MASTER_REGISTER!E:E,MASTER_REGISTER!F:F,""),"")</f>
        <v/>
      </c>
      <c r="D148" s="4">
        <f>IFERROR(XLOOKUP(B148,MASTER_REGISTER!E:E,MASTER_REGISTER!C:C,""),"")</f>
        <v/>
      </c>
      <c r="H148" s="4" t="n"/>
    </row>
    <row r="149">
      <c r="C149" s="7">
        <f>IFERROR(XLOOKUP(B149,MASTER_REGISTER!E:E,MASTER_REGISTER!F:F,""),"")</f>
        <v/>
      </c>
      <c r="D149" s="4">
        <f>IFERROR(XLOOKUP(B149,MASTER_REGISTER!E:E,MASTER_REGISTER!C:C,""),"")</f>
        <v/>
      </c>
      <c r="H149" s="4" t="n"/>
    </row>
    <row r="150">
      <c r="C150" s="7">
        <f>IFERROR(XLOOKUP(B150,MASTER_REGISTER!E:E,MASTER_REGISTER!F:F,""),"")</f>
        <v/>
      </c>
      <c r="D150" s="4">
        <f>IFERROR(XLOOKUP(B150,MASTER_REGISTER!E:E,MASTER_REGISTER!C:C,""),"")</f>
        <v/>
      </c>
      <c r="H150" s="4" t="n"/>
    </row>
    <row r="151">
      <c r="C151" s="7">
        <f>IFERROR(XLOOKUP(B151,MASTER_REGISTER!E:E,MASTER_REGISTER!F:F,""),"")</f>
        <v/>
      </c>
      <c r="D151" s="4">
        <f>IFERROR(XLOOKUP(B151,MASTER_REGISTER!E:E,MASTER_REGISTER!C:C,""),"")</f>
        <v/>
      </c>
      <c r="H151" s="4" t="n"/>
    </row>
    <row r="152">
      <c r="C152" s="7">
        <f>IFERROR(XLOOKUP(B152,MASTER_REGISTER!E:E,MASTER_REGISTER!F:F,""),"")</f>
        <v/>
      </c>
      <c r="D152" s="4">
        <f>IFERROR(XLOOKUP(B152,MASTER_REGISTER!E:E,MASTER_REGISTER!C:C,""),"")</f>
        <v/>
      </c>
      <c r="H152" s="4" t="n"/>
    </row>
    <row r="153">
      <c r="C153" s="7">
        <f>IFERROR(XLOOKUP(B153,MASTER_REGISTER!E:E,MASTER_REGISTER!F:F,""),"")</f>
        <v/>
      </c>
      <c r="D153" s="4">
        <f>IFERROR(XLOOKUP(B153,MASTER_REGISTER!E:E,MASTER_REGISTER!C:C,""),"")</f>
        <v/>
      </c>
      <c r="H153" s="4" t="n"/>
    </row>
    <row r="154">
      <c r="C154" s="7">
        <f>IFERROR(XLOOKUP(B154,MASTER_REGISTER!E:E,MASTER_REGISTER!F:F,""),"")</f>
        <v/>
      </c>
      <c r="D154" s="4">
        <f>IFERROR(XLOOKUP(B154,MASTER_REGISTER!E:E,MASTER_REGISTER!C:C,""),"")</f>
        <v/>
      </c>
      <c r="H154" s="4" t="n"/>
    </row>
    <row r="155">
      <c r="C155" s="7">
        <f>IFERROR(XLOOKUP(B155,MASTER_REGISTER!E:E,MASTER_REGISTER!F:F,""),"")</f>
        <v/>
      </c>
      <c r="D155" s="4">
        <f>IFERROR(XLOOKUP(B155,MASTER_REGISTER!E:E,MASTER_REGISTER!C:C,""),"")</f>
        <v/>
      </c>
      <c r="H155" s="4" t="n"/>
    </row>
    <row r="156">
      <c r="C156" s="7">
        <f>IFERROR(XLOOKUP(B156,MASTER_REGISTER!E:E,MASTER_REGISTER!F:F,""),"")</f>
        <v/>
      </c>
      <c r="D156" s="4">
        <f>IFERROR(XLOOKUP(B156,MASTER_REGISTER!E:E,MASTER_REGISTER!C:C,""),"")</f>
        <v/>
      </c>
      <c r="H156" s="4" t="n"/>
    </row>
    <row r="157">
      <c r="C157" s="7">
        <f>IFERROR(XLOOKUP(B157,MASTER_REGISTER!E:E,MASTER_REGISTER!F:F,""),"")</f>
        <v/>
      </c>
      <c r="D157" s="4">
        <f>IFERROR(XLOOKUP(B157,MASTER_REGISTER!E:E,MASTER_REGISTER!C:C,""),"")</f>
        <v/>
      </c>
      <c r="H157" s="4" t="n"/>
    </row>
    <row r="158">
      <c r="C158" s="7">
        <f>IFERROR(XLOOKUP(B158,MASTER_REGISTER!E:E,MASTER_REGISTER!F:F,""),"")</f>
        <v/>
      </c>
      <c r="D158" s="4">
        <f>IFERROR(XLOOKUP(B158,MASTER_REGISTER!E:E,MASTER_REGISTER!C:C,""),"")</f>
        <v/>
      </c>
      <c r="H158" s="4" t="n"/>
    </row>
    <row r="159">
      <c r="C159" s="7">
        <f>IFERROR(XLOOKUP(B159,MASTER_REGISTER!E:E,MASTER_REGISTER!F:F,""),"")</f>
        <v/>
      </c>
      <c r="D159" s="4">
        <f>IFERROR(XLOOKUP(B159,MASTER_REGISTER!E:E,MASTER_REGISTER!C:C,""),"")</f>
        <v/>
      </c>
      <c r="H159" s="4" t="n"/>
    </row>
    <row r="160">
      <c r="C160" s="7">
        <f>IFERROR(XLOOKUP(B160,MASTER_REGISTER!E:E,MASTER_REGISTER!F:F,""),"")</f>
        <v/>
      </c>
      <c r="D160" s="4">
        <f>IFERROR(XLOOKUP(B160,MASTER_REGISTER!E:E,MASTER_REGISTER!C:C,""),"")</f>
        <v/>
      </c>
      <c r="H160" s="4" t="n"/>
    </row>
    <row r="161">
      <c r="C161" s="7">
        <f>IFERROR(XLOOKUP(B161,MASTER_REGISTER!E:E,MASTER_REGISTER!F:F,""),"")</f>
        <v/>
      </c>
      <c r="D161" s="4">
        <f>IFERROR(XLOOKUP(B161,MASTER_REGISTER!E:E,MASTER_REGISTER!C:C,""),"")</f>
        <v/>
      </c>
      <c r="H161" s="4" t="n"/>
    </row>
    <row r="162">
      <c r="C162" s="7">
        <f>IFERROR(XLOOKUP(B162,MASTER_REGISTER!E:E,MASTER_REGISTER!F:F,""),"")</f>
        <v/>
      </c>
      <c r="D162" s="4">
        <f>IFERROR(XLOOKUP(B162,MASTER_REGISTER!E:E,MASTER_REGISTER!C:C,""),"")</f>
        <v/>
      </c>
      <c r="H162" s="4" t="n"/>
    </row>
    <row r="163">
      <c r="C163" s="7">
        <f>IFERROR(XLOOKUP(B163,MASTER_REGISTER!E:E,MASTER_REGISTER!F:F,""),"")</f>
        <v/>
      </c>
      <c r="D163" s="4">
        <f>IFERROR(XLOOKUP(B163,MASTER_REGISTER!E:E,MASTER_REGISTER!C:C,""),"")</f>
        <v/>
      </c>
      <c r="H163" s="4" t="n"/>
    </row>
    <row r="164">
      <c r="C164" s="7">
        <f>IFERROR(XLOOKUP(B164,MASTER_REGISTER!E:E,MASTER_REGISTER!F:F,""),"")</f>
        <v/>
      </c>
      <c r="D164" s="4">
        <f>IFERROR(XLOOKUP(B164,MASTER_REGISTER!E:E,MASTER_REGISTER!C:C,""),"")</f>
        <v/>
      </c>
      <c r="H164" s="4" t="n"/>
    </row>
    <row r="165">
      <c r="C165" s="7">
        <f>IFERROR(XLOOKUP(B165,MASTER_REGISTER!E:E,MASTER_REGISTER!F:F,""),"")</f>
        <v/>
      </c>
      <c r="D165" s="4">
        <f>IFERROR(XLOOKUP(B165,MASTER_REGISTER!E:E,MASTER_REGISTER!C:C,""),"")</f>
        <v/>
      </c>
      <c r="H165" s="4" t="n"/>
    </row>
    <row r="166">
      <c r="C166" s="7">
        <f>IFERROR(XLOOKUP(B166,MASTER_REGISTER!E:E,MASTER_REGISTER!F:F,""),"")</f>
        <v/>
      </c>
      <c r="D166" s="4">
        <f>IFERROR(XLOOKUP(B166,MASTER_REGISTER!E:E,MASTER_REGISTER!C:C,""),"")</f>
        <v/>
      </c>
      <c r="H166" s="4" t="n"/>
    </row>
    <row r="167">
      <c r="C167" s="7">
        <f>IFERROR(XLOOKUP(B167,MASTER_REGISTER!E:E,MASTER_REGISTER!F:F,""),"")</f>
        <v/>
      </c>
      <c r="D167" s="4">
        <f>IFERROR(XLOOKUP(B167,MASTER_REGISTER!E:E,MASTER_REGISTER!C:C,""),"")</f>
        <v/>
      </c>
      <c r="H167" s="4" t="n"/>
    </row>
    <row r="168">
      <c r="C168" s="7">
        <f>IFERROR(XLOOKUP(B168,MASTER_REGISTER!E:E,MASTER_REGISTER!F:F,""),"")</f>
        <v/>
      </c>
      <c r="D168" s="4">
        <f>IFERROR(XLOOKUP(B168,MASTER_REGISTER!E:E,MASTER_REGISTER!C:C,""),"")</f>
        <v/>
      </c>
      <c r="H168" s="4" t="n"/>
    </row>
    <row r="169">
      <c r="C169" s="7">
        <f>IFERROR(XLOOKUP(B169,MASTER_REGISTER!E:E,MASTER_REGISTER!F:F,""),"")</f>
        <v/>
      </c>
      <c r="D169" s="4">
        <f>IFERROR(XLOOKUP(B169,MASTER_REGISTER!E:E,MASTER_REGISTER!C:C,""),"")</f>
        <v/>
      </c>
      <c r="H169" s="4" t="n"/>
    </row>
    <row r="170">
      <c r="C170" s="7">
        <f>IFERROR(XLOOKUP(B170,MASTER_REGISTER!E:E,MASTER_REGISTER!F:F,""),"")</f>
        <v/>
      </c>
      <c r="D170" s="4">
        <f>IFERROR(XLOOKUP(B170,MASTER_REGISTER!E:E,MASTER_REGISTER!C:C,""),"")</f>
        <v/>
      </c>
      <c r="H170" s="4" t="n"/>
    </row>
    <row r="171">
      <c r="C171" s="7">
        <f>IFERROR(XLOOKUP(B171,MASTER_REGISTER!E:E,MASTER_REGISTER!F:F,""),"")</f>
        <v/>
      </c>
      <c r="D171" s="4">
        <f>IFERROR(XLOOKUP(B171,MASTER_REGISTER!E:E,MASTER_REGISTER!C:C,""),"")</f>
        <v/>
      </c>
      <c r="H171" s="4" t="n"/>
    </row>
    <row r="172">
      <c r="C172" s="7">
        <f>IFERROR(XLOOKUP(B172,MASTER_REGISTER!E:E,MASTER_REGISTER!F:F,""),"")</f>
        <v/>
      </c>
      <c r="D172" s="4">
        <f>IFERROR(XLOOKUP(B172,MASTER_REGISTER!E:E,MASTER_REGISTER!C:C,""),"")</f>
        <v/>
      </c>
      <c r="H172" s="4" t="n"/>
    </row>
    <row r="173">
      <c r="C173" s="7">
        <f>IFERROR(XLOOKUP(B173,MASTER_REGISTER!E:E,MASTER_REGISTER!F:F,""),"")</f>
        <v/>
      </c>
      <c r="D173" s="4">
        <f>IFERROR(XLOOKUP(B173,MASTER_REGISTER!E:E,MASTER_REGISTER!C:C,""),"")</f>
        <v/>
      </c>
      <c r="H173" s="4" t="n"/>
    </row>
    <row r="174">
      <c r="C174" s="7">
        <f>IFERROR(XLOOKUP(B174,MASTER_REGISTER!E:E,MASTER_REGISTER!F:F,""),"")</f>
        <v/>
      </c>
      <c r="D174" s="4">
        <f>IFERROR(XLOOKUP(B174,MASTER_REGISTER!E:E,MASTER_REGISTER!C:C,""),"")</f>
        <v/>
      </c>
      <c r="H174" s="4" t="n"/>
    </row>
    <row r="175">
      <c r="C175" s="7">
        <f>IFERROR(XLOOKUP(B175,MASTER_REGISTER!E:E,MASTER_REGISTER!F:F,""),"")</f>
        <v/>
      </c>
      <c r="D175" s="4">
        <f>IFERROR(XLOOKUP(B175,MASTER_REGISTER!E:E,MASTER_REGISTER!C:C,""),"")</f>
        <v/>
      </c>
      <c r="H175" s="4" t="n"/>
    </row>
    <row r="176">
      <c r="C176" s="7">
        <f>IFERROR(XLOOKUP(B176,MASTER_REGISTER!E:E,MASTER_REGISTER!F:F,""),"")</f>
        <v/>
      </c>
      <c r="D176" s="4">
        <f>IFERROR(XLOOKUP(B176,MASTER_REGISTER!E:E,MASTER_REGISTER!C:C,""),"")</f>
        <v/>
      </c>
      <c r="H176" s="4" t="n"/>
    </row>
    <row r="177">
      <c r="C177" s="7">
        <f>IFERROR(XLOOKUP(B177,MASTER_REGISTER!E:E,MASTER_REGISTER!F:F,""),"")</f>
        <v/>
      </c>
      <c r="D177" s="4">
        <f>IFERROR(XLOOKUP(B177,MASTER_REGISTER!E:E,MASTER_REGISTER!C:C,""),"")</f>
        <v/>
      </c>
      <c r="H177" s="4" t="n"/>
    </row>
    <row r="178">
      <c r="C178" s="7">
        <f>IFERROR(XLOOKUP(B178,MASTER_REGISTER!E:E,MASTER_REGISTER!F:F,""),"")</f>
        <v/>
      </c>
      <c r="D178" s="4">
        <f>IFERROR(XLOOKUP(B178,MASTER_REGISTER!E:E,MASTER_REGISTER!C:C,""),"")</f>
        <v/>
      </c>
      <c r="H178" s="4" t="n"/>
    </row>
    <row r="179">
      <c r="C179" s="7">
        <f>IFERROR(XLOOKUP(B179,MASTER_REGISTER!E:E,MASTER_REGISTER!F:F,""),"")</f>
        <v/>
      </c>
      <c r="D179" s="4">
        <f>IFERROR(XLOOKUP(B179,MASTER_REGISTER!E:E,MASTER_REGISTER!C:C,""),"")</f>
        <v/>
      </c>
      <c r="H179" s="4" t="n"/>
    </row>
    <row r="180">
      <c r="C180" s="7">
        <f>IFERROR(XLOOKUP(B180,MASTER_REGISTER!E:E,MASTER_REGISTER!F:F,""),"")</f>
        <v/>
      </c>
      <c r="D180" s="4">
        <f>IFERROR(XLOOKUP(B180,MASTER_REGISTER!E:E,MASTER_REGISTER!C:C,""),"")</f>
        <v/>
      </c>
      <c r="H180" s="4" t="n"/>
    </row>
    <row r="181">
      <c r="C181" s="7">
        <f>IFERROR(XLOOKUP(B181,MASTER_REGISTER!E:E,MASTER_REGISTER!F:F,""),"")</f>
        <v/>
      </c>
      <c r="D181" s="4">
        <f>IFERROR(XLOOKUP(B181,MASTER_REGISTER!E:E,MASTER_REGISTER!C:C,""),"")</f>
        <v/>
      </c>
      <c r="H181" s="4" t="n"/>
    </row>
    <row r="182">
      <c r="C182" s="7">
        <f>IFERROR(XLOOKUP(B182,MASTER_REGISTER!E:E,MASTER_REGISTER!F:F,""),"")</f>
        <v/>
      </c>
      <c r="D182" s="4">
        <f>IFERROR(XLOOKUP(B182,MASTER_REGISTER!E:E,MASTER_REGISTER!C:C,""),"")</f>
        <v/>
      </c>
      <c r="H182" s="4" t="n"/>
    </row>
    <row r="183">
      <c r="C183" s="7">
        <f>IFERROR(XLOOKUP(B183,MASTER_REGISTER!E:E,MASTER_REGISTER!F:F,""),"")</f>
        <v/>
      </c>
      <c r="D183" s="4">
        <f>IFERROR(XLOOKUP(B183,MASTER_REGISTER!E:E,MASTER_REGISTER!C:C,""),"")</f>
        <v/>
      </c>
      <c r="H183" s="4" t="n"/>
    </row>
    <row r="184">
      <c r="C184" s="7">
        <f>IFERROR(XLOOKUP(B184,MASTER_REGISTER!E:E,MASTER_REGISTER!F:F,""),"")</f>
        <v/>
      </c>
      <c r="D184" s="4">
        <f>IFERROR(XLOOKUP(B184,MASTER_REGISTER!E:E,MASTER_REGISTER!C:C,""),"")</f>
        <v/>
      </c>
      <c r="H184" s="4" t="n"/>
    </row>
    <row r="185">
      <c r="C185" s="7">
        <f>IFERROR(XLOOKUP(B185,MASTER_REGISTER!E:E,MASTER_REGISTER!F:F,""),"")</f>
        <v/>
      </c>
      <c r="D185" s="4">
        <f>IFERROR(XLOOKUP(B185,MASTER_REGISTER!E:E,MASTER_REGISTER!C:C,""),"")</f>
        <v/>
      </c>
      <c r="H185" s="4" t="n"/>
    </row>
    <row r="186">
      <c r="C186" s="7">
        <f>IFERROR(XLOOKUP(B186,MASTER_REGISTER!E:E,MASTER_REGISTER!F:F,""),"")</f>
        <v/>
      </c>
      <c r="D186" s="4">
        <f>IFERROR(XLOOKUP(B186,MASTER_REGISTER!E:E,MASTER_REGISTER!C:C,""),"")</f>
        <v/>
      </c>
      <c r="H186" s="4" t="n"/>
    </row>
    <row r="187">
      <c r="C187" s="7">
        <f>IFERROR(XLOOKUP(B187,MASTER_REGISTER!E:E,MASTER_REGISTER!F:F,""),"")</f>
        <v/>
      </c>
      <c r="D187" s="4">
        <f>IFERROR(XLOOKUP(B187,MASTER_REGISTER!E:E,MASTER_REGISTER!C:C,""),"")</f>
        <v/>
      </c>
      <c r="H187" s="4" t="n"/>
    </row>
    <row r="188">
      <c r="C188" s="7">
        <f>IFERROR(XLOOKUP(B188,MASTER_REGISTER!E:E,MASTER_REGISTER!F:F,""),"")</f>
        <v/>
      </c>
      <c r="D188" s="4">
        <f>IFERROR(XLOOKUP(B188,MASTER_REGISTER!E:E,MASTER_REGISTER!C:C,""),"")</f>
        <v/>
      </c>
      <c r="H188" s="4" t="n"/>
    </row>
    <row r="189">
      <c r="C189" s="7">
        <f>IFERROR(XLOOKUP(B189,MASTER_REGISTER!E:E,MASTER_REGISTER!F:F,""),"")</f>
        <v/>
      </c>
      <c r="D189" s="4">
        <f>IFERROR(XLOOKUP(B189,MASTER_REGISTER!E:E,MASTER_REGISTER!C:C,""),"")</f>
        <v/>
      </c>
      <c r="H189" s="4" t="n"/>
    </row>
    <row r="190">
      <c r="C190" s="7">
        <f>IFERROR(XLOOKUP(B190,MASTER_REGISTER!E:E,MASTER_REGISTER!F:F,""),"")</f>
        <v/>
      </c>
      <c r="D190" s="4">
        <f>IFERROR(XLOOKUP(B190,MASTER_REGISTER!E:E,MASTER_REGISTER!C:C,""),"")</f>
        <v/>
      </c>
      <c r="H190" s="4" t="n"/>
    </row>
    <row r="191">
      <c r="C191" s="7">
        <f>IFERROR(XLOOKUP(B191,MASTER_REGISTER!E:E,MASTER_REGISTER!F:F,""),"")</f>
        <v/>
      </c>
      <c r="D191" s="4">
        <f>IFERROR(XLOOKUP(B191,MASTER_REGISTER!E:E,MASTER_REGISTER!C:C,""),"")</f>
        <v/>
      </c>
      <c r="H191" s="4" t="n"/>
    </row>
    <row r="192">
      <c r="C192" s="7">
        <f>IFERROR(XLOOKUP(B192,MASTER_REGISTER!E:E,MASTER_REGISTER!F:F,""),"")</f>
        <v/>
      </c>
      <c r="D192" s="4">
        <f>IFERROR(XLOOKUP(B192,MASTER_REGISTER!E:E,MASTER_REGISTER!C:C,""),"")</f>
        <v/>
      </c>
      <c r="H192" s="4" t="n"/>
    </row>
    <row r="193">
      <c r="C193" s="7">
        <f>IFERROR(XLOOKUP(B193,MASTER_REGISTER!E:E,MASTER_REGISTER!F:F,""),"")</f>
        <v/>
      </c>
      <c r="D193" s="4">
        <f>IFERROR(XLOOKUP(B193,MASTER_REGISTER!E:E,MASTER_REGISTER!C:C,""),"")</f>
        <v/>
      </c>
      <c r="H193" s="4" t="n"/>
    </row>
    <row r="194">
      <c r="C194" s="7">
        <f>IFERROR(XLOOKUP(B194,MASTER_REGISTER!E:E,MASTER_REGISTER!F:F,""),"")</f>
        <v/>
      </c>
      <c r="D194" s="4">
        <f>IFERROR(XLOOKUP(B194,MASTER_REGISTER!E:E,MASTER_REGISTER!C:C,""),"")</f>
        <v/>
      </c>
      <c r="H194" s="4" t="n"/>
    </row>
    <row r="195">
      <c r="C195" s="7">
        <f>IFERROR(XLOOKUP(B195,MASTER_REGISTER!E:E,MASTER_REGISTER!F:F,""),"")</f>
        <v/>
      </c>
      <c r="D195" s="4">
        <f>IFERROR(XLOOKUP(B195,MASTER_REGISTER!E:E,MASTER_REGISTER!C:C,""),"")</f>
        <v/>
      </c>
      <c r="H195" s="4" t="n"/>
    </row>
    <row r="196">
      <c r="C196" s="7">
        <f>IFERROR(XLOOKUP(B196,MASTER_REGISTER!E:E,MASTER_REGISTER!F:F,""),"")</f>
        <v/>
      </c>
      <c r="D196" s="4">
        <f>IFERROR(XLOOKUP(B196,MASTER_REGISTER!E:E,MASTER_REGISTER!C:C,""),"")</f>
        <v/>
      </c>
      <c r="H196" s="4" t="n"/>
    </row>
    <row r="197">
      <c r="C197" s="7">
        <f>IFERROR(XLOOKUP(B197,MASTER_REGISTER!E:E,MASTER_REGISTER!F:F,""),"")</f>
        <v/>
      </c>
      <c r="D197" s="4">
        <f>IFERROR(XLOOKUP(B197,MASTER_REGISTER!E:E,MASTER_REGISTER!C:C,""),"")</f>
        <v/>
      </c>
      <c r="H197" s="4" t="n"/>
    </row>
    <row r="198">
      <c r="C198" s="7">
        <f>IFERROR(XLOOKUP(B198,MASTER_REGISTER!E:E,MASTER_REGISTER!F:F,""),"")</f>
        <v/>
      </c>
      <c r="D198" s="4">
        <f>IFERROR(XLOOKUP(B198,MASTER_REGISTER!E:E,MASTER_REGISTER!C:C,""),"")</f>
        <v/>
      </c>
      <c r="H198" s="4" t="n"/>
    </row>
    <row r="199">
      <c r="C199" s="7">
        <f>IFERROR(XLOOKUP(B199,MASTER_REGISTER!E:E,MASTER_REGISTER!F:F,""),"")</f>
        <v/>
      </c>
      <c r="D199" s="4">
        <f>IFERROR(XLOOKUP(B199,MASTER_REGISTER!E:E,MASTER_REGISTER!C:C,""),"")</f>
        <v/>
      </c>
      <c r="H199" s="4" t="n"/>
    </row>
    <row r="200">
      <c r="C200" s="7">
        <f>IFERROR(XLOOKUP(B200,MASTER_REGISTER!E:E,MASTER_REGISTER!F:F,""),"")</f>
        <v/>
      </c>
      <c r="D200" s="4">
        <f>IFERROR(XLOOKUP(B200,MASTER_REGISTER!E:E,MASTER_REGISTER!C:C,""),"")</f>
        <v/>
      </c>
      <c r="H200" s="4" t="n"/>
    </row>
    <row r="201">
      <c r="C201" s="7">
        <f>IFERROR(XLOOKUP(B201,MASTER_REGISTER!E:E,MASTER_REGISTER!F:F,""),"")</f>
        <v/>
      </c>
      <c r="D201" s="4">
        <f>IFERROR(XLOOKUP(B201,MASTER_REGISTER!E:E,MASTER_REGISTER!C:C,""),"")</f>
        <v/>
      </c>
      <c r="H201" s="4" t="n"/>
    </row>
    <row r="202">
      <c r="C202" s="7">
        <f>IFERROR(XLOOKUP(B202,MASTER_REGISTER!E:E,MASTER_REGISTER!F:F,""),"")</f>
        <v/>
      </c>
      <c r="D202" s="4">
        <f>IFERROR(XLOOKUP(B202,MASTER_REGISTER!E:E,MASTER_REGISTER!C:C,""),"")</f>
        <v/>
      </c>
      <c r="H202" s="4" t="n"/>
    </row>
    <row r="203">
      <c r="C203" s="7">
        <f>IFERROR(XLOOKUP(B203,MASTER_REGISTER!E:E,MASTER_REGISTER!F:F,""),"")</f>
        <v/>
      </c>
      <c r="D203" s="4">
        <f>IFERROR(XLOOKUP(B203,MASTER_REGISTER!E:E,MASTER_REGISTER!C:C,""),"")</f>
        <v/>
      </c>
      <c r="H203" s="4" t="n"/>
    </row>
    <row r="204">
      <c r="C204" s="7">
        <f>IFERROR(XLOOKUP(B204,MASTER_REGISTER!E:E,MASTER_REGISTER!F:F,""),"")</f>
        <v/>
      </c>
      <c r="D204" s="4">
        <f>IFERROR(XLOOKUP(B204,MASTER_REGISTER!E:E,MASTER_REGISTER!C:C,""),"")</f>
        <v/>
      </c>
      <c r="H204" s="4" t="n"/>
    </row>
    <row r="205">
      <c r="C205" s="7">
        <f>IFERROR(XLOOKUP(B205,MASTER_REGISTER!E:E,MASTER_REGISTER!F:F,""),"")</f>
        <v/>
      </c>
      <c r="D205" s="4">
        <f>IFERROR(XLOOKUP(B205,MASTER_REGISTER!E:E,MASTER_REGISTER!C:C,""),"")</f>
        <v/>
      </c>
      <c r="H205" s="4" t="n"/>
    </row>
    <row r="206">
      <c r="C206" s="7">
        <f>IFERROR(XLOOKUP(B206,MASTER_REGISTER!E:E,MASTER_REGISTER!F:F,""),"")</f>
        <v/>
      </c>
      <c r="D206" s="4">
        <f>IFERROR(XLOOKUP(B206,MASTER_REGISTER!E:E,MASTER_REGISTER!C:C,""),"")</f>
        <v/>
      </c>
      <c r="H206" s="4" t="n"/>
    </row>
    <row r="207">
      <c r="C207" s="7">
        <f>IFERROR(XLOOKUP(B207,MASTER_REGISTER!E:E,MASTER_REGISTER!F:F,""),"")</f>
        <v/>
      </c>
      <c r="D207" s="4">
        <f>IFERROR(XLOOKUP(B207,MASTER_REGISTER!E:E,MASTER_REGISTER!C:C,""),"")</f>
        <v/>
      </c>
      <c r="H207" s="4" t="n"/>
    </row>
    <row r="208">
      <c r="C208" s="7">
        <f>IFERROR(XLOOKUP(B208,MASTER_REGISTER!E:E,MASTER_REGISTER!F:F,""),"")</f>
        <v/>
      </c>
      <c r="D208" s="4">
        <f>IFERROR(XLOOKUP(B208,MASTER_REGISTER!E:E,MASTER_REGISTER!C:C,""),"")</f>
        <v/>
      </c>
      <c r="H208" s="4" t="n"/>
    </row>
    <row r="209">
      <c r="C209" s="7">
        <f>IFERROR(XLOOKUP(B209,MASTER_REGISTER!E:E,MASTER_REGISTER!F:F,""),"")</f>
        <v/>
      </c>
      <c r="D209" s="4">
        <f>IFERROR(XLOOKUP(B209,MASTER_REGISTER!E:E,MASTER_REGISTER!C:C,""),"")</f>
        <v/>
      </c>
      <c r="H209" s="4" t="n"/>
    </row>
    <row r="210">
      <c r="C210" s="7">
        <f>IFERROR(XLOOKUP(B210,MASTER_REGISTER!E:E,MASTER_REGISTER!F:F,""),"")</f>
        <v/>
      </c>
      <c r="D210" s="4">
        <f>IFERROR(XLOOKUP(B210,MASTER_REGISTER!E:E,MASTER_REGISTER!C:C,""),"")</f>
        <v/>
      </c>
      <c r="H210" s="4" t="n"/>
    </row>
    <row r="211">
      <c r="C211" s="7">
        <f>IFERROR(XLOOKUP(B211,MASTER_REGISTER!E:E,MASTER_REGISTER!F:F,""),"")</f>
        <v/>
      </c>
      <c r="D211" s="4">
        <f>IFERROR(XLOOKUP(B211,MASTER_REGISTER!E:E,MASTER_REGISTER!C:C,""),"")</f>
        <v/>
      </c>
      <c r="H211" s="4" t="n"/>
    </row>
    <row r="212">
      <c r="C212" s="7">
        <f>IFERROR(XLOOKUP(B212,MASTER_REGISTER!E:E,MASTER_REGISTER!F:F,""),"")</f>
        <v/>
      </c>
      <c r="D212" s="4">
        <f>IFERROR(XLOOKUP(B212,MASTER_REGISTER!E:E,MASTER_REGISTER!C:C,""),"")</f>
        <v/>
      </c>
      <c r="H212" s="4" t="n"/>
    </row>
    <row r="213">
      <c r="C213" s="7">
        <f>IFERROR(XLOOKUP(B213,MASTER_REGISTER!E:E,MASTER_REGISTER!F:F,""),"")</f>
        <v/>
      </c>
      <c r="D213" s="4">
        <f>IFERROR(XLOOKUP(B213,MASTER_REGISTER!E:E,MASTER_REGISTER!C:C,""),"")</f>
        <v/>
      </c>
      <c r="H213" s="4" t="n"/>
    </row>
    <row r="214">
      <c r="C214" s="7">
        <f>IFERROR(XLOOKUP(B214,MASTER_REGISTER!E:E,MASTER_REGISTER!F:F,""),"")</f>
        <v/>
      </c>
      <c r="D214" s="4">
        <f>IFERROR(XLOOKUP(B214,MASTER_REGISTER!E:E,MASTER_REGISTER!C:C,""),"")</f>
        <v/>
      </c>
      <c r="H214" s="4" t="n"/>
    </row>
    <row r="215">
      <c r="C215" s="7">
        <f>IFERROR(XLOOKUP(B215,MASTER_REGISTER!E:E,MASTER_REGISTER!F:F,""),"")</f>
        <v/>
      </c>
      <c r="D215" s="4">
        <f>IFERROR(XLOOKUP(B215,MASTER_REGISTER!E:E,MASTER_REGISTER!C:C,""),"")</f>
        <v/>
      </c>
      <c r="H215" s="4" t="n"/>
    </row>
    <row r="216">
      <c r="C216" s="7">
        <f>IFERROR(XLOOKUP(B216,MASTER_REGISTER!E:E,MASTER_REGISTER!F:F,""),"")</f>
        <v/>
      </c>
      <c r="D216" s="4">
        <f>IFERROR(XLOOKUP(B216,MASTER_REGISTER!E:E,MASTER_REGISTER!C:C,""),"")</f>
        <v/>
      </c>
      <c r="H216" s="4" t="n"/>
    </row>
    <row r="217">
      <c r="C217" s="7">
        <f>IFERROR(XLOOKUP(B217,MASTER_REGISTER!E:E,MASTER_REGISTER!F:F,""),"")</f>
        <v/>
      </c>
      <c r="D217" s="4">
        <f>IFERROR(XLOOKUP(B217,MASTER_REGISTER!E:E,MASTER_REGISTER!C:C,""),"")</f>
        <v/>
      </c>
      <c r="H217" s="4" t="n"/>
    </row>
    <row r="218">
      <c r="C218" s="7">
        <f>IFERROR(XLOOKUP(B218,MASTER_REGISTER!E:E,MASTER_REGISTER!F:F,""),"")</f>
        <v/>
      </c>
      <c r="D218" s="4">
        <f>IFERROR(XLOOKUP(B218,MASTER_REGISTER!E:E,MASTER_REGISTER!C:C,""),"")</f>
        <v/>
      </c>
      <c r="H218" s="4" t="n"/>
    </row>
    <row r="219">
      <c r="C219" s="7">
        <f>IFERROR(XLOOKUP(B219,MASTER_REGISTER!E:E,MASTER_REGISTER!F:F,""),"")</f>
        <v/>
      </c>
      <c r="D219" s="4">
        <f>IFERROR(XLOOKUP(B219,MASTER_REGISTER!E:E,MASTER_REGISTER!C:C,""),"")</f>
        <v/>
      </c>
      <c r="H219" s="4" t="n"/>
    </row>
    <row r="220">
      <c r="C220" s="7">
        <f>IFERROR(XLOOKUP(B220,MASTER_REGISTER!E:E,MASTER_REGISTER!F:F,""),"")</f>
        <v/>
      </c>
      <c r="D220" s="4">
        <f>IFERROR(XLOOKUP(B220,MASTER_REGISTER!E:E,MASTER_REGISTER!C:C,""),"")</f>
        <v/>
      </c>
      <c r="H220" s="4" t="n"/>
    </row>
    <row r="221">
      <c r="C221" s="7">
        <f>IFERROR(XLOOKUP(B221,MASTER_REGISTER!E:E,MASTER_REGISTER!F:F,""),"")</f>
        <v/>
      </c>
      <c r="D221" s="4">
        <f>IFERROR(XLOOKUP(B221,MASTER_REGISTER!E:E,MASTER_REGISTER!C:C,""),"")</f>
        <v/>
      </c>
      <c r="H221" s="4" t="n"/>
    </row>
    <row r="222">
      <c r="C222" s="7">
        <f>IFERROR(XLOOKUP(B222,MASTER_REGISTER!E:E,MASTER_REGISTER!F:F,""),"")</f>
        <v/>
      </c>
      <c r="D222" s="4">
        <f>IFERROR(XLOOKUP(B222,MASTER_REGISTER!E:E,MASTER_REGISTER!C:C,""),"")</f>
        <v/>
      </c>
      <c r="H222" s="4" t="n"/>
    </row>
    <row r="223">
      <c r="C223" s="7">
        <f>IFERROR(XLOOKUP(B223,MASTER_REGISTER!E:E,MASTER_REGISTER!F:F,""),"")</f>
        <v/>
      </c>
      <c r="D223" s="4">
        <f>IFERROR(XLOOKUP(B223,MASTER_REGISTER!E:E,MASTER_REGISTER!C:C,""),"")</f>
        <v/>
      </c>
      <c r="H223" s="4" t="n"/>
    </row>
    <row r="224">
      <c r="C224" s="7">
        <f>IFERROR(XLOOKUP(B224,MASTER_REGISTER!E:E,MASTER_REGISTER!F:F,""),"")</f>
        <v/>
      </c>
      <c r="D224" s="4">
        <f>IFERROR(XLOOKUP(B224,MASTER_REGISTER!E:E,MASTER_REGISTER!C:C,""),"")</f>
        <v/>
      </c>
      <c r="H224" s="4" t="n"/>
    </row>
    <row r="225">
      <c r="C225" s="7">
        <f>IFERROR(XLOOKUP(B225,MASTER_REGISTER!E:E,MASTER_REGISTER!F:F,""),"")</f>
        <v/>
      </c>
      <c r="D225" s="4">
        <f>IFERROR(XLOOKUP(B225,MASTER_REGISTER!E:E,MASTER_REGISTER!C:C,""),"")</f>
        <v/>
      </c>
      <c r="H225" s="4" t="n"/>
    </row>
    <row r="226">
      <c r="C226" s="7">
        <f>IFERROR(XLOOKUP(B226,MASTER_REGISTER!E:E,MASTER_REGISTER!F:F,""),"")</f>
        <v/>
      </c>
      <c r="D226" s="4">
        <f>IFERROR(XLOOKUP(B226,MASTER_REGISTER!E:E,MASTER_REGISTER!C:C,""),"")</f>
        <v/>
      </c>
      <c r="H226" s="4" t="n"/>
    </row>
    <row r="227">
      <c r="C227" s="7">
        <f>IFERROR(XLOOKUP(B227,MASTER_REGISTER!E:E,MASTER_REGISTER!F:F,""),"")</f>
        <v/>
      </c>
      <c r="D227" s="4">
        <f>IFERROR(XLOOKUP(B227,MASTER_REGISTER!E:E,MASTER_REGISTER!C:C,""),"")</f>
        <v/>
      </c>
      <c r="H227" s="4" t="n"/>
    </row>
    <row r="228">
      <c r="C228" s="7">
        <f>IFERROR(XLOOKUP(B228,MASTER_REGISTER!E:E,MASTER_REGISTER!F:F,""),"")</f>
        <v/>
      </c>
      <c r="D228" s="4">
        <f>IFERROR(XLOOKUP(B228,MASTER_REGISTER!E:E,MASTER_REGISTER!C:C,""),"")</f>
        <v/>
      </c>
      <c r="H228" s="4" t="n"/>
    </row>
    <row r="229">
      <c r="C229" s="7">
        <f>IFERROR(XLOOKUP(B229,MASTER_REGISTER!E:E,MASTER_REGISTER!F:F,""),"")</f>
        <v/>
      </c>
      <c r="D229" s="4">
        <f>IFERROR(XLOOKUP(B229,MASTER_REGISTER!E:E,MASTER_REGISTER!C:C,""),"")</f>
        <v/>
      </c>
      <c r="H229" s="4" t="n"/>
    </row>
    <row r="230">
      <c r="C230" s="7">
        <f>IFERROR(XLOOKUP(B230,MASTER_REGISTER!E:E,MASTER_REGISTER!F:F,""),"")</f>
        <v/>
      </c>
      <c r="D230" s="4">
        <f>IFERROR(XLOOKUP(B230,MASTER_REGISTER!E:E,MASTER_REGISTER!C:C,""),"")</f>
        <v/>
      </c>
      <c r="H230" s="4" t="n"/>
    </row>
    <row r="231">
      <c r="C231" s="7">
        <f>IFERROR(XLOOKUP(B231,MASTER_REGISTER!E:E,MASTER_REGISTER!F:F,""),"")</f>
        <v/>
      </c>
      <c r="D231" s="4">
        <f>IFERROR(XLOOKUP(B231,MASTER_REGISTER!E:E,MASTER_REGISTER!C:C,""),"")</f>
        <v/>
      </c>
      <c r="H231" s="4" t="n"/>
    </row>
    <row r="232">
      <c r="C232" s="7">
        <f>IFERROR(XLOOKUP(B232,MASTER_REGISTER!E:E,MASTER_REGISTER!F:F,""),"")</f>
        <v/>
      </c>
      <c r="D232" s="4">
        <f>IFERROR(XLOOKUP(B232,MASTER_REGISTER!E:E,MASTER_REGISTER!C:C,""),"")</f>
        <v/>
      </c>
      <c r="H232" s="4" t="n"/>
    </row>
    <row r="233">
      <c r="C233" s="7">
        <f>IFERROR(XLOOKUP(B233,MASTER_REGISTER!E:E,MASTER_REGISTER!F:F,""),"")</f>
        <v/>
      </c>
      <c r="D233" s="4">
        <f>IFERROR(XLOOKUP(B233,MASTER_REGISTER!E:E,MASTER_REGISTER!C:C,""),"")</f>
        <v/>
      </c>
      <c r="H233" s="4" t="n"/>
    </row>
    <row r="234">
      <c r="C234" s="7">
        <f>IFERROR(XLOOKUP(B234,MASTER_REGISTER!E:E,MASTER_REGISTER!F:F,""),"")</f>
        <v/>
      </c>
      <c r="D234" s="4">
        <f>IFERROR(XLOOKUP(B234,MASTER_REGISTER!E:E,MASTER_REGISTER!C:C,""),"")</f>
        <v/>
      </c>
      <c r="H234" s="4" t="n"/>
    </row>
    <row r="235">
      <c r="C235" s="7">
        <f>IFERROR(XLOOKUP(B235,MASTER_REGISTER!E:E,MASTER_REGISTER!F:F,""),"")</f>
        <v/>
      </c>
      <c r="D235" s="4">
        <f>IFERROR(XLOOKUP(B235,MASTER_REGISTER!E:E,MASTER_REGISTER!C:C,""),"")</f>
        <v/>
      </c>
      <c r="H235" s="4" t="n"/>
    </row>
    <row r="236">
      <c r="C236" s="7">
        <f>IFERROR(XLOOKUP(B236,MASTER_REGISTER!E:E,MASTER_REGISTER!F:F,""),"")</f>
        <v/>
      </c>
      <c r="D236" s="4">
        <f>IFERROR(XLOOKUP(B236,MASTER_REGISTER!E:E,MASTER_REGISTER!C:C,""),"")</f>
        <v/>
      </c>
      <c r="H236" s="4" t="n"/>
    </row>
    <row r="237">
      <c r="C237" s="7">
        <f>IFERROR(XLOOKUP(B237,MASTER_REGISTER!E:E,MASTER_REGISTER!F:F,""),"")</f>
        <v/>
      </c>
      <c r="D237" s="4">
        <f>IFERROR(XLOOKUP(B237,MASTER_REGISTER!E:E,MASTER_REGISTER!C:C,""),"")</f>
        <v/>
      </c>
      <c r="H237" s="4" t="n"/>
    </row>
    <row r="238">
      <c r="C238" s="7">
        <f>IFERROR(XLOOKUP(B238,MASTER_REGISTER!E:E,MASTER_REGISTER!F:F,""),"")</f>
        <v/>
      </c>
      <c r="D238" s="4">
        <f>IFERROR(XLOOKUP(B238,MASTER_REGISTER!E:E,MASTER_REGISTER!C:C,""),"")</f>
        <v/>
      </c>
      <c r="H238" s="4" t="n"/>
    </row>
    <row r="239">
      <c r="C239" s="7">
        <f>IFERROR(XLOOKUP(B239,MASTER_REGISTER!E:E,MASTER_REGISTER!F:F,""),"")</f>
        <v/>
      </c>
      <c r="D239" s="4">
        <f>IFERROR(XLOOKUP(B239,MASTER_REGISTER!E:E,MASTER_REGISTER!C:C,""),"")</f>
        <v/>
      </c>
      <c r="H239" s="4" t="n"/>
    </row>
    <row r="240">
      <c r="C240" s="7">
        <f>IFERROR(XLOOKUP(B240,MASTER_REGISTER!E:E,MASTER_REGISTER!F:F,""),"")</f>
        <v/>
      </c>
      <c r="D240" s="4">
        <f>IFERROR(XLOOKUP(B240,MASTER_REGISTER!E:E,MASTER_REGISTER!C:C,""),"")</f>
        <v/>
      </c>
      <c r="H240" s="4" t="n"/>
    </row>
    <row r="241">
      <c r="C241" s="7">
        <f>IFERROR(XLOOKUP(B241,MASTER_REGISTER!E:E,MASTER_REGISTER!F:F,""),"")</f>
        <v/>
      </c>
      <c r="D241" s="4">
        <f>IFERROR(XLOOKUP(B241,MASTER_REGISTER!E:E,MASTER_REGISTER!C:C,""),"")</f>
        <v/>
      </c>
      <c r="H241" s="4" t="n"/>
    </row>
    <row r="242">
      <c r="C242" s="7">
        <f>IFERROR(XLOOKUP(B242,MASTER_REGISTER!E:E,MASTER_REGISTER!F:F,""),"")</f>
        <v/>
      </c>
      <c r="D242" s="4">
        <f>IFERROR(XLOOKUP(B242,MASTER_REGISTER!E:E,MASTER_REGISTER!C:C,""),"")</f>
        <v/>
      </c>
      <c r="H242" s="4" t="n"/>
    </row>
    <row r="243">
      <c r="C243" s="7">
        <f>IFERROR(XLOOKUP(B243,MASTER_REGISTER!E:E,MASTER_REGISTER!F:F,""),"")</f>
        <v/>
      </c>
      <c r="D243" s="4">
        <f>IFERROR(XLOOKUP(B243,MASTER_REGISTER!E:E,MASTER_REGISTER!C:C,""),"")</f>
        <v/>
      </c>
      <c r="H243" s="4" t="n"/>
    </row>
    <row r="244">
      <c r="C244" s="7">
        <f>IFERROR(XLOOKUP(B244,MASTER_REGISTER!E:E,MASTER_REGISTER!F:F,""),"")</f>
        <v/>
      </c>
      <c r="D244" s="4">
        <f>IFERROR(XLOOKUP(B244,MASTER_REGISTER!E:E,MASTER_REGISTER!C:C,""),"")</f>
        <v/>
      </c>
      <c r="H244" s="4" t="n"/>
    </row>
    <row r="245">
      <c r="C245" s="7">
        <f>IFERROR(XLOOKUP(B245,MASTER_REGISTER!E:E,MASTER_REGISTER!F:F,""),"")</f>
        <v/>
      </c>
      <c r="D245" s="4">
        <f>IFERROR(XLOOKUP(B245,MASTER_REGISTER!E:E,MASTER_REGISTER!C:C,""),"")</f>
        <v/>
      </c>
      <c r="H245" s="4" t="n"/>
    </row>
    <row r="246">
      <c r="C246" s="7">
        <f>IFERROR(XLOOKUP(B246,MASTER_REGISTER!E:E,MASTER_REGISTER!F:F,""),"")</f>
        <v/>
      </c>
      <c r="D246" s="4">
        <f>IFERROR(XLOOKUP(B246,MASTER_REGISTER!E:E,MASTER_REGISTER!C:C,""),"")</f>
        <v/>
      </c>
      <c r="H246" s="4" t="n"/>
    </row>
    <row r="247">
      <c r="C247" s="7">
        <f>IFERROR(XLOOKUP(B247,MASTER_REGISTER!E:E,MASTER_REGISTER!F:F,""),"")</f>
        <v/>
      </c>
      <c r="D247" s="4">
        <f>IFERROR(XLOOKUP(B247,MASTER_REGISTER!E:E,MASTER_REGISTER!C:C,""),"")</f>
        <v/>
      </c>
      <c r="H247" s="4" t="n"/>
    </row>
    <row r="248">
      <c r="C248" s="7">
        <f>IFERROR(XLOOKUP(B248,MASTER_REGISTER!E:E,MASTER_REGISTER!F:F,""),"")</f>
        <v/>
      </c>
      <c r="D248" s="4">
        <f>IFERROR(XLOOKUP(B248,MASTER_REGISTER!E:E,MASTER_REGISTER!C:C,""),"")</f>
        <v/>
      </c>
      <c r="H248" s="4" t="n"/>
    </row>
    <row r="249">
      <c r="C249" s="7">
        <f>IFERROR(XLOOKUP(B249,MASTER_REGISTER!E:E,MASTER_REGISTER!F:F,""),"")</f>
        <v/>
      </c>
      <c r="D249" s="4">
        <f>IFERROR(XLOOKUP(B249,MASTER_REGISTER!E:E,MASTER_REGISTER!C:C,""),"")</f>
        <v/>
      </c>
      <c r="H249" s="4" t="n"/>
    </row>
    <row r="250">
      <c r="C250" s="7">
        <f>IFERROR(XLOOKUP(B250,MASTER_REGISTER!E:E,MASTER_REGISTER!F:F,""),"")</f>
        <v/>
      </c>
      <c r="D250" s="4">
        <f>IFERROR(XLOOKUP(B250,MASTER_REGISTER!E:E,MASTER_REGISTER!C:C,""),"")</f>
        <v/>
      </c>
      <c r="H250" s="4" t="n"/>
    </row>
    <row r="251">
      <c r="C251" s="7">
        <f>IFERROR(XLOOKUP(B251,MASTER_REGISTER!E:E,MASTER_REGISTER!F:F,""),"")</f>
        <v/>
      </c>
      <c r="D251" s="4">
        <f>IFERROR(XLOOKUP(B251,MASTER_REGISTER!E:E,MASTER_REGISTER!C:C,""),"")</f>
        <v/>
      </c>
      <c r="H251" s="4" t="n"/>
    </row>
    <row r="252">
      <c r="C252" s="7">
        <f>IFERROR(XLOOKUP(B252,MASTER_REGISTER!E:E,MASTER_REGISTER!F:F,""),"")</f>
        <v/>
      </c>
      <c r="D252" s="4">
        <f>IFERROR(XLOOKUP(B252,MASTER_REGISTER!E:E,MASTER_REGISTER!C:C,""),"")</f>
        <v/>
      </c>
      <c r="H252" s="4" t="n"/>
    </row>
    <row r="253">
      <c r="C253" s="7">
        <f>IFERROR(XLOOKUP(B253,MASTER_REGISTER!E:E,MASTER_REGISTER!F:F,""),"")</f>
        <v/>
      </c>
      <c r="D253" s="4">
        <f>IFERROR(XLOOKUP(B253,MASTER_REGISTER!E:E,MASTER_REGISTER!C:C,""),"")</f>
        <v/>
      </c>
      <c r="H253" s="4" t="n"/>
    </row>
    <row r="254">
      <c r="C254" s="7">
        <f>IFERROR(XLOOKUP(B254,MASTER_REGISTER!E:E,MASTER_REGISTER!F:F,""),"")</f>
        <v/>
      </c>
      <c r="D254" s="4">
        <f>IFERROR(XLOOKUP(B254,MASTER_REGISTER!E:E,MASTER_REGISTER!C:C,""),"")</f>
        <v/>
      </c>
      <c r="H254" s="4" t="n"/>
    </row>
    <row r="255">
      <c r="C255" s="7">
        <f>IFERROR(XLOOKUP(B255,MASTER_REGISTER!E:E,MASTER_REGISTER!F:F,""),"")</f>
        <v/>
      </c>
      <c r="D255" s="4">
        <f>IFERROR(XLOOKUP(B255,MASTER_REGISTER!E:E,MASTER_REGISTER!C:C,""),"")</f>
        <v/>
      </c>
      <c r="H255" s="4" t="n"/>
    </row>
    <row r="256">
      <c r="C256" s="7">
        <f>IFERROR(XLOOKUP(B256,MASTER_REGISTER!E:E,MASTER_REGISTER!F:F,""),"")</f>
        <v/>
      </c>
      <c r="D256" s="4">
        <f>IFERROR(XLOOKUP(B256,MASTER_REGISTER!E:E,MASTER_REGISTER!C:C,""),"")</f>
        <v/>
      </c>
      <c r="H256" s="4" t="n"/>
    </row>
    <row r="257">
      <c r="C257" s="7">
        <f>IFERROR(XLOOKUP(B257,MASTER_REGISTER!E:E,MASTER_REGISTER!F:F,""),"")</f>
        <v/>
      </c>
      <c r="D257" s="4">
        <f>IFERROR(XLOOKUP(B257,MASTER_REGISTER!E:E,MASTER_REGISTER!C:C,""),"")</f>
        <v/>
      </c>
      <c r="H257" s="4" t="n"/>
    </row>
    <row r="258">
      <c r="C258" s="7">
        <f>IFERROR(XLOOKUP(B258,MASTER_REGISTER!E:E,MASTER_REGISTER!F:F,""),"")</f>
        <v/>
      </c>
      <c r="D258" s="4">
        <f>IFERROR(XLOOKUP(B258,MASTER_REGISTER!E:E,MASTER_REGISTER!C:C,""),"")</f>
        <v/>
      </c>
      <c r="H258" s="4" t="n"/>
    </row>
    <row r="259">
      <c r="C259" s="7">
        <f>IFERROR(XLOOKUP(B259,MASTER_REGISTER!E:E,MASTER_REGISTER!F:F,""),"")</f>
        <v/>
      </c>
      <c r="D259" s="4">
        <f>IFERROR(XLOOKUP(B259,MASTER_REGISTER!E:E,MASTER_REGISTER!C:C,""),"")</f>
        <v/>
      </c>
      <c r="H259" s="4" t="n"/>
    </row>
    <row r="260">
      <c r="C260" s="7">
        <f>IFERROR(XLOOKUP(B260,MASTER_REGISTER!E:E,MASTER_REGISTER!F:F,""),"")</f>
        <v/>
      </c>
      <c r="D260" s="4">
        <f>IFERROR(XLOOKUP(B260,MASTER_REGISTER!E:E,MASTER_REGISTER!C:C,""),"")</f>
        <v/>
      </c>
      <c r="H260" s="4" t="n"/>
    </row>
    <row r="261">
      <c r="C261" s="7">
        <f>IFERROR(XLOOKUP(B261,MASTER_REGISTER!E:E,MASTER_REGISTER!F:F,""),"")</f>
        <v/>
      </c>
      <c r="D261" s="4">
        <f>IFERROR(XLOOKUP(B261,MASTER_REGISTER!E:E,MASTER_REGISTER!C:C,""),"")</f>
        <v/>
      </c>
      <c r="H261" s="4" t="n"/>
    </row>
    <row r="262">
      <c r="C262" s="7">
        <f>IFERROR(XLOOKUP(B262,MASTER_REGISTER!E:E,MASTER_REGISTER!F:F,""),"")</f>
        <v/>
      </c>
      <c r="D262" s="4">
        <f>IFERROR(XLOOKUP(B262,MASTER_REGISTER!E:E,MASTER_REGISTER!C:C,""),"")</f>
        <v/>
      </c>
      <c r="H262" s="4" t="n"/>
    </row>
    <row r="263">
      <c r="C263" s="7">
        <f>IFERROR(XLOOKUP(B263,MASTER_REGISTER!E:E,MASTER_REGISTER!F:F,""),"")</f>
        <v/>
      </c>
      <c r="D263" s="4">
        <f>IFERROR(XLOOKUP(B263,MASTER_REGISTER!E:E,MASTER_REGISTER!C:C,""),"")</f>
        <v/>
      </c>
      <c r="H263" s="4" t="n"/>
    </row>
    <row r="264">
      <c r="C264" s="7">
        <f>IFERROR(XLOOKUP(B264,MASTER_REGISTER!E:E,MASTER_REGISTER!F:F,""),"")</f>
        <v/>
      </c>
      <c r="D264" s="4">
        <f>IFERROR(XLOOKUP(B264,MASTER_REGISTER!E:E,MASTER_REGISTER!C:C,""),"")</f>
        <v/>
      </c>
      <c r="H264" s="4" t="n"/>
    </row>
    <row r="265">
      <c r="C265" s="7">
        <f>IFERROR(XLOOKUP(B265,MASTER_REGISTER!E:E,MASTER_REGISTER!F:F,""),"")</f>
        <v/>
      </c>
      <c r="D265" s="4">
        <f>IFERROR(XLOOKUP(B265,MASTER_REGISTER!E:E,MASTER_REGISTER!C:C,""),"")</f>
        <v/>
      </c>
      <c r="H265" s="4" t="n"/>
    </row>
    <row r="266">
      <c r="C266" s="7">
        <f>IFERROR(XLOOKUP(B266,MASTER_REGISTER!E:E,MASTER_REGISTER!F:F,""),"")</f>
        <v/>
      </c>
      <c r="D266" s="4">
        <f>IFERROR(XLOOKUP(B266,MASTER_REGISTER!E:E,MASTER_REGISTER!C:C,""),"")</f>
        <v/>
      </c>
      <c r="H266" s="4" t="n"/>
    </row>
    <row r="267">
      <c r="C267" s="7">
        <f>IFERROR(XLOOKUP(B267,MASTER_REGISTER!E:E,MASTER_REGISTER!F:F,""),"")</f>
        <v/>
      </c>
      <c r="D267" s="4">
        <f>IFERROR(XLOOKUP(B267,MASTER_REGISTER!E:E,MASTER_REGISTER!C:C,""),"")</f>
        <v/>
      </c>
      <c r="H267" s="4" t="n"/>
    </row>
    <row r="268">
      <c r="C268" s="7">
        <f>IFERROR(XLOOKUP(B268,MASTER_REGISTER!E:E,MASTER_REGISTER!F:F,""),"")</f>
        <v/>
      </c>
      <c r="D268" s="4">
        <f>IFERROR(XLOOKUP(B268,MASTER_REGISTER!E:E,MASTER_REGISTER!C:C,""),"")</f>
        <v/>
      </c>
      <c r="H268" s="4" t="n"/>
    </row>
    <row r="269">
      <c r="C269" s="7">
        <f>IFERROR(XLOOKUP(B269,MASTER_REGISTER!E:E,MASTER_REGISTER!F:F,""),"")</f>
        <v/>
      </c>
      <c r="D269" s="4">
        <f>IFERROR(XLOOKUP(B269,MASTER_REGISTER!E:E,MASTER_REGISTER!C:C,""),"")</f>
        <v/>
      </c>
      <c r="H269" s="4" t="n"/>
    </row>
    <row r="270">
      <c r="C270" s="7">
        <f>IFERROR(XLOOKUP(B270,MASTER_REGISTER!E:E,MASTER_REGISTER!F:F,""),"")</f>
        <v/>
      </c>
      <c r="D270" s="4">
        <f>IFERROR(XLOOKUP(B270,MASTER_REGISTER!E:E,MASTER_REGISTER!C:C,""),"")</f>
        <v/>
      </c>
      <c r="H270" s="4" t="n"/>
    </row>
    <row r="271">
      <c r="C271" s="7">
        <f>IFERROR(XLOOKUP(B271,MASTER_REGISTER!E:E,MASTER_REGISTER!F:F,""),"")</f>
        <v/>
      </c>
      <c r="D271" s="4">
        <f>IFERROR(XLOOKUP(B271,MASTER_REGISTER!E:E,MASTER_REGISTER!C:C,""),"")</f>
        <v/>
      </c>
      <c r="H271" s="4" t="n"/>
    </row>
    <row r="272">
      <c r="C272" s="7">
        <f>IFERROR(XLOOKUP(B272,MASTER_REGISTER!E:E,MASTER_REGISTER!F:F,""),"")</f>
        <v/>
      </c>
      <c r="D272" s="4">
        <f>IFERROR(XLOOKUP(B272,MASTER_REGISTER!E:E,MASTER_REGISTER!C:C,""),"")</f>
        <v/>
      </c>
      <c r="H272" s="4" t="n"/>
    </row>
    <row r="273">
      <c r="C273" s="7">
        <f>IFERROR(XLOOKUP(B273,MASTER_REGISTER!E:E,MASTER_REGISTER!F:F,""),"")</f>
        <v/>
      </c>
      <c r="D273" s="4">
        <f>IFERROR(XLOOKUP(B273,MASTER_REGISTER!E:E,MASTER_REGISTER!C:C,""),"")</f>
        <v/>
      </c>
      <c r="H273" s="4" t="n"/>
    </row>
    <row r="274">
      <c r="C274" s="7">
        <f>IFERROR(XLOOKUP(B274,MASTER_REGISTER!E:E,MASTER_REGISTER!F:F,""),"")</f>
        <v/>
      </c>
      <c r="D274" s="4">
        <f>IFERROR(XLOOKUP(B274,MASTER_REGISTER!E:E,MASTER_REGISTER!C:C,""),"")</f>
        <v/>
      </c>
      <c r="H274" s="4" t="n"/>
    </row>
    <row r="275">
      <c r="C275" s="7">
        <f>IFERROR(XLOOKUP(B275,MASTER_REGISTER!E:E,MASTER_REGISTER!F:F,""),"")</f>
        <v/>
      </c>
      <c r="D275" s="4">
        <f>IFERROR(XLOOKUP(B275,MASTER_REGISTER!E:E,MASTER_REGISTER!C:C,""),"")</f>
        <v/>
      </c>
      <c r="H275" s="4" t="n"/>
    </row>
    <row r="276">
      <c r="C276" s="7">
        <f>IFERROR(XLOOKUP(B276,MASTER_REGISTER!E:E,MASTER_REGISTER!F:F,""),"")</f>
        <v/>
      </c>
      <c r="D276" s="4">
        <f>IFERROR(XLOOKUP(B276,MASTER_REGISTER!E:E,MASTER_REGISTER!C:C,""),"")</f>
        <v/>
      </c>
      <c r="H276" s="4" t="n"/>
    </row>
    <row r="277">
      <c r="C277" s="7">
        <f>IFERROR(XLOOKUP(B277,MASTER_REGISTER!E:E,MASTER_REGISTER!F:F,""),"")</f>
        <v/>
      </c>
      <c r="D277" s="4">
        <f>IFERROR(XLOOKUP(B277,MASTER_REGISTER!E:E,MASTER_REGISTER!C:C,""),"")</f>
        <v/>
      </c>
      <c r="H277" s="4" t="n"/>
    </row>
    <row r="278">
      <c r="C278" s="7">
        <f>IFERROR(XLOOKUP(B278,MASTER_REGISTER!E:E,MASTER_REGISTER!F:F,""),"")</f>
        <v/>
      </c>
      <c r="D278" s="4">
        <f>IFERROR(XLOOKUP(B278,MASTER_REGISTER!E:E,MASTER_REGISTER!C:C,""),"")</f>
        <v/>
      </c>
      <c r="H278" s="4" t="n"/>
    </row>
    <row r="279">
      <c r="C279" s="7">
        <f>IFERROR(XLOOKUP(B279,MASTER_REGISTER!E:E,MASTER_REGISTER!F:F,""),"")</f>
        <v/>
      </c>
      <c r="D279" s="4">
        <f>IFERROR(XLOOKUP(B279,MASTER_REGISTER!E:E,MASTER_REGISTER!C:C,""),"")</f>
        <v/>
      </c>
      <c r="H279" s="4" t="n"/>
    </row>
    <row r="280">
      <c r="C280" s="7">
        <f>IFERROR(XLOOKUP(B280,MASTER_REGISTER!E:E,MASTER_REGISTER!F:F,""),"")</f>
        <v/>
      </c>
      <c r="D280" s="4">
        <f>IFERROR(XLOOKUP(B280,MASTER_REGISTER!E:E,MASTER_REGISTER!C:C,""),"")</f>
        <v/>
      </c>
      <c r="H280" s="4" t="n"/>
    </row>
    <row r="281">
      <c r="C281" s="7">
        <f>IFERROR(XLOOKUP(B281,MASTER_REGISTER!E:E,MASTER_REGISTER!F:F,""),"")</f>
        <v/>
      </c>
      <c r="D281" s="4">
        <f>IFERROR(XLOOKUP(B281,MASTER_REGISTER!E:E,MASTER_REGISTER!C:C,""),"")</f>
        <v/>
      </c>
      <c r="H281" s="4" t="n"/>
    </row>
    <row r="282">
      <c r="C282" s="7">
        <f>IFERROR(XLOOKUP(B282,MASTER_REGISTER!E:E,MASTER_REGISTER!F:F,""),"")</f>
        <v/>
      </c>
      <c r="D282" s="4">
        <f>IFERROR(XLOOKUP(B282,MASTER_REGISTER!E:E,MASTER_REGISTER!C:C,""),"")</f>
        <v/>
      </c>
      <c r="H282" s="4" t="n"/>
    </row>
    <row r="283">
      <c r="C283" s="7">
        <f>IFERROR(XLOOKUP(B283,MASTER_REGISTER!E:E,MASTER_REGISTER!F:F,""),"")</f>
        <v/>
      </c>
      <c r="D283" s="4">
        <f>IFERROR(XLOOKUP(B283,MASTER_REGISTER!E:E,MASTER_REGISTER!C:C,""),"")</f>
        <v/>
      </c>
      <c r="H283" s="4" t="n"/>
    </row>
    <row r="284">
      <c r="C284" s="7">
        <f>IFERROR(XLOOKUP(B284,MASTER_REGISTER!E:E,MASTER_REGISTER!F:F,""),"")</f>
        <v/>
      </c>
      <c r="D284" s="4">
        <f>IFERROR(XLOOKUP(B284,MASTER_REGISTER!E:E,MASTER_REGISTER!C:C,""),"")</f>
        <v/>
      </c>
      <c r="H284" s="4" t="n"/>
    </row>
    <row r="285">
      <c r="C285" s="7">
        <f>IFERROR(XLOOKUP(B285,MASTER_REGISTER!E:E,MASTER_REGISTER!F:F,""),"")</f>
        <v/>
      </c>
      <c r="D285" s="4">
        <f>IFERROR(XLOOKUP(B285,MASTER_REGISTER!E:E,MASTER_REGISTER!C:C,""),"")</f>
        <v/>
      </c>
      <c r="H285" s="4" t="n"/>
    </row>
    <row r="286">
      <c r="C286" s="7">
        <f>IFERROR(XLOOKUP(B286,MASTER_REGISTER!E:E,MASTER_REGISTER!F:F,""),"")</f>
        <v/>
      </c>
      <c r="D286" s="4">
        <f>IFERROR(XLOOKUP(B286,MASTER_REGISTER!E:E,MASTER_REGISTER!C:C,""),"")</f>
        <v/>
      </c>
      <c r="H286" s="4" t="n"/>
    </row>
    <row r="287">
      <c r="C287" s="7">
        <f>IFERROR(XLOOKUP(B287,MASTER_REGISTER!E:E,MASTER_REGISTER!F:F,""),"")</f>
        <v/>
      </c>
      <c r="D287" s="4">
        <f>IFERROR(XLOOKUP(B287,MASTER_REGISTER!E:E,MASTER_REGISTER!C:C,""),"")</f>
        <v/>
      </c>
      <c r="H287" s="4" t="n"/>
    </row>
    <row r="288">
      <c r="C288" s="7">
        <f>IFERROR(XLOOKUP(B288,MASTER_REGISTER!E:E,MASTER_REGISTER!F:F,""),"")</f>
        <v/>
      </c>
      <c r="D288" s="4">
        <f>IFERROR(XLOOKUP(B288,MASTER_REGISTER!E:E,MASTER_REGISTER!C:C,""),"")</f>
        <v/>
      </c>
      <c r="H288" s="4" t="n"/>
    </row>
    <row r="289">
      <c r="C289" s="7">
        <f>IFERROR(XLOOKUP(B289,MASTER_REGISTER!E:E,MASTER_REGISTER!F:F,""),"")</f>
        <v/>
      </c>
      <c r="D289" s="4">
        <f>IFERROR(XLOOKUP(B289,MASTER_REGISTER!E:E,MASTER_REGISTER!C:C,""),"")</f>
        <v/>
      </c>
      <c r="H289" s="4" t="n"/>
    </row>
    <row r="290">
      <c r="C290" s="7">
        <f>IFERROR(XLOOKUP(B290,MASTER_REGISTER!E:E,MASTER_REGISTER!F:F,""),"")</f>
        <v/>
      </c>
      <c r="D290" s="4">
        <f>IFERROR(XLOOKUP(B290,MASTER_REGISTER!E:E,MASTER_REGISTER!C:C,""),"")</f>
        <v/>
      </c>
      <c r="H290" s="4" t="n"/>
    </row>
    <row r="291">
      <c r="C291" s="7">
        <f>IFERROR(XLOOKUP(B291,MASTER_REGISTER!E:E,MASTER_REGISTER!F:F,""),"")</f>
        <v/>
      </c>
      <c r="D291" s="4">
        <f>IFERROR(XLOOKUP(B291,MASTER_REGISTER!E:E,MASTER_REGISTER!C:C,""),"")</f>
        <v/>
      </c>
      <c r="H291" s="4" t="n"/>
    </row>
    <row r="292">
      <c r="C292" s="7">
        <f>IFERROR(XLOOKUP(B292,MASTER_REGISTER!E:E,MASTER_REGISTER!F:F,""),"")</f>
        <v/>
      </c>
      <c r="D292" s="4">
        <f>IFERROR(XLOOKUP(B292,MASTER_REGISTER!E:E,MASTER_REGISTER!C:C,""),"")</f>
        <v/>
      </c>
      <c r="H292" s="4" t="n"/>
    </row>
    <row r="293">
      <c r="C293" s="7">
        <f>IFERROR(XLOOKUP(B293,MASTER_REGISTER!E:E,MASTER_REGISTER!F:F,""),"")</f>
        <v/>
      </c>
      <c r="D293" s="4">
        <f>IFERROR(XLOOKUP(B293,MASTER_REGISTER!E:E,MASTER_REGISTER!C:C,""),"")</f>
        <v/>
      </c>
      <c r="H293" s="4" t="n"/>
    </row>
    <row r="294">
      <c r="C294" s="7">
        <f>IFERROR(XLOOKUP(B294,MASTER_REGISTER!E:E,MASTER_REGISTER!F:F,""),"")</f>
        <v/>
      </c>
      <c r="D294" s="4">
        <f>IFERROR(XLOOKUP(B294,MASTER_REGISTER!E:E,MASTER_REGISTER!C:C,""),"")</f>
        <v/>
      </c>
      <c r="H294" s="4" t="n"/>
    </row>
    <row r="295">
      <c r="C295" s="7">
        <f>IFERROR(XLOOKUP(B295,MASTER_REGISTER!E:E,MASTER_REGISTER!F:F,""),"")</f>
        <v/>
      </c>
      <c r="D295" s="4">
        <f>IFERROR(XLOOKUP(B295,MASTER_REGISTER!E:E,MASTER_REGISTER!C:C,""),"")</f>
        <v/>
      </c>
      <c r="H295" s="4" t="n"/>
    </row>
    <row r="296">
      <c r="C296" s="7">
        <f>IFERROR(XLOOKUP(B296,MASTER_REGISTER!E:E,MASTER_REGISTER!F:F,""),"")</f>
        <v/>
      </c>
      <c r="D296" s="4">
        <f>IFERROR(XLOOKUP(B296,MASTER_REGISTER!E:E,MASTER_REGISTER!C:C,""),"")</f>
        <v/>
      </c>
      <c r="H296" s="4" t="n"/>
    </row>
    <row r="297">
      <c r="C297" s="7">
        <f>IFERROR(XLOOKUP(B297,MASTER_REGISTER!E:E,MASTER_REGISTER!F:F,""),"")</f>
        <v/>
      </c>
      <c r="D297" s="4">
        <f>IFERROR(XLOOKUP(B297,MASTER_REGISTER!E:E,MASTER_REGISTER!C:C,""),"")</f>
        <v/>
      </c>
      <c r="H297" s="4" t="n"/>
    </row>
    <row r="298">
      <c r="C298" s="7">
        <f>IFERROR(XLOOKUP(B298,MASTER_REGISTER!E:E,MASTER_REGISTER!F:F,""),"")</f>
        <v/>
      </c>
      <c r="D298" s="4">
        <f>IFERROR(XLOOKUP(B298,MASTER_REGISTER!E:E,MASTER_REGISTER!C:C,""),"")</f>
        <v/>
      </c>
      <c r="H298" s="4" t="n"/>
    </row>
    <row r="299">
      <c r="C299" s="7">
        <f>IFERROR(XLOOKUP(B299,MASTER_REGISTER!E:E,MASTER_REGISTER!F:F,""),"")</f>
        <v/>
      </c>
      <c r="D299" s="4">
        <f>IFERROR(XLOOKUP(B299,MASTER_REGISTER!E:E,MASTER_REGISTER!C:C,""),"")</f>
        <v/>
      </c>
      <c r="H299" s="4" t="n"/>
    </row>
    <row r="300">
      <c r="C300" s="7">
        <f>IFERROR(XLOOKUP(B300,MASTER_REGISTER!E:E,MASTER_REGISTER!F:F,""),"")</f>
        <v/>
      </c>
      <c r="D300" s="4">
        <f>IFERROR(XLOOKUP(B300,MASTER_REGISTER!E:E,MASTER_REGISTER!C:C,""),"")</f>
        <v/>
      </c>
      <c r="H300" s="4" t="n"/>
    </row>
    <row r="301">
      <c r="C301" s="7">
        <f>IFERROR(XLOOKUP(B301,MASTER_REGISTER!E:E,MASTER_REGISTER!F:F,""),"")</f>
        <v/>
      </c>
      <c r="D301" s="4">
        <f>IFERROR(XLOOKUP(B301,MASTER_REGISTER!E:E,MASTER_REGISTER!C:C,""),"")</f>
        <v/>
      </c>
      <c r="H301" s="4" t="n"/>
    </row>
    <row r="302">
      <c r="C302" s="7">
        <f>IFERROR(XLOOKUP(B302,MASTER_REGISTER!E:E,MASTER_REGISTER!F:F,""),"")</f>
        <v/>
      </c>
      <c r="D302" s="4">
        <f>IFERROR(XLOOKUP(B302,MASTER_REGISTER!E:E,MASTER_REGISTER!C:C,""),"")</f>
        <v/>
      </c>
      <c r="H302" s="4" t="n"/>
    </row>
    <row r="303">
      <c r="C303" s="7">
        <f>IFERROR(XLOOKUP(B303,MASTER_REGISTER!E:E,MASTER_REGISTER!F:F,""),"")</f>
        <v/>
      </c>
      <c r="D303" s="4">
        <f>IFERROR(XLOOKUP(B303,MASTER_REGISTER!E:E,MASTER_REGISTER!C:C,""),"")</f>
        <v/>
      </c>
      <c r="H303" s="4" t="n"/>
    </row>
    <row r="304">
      <c r="C304" s="7">
        <f>IFERROR(XLOOKUP(B304,MASTER_REGISTER!E:E,MASTER_REGISTER!F:F,""),"")</f>
        <v/>
      </c>
      <c r="D304" s="4">
        <f>IFERROR(XLOOKUP(B304,MASTER_REGISTER!E:E,MASTER_REGISTER!C:C,""),"")</f>
        <v/>
      </c>
      <c r="H304" s="4" t="n"/>
    </row>
    <row r="305">
      <c r="C305" s="7">
        <f>IFERROR(XLOOKUP(B305,MASTER_REGISTER!E:E,MASTER_REGISTER!F:F,""),"")</f>
        <v/>
      </c>
      <c r="D305" s="4">
        <f>IFERROR(XLOOKUP(B305,MASTER_REGISTER!E:E,MASTER_REGISTER!C:C,""),"")</f>
        <v/>
      </c>
      <c r="H305" s="4" t="n"/>
    </row>
    <row r="306">
      <c r="C306" s="7">
        <f>IFERROR(XLOOKUP(B306,MASTER_REGISTER!E:E,MASTER_REGISTER!F:F,""),"")</f>
        <v/>
      </c>
      <c r="D306" s="4">
        <f>IFERROR(XLOOKUP(B306,MASTER_REGISTER!E:E,MASTER_REGISTER!C:C,""),"")</f>
        <v/>
      </c>
      <c r="H306" s="4" t="n"/>
    </row>
    <row r="307">
      <c r="C307" s="7">
        <f>IFERROR(XLOOKUP(B307,MASTER_REGISTER!E:E,MASTER_REGISTER!F:F,""),"")</f>
        <v/>
      </c>
      <c r="D307" s="4">
        <f>IFERROR(XLOOKUP(B307,MASTER_REGISTER!E:E,MASTER_REGISTER!C:C,""),"")</f>
        <v/>
      </c>
      <c r="H307" s="4" t="n"/>
    </row>
    <row r="308">
      <c r="C308" s="7">
        <f>IFERROR(XLOOKUP(B308,MASTER_REGISTER!E:E,MASTER_REGISTER!F:F,""),"")</f>
        <v/>
      </c>
      <c r="D308" s="4">
        <f>IFERROR(XLOOKUP(B308,MASTER_REGISTER!E:E,MASTER_REGISTER!C:C,""),"")</f>
        <v/>
      </c>
      <c r="H308" s="4" t="n"/>
    </row>
    <row r="309">
      <c r="C309" s="7">
        <f>IFERROR(XLOOKUP(B309,MASTER_REGISTER!E:E,MASTER_REGISTER!F:F,""),"")</f>
        <v/>
      </c>
      <c r="D309" s="4">
        <f>IFERROR(XLOOKUP(B309,MASTER_REGISTER!E:E,MASTER_REGISTER!C:C,""),"")</f>
        <v/>
      </c>
      <c r="H309" s="4" t="n"/>
    </row>
    <row r="310">
      <c r="C310" s="7">
        <f>IFERROR(XLOOKUP(B310,MASTER_REGISTER!E:E,MASTER_REGISTER!F:F,""),"")</f>
        <v/>
      </c>
      <c r="D310" s="4">
        <f>IFERROR(XLOOKUP(B310,MASTER_REGISTER!E:E,MASTER_REGISTER!C:C,""),"")</f>
        <v/>
      </c>
      <c r="H310" s="4" t="n"/>
    </row>
    <row r="311">
      <c r="C311" s="7">
        <f>IFERROR(XLOOKUP(B311,MASTER_REGISTER!E:E,MASTER_REGISTER!F:F,""),"")</f>
        <v/>
      </c>
      <c r="D311" s="4">
        <f>IFERROR(XLOOKUP(B311,MASTER_REGISTER!E:E,MASTER_REGISTER!C:C,""),"")</f>
        <v/>
      </c>
      <c r="H311" s="4" t="n"/>
    </row>
    <row r="312">
      <c r="C312" s="7">
        <f>IFERROR(XLOOKUP(B312,MASTER_REGISTER!E:E,MASTER_REGISTER!F:F,""),"")</f>
        <v/>
      </c>
      <c r="D312" s="4">
        <f>IFERROR(XLOOKUP(B312,MASTER_REGISTER!E:E,MASTER_REGISTER!C:C,""),"")</f>
        <v/>
      </c>
      <c r="H312" s="4" t="n"/>
    </row>
    <row r="313">
      <c r="C313" s="7">
        <f>IFERROR(XLOOKUP(B313,MASTER_REGISTER!E:E,MASTER_REGISTER!F:F,""),"")</f>
        <v/>
      </c>
      <c r="D313" s="4">
        <f>IFERROR(XLOOKUP(B313,MASTER_REGISTER!E:E,MASTER_REGISTER!C:C,""),"")</f>
        <v/>
      </c>
      <c r="H313" s="4" t="n"/>
    </row>
    <row r="314">
      <c r="C314" s="7">
        <f>IFERROR(XLOOKUP(B314,MASTER_REGISTER!E:E,MASTER_REGISTER!F:F,""),"")</f>
        <v/>
      </c>
      <c r="D314" s="4">
        <f>IFERROR(XLOOKUP(B314,MASTER_REGISTER!E:E,MASTER_REGISTER!C:C,""),"")</f>
        <v/>
      </c>
      <c r="H314" s="4" t="n"/>
    </row>
    <row r="315">
      <c r="C315" s="7">
        <f>IFERROR(XLOOKUP(B315,MASTER_REGISTER!E:E,MASTER_REGISTER!F:F,""),"")</f>
        <v/>
      </c>
      <c r="D315" s="4">
        <f>IFERROR(XLOOKUP(B315,MASTER_REGISTER!E:E,MASTER_REGISTER!C:C,""),"")</f>
        <v/>
      </c>
      <c r="H315" s="4" t="n"/>
    </row>
    <row r="316">
      <c r="C316" s="7">
        <f>IFERROR(XLOOKUP(B316,MASTER_REGISTER!E:E,MASTER_REGISTER!F:F,""),"")</f>
        <v/>
      </c>
      <c r="D316" s="4">
        <f>IFERROR(XLOOKUP(B316,MASTER_REGISTER!E:E,MASTER_REGISTER!C:C,""),"")</f>
        <v/>
      </c>
      <c r="H316" s="4" t="n"/>
    </row>
    <row r="317">
      <c r="C317" s="7">
        <f>IFERROR(XLOOKUP(B317,MASTER_REGISTER!E:E,MASTER_REGISTER!F:F,""),"")</f>
        <v/>
      </c>
      <c r="D317" s="4">
        <f>IFERROR(XLOOKUP(B317,MASTER_REGISTER!E:E,MASTER_REGISTER!C:C,""),"")</f>
        <v/>
      </c>
      <c r="H317" s="4" t="n"/>
    </row>
    <row r="318">
      <c r="C318" s="7">
        <f>IFERROR(XLOOKUP(B318,MASTER_REGISTER!E:E,MASTER_REGISTER!F:F,""),"")</f>
        <v/>
      </c>
      <c r="D318" s="4">
        <f>IFERROR(XLOOKUP(B318,MASTER_REGISTER!E:E,MASTER_REGISTER!C:C,""),"")</f>
        <v/>
      </c>
      <c r="H318" s="4" t="n"/>
    </row>
    <row r="319">
      <c r="C319" s="7">
        <f>IFERROR(XLOOKUP(B319,MASTER_REGISTER!E:E,MASTER_REGISTER!F:F,""),"")</f>
        <v/>
      </c>
      <c r="D319" s="4">
        <f>IFERROR(XLOOKUP(B319,MASTER_REGISTER!E:E,MASTER_REGISTER!C:C,""),"")</f>
        <v/>
      </c>
      <c r="H319" s="4" t="n"/>
    </row>
    <row r="320">
      <c r="C320" s="7">
        <f>IFERROR(XLOOKUP(B320,MASTER_REGISTER!E:E,MASTER_REGISTER!F:F,""),"")</f>
        <v/>
      </c>
      <c r="D320" s="4">
        <f>IFERROR(XLOOKUP(B320,MASTER_REGISTER!E:E,MASTER_REGISTER!C:C,""),"")</f>
        <v/>
      </c>
      <c r="H320" s="4" t="n"/>
    </row>
    <row r="321">
      <c r="C321" s="7">
        <f>IFERROR(XLOOKUP(B321,MASTER_REGISTER!E:E,MASTER_REGISTER!F:F,""),"")</f>
        <v/>
      </c>
      <c r="D321" s="4">
        <f>IFERROR(XLOOKUP(B321,MASTER_REGISTER!E:E,MASTER_REGISTER!C:C,""),"")</f>
        <v/>
      </c>
      <c r="H321" s="4" t="n"/>
    </row>
    <row r="322">
      <c r="C322" s="7">
        <f>IFERROR(XLOOKUP(B322,MASTER_REGISTER!E:E,MASTER_REGISTER!F:F,""),"")</f>
        <v/>
      </c>
      <c r="D322" s="4">
        <f>IFERROR(XLOOKUP(B322,MASTER_REGISTER!E:E,MASTER_REGISTER!C:C,""),"")</f>
        <v/>
      </c>
      <c r="H322" s="4" t="n"/>
    </row>
    <row r="323">
      <c r="C323" s="7">
        <f>IFERROR(XLOOKUP(B323,MASTER_REGISTER!E:E,MASTER_REGISTER!F:F,""),"")</f>
        <v/>
      </c>
      <c r="D323" s="4">
        <f>IFERROR(XLOOKUP(B323,MASTER_REGISTER!E:E,MASTER_REGISTER!C:C,""),"")</f>
        <v/>
      </c>
      <c r="H323" s="4" t="n"/>
    </row>
    <row r="324">
      <c r="C324" s="7">
        <f>IFERROR(XLOOKUP(B324,MASTER_REGISTER!E:E,MASTER_REGISTER!F:F,""),"")</f>
        <v/>
      </c>
      <c r="D324" s="4">
        <f>IFERROR(XLOOKUP(B324,MASTER_REGISTER!E:E,MASTER_REGISTER!C:C,""),"")</f>
        <v/>
      </c>
      <c r="H324" s="4" t="n"/>
    </row>
    <row r="325">
      <c r="C325" s="7">
        <f>IFERROR(XLOOKUP(B325,MASTER_REGISTER!E:E,MASTER_REGISTER!F:F,""),"")</f>
        <v/>
      </c>
      <c r="D325" s="4">
        <f>IFERROR(XLOOKUP(B325,MASTER_REGISTER!E:E,MASTER_REGISTER!C:C,""),"")</f>
        <v/>
      </c>
      <c r="H325" s="4" t="n"/>
    </row>
    <row r="326">
      <c r="C326" s="7">
        <f>IFERROR(XLOOKUP(B326,MASTER_REGISTER!E:E,MASTER_REGISTER!F:F,""),"")</f>
        <v/>
      </c>
      <c r="D326" s="4">
        <f>IFERROR(XLOOKUP(B326,MASTER_REGISTER!E:E,MASTER_REGISTER!C:C,""),"")</f>
        <v/>
      </c>
      <c r="H326" s="4" t="n"/>
    </row>
    <row r="327">
      <c r="C327" s="7">
        <f>IFERROR(XLOOKUP(B327,MASTER_REGISTER!E:E,MASTER_REGISTER!F:F,""),"")</f>
        <v/>
      </c>
      <c r="D327" s="4">
        <f>IFERROR(XLOOKUP(B327,MASTER_REGISTER!E:E,MASTER_REGISTER!C:C,""),"")</f>
        <v/>
      </c>
      <c r="H327" s="4" t="n"/>
    </row>
    <row r="328">
      <c r="C328" s="7">
        <f>IFERROR(XLOOKUP(B328,MASTER_REGISTER!E:E,MASTER_REGISTER!F:F,""),"")</f>
        <v/>
      </c>
      <c r="D328" s="4">
        <f>IFERROR(XLOOKUP(B328,MASTER_REGISTER!E:E,MASTER_REGISTER!C:C,""),"")</f>
        <v/>
      </c>
      <c r="H328" s="4" t="n"/>
    </row>
    <row r="329">
      <c r="C329" s="7">
        <f>IFERROR(XLOOKUP(B329,MASTER_REGISTER!E:E,MASTER_REGISTER!F:F,""),"")</f>
        <v/>
      </c>
      <c r="D329" s="4">
        <f>IFERROR(XLOOKUP(B329,MASTER_REGISTER!E:E,MASTER_REGISTER!C:C,""),"")</f>
        <v/>
      </c>
      <c r="H329" s="4" t="n"/>
    </row>
    <row r="330">
      <c r="C330" s="7">
        <f>IFERROR(XLOOKUP(B330,MASTER_REGISTER!E:E,MASTER_REGISTER!F:F,""),"")</f>
        <v/>
      </c>
      <c r="D330" s="4">
        <f>IFERROR(XLOOKUP(B330,MASTER_REGISTER!E:E,MASTER_REGISTER!C:C,""),"")</f>
        <v/>
      </c>
      <c r="H330" s="4" t="n"/>
    </row>
    <row r="331">
      <c r="C331" s="7">
        <f>IFERROR(XLOOKUP(B331,MASTER_REGISTER!E:E,MASTER_REGISTER!F:F,""),"")</f>
        <v/>
      </c>
      <c r="D331" s="4">
        <f>IFERROR(XLOOKUP(B331,MASTER_REGISTER!E:E,MASTER_REGISTER!C:C,""),"")</f>
        <v/>
      </c>
      <c r="H331" s="4" t="n"/>
    </row>
    <row r="332">
      <c r="C332" s="7">
        <f>IFERROR(XLOOKUP(B332,MASTER_REGISTER!E:E,MASTER_REGISTER!F:F,""),"")</f>
        <v/>
      </c>
      <c r="D332" s="4">
        <f>IFERROR(XLOOKUP(B332,MASTER_REGISTER!E:E,MASTER_REGISTER!C:C,""),"")</f>
        <v/>
      </c>
      <c r="H332" s="4" t="n"/>
    </row>
    <row r="333">
      <c r="C333" s="7">
        <f>IFERROR(XLOOKUP(B333,MASTER_REGISTER!E:E,MASTER_REGISTER!F:F,""),"")</f>
        <v/>
      </c>
      <c r="D333" s="4">
        <f>IFERROR(XLOOKUP(B333,MASTER_REGISTER!E:E,MASTER_REGISTER!C:C,""),"")</f>
        <v/>
      </c>
      <c r="H333" s="4" t="n"/>
    </row>
    <row r="334">
      <c r="C334" s="7">
        <f>IFERROR(XLOOKUP(B334,MASTER_REGISTER!E:E,MASTER_REGISTER!F:F,""),"")</f>
        <v/>
      </c>
      <c r="D334" s="4">
        <f>IFERROR(XLOOKUP(B334,MASTER_REGISTER!E:E,MASTER_REGISTER!C:C,""),"")</f>
        <v/>
      </c>
      <c r="H334" s="4" t="n"/>
    </row>
    <row r="335">
      <c r="C335" s="7">
        <f>IFERROR(XLOOKUP(B335,MASTER_REGISTER!E:E,MASTER_REGISTER!F:F,""),"")</f>
        <v/>
      </c>
      <c r="D335" s="4">
        <f>IFERROR(XLOOKUP(B335,MASTER_REGISTER!E:E,MASTER_REGISTER!C:C,""),"")</f>
        <v/>
      </c>
      <c r="H335" s="4" t="n"/>
    </row>
    <row r="336">
      <c r="C336" s="7">
        <f>IFERROR(XLOOKUP(B336,MASTER_REGISTER!E:E,MASTER_REGISTER!F:F,""),"")</f>
        <v/>
      </c>
      <c r="D336" s="4">
        <f>IFERROR(XLOOKUP(B336,MASTER_REGISTER!E:E,MASTER_REGISTER!C:C,""),"")</f>
        <v/>
      </c>
      <c r="H336" s="4" t="n"/>
    </row>
    <row r="337">
      <c r="C337" s="7">
        <f>IFERROR(XLOOKUP(B337,MASTER_REGISTER!E:E,MASTER_REGISTER!F:F,""),"")</f>
        <v/>
      </c>
      <c r="D337" s="4">
        <f>IFERROR(XLOOKUP(B337,MASTER_REGISTER!E:E,MASTER_REGISTER!C:C,""),"")</f>
        <v/>
      </c>
      <c r="H337" s="4" t="n"/>
    </row>
    <row r="338">
      <c r="C338" s="7">
        <f>IFERROR(XLOOKUP(B338,MASTER_REGISTER!E:E,MASTER_REGISTER!F:F,""),"")</f>
        <v/>
      </c>
      <c r="D338" s="4">
        <f>IFERROR(XLOOKUP(B338,MASTER_REGISTER!E:E,MASTER_REGISTER!C:C,""),"")</f>
        <v/>
      </c>
      <c r="H338" s="4" t="n"/>
    </row>
    <row r="339">
      <c r="C339" s="7">
        <f>IFERROR(XLOOKUP(B339,MASTER_REGISTER!E:E,MASTER_REGISTER!F:F,""),"")</f>
        <v/>
      </c>
      <c r="D339" s="4">
        <f>IFERROR(XLOOKUP(B339,MASTER_REGISTER!E:E,MASTER_REGISTER!C:C,""),"")</f>
        <v/>
      </c>
      <c r="H339" s="4" t="n"/>
    </row>
    <row r="340">
      <c r="C340" s="7">
        <f>IFERROR(XLOOKUP(B340,MASTER_REGISTER!E:E,MASTER_REGISTER!F:F,""),"")</f>
        <v/>
      </c>
      <c r="D340" s="4">
        <f>IFERROR(XLOOKUP(B340,MASTER_REGISTER!E:E,MASTER_REGISTER!C:C,""),"")</f>
        <v/>
      </c>
      <c r="H340" s="4" t="n"/>
    </row>
    <row r="341">
      <c r="C341" s="7">
        <f>IFERROR(XLOOKUP(B341,MASTER_REGISTER!E:E,MASTER_REGISTER!F:F,""),"")</f>
        <v/>
      </c>
      <c r="D341" s="4">
        <f>IFERROR(XLOOKUP(B341,MASTER_REGISTER!E:E,MASTER_REGISTER!C:C,""),"")</f>
        <v/>
      </c>
      <c r="H341" s="4" t="n"/>
    </row>
    <row r="342">
      <c r="C342" s="7">
        <f>IFERROR(XLOOKUP(B342,MASTER_REGISTER!E:E,MASTER_REGISTER!F:F,""),"")</f>
        <v/>
      </c>
      <c r="D342" s="4">
        <f>IFERROR(XLOOKUP(B342,MASTER_REGISTER!E:E,MASTER_REGISTER!C:C,""),"")</f>
        <v/>
      </c>
      <c r="H342" s="4" t="n"/>
    </row>
    <row r="343">
      <c r="C343" s="7">
        <f>IFERROR(XLOOKUP(B343,MASTER_REGISTER!E:E,MASTER_REGISTER!F:F,""),"")</f>
        <v/>
      </c>
      <c r="D343" s="4">
        <f>IFERROR(XLOOKUP(B343,MASTER_REGISTER!E:E,MASTER_REGISTER!C:C,""),"")</f>
        <v/>
      </c>
      <c r="H343" s="4" t="n"/>
    </row>
    <row r="344">
      <c r="C344" s="7">
        <f>IFERROR(XLOOKUP(B344,MASTER_REGISTER!E:E,MASTER_REGISTER!F:F,""),"")</f>
        <v/>
      </c>
      <c r="D344" s="4">
        <f>IFERROR(XLOOKUP(B344,MASTER_REGISTER!E:E,MASTER_REGISTER!C:C,""),"")</f>
        <v/>
      </c>
      <c r="H344" s="4" t="n"/>
    </row>
    <row r="345">
      <c r="C345" s="7">
        <f>IFERROR(XLOOKUP(B345,MASTER_REGISTER!E:E,MASTER_REGISTER!F:F,""),"")</f>
        <v/>
      </c>
      <c r="D345" s="4">
        <f>IFERROR(XLOOKUP(B345,MASTER_REGISTER!E:E,MASTER_REGISTER!C:C,""),"")</f>
        <v/>
      </c>
      <c r="H345" s="4" t="n"/>
    </row>
    <row r="346">
      <c r="C346" s="7">
        <f>IFERROR(XLOOKUP(B346,MASTER_REGISTER!E:E,MASTER_REGISTER!F:F,""),"")</f>
        <v/>
      </c>
      <c r="D346" s="4">
        <f>IFERROR(XLOOKUP(B346,MASTER_REGISTER!E:E,MASTER_REGISTER!C:C,""),"")</f>
        <v/>
      </c>
      <c r="H346" s="4" t="n"/>
    </row>
    <row r="347">
      <c r="C347" s="7">
        <f>IFERROR(XLOOKUP(B347,MASTER_REGISTER!E:E,MASTER_REGISTER!F:F,""),"")</f>
        <v/>
      </c>
      <c r="D347" s="4">
        <f>IFERROR(XLOOKUP(B347,MASTER_REGISTER!E:E,MASTER_REGISTER!C:C,""),"")</f>
        <v/>
      </c>
      <c r="H347" s="4" t="n"/>
    </row>
    <row r="348">
      <c r="C348" s="7">
        <f>IFERROR(XLOOKUP(B348,MASTER_REGISTER!E:E,MASTER_REGISTER!F:F,""),"")</f>
        <v/>
      </c>
      <c r="D348" s="4">
        <f>IFERROR(XLOOKUP(B348,MASTER_REGISTER!E:E,MASTER_REGISTER!C:C,""),"")</f>
        <v/>
      </c>
      <c r="H348" s="4" t="n"/>
    </row>
    <row r="349">
      <c r="C349" s="7">
        <f>IFERROR(XLOOKUP(B349,MASTER_REGISTER!E:E,MASTER_REGISTER!F:F,""),"")</f>
        <v/>
      </c>
      <c r="D349" s="4">
        <f>IFERROR(XLOOKUP(B349,MASTER_REGISTER!E:E,MASTER_REGISTER!C:C,""),"")</f>
        <v/>
      </c>
      <c r="H349" s="4" t="n"/>
    </row>
    <row r="350">
      <c r="C350" s="7">
        <f>IFERROR(XLOOKUP(B350,MASTER_REGISTER!E:E,MASTER_REGISTER!F:F,""),"")</f>
        <v/>
      </c>
      <c r="D350" s="4">
        <f>IFERROR(XLOOKUP(B350,MASTER_REGISTER!E:E,MASTER_REGISTER!C:C,""),"")</f>
        <v/>
      </c>
      <c r="H350" s="4" t="n"/>
    </row>
    <row r="351">
      <c r="C351" s="7">
        <f>IFERROR(XLOOKUP(B351,MASTER_REGISTER!E:E,MASTER_REGISTER!F:F,""),"")</f>
        <v/>
      </c>
      <c r="D351" s="4">
        <f>IFERROR(XLOOKUP(B351,MASTER_REGISTER!E:E,MASTER_REGISTER!C:C,""),"")</f>
        <v/>
      </c>
      <c r="H351" s="4" t="n"/>
    </row>
    <row r="352">
      <c r="C352" s="7">
        <f>IFERROR(XLOOKUP(B352,MASTER_REGISTER!E:E,MASTER_REGISTER!F:F,""),"")</f>
        <v/>
      </c>
      <c r="D352" s="4">
        <f>IFERROR(XLOOKUP(B352,MASTER_REGISTER!E:E,MASTER_REGISTER!C:C,""),"")</f>
        <v/>
      </c>
      <c r="H352" s="4" t="n"/>
    </row>
    <row r="353">
      <c r="C353" s="7">
        <f>IFERROR(XLOOKUP(B353,MASTER_REGISTER!E:E,MASTER_REGISTER!F:F,""),"")</f>
        <v/>
      </c>
      <c r="D353" s="4">
        <f>IFERROR(XLOOKUP(B353,MASTER_REGISTER!E:E,MASTER_REGISTER!C:C,""),"")</f>
        <v/>
      </c>
      <c r="H353" s="4" t="n"/>
    </row>
    <row r="354">
      <c r="C354" s="7">
        <f>IFERROR(XLOOKUP(B354,MASTER_REGISTER!E:E,MASTER_REGISTER!F:F,""),"")</f>
        <v/>
      </c>
      <c r="D354" s="4">
        <f>IFERROR(XLOOKUP(B354,MASTER_REGISTER!E:E,MASTER_REGISTER!C:C,""),"")</f>
        <v/>
      </c>
      <c r="H354" s="4" t="n"/>
    </row>
    <row r="355">
      <c r="C355" s="7">
        <f>IFERROR(XLOOKUP(B355,MASTER_REGISTER!E:E,MASTER_REGISTER!F:F,""),"")</f>
        <v/>
      </c>
      <c r="D355" s="4">
        <f>IFERROR(XLOOKUP(B355,MASTER_REGISTER!E:E,MASTER_REGISTER!C:C,""),"")</f>
        <v/>
      </c>
      <c r="H355" s="4" t="n"/>
    </row>
    <row r="356">
      <c r="C356" s="7">
        <f>IFERROR(XLOOKUP(B356,MASTER_REGISTER!E:E,MASTER_REGISTER!F:F,""),"")</f>
        <v/>
      </c>
      <c r="D356" s="4">
        <f>IFERROR(XLOOKUP(B356,MASTER_REGISTER!E:E,MASTER_REGISTER!C:C,""),"")</f>
        <v/>
      </c>
      <c r="H356" s="4" t="n"/>
    </row>
    <row r="357">
      <c r="C357" s="7">
        <f>IFERROR(XLOOKUP(B357,MASTER_REGISTER!E:E,MASTER_REGISTER!F:F,""),"")</f>
        <v/>
      </c>
      <c r="D357" s="4">
        <f>IFERROR(XLOOKUP(B357,MASTER_REGISTER!E:E,MASTER_REGISTER!C:C,""),"")</f>
        <v/>
      </c>
      <c r="H357" s="4" t="n"/>
    </row>
    <row r="358">
      <c r="C358" s="7">
        <f>IFERROR(XLOOKUP(B358,MASTER_REGISTER!E:E,MASTER_REGISTER!F:F,""),"")</f>
        <v/>
      </c>
      <c r="D358" s="4">
        <f>IFERROR(XLOOKUP(B358,MASTER_REGISTER!E:E,MASTER_REGISTER!C:C,""),"")</f>
        <v/>
      </c>
      <c r="H358" s="4" t="n"/>
    </row>
    <row r="359">
      <c r="C359" s="7">
        <f>IFERROR(XLOOKUP(B359,MASTER_REGISTER!E:E,MASTER_REGISTER!F:F,""),"")</f>
        <v/>
      </c>
      <c r="D359" s="4">
        <f>IFERROR(XLOOKUP(B359,MASTER_REGISTER!E:E,MASTER_REGISTER!C:C,""),"")</f>
        <v/>
      </c>
      <c r="H359" s="4" t="n"/>
    </row>
    <row r="360">
      <c r="C360" s="7">
        <f>IFERROR(XLOOKUP(B360,MASTER_REGISTER!E:E,MASTER_REGISTER!F:F,""),"")</f>
        <v/>
      </c>
      <c r="D360" s="4">
        <f>IFERROR(XLOOKUP(B360,MASTER_REGISTER!E:E,MASTER_REGISTER!C:C,""),"")</f>
        <v/>
      </c>
      <c r="H360" s="4" t="n"/>
    </row>
    <row r="361">
      <c r="C361" s="7">
        <f>IFERROR(XLOOKUP(B361,MASTER_REGISTER!E:E,MASTER_REGISTER!F:F,""),"")</f>
        <v/>
      </c>
      <c r="D361" s="4">
        <f>IFERROR(XLOOKUP(B361,MASTER_REGISTER!E:E,MASTER_REGISTER!C:C,""),"")</f>
        <v/>
      </c>
      <c r="H361" s="4" t="n"/>
    </row>
    <row r="362">
      <c r="C362" s="7">
        <f>IFERROR(XLOOKUP(B362,MASTER_REGISTER!E:E,MASTER_REGISTER!F:F,""),"")</f>
        <v/>
      </c>
      <c r="D362" s="4">
        <f>IFERROR(XLOOKUP(B362,MASTER_REGISTER!E:E,MASTER_REGISTER!C:C,""),"")</f>
        <v/>
      </c>
      <c r="H362" s="4" t="n"/>
    </row>
    <row r="363">
      <c r="C363" s="7">
        <f>IFERROR(XLOOKUP(B363,MASTER_REGISTER!E:E,MASTER_REGISTER!F:F,""),"")</f>
        <v/>
      </c>
      <c r="D363" s="4">
        <f>IFERROR(XLOOKUP(B363,MASTER_REGISTER!E:E,MASTER_REGISTER!C:C,""),"")</f>
        <v/>
      </c>
      <c r="H363" s="4" t="n"/>
    </row>
    <row r="364">
      <c r="C364" s="7">
        <f>IFERROR(XLOOKUP(B364,MASTER_REGISTER!E:E,MASTER_REGISTER!F:F,""),"")</f>
        <v/>
      </c>
      <c r="D364" s="4">
        <f>IFERROR(XLOOKUP(B364,MASTER_REGISTER!E:E,MASTER_REGISTER!C:C,""),"")</f>
        <v/>
      </c>
      <c r="H364" s="4" t="n"/>
    </row>
    <row r="365">
      <c r="C365" s="7">
        <f>IFERROR(XLOOKUP(B365,MASTER_REGISTER!E:E,MASTER_REGISTER!F:F,""),"")</f>
        <v/>
      </c>
      <c r="D365" s="4">
        <f>IFERROR(XLOOKUP(B365,MASTER_REGISTER!E:E,MASTER_REGISTER!C:C,""),"")</f>
        <v/>
      </c>
      <c r="H365" s="4" t="n"/>
    </row>
    <row r="366">
      <c r="C366" s="7">
        <f>IFERROR(XLOOKUP(B366,MASTER_REGISTER!E:E,MASTER_REGISTER!F:F,""),"")</f>
        <v/>
      </c>
      <c r="D366" s="4">
        <f>IFERROR(XLOOKUP(B366,MASTER_REGISTER!E:E,MASTER_REGISTER!C:C,""),"")</f>
        <v/>
      </c>
      <c r="H366" s="4" t="n"/>
    </row>
    <row r="367">
      <c r="C367" s="7">
        <f>IFERROR(XLOOKUP(B367,MASTER_REGISTER!E:E,MASTER_REGISTER!F:F,""),"")</f>
        <v/>
      </c>
      <c r="D367" s="4">
        <f>IFERROR(XLOOKUP(B367,MASTER_REGISTER!E:E,MASTER_REGISTER!C:C,""),"")</f>
        <v/>
      </c>
      <c r="H367" s="4" t="n"/>
    </row>
    <row r="368">
      <c r="C368" s="7">
        <f>IFERROR(XLOOKUP(B368,MASTER_REGISTER!E:E,MASTER_REGISTER!F:F,""),"")</f>
        <v/>
      </c>
      <c r="D368" s="4">
        <f>IFERROR(XLOOKUP(B368,MASTER_REGISTER!E:E,MASTER_REGISTER!C:C,""),"")</f>
        <v/>
      </c>
      <c r="H368" s="4" t="n"/>
    </row>
    <row r="369">
      <c r="C369" s="7">
        <f>IFERROR(XLOOKUP(B369,MASTER_REGISTER!E:E,MASTER_REGISTER!F:F,""),"")</f>
        <v/>
      </c>
      <c r="D369" s="4">
        <f>IFERROR(XLOOKUP(B369,MASTER_REGISTER!E:E,MASTER_REGISTER!C:C,""),"")</f>
        <v/>
      </c>
      <c r="H369" s="4" t="n"/>
    </row>
    <row r="370">
      <c r="C370" s="7">
        <f>IFERROR(XLOOKUP(B370,MASTER_REGISTER!E:E,MASTER_REGISTER!F:F,""),"")</f>
        <v/>
      </c>
      <c r="D370" s="4">
        <f>IFERROR(XLOOKUP(B370,MASTER_REGISTER!E:E,MASTER_REGISTER!C:C,""),"")</f>
        <v/>
      </c>
      <c r="H370" s="4" t="n"/>
    </row>
    <row r="371">
      <c r="C371" s="7">
        <f>IFERROR(XLOOKUP(B371,MASTER_REGISTER!E:E,MASTER_REGISTER!F:F,""),"")</f>
        <v/>
      </c>
      <c r="D371" s="4">
        <f>IFERROR(XLOOKUP(B371,MASTER_REGISTER!E:E,MASTER_REGISTER!C:C,""),"")</f>
        <v/>
      </c>
      <c r="H371" s="4" t="n"/>
    </row>
    <row r="372">
      <c r="C372" s="7">
        <f>IFERROR(XLOOKUP(B372,MASTER_REGISTER!E:E,MASTER_REGISTER!F:F,""),"")</f>
        <v/>
      </c>
      <c r="D372" s="4">
        <f>IFERROR(XLOOKUP(B372,MASTER_REGISTER!E:E,MASTER_REGISTER!C:C,""),"")</f>
        <v/>
      </c>
      <c r="H372" s="4" t="n"/>
    </row>
    <row r="373">
      <c r="C373" s="7">
        <f>IFERROR(XLOOKUP(B373,MASTER_REGISTER!E:E,MASTER_REGISTER!F:F,""),"")</f>
        <v/>
      </c>
      <c r="D373" s="4">
        <f>IFERROR(XLOOKUP(B373,MASTER_REGISTER!E:E,MASTER_REGISTER!C:C,""),"")</f>
        <v/>
      </c>
      <c r="H373" s="4" t="n"/>
    </row>
    <row r="374">
      <c r="C374" s="7">
        <f>IFERROR(XLOOKUP(B374,MASTER_REGISTER!E:E,MASTER_REGISTER!F:F,""),"")</f>
        <v/>
      </c>
      <c r="D374" s="4">
        <f>IFERROR(XLOOKUP(B374,MASTER_REGISTER!E:E,MASTER_REGISTER!C:C,""),"")</f>
        <v/>
      </c>
      <c r="H374" s="4" t="n"/>
    </row>
    <row r="375">
      <c r="C375" s="7">
        <f>IFERROR(XLOOKUP(B375,MASTER_REGISTER!E:E,MASTER_REGISTER!F:F,""),"")</f>
        <v/>
      </c>
      <c r="D375" s="4">
        <f>IFERROR(XLOOKUP(B375,MASTER_REGISTER!E:E,MASTER_REGISTER!C:C,""),"")</f>
        <v/>
      </c>
      <c r="H375" s="4" t="n"/>
    </row>
    <row r="376">
      <c r="C376" s="7">
        <f>IFERROR(XLOOKUP(B376,MASTER_REGISTER!E:E,MASTER_REGISTER!F:F,""),"")</f>
        <v/>
      </c>
      <c r="D376" s="4">
        <f>IFERROR(XLOOKUP(B376,MASTER_REGISTER!E:E,MASTER_REGISTER!C:C,""),"")</f>
        <v/>
      </c>
      <c r="H376" s="4" t="n"/>
    </row>
    <row r="377">
      <c r="C377" s="7">
        <f>IFERROR(XLOOKUP(B377,MASTER_REGISTER!E:E,MASTER_REGISTER!F:F,""),"")</f>
        <v/>
      </c>
      <c r="D377" s="4">
        <f>IFERROR(XLOOKUP(B377,MASTER_REGISTER!E:E,MASTER_REGISTER!C:C,""),"")</f>
        <v/>
      </c>
      <c r="H377" s="4" t="n"/>
    </row>
    <row r="378">
      <c r="C378" s="7">
        <f>IFERROR(XLOOKUP(B378,MASTER_REGISTER!E:E,MASTER_REGISTER!F:F,""),"")</f>
        <v/>
      </c>
      <c r="D378" s="4">
        <f>IFERROR(XLOOKUP(B378,MASTER_REGISTER!E:E,MASTER_REGISTER!C:C,""),"")</f>
        <v/>
      </c>
      <c r="H378" s="4" t="n"/>
    </row>
    <row r="379">
      <c r="C379" s="7">
        <f>IFERROR(XLOOKUP(B379,MASTER_REGISTER!E:E,MASTER_REGISTER!F:F,""),"")</f>
        <v/>
      </c>
      <c r="D379" s="4">
        <f>IFERROR(XLOOKUP(B379,MASTER_REGISTER!E:E,MASTER_REGISTER!C:C,""),"")</f>
        <v/>
      </c>
      <c r="H379" s="4" t="n"/>
    </row>
    <row r="380">
      <c r="C380" s="7">
        <f>IFERROR(XLOOKUP(B380,MASTER_REGISTER!E:E,MASTER_REGISTER!F:F,""),"")</f>
        <v/>
      </c>
      <c r="D380" s="4">
        <f>IFERROR(XLOOKUP(B380,MASTER_REGISTER!E:E,MASTER_REGISTER!C:C,""),"")</f>
        <v/>
      </c>
      <c r="H380" s="4" t="n"/>
    </row>
    <row r="381">
      <c r="C381" s="7">
        <f>IFERROR(XLOOKUP(B381,MASTER_REGISTER!E:E,MASTER_REGISTER!F:F,""),"")</f>
        <v/>
      </c>
      <c r="D381" s="4">
        <f>IFERROR(XLOOKUP(B381,MASTER_REGISTER!E:E,MASTER_REGISTER!C:C,""),"")</f>
        <v/>
      </c>
      <c r="H381" s="4" t="n"/>
    </row>
    <row r="382">
      <c r="C382" s="7">
        <f>IFERROR(XLOOKUP(B382,MASTER_REGISTER!E:E,MASTER_REGISTER!F:F,""),"")</f>
        <v/>
      </c>
      <c r="D382" s="4">
        <f>IFERROR(XLOOKUP(B382,MASTER_REGISTER!E:E,MASTER_REGISTER!C:C,""),"")</f>
        <v/>
      </c>
      <c r="H382" s="4" t="n"/>
    </row>
    <row r="383">
      <c r="C383" s="7">
        <f>IFERROR(XLOOKUP(B383,MASTER_REGISTER!E:E,MASTER_REGISTER!F:F,""),"")</f>
        <v/>
      </c>
      <c r="D383" s="4">
        <f>IFERROR(XLOOKUP(B383,MASTER_REGISTER!E:E,MASTER_REGISTER!C:C,""),"")</f>
        <v/>
      </c>
      <c r="H383" s="4" t="n"/>
    </row>
    <row r="384">
      <c r="C384" s="7">
        <f>IFERROR(XLOOKUP(B384,MASTER_REGISTER!E:E,MASTER_REGISTER!F:F,""),"")</f>
        <v/>
      </c>
      <c r="D384" s="4">
        <f>IFERROR(XLOOKUP(B384,MASTER_REGISTER!E:E,MASTER_REGISTER!C:C,""),"")</f>
        <v/>
      </c>
      <c r="H384" s="4" t="n"/>
    </row>
    <row r="385">
      <c r="C385" s="7">
        <f>IFERROR(XLOOKUP(B385,MASTER_REGISTER!E:E,MASTER_REGISTER!F:F,""),"")</f>
        <v/>
      </c>
      <c r="D385" s="4">
        <f>IFERROR(XLOOKUP(B385,MASTER_REGISTER!E:E,MASTER_REGISTER!C:C,""),"")</f>
        <v/>
      </c>
      <c r="H385" s="4" t="n"/>
    </row>
    <row r="386">
      <c r="C386" s="7">
        <f>IFERROR(XLOOKUP(B386,MASTER_REGISTER!E:E,MASTER_REGISTER!F:F,""),"")</f>
        <v/>
      </c>
      <c r="D386" s="4">
        <f>IFERROR(XLOOKUP(B386,MASTER_REGISTER!E:E,MASTER_REGISTER!C:C,""),"")</f>
        <v/>
      </c>
      <c r="H386" s="4" t="n"/>
    </row>
    <row r="387">
      <c r="C387" s="7">
        <f>IFERROR(XLOOKUP(B387,MASTER_REGISTER!E:E,MASTER_REGISTER!F:F,""),"")</f>
        <v/>
      </c>
      <c r="D387" s="4">
        <f>IFERROR(XLOOKUP(B387,MASTER_REGISTER!E:E,MASTER_REGISTER!C:C,""),"")</f>
        <v/>
      </c>
      <c r="H387" s="4" t="n"/>
    </row>
    <row r="388">
      <c r="C388" s="7">
        <f>IFERROR(XLOOKUP(B388,MASTER_REGISTER!E:E,MASTER_REGISTER!F:F,""),"")</f>
        <v/>
      </c>
      <c r="D388" s="4">
        <f>IFERROR(XLOOKUP(B388,MASTER_REGISTER!E:E,MASTER_REGISTER!C:C,""),"")</f>
        <v/>
      </c>
      <c r="H388" s="4" t="n"/>
    </row>
    <row r="389">
      <c r="C389" s="7">
        <f>IFERROR(XLOOKUP(B389,MASTER_REGISTER!E:E,MASTER_REGISTER!F:F,""),"")</f>
        <v/>
      </c>
      <c r="D389" s="4">
        <f>IFERROR(XLOOKUP(B389,MASTER_REGISTER!E:E,MASTER_REGISTER!C:C,""),"")</f>
        <v/>
      </c>
      <c r="H389" s="4" t="n"/>
    </row>
    <row r="390">
      <c r="C390" s="7">
        <f>IFERROR(XLOOKUP(B390,MASTER_REGISTER!E:E,MASTER_REGISTER!F:F,""),"")</f>
        <v/>
      </c>
      <c r="D390" s="4">
        <f>IFERROR(XLOOKUP(B390,MASTER_REGISTER!E:E,MASTER_REGISTER!C:C,""),"")</f>
        <v/>
      </c>
      <c r="H390" s="4" t="n"/>
    </row>
    <row r="391">
      <c r="C391" s="7">
        <f>IFERROR(XLOOKUP(B391,MASTER_REGISTER!E:E,MASTER_REGISTER!F:F,""),"")</f>
        <v/>
      </c>
      <c r="D391" s="4">
        <f>IFERROR(XLOOKUP(B391,MASTER_REGISTER!E:E,MASTER_REGISTER!C:C,""),"")</f>
        <v/>
      </c>
      <c r="H391" s="4" t="n"/>
    </row>
    <row r="392">
      <c r="C392" s="7">
        <f>IFERROR(XLOOKUP(B392,MASTER_REGISTER!E:E,MASTER_REGISTER!F:F,""),"")</f>
        <v/>
      </c>
      <c r="D392" s="4">
        <f>IFERROR(XLOOKUP(B392,MASTER_REGISTER!E:E,MASTER_REGISTER!C:C,""),"")</f>
        <v/>
      </c>
      <c r="H392" s="4" t="n"/>
    </row>
    <row r="393">
      <c r="C393" s="7">
        <f>IFERROR(XLOOKUP(B393,MASTER_REGISTER!E:E,MASTER_REGISTER!F:F,""),"")</f>
        <v/>
      </c>
      <c r="D393" s="4">
        <f>IFERROR(XLOOKUP(B393,MASTER_REGISTER!E:E,MASTER_REGISTER!C:C,""),"")</f>
        <v/>
      </c>
      <c r="H393" s="4" t="n"/>
    </row>
    <row r="394">
      <c r="C394" s="7">
        <f>IFERROR(XLOOKUP(B394,MASTER_REGISTER!E:E,MASTER_REGISTER!F:F,""),"")</f>
        <v/>
      </c>
      <c r="D394" s="4">
        <f>IFERROR(XLOOKUP(B394,MASTER_REGISTER!E:E,MASTER_REGISTER!C:C,""),"")</f>
        <v/>
      </c>
      <c r="H394" s="4" t="n"/>
    </row>
    <row r="395">
      <c r="C395" s="7">
        <f>IFERROR(XLOOKUP(B395,MASTER_REGISTER!E:E,MASTER_REGISTER!F:F,""),"")</f>
        <v/>
      </c>
      <c r="D395" s="4">
        <f>IFERROR(XLOOKUP(B395,MASTER_REGISTER!E:E,MASTER_REGISTER!C:C,""),"")</f>
        <v/>
      </c>
      <c r="H395" s="4" t="n"/>
    </row>
    <row r="396">
      <c r="C396" s="7">
        <f>IFERROR(XLOOKUP(B396,MASTER_REGISTER!E:E,MASTER_REGISTER!F:F,""),"")</f>
        <v/>
      </c>
      <c r="D396" s="4">
        <f>IFERROR(XLOOKUP(B396,MASTER_REGISTER!E:E,MASTER_REGISTER!C:C,""),"")</f>
        <v/>
      </c>
      <c r="H396" s="4" t="n"/>
    </row>
    <row r="397">
      <c r="C397" s="7">
        <f>IFERROR(XLOOKUP(B397,MASTER_REGISTER!E:E,MASTER_REGISTER!F:F,""),"")</f>
        <v/>
      </c>
      <c r="D397" s="4">
        <f>IFERROR(XLOOKUP(B397,MASTER_REGISTER!E:E,MASTER_REGISTER!C:C,""),"")</f>
        <v/>
      </c>
      <c r="H397" s="4" t="n"/>
    </row>
    <row r="398">
      <c r="C398" s="7">
        <f>IFERROR(XLOOKUP(B398,MASTER_REGISTER!E:E,MASTER_REGISTER!F:F,""),"")</f>
        <v/>
      </c>
      <c r="D398" s="4">
        <f>IFERROR(XLOOKUP(B398,MASTER_REGISTER!E:E,MASTER_REGISTER!C:C,""),"")</f>
        <v/>
      </c>
      <c r="H398" s="4" t="n"/>
    </row>
    <row r="399">
      <c r="C399" s="7">
        <f>IFERROR(XLOOKUP(B399,MASTER_REGISTER!E:E,MASTER_REGISTER!F:F,""),"")</f>
        <v/>
      </c>
      <c r="D399" s="4">
        <f>IFERROR(XLOOKUP(B399,MASTER_REGISTER!E:E,MASTER_REGISTER!C:C,""),"")</f>
        <v/>
      </c>
      <c r="H399" s="4" t="n"/>
    </row>
    <row r="400">
      <c r="C400" s="7">
        <f>IFERROR(XLOOKUP(B400,MASTER_REGISTER!E:E,MASTER_REGISTER!F:F,""),"")</f>
        <v/>
      </c>
      <c r="D400" s="4">
        <f>IFERROR(XLOOKUP(B400,MASTER_REGISTER!E:E,MASTER_REGISTER!C:C,""),"")</f>
        <v/>
      </c>
      <c r="H400" s="4" t="n"/>
    </row>
    <row r="401">
      <c r="C401" s="7">
        <f>IFERROR(XLOOKUP(B401,MASTER_REGISTER!E:E,MASTER_REGISTER!F:F,""),"")</f>
        <v/>
      </c>
      <c r="D401" s="4">
        <f>IFERROR(XLOOKUP(B401,MASTER_REGISTER!E:E,MASTER_REGISTER!C:C,""),"")</f>
        <v/>
      </c>
      <c r="H401" s="4" t="n"/>
    </row>
    <row r="402">
      <c r="C402" s="7">
        <f>IFERROR(XLOOKUP(B402,MASTER_REGISTER!E:E,MASTER_REGISTER!F:F,""),"")</f>
        <v/>
      </c>
      <c r="D402" s="4">
        <f>IFERROR(XLOOKUP(B402,MASTER_REGISTER!E:E,MASTER_REGISTER!C:C,""),"")</f>
        <v/>
      </c>
      <c r="H402" s="4" t="n"/>
    </row>
    <row r="403">
      <c r="C403" s="7">
        <f>IFERROR(XLOOKUP(B403,MASTER_REGISTER!E:E,MASTER_REGISTER!F:F,""),"")</f>
        <v/>
      </c>
      <c r="D403" s="4">
        <f>IFERROR(XLOOKUP(B403,MASTER_REGISTER!E:E,MASTER_REGISTER!C:C,""),"")</f>
        <v/>
      </c>
      <c r="H403" s="4" t="n"/>
    </row>
    <row r="404">
      <c r="C404" s="7">
        <f>IFERROR(XLOOKUP(B404,MASTER_REGISTER!E:E,MASTER_REGISTER!F:F,""),"")</f>
        <v/>
      </c>
      <c r="D404" s="4">
        <f>IFERROR(XLOOKUP(B404,MASTER_REGISTER!E:E,MASTER_REGISTER!C:C,""),"")</f>
        <v/>
      </c>
      <c r="H404" s="4" t="n"/>
    </row>
    <row r="405">
      <c r="C405" s="7">
        <f>IFERROR(XLOOKUP(B405,MASTER_REGISTER!E:E,MASTER_REGISTER!F:F,""),"")</f>
        <v/>
      </c>
      <c r="D405" s="4">
        <f>IFERROR(XLOOKUP(B405,MASTER_REGISTER!E:E,MASTER_REGISTER!C:C,""),"")</f>
        <v/>
      </c>
      <c r="H405" s="4" t="n"/>
    </row>
    <row r="406">
      <c r="C406" s="7">
        <f>IFERROR(XLOOKUP(B406,MASTER_REGISTER!E:E,MASTER_REGISTER!F:F,""),"")</f>
        <v/>
      </c>
      <c r="D406" s="4">
        <f>IFERROR(XLOOKUP(B406,MASTER_REGISTER!E:E,MASTER_REGISTER!C:C,""),"")</f>
        <v/>
      </c>
      <c r="H406" s="4" t="n"/>
    </row>
    <row r="407">
      <c r="C407" s="7">
        <f>IFERROR(XLOOKUP(B407,MASTER_REGISTER!E:E,MASTER_REGISTER!F:F,""),"")</f>
        <v/>
      </c>
      <c r="D407" s="4">
        <f>IFERROR(XLOOKUP(B407,MASTER_REGISTER!E:E,MASTER_REGISTER!C:C,""),"")</f>
        <v/>
      </c>
      <c r="H407" s="4" t="n"/>
    </row>
    <row r="408">
      <c r="C408" s="7">
        <f>IFERROR(XLOOKUP(B408,MASTER_REGISTER!E:E,MASTER_REGISTER!F:F,""),"")</f>
        <v/>
      </c>
      <c r="D408" s="4">
        <f>IFERROR(XLOOKUP(B408,MASTER_REGISTER!E:E,MASTER_REGISTER!C:C,""),"")</f>
        <v/>
      </c>
      <c r="H408" s="4" t="n"/>
    </row>
    <row r="409">
      <c r="C409" s="7">
        <f>IFERROR(XLOOKUP(B409,MASTER_REGISTER!E:E,MASTER_REGISTER!F:F,""),"")</f>
        <v/>
      </c>
      <c r="D409" s="4">
        <f>IFERROR(XLOOKUP(B409,MASTER_REGISTER!E:E,MASTER_REGISTER!C:C,""),"")</f>
        <v/>
      </c>
      <c r="H409" s="4" t="n"/>
    </row>
    <row r="410">
      <c r="C410" s="7">
        <f>IFERROR(XLOOKUP(B410,MASTER_REGISTER!E:E,MASTER_REGISTER!F:F,""),"")</f>
        <v/>
      </c>
      <c r="D410" s="4">
        <f>IFERROR(XLOOKUP(B410,MASTER_REGISTER!E:E,MASTER_REGISTER!C:C,""),"")</f>
        <v/>
      </c>
      <c r="H410" s="4" t="n"/>
    </row>
    <row r="411">
      <c r="C411" s="7">
        <f>IFERROR(XLOOKUP(B411,MASTER_REGISTER!E:E,MASTER_REGISTER!F:F,""),"")</f>
        <v/>
      </c>
      <c r="D411" s="4">
        <f>IFERROR(XLOOKUP(B411,MASTER_REGISTER!E:E,MASTER_REGISTER!C:C,""),"")</f>
        <v/>
      </c>
      <c r="H411" s="4" t="n"/>
    </row>
    <row r="412">
      <c r="C412" s="7">
        <f>IFERROR(XLOOKUP(B412,MASTER_REGISTER!E:E,MASTER_REGISTER!F:F,""),"")</f>
        <v/>
      </c>
      <c r="D412" s="4">
        <f>IFERROR(XLOOKUP(B412,MASTER_REGISTER!E:E,MASTER_REGISTER!C:C,""),"")</f>
        <v/>
      </c>
      <c r="H412" s="4" t="n"/>
    </row>
    <row r="413">
      <c r="C413" s="7">
        <f>IFERROR(XLOOKUP(B413,MASTER_REGISTER!E:E,MASTER_REGISTER!F:F,""),"")</f>
        <v/>
      </c>
      <c r="D413" s="4">
        <f>IFERROR(XLOOKUP(B413,MASTER_REGISTER!E:E,MASTER_REGISTER!C:C,""),"")</f>
        <v/>
      </c>
      <c r="H413" s="4" t="n"/>
    </row>
    <row r="414">
      <c r="C414" s="7">
        <f>IFERROR(XLOOKUP(B414,MASTER_REGISTER!E:E,MASTER_REGISTER!F:F,""),"")</f>
        <v/>
      </c>
      <c r="D414" s="4">
        <f>IFERROR(XLOOKUP(B414,MASTER_REGISTER!E:E,MASTER_REGISTER!C:C,""),"")</f>
        <v/>
      </c>
      <c r="H414" s="4" t="n"/>
    </row>
    <row r="415">
      <c r="C415" s="7">
        <f>IFERROR(XLOOKUP(B415,MASTER_REGISTER!E:E,MASTER_REGISTER!F:F,""),"")</f>
        <v/>
      </c>
      <c r="D415" s="4">
        <f>IFERROR(XLOOKUP(B415,MASTER_REGISTER!E:E,MASTER_REGISTER!C:C,""),"")</f>
        <v/>
      </c>
      <c r="H415" s="4" t="n"/>
    </row>
    <row r="416">
      <c r="C416" s="7">
        <f>IFERROR(XLOOKUP(B416,MASTER_REGISTER!E:E,MASTER_REGISTER!F:F,""),"")</f>
        <v/>
      </c>
      <c r="D416" s="4">
        <f>IFERROR(XLOOKUP(B416,MASTER_REGISTER!E:E,MASTER_REGISTER!C:C,""),"")</f>
        <v/>
      </c>
      <c r="H416" s="4" t="n"/>
    </row>
    <row r="417">
      <c r="C417" s="7">
        <f>IFERROR(XLOOKUP(B417,MASTER_REGISTER!E:E,MASTER_REGISTER!F:F,""),"")</f>
        <v/>
      </c>
      <c r="D417" s="4">
        <f>IFERROR(XLOOKUP(B417,MASTER_REGISTER!E:E,MASTER_REGISTER!C:C,""),"")</f>
        <v/>
      </c>
      <c r="H417" s="4" t="n"/>
    </row>
    <row r="418">
      <c r="C418" s="7">
        <f>IFERROR(XLOOKUP(B418,MASTER_REGISTER!E:E,MASTER_REGISTER!F:F,""),"")</f>
        <v/>
      </c>
      <c r="D418" s="4">
        <f>IFERROR(XLOOKUP(B418,MASTER_REGISTER!E:E,MASTER_REGISTER!C:C,""),"")</f>
        <v/>
      </c>
      <c r="H418" s="4" t="n"/>
    </row>
    <row r="419">
      <c r="C419" s="7">
        <f>IFERROR(XLOOKUP(B419,MASTER_REGISTER!E:E,MASTER_REGISTER!F:F,""),"")</f>
        <v/>
      </c>
      <c r="D419" s="4">
        <f>IFERROR(XLOOKUP(B419,MASTER_REGISTER!E:E,MASTER_REGISTER!C:C,""),"")</f>
        <v/>
      </c>
      <c r="H419" s="4" t="n"/>
    </row>
    <row r="420">
      <c r="C420" s="7">
        <f>IFERROR(XLOOKUP(B420,MASTER_REGISTER!E:E,MASTER_REGISTER!F:F,""),"")</f>
        <v/>
      </c>
      <c r="D420" s="4">
        <f>IFERROR(XLOOKUP(B420,MASTER_REGISTER!E:E,MASTER_REGISTER!C:C,""),"")</f>
        <v/>
      </c>
      <c r="H420" s="4" t="n"/>
    </row>
    <row r="421">
      <c r="C421" s="7">
        <f>IFERROR(XLOOKUP(B421,MASTER_REGISTER!E:E,MASTER_REGISTER!F:F,""),"")</f>
        <v/>
      </c>
      <c r="D421" s="4">
        <f>IFERROR(XLOOKUP(B421,MASTER_REGISTER!E:E,MASTER_REGISTER!C:C,""),"")</f>
        <v/>
      </c>
      <c r="H421" s="4" t="n"/>
    </row>
    <row r="422">
      <c r="C422" s="7">
        <f>IFERROR(XLOOKUP(B422,MASTER_REGISTER!E:E,MASTER_REGISTER!F:F,""),"")</f>
        <v/>
      </c>
      <c r="D422" s="4">
        <f>IFERROR(XLOOKUP(B422,MASTER_REGISTER!E:E,MASTER_REGISTER!C:C,""),"")</f>
        <v/>
      </c>
      <c r="H422" s="4" t="n"/>
    </row>
    <row r="423">
      <c r="C423" s="7">
        <f>IFERROR(XLOOKUP(B423,MASTER_REGISTER!E:E,MASTER_REGISTER!F:F,""),"")</f>
        <v/>
      </c>
      <c r="D423" s="4">
        <f>IFERROR(XLOOKUP(B423,MASTER_REGISTER!E:E,MASTER_REGISTER!C:C,""),"")</f>
        <v/>
      </c>
      <c r="H423" s="4" t="n"/>
    </row>
    <row r="424">
      <c r="C424" s="7">
        <f>IFERROR(XLOOKUP(B424,MASTER_REGISTER!E:E,MASTER_REGISTER!F:F,""),"")</f>
        <v/>
      </c>
      <c r="D424" s="4">
        <f>IFERROR(XLOOKUP(B424,MASTER_REGISTER!E:E,MASTER_REGISTER!C:C,""),"")</f>
        <v/>
      </c>
      <c r="H424" s="4" t="n"/>
    </row>
    <row r="425">
      <c r="C425" s="7">
        <f>IFERROR(XLOOKUP(B425,MASTER_REGISTER!E:E,MASTER_REGISTER!F:F,""),"")</f>
        <v/>
      </c>
      <c r="D425" s="4">
        <f>IFERROR(XLOOKUP(B425,MASTER_REGISTER!E:E,MASTER_REGISTER!C:C,""),"")</f>
        <v/>
      </c>
      <c r="H425" s="4" t="n"/>
    </row>
    <row r="426">
      <c r="C426" s="7">
        <f>IFERROR(XLOOKUP(B426,MASTER_REGISTER!E:E,MASTER_REGISTER!F:F,""),"")</f>
        <v/>
      </c>
      <c r="D426" s="4">
        <f>IFERROR(XLOOKUP(B426,MASTER_REGISTER!E:E,MASTER_REGISTER!C:C,""),"")</f>
        <v/>
      </c>
      <c r="H426" s="4" t="n"/>
    </row>
    <row r="427">
      <c r="C427" s="7">
        <f>IFERROR(XLOOKUP(B427,MASTER_REGISTER!E:E,MASTER_REGISTER!F:F,""),"")</f>
        <v/>
      </c>
      <c r="D427" s="4">
        <f>IFERROR(XLOOKUP(B427,MASTER_REGISTER!E:E,MASTER_REGISTER!C:C,""),"")</f>
        <v/>
      </c>
      <c r="H427" s="4" t="n"/>
    </row>
    <row r="428">
      <c r="C428" s="7">
        <f>IFERROR(XLOOKUP(B428,MASTER_REGISTER!E:E,MASTER_REGISTER!F:F,""),"")</f>
        <v/>
      </c>
      <c r="D428" s="4">
        <f>IFERROR(XLOOKUP(B428,MASTER_REGISTER!E:E,MASTER_REGISTER!C:C,""),"")</f>
        <v/>
      </c>
      <c r="H428" s="4" t="n"/>
    </row>
    <row r="429">
      <c r="C429" s="7">
        <f>IFERROR(XLOOKUP(B429,MASTER_REGISTER!E:E,MASTER_REGISTER!F:F,""),"")</f>
        <v/>
      </c>
      <c r="D429" s="4">
        <f>IFERROR(XLOOKUP(B429,MASTER_REGISTER!E:E,MASTER_REGISTER!C:C,""),"")</f>
        <v/>
      </c>
      <c r="H429" s="4" t="n"/>
    </row>
    <row r="430">
      <c r="C430" s="7">
        <f>IFERROR(XLOOKUP(B430,MASTER_REGISTER!E:E,MASTER_REGISTER!F:F,""),"")</f>
        <v/>
      </c>
      <c r="D430" s="4">
        <f>IFERROR(XLOOKUP(B430,MASTER_REGISTER!E:E,MASTER_REGISTER!C:C,""),"")</f>
        <v/>
      </c>
      <c r="H430" s="4" t="n"/>
    </row>
    <row r="431">
      <c r="C431" s="7">
        <f>IFERROR(XLOOKUP(B431,MASTER_REGISTER!E:E,MASTER_REGISTER!F:F,""),"")</f>
        <v/>
      </c>
      <c r="D431" s="4">
        <f>IFERROR(XLOOKUP(B431,MASTER_REGISTER!E:E,MASTER_REGISTER!C:C,""),"")</f>
        <v/>
      </c>
      <c r="H431" s="4" t="n"/>
    </row>
    <row r="432">
      <c r="C432" s="7">
        <f>IFERROR(XLOOKUP(B432,MASTER_REGISTER!E:E,MASTER_REGISTER!F:F,""),"")</f>
        <v/>
      </c>
      <c r="D432" s="4">
        <f>IFERROR(XLOOKUP(B432,MASTER_REGISTER!E:E,MASTER_REGISTER!C:C,""),"")</f>
        <v/>
      </c>
      <c r="H432" s="4" t="n"/>
    </row>
    <row r="433">
      <c r="C433" s="7">
        <f>IFERROR(XLOOKUP(B433,MASTER_REGISTER!E:E,MASTER_REGISTER!F:F,""),"")</f>
        <v/>
      </c>
      <c r="D433" s="4">
        <f>IFERROR(XLOOKUP(B433,MASTER_REGISTER!E:E,MASTER_REGISTER!C:C,""),"")</f>
        <v/>
      </c>
      <c r="H433" s="4" t="n"/>
    </row>
    <row r="434">
      <c r="C434" s="7">
        <f>IFERROR(XLOOKUP(B434,MASTER_REGISTER!E:E,MASTER_REGISTER!F:F,""),"")</f>
        <v/>
      </c>
      <c r="D434" s="4">
        <f>IFERROR(XLOOKUP(B434,MASTER_REGISTER!E:E,MASTER_REGISTER!C:C,""),"")</f>
        <v/>
      </c>
      <c r="H434" s="4" t="n"/>
    </row>
    <row r="435">
      <c r="C435" s="7">
        <f>IFERROR(XLOOKUP(B435,MASTER_REGISTER!E:E,MASTER_REGISTER!F:F,""),"")</f>
        <v/>
      </c>
      <c r="D435" s="4">
        <f>IFERROR(XLOOKUP(B435,MASTER_REGISTER!E:E,MASTER_REGISTER!C:C,""),"")</f>
        <v/>
      </c>
      <c r="H435" s="4" t="n"/>
    </row>
    <row r="436">
      <c r="C436" s="7">
        <f>IFERROR(XLOOKUP(B436,MASTER_REGISTER!E:E,MASTER_REGISTER!F:F,""),"")</f>
        <v/>
      </c>
      <c r="D436" s="4">
        <f>IFERROR(XLOOKUP(B436,MASTER_REGISTER!E:E,MASTER_REGISTER!C:C,""),"")</f>
        <v/>
      </c>
      <c r="H436" s="4" t="n"/>
    </row>
    <row r="437">
      <c r="C437" s="7">
        <f>IFERROR(XLOOKUP(B437,MASTER_REGISTER!E:E,MASTER_REGISTER!F:F,""),"")</f>
        <v/>
      </c>
      <c r="D437" s="4">
        <f>IFERROR(XLOOKUP(B437,MASTER_REGISTER!E:E,MASTER_REGISTER!C:C,""),"")</f>
        <v/>
      </c>
      <c r="H437" s="4" t="n"/>
    </row>
    <row r="438">
      <c r="C438" s="7">
        <f>IFERROR(XLOOKUP(B438,MASTER_REGISTER!E:E,MASTER_REGISTER!F:F,""),"")</f>
        <v/>
      </c>
      <c r="D438" s="4">
        <f>IFERROR(XLOOKUP(B438,MASTER_REGISTER!E:E,MASTER_REGISTER!C:C,""),"")</f>
        <v/>
      </c>
      <c r="H438" s="4" t="n"/>
    </row>
    <row r="439">
      <c r="C439" s="7">
        <f>IFERROR(XLOOKUP(B439,MASTER_REGISTER!E:E,MASTER_REGISTER!F:F,""),"")</f>
        <v/>
      </c>
      <c r="D439" s="4">
        <f>IFERROR(XLOOKUP(B439,MASTER_REGISTER!E:E,MASTER_REGISTER!C:C,""),"")</f>
        <v/>
      </c>
      <c r="H439" s="4" t="n"/>
    </row>
    <row r="440">
      <c r="C440" s="7">
        <f>IFERROR(XLOOKUP(B440,MASTER_REGISTER!E:E,MASTER_REGISTER!F:F,""),"")</f>
        <v/>
      </c>
      <c r="D440" s="4">
        <f>IFERROR(XLOOKUP(B440,MASTER_REGISTER!E:E,MASTER_REGISTER!C:C,""),"")</f>
        <v/>
      </c>
      <c r="H440" s="4" t="n"/>
    </row>
    <row r="441">
      <c r="C441" s="7">
        <f>IFERROR(XLOOKUP(B441,MASTER_REGISTER!E:E,MASTER_REGISTER!F:F,""),"")</f>
        <v/>
      </c>
      <c r="D441" s="4">
        <f>IFERROR(XLOOKUP(B441,MASTER_REGISTER!E:E,MASTER_REGISTER!C:C,""),"")</f>
        <v/>
      </c>
      <c r="H441" s="4" t="n"/>
    </row>
    <row r="442">
      <c r="C442" s="7">
        <f>IFERROR(XLOOKUP(B442,MASTER_REGISTER!E:E,MASTER_REGISTER!F:F,""),"")</f>
        <v/>
      </c>
      <c r="D442" s="4">
        <f>IFERROR(XLOOKUP(B442,MASTER_REGISTER!E:E,MASTER_REGISTER!C:C,""),"")</f>
        <v/>
      </c>
      <c r="H442" s="4" t="n"/>
    </row>
    <row r="443">
      <c r="C443" s="7">
        <f>IFERROR(XLOOKUP(B443,MASTER_REGISTER!E:E,MASTER_REGISTER!F:F,""),"")</f>
        <v/>
      </c>
      <c r="D443" s="4">
        <f>IFERROR(XLOOKUP(B443,MASTER_REGISTER!E:E,MASTER_REGISTER!C:C,""),"")</f>
        <v/>
      </c>
      <c r="H443" s="4" t="n"/>
    </row>
    <row r="444">
      <c r="C444" s="7">
        <f>IFERROR(XLOOKUP(B444,MASTER_REGISTER!E:E,MASTER_REGISTER!F:F,""),"")</f>
        <v/>
      </c>
      <c r="D444" s="4">
        <f>IFERROR(XLOOKUP(B444,MASTER_REGISTER!E:E,MASTER_REGISTER!C:C,""),"")</f>
        <v/>
      </c>
      <c r="H444" s="4" t="n"/>
    </row>
    <row r="445">
      <c r="C445" s="7">
        <f>IFERROR(XLOOKUP(B445,MASTER_REGISTER!E:E,MASTER_REGISTER!F:F,""),"")</f>
        <v/>
      </c>
      <c r="D445" s="4">
        <f>IFERROR(XLOOKUP(B445,MASTER_REGISTER!E:E,MASTER_REGISTER!C:C,""),"")</f>
        <v/>
      </c>
      <c r="H445" s="4" t="n"/>
    </row>
    <row r="446">
      <c r="C446" s="7">
        <f>IFERROR(XLOOKUP(B446,MASTER_REGISTER!E:E,MASTER_REGISTER!F:F,""),"")</f>
        <v/>
      </c>
      <c r="D446" s="4">
        <f>IFERROR(XLOOKUP(B446,MASTER_REGISTER!E:E,MASTER_REGISTER!C:C,""),"")</f>
        <v/>
      </c>
      <c r="H446" s="4" t="n"/>
    </row>
    <row r="447">
      <c r="C447" s="7">
        <f>IFERROR(XLOOKUP(B447,MASTER_REGISTER!E:E,MASTER_REGISTER!F:F,""),"")</f>
        <v/>
      </c>
      <c r="D447" s="4">
        <f>IFERROR(XLOOKUP(B447,MASTER_REGISTER!E:E,MASTER_REGISTER!C:C,""),"")</f>
        <v/>
      </c>
      <c r="H447" s="4" t="n"/>
    </row>
    <row r="448">
      <c r="C448" s="7">
        <f>IFERROR(XLOOKUP(B448,MASTER_REGISTER!E:E,MASTER_REGISTER!F:F,""),"")</f>
        <v/>
      </c>
      <c r="D448" s="4">
        <f>IFERROR(XLOOKUP(B448,MASTER_REGISTER!E:E,MASTER_REGISTER!C:C,""),"")</f>
        <v/>
      </c>
      <c r="H448" s="4" t="n"/>
    </row>
    <row r="449">
      <c r="C449" s="7">
        <f>IFERROR(XLOOKUP(B449,MASTER_REGISTER!E:E,MASTER_REGISTER!F:F,""),"")</f>
        <v/>
      </c>
      <c r="D449" s="4">
        <f>IFERROR(XLOOKUP(B449,MASTER_REGISTER!E:E,MASTER_REGISTER!C:C,""),"")</f>
        <v/>
      </c>
      <c r="H449" s="4" t="n"/>
    </row>
    <row r="450">
      <c r="C450" s="7">
        <f>IFERROR(XLOOKUP(B450,MASTER_REGISTER!E:E,MASTER_REGISTER!F:F,""),"")</f>
        <v/>
      </c>
      <c r="D450" s="4">
        <f>IFERROR(XLOOKUP(B450,MASTER_REGISTER!E:E,MASTER_REGISTER!C:C,""),"")</f>
        <v/>
      </c>
      <c r="H450" s="4" t="n"/>
    </row>
    <row r="451">
      <c r="C451" s="7">
        <f>IFERROR(XLOOKUP(B451,MASTER_REGISTER!E:E,MASTER_REGISTER!F:F,""),"")</f>
        <v/>
      </c>
      <c r="D451" s="4">
        <f>IFERROR(XLOOKUP(B451,MASTER_REGISTER!E:E,MASTER_REGISTER!C:C,""),"")</f>
        <v/>
      </c>
      <c r="H451" s="4" t="n"/>
    </row>
    <row r="452">
      <c r="C452" s="7">
        <f>IFERROR(XLOOKUP(B452,MASTER_REGISTER!E:E,MASTER_REGISTER!F:F,""),"")</f>
        <v/>
      </c>
      <c r="D452" s="4">
        <f>IFERROR(XLOOKUP(B452,MASTER_REGISTER!E:E,MASTER_REGISTER!C:C,""),"")</f>
        <v/>
      </c>
      <c r="H452" s="4" t="n"/>
    </row>
    <row r="453">
      <c r="C453" s="7">
        <f>IFERROR(XLOOKUP(B453,MASTER_REGISTER!E:E,MASTER_REGISTER!F:F,""),"")</f>
        <v/>
      </c>
      <c r="D453" s="4">
        <f>IFERROR(XLOOKUP(B453,MASTER_REGISTER!E:E,MASTER_REGISTER!C:C,""),"")</f>
        <v/>
      </c>
      <c r="H453" s="4" t="n"/>
    </row>
    <row r="454">
      <c r="C454" s="7">
        <f>IFERROR(XLOOKUP(B454,MASTER_REGISTER!E:E,MASTER_REGISTER!F:F,""),"")</f>
        <v/>
      </c>
      <c r="D454" s="4">
        <f>IFERROR(XLOOKUP(B454,MASTER_REGISTER!E:E,MASTER_REGISTER!C:C,""),"")</f>
        <v/>
      </c>
      <c r="H454" s="4" t="n"/>
    </row>
    <row r="455">
      <c r="C455" s="7">
        <f>IFERROR(XLOOKUP(B455,MASTER_REGISTER!E:E,MASTER_REGISTER!F:F,""),"")</f>
        <v/>
      </c>
      <c r="D455" s="4">
        <f>IFERROR(XLOOKUP(B455,MASTER_REGISTER!E:E,MASTER_REGISTER!C:C,""),"")</f>
        <v/>
      </c>
      <c r="H455" s="4" t="n"/>
    </row>
    <row r="456">
      <c r="C456" s="7">
        <f>IFERROR(XLOOKUP(B456,MASTER_REGISTER!E:E,MASTER_REGISTER!F:F,""),"")</f>
        <v/>
      </c>
      <c r="D456" s="4">
        <f>IFERROR(XLOOKUP(B456,MASTER_REGISTER!E:E,MASTER_REGISTER!C:C,""),"")</f>
        <v/>
      </c>
      <c r="H456" s="4" t="n"/>
    </row>
    <row r="457">
      <c r="C457" s="7">
        <f>IFERROR(XLOOKUP(B457,MASTER_REGISTER!E:E,MASTER_REGISTER!F:F,""),"")</f>
        <v/>
      </c>
      <c r="D457" s="4">
        <f>IFERROR(XLOOKUP(B457,MASTER_REGISTER!E:E,MASTER_REGISTER!C:C,""),"")</f>
        <v/>
      </c>
      <c r="H457" s="4" t="n"/>
    </row>
    <row r="458">
      <c r="C458" s="7">
        <f>IFERROR(XLOOKUP(B458,MASTER_REGISTER!E:E,MASTER_REGISTER!F:F,""),"")</f>
        <v/>
      </c>
      <c r="D458" s="4">
        <f>IFERROR(XLOOKUP(B458,MASTER_REGISTER!E:E,MASTER_REGISTER!C:C,""),"")</f>
        <v/>
      </c>
      <c r="H458" s="4" t="n"/>
    </row>
    <row r="459">
      <c r="C459" s="7">
        <f>IFERROR(XLOOKUP(B459,MASTER_REGISTER!E:E,MASTER_REGISTER!F:F,""),"")</f>
        <v/>
      </c>
      <c r="D459" s="4">
        <f>IFERROR(XLOOKUP(B459,MASTER_REGISTER!E:E,MASTER_REGISTER!C:C,""),"")</f>
        <v/>
      </c>
      <c r="H459" s="4" t="n"/>
    </row>
    <row r="460">
      <c r="C460" s="7">
        <f>IFERROR(XLOOKUP(B460,MASTER_REGISTER!E:E,MASTER_REGISTER!F:F,""),"")</f>
        <v/>
      </c>
      <c r="D460" s="4">
        <f>IFERROR(XLOOKUP(B460,MASTER_REGISTER!E:E,MASTER_REGISTER!C:C,""),"")</f>
        <v/>
      </c>
      <c r="H460" s="4" t="n"/>
    </row>
    <row r="461">
      <c r="C461" s="7">
        <f>IFERROR(XLOOKUP(B461,MASTER_REGISTER!E:E,MASTER_REGISTER!F:F,""),"")</f>
        <v/>
      </c>
      <c r="D461" s="4">
        <f>IFERROR(XLOOKUP(B461,MASTER_REGISTER!E:E,MASTER_REGISTER!C:C,""),"")</f>
        <v/>
      </c>
      <c r="H461" s="4" t="n"/>
    </row>
    <row r="462">
      <c r="C462" s="7">
        <f>IFERROR(XLOOKUP(B462,MASTER_REGISTER!E:E,MASTER_REGISTER!F:F,""),"")</f>
        <v/>
      </c>
      <c r="D462" s="4">
        <f>IFERROR(XLOOKUP(B462,MASTER_REGISTER!E:E,MASTER_REGISTER!C:C,""),"")</f>
        <v/>
      </c>
      <c r="H462" s="4" t="n"/>
    </row>
    <row r="463">
      <c r="C463" s="7">
        <f>IFERROR(XLOOKUP(B463,MASTER_REGISTER!E:E,MASTER_REGISTER!F:F,""),"")</f>
        <v/>
      </c>
      <c r="D463" s="4">
        <f>IFERROR(XLOOKUP(B463,MASTER_REGISTER!E:E,MASTER_REGISTER!C:C,""),"")</f>
        <v/>
      </c>
      <c r="H463" s="4" t="n"/>
    </row>
    <row r="464">
      <c r="C464" s="7">
        <f>IFERROR(XLOOKUP(B464,MASTER_REGISTER!E:E,MASTER_REGISTER!F:F,""),"")</f>
        <v/>
      </c>
      <c r="D464" s="4">
        <f>IFERROR(XLOOKUP(B464,MASTER_REGISTER!E:E,MASTER_REGISTER!C:C,""),"")</f>
        <v/>
      </c>
      <c r="H464" s="4" t="n"/>
    </row>
    <row r="465">
      <c r="C465" s="7">
        <f>IFERROR(XLOOKUP(B465,MASTER_REGISTER!E:E,MASTER_REGISTER!F:F,""),"")</f>
        <v/>
      </c>
      <c r="D465" s="4">
        <f>IFERROR(XLOOKUP(B465,MASTER_REGISTER!E:E,MASTER_REGISTER!C:C,""),"")</f>
        <v/>
      </c>
      <c r="H465" s="4" t="n"/>
    </row>
    <row r="466">
      <c r="C466" s="7">
        <f>IFERROR(XLOOKUP(B466,MASTER_REGISTER!E:E,MASTER_REGISTER!F:F,""),"")</f>
        <v/>
      </c>
      <c r="D466" s="4">
        <f>IFERROR(XLOOKUP(B466,MASTER_REGISTER!E:E,MASTER_REGISTER!C:C,""),"")</f>
        <v/>
      </c>
      <c r="H466" s="4" t="n"/>
    </row>
    <row r="467">
      <c r="C467" s="7">
        <f>IFERROR(XLOOKUP(B467,MASTER_REGISTER!E:E,MASTER_REGISTER!F:F,""),"")</f>
        <v/>
      </c>
      <c r="D467" s="4">
        <f>IFERROR(XLOOKUP(B467,MASTER_REGISTER!E:E,MASTER_REGISTER!C:C,""),"")</f>
        <v/>
      </c>
      <c r="H467" s="4" t="n"/>
    </row>
    <row r="468">
      <c r="C468" s="7">
        <f>IFERROR(XLOOKUP(B468,MASTER_REGISTER!E:E,MASTER_REGISTER!F:F,""),"")</f>
        <v/>
      </c>
      <c r="D468" s="4">
        <f>IFERROR(XLOOKUP(B468,MASTER_REGISTER!E:E,MASTER_REGISTER!C:C,""),"")</f>
        <v/>
      </c>
      <c r="H468" s="4" t="n"/>
    </row>
    <row r="469">
      <c r="C469" s="7">
        <f>IFERROR(XLOOKUP(B469,MASTER_REGISTER!E:E,MASTER_REGISTER!F:F,""),"")</f>
        <v/>
      </c>
      <c r="D469" s="4">
        <f>IFERROR(XLOOKUP(B469,MASTER_REGISTER!E:E,MASTER_REGISTER!C:C,""),"")</f>
        <v/>
      </c>
      <c r="H469" s="4" t="n"/>
    </row>
    <row r="470">
      <c r="C470" s="7">
        <f>IFERROR(XLOOKUP(B470,MASTER_REGISTER!E:E,MASTER_REGISTER!F:F,""),"")</f>
        <v/>
      </c>
      <c r="D470" s="4">
        <f>IFERROR(XLOOKUP(B470,MASTER_REGISTER!E:E,MASTER_REGISTER!C:C,""),"")</f>
        <v/>
      </c>
      <c r="H470" s="4" t="n"/>
    </row>
    <row r="471">
      <c r="C471" s="7">
        <f>IFERROR(XLOOKUP(B471,MASTER_REGISTER!E:E,MASTER_REGISTER!F:F,""),"")</f>
        <v/>
      </c>
      <c r="D471" s="4">
        <f>IFERROR(XLOOKUP(B471,MASTER_REGISTER!E:E,MASTER_REGISTER!C:C,""),"")</f>
        <v/>
      </c>
      <c r="H471" s="4" t="n"/>
    </row>
    <row r="472">
      <c r="C472" s="7">
        <f>IFERROR(XLOOKUP(B472,MASTER_REGISTER!E:E,MASTER_REGISTER!F:F,""),"")</f>
        <v/>
      </c>
      <c r="D472" s="4">
        <f>IFERROR(XLOOKUP(B472,MASTER_REGISTER!E:E,MASTER_REGISTER!C:C,""),"")</f>
        <v/>
      </c>
      <c r="H472" s="4" t="n"/>
    </row>
    <row r="473">
      <c r="C473" s="7">
        <f>IFERROR(XLOOKUP(B473,MASTER_REGISTER!E:E,MASTER_REGISTER!F:F,""),"")</f>
        <v/>
      </c>
      <c r="D473" s="4">
        <f>IFERROR(XLOOKUP(B473,MASTER_REGISTER!E:E,MASTER_REGISTER!C:C,""),"")</f>
        <v/>
      </c>
      <c r="H473" s="4" t="n"/>
    </row>
    <row r="474">
      <c r="C474" s="7">
        <f>IFERROR(XLOOKUP(B474,MASTER_REGISTER!E:E,MASTER_REGISTER!F:F,""),"")</f>
        <v/>
      </c>
      <c r="D474" s="4">
        <f>IFERROR(XLOOKUP(B474,MASTER_REGISTER!E:E,MASTER_REGISTER!C:C,""),"")</f>
        <v/>
      </c>
      <c r="H474" s="4" t="n"/>
    </row>
    <row r="475">
      <c r="C475" s="7">
        <f>IFERROR(XLOOKUP(B475,MASTER_REGISTER!E:E,MASTER_REGISTER!F:F,""),"")</f>
        <v/>
      </c>
      <c r="D475" s="4">
        <f>IFERROR(XLOOKUP(B475,MASTER_REGISTER!E:E,MASTER_REGISTER!C:C,""),"")</f>
        <v/>
      </c>
      <c r="H475" s="4" t="n"/>
    </row>
    <row r="476">
      <c r="C476" s="7">
        <f>IFERROR(XLOOKUP(B476,MASTER_REGISTER!E:E,MASTER_REGISTER!F:F,""),"")</f>
        <v/>
      </c>
      <c r="D476" s="4">
        <f>IFERROR(XLOOKUP(B476,MASTER_REGISTER!E:E,MASTER_REGISTER!C:C,""),"")</f>
        <v/>
      </c>
      <c r="H476" s="4" t="n"/>
    </row>
    <row r="477">
      <c r="C477" s="7">
        <f>IFERROR(XLOOKUP(B477,MASTER_REGISTER!E:E,MASTER_REGISTER!F:F,""),"")</f>
        <v/>
      </c>
      <c r="D477" s="4">
        <f>IFERROR(XLOOKUP(B477,MASTER_REGISTER!E:E,MASTER_REGISTER!C:C,""),"")</f>
        <v/>
      </c>
      <c r="H477" s="4" t="n"/>
    </row>
    <row r="478">
      <c r="C478" s="7">
        <f>IFERROR(XLOOKUP(B478,MASTER_REGISTER!E:E,MASTER_REGISTER!F:F,""),"")</f>
        <v/>
      </c>
      <c r="D478" s="4">
        <f>IFERROR(XLOOKUP(B478,MASTER_REGISTER!E:E,MASTER_REGISTER!C:C,""),"")</f>
        <v/>
      </c>
      <c r="H478" s="4" t="n"/>
    </row>
    <row r="479">
      <c r="C479" s="7">
        <f>IFERROR(XLOOKUP(B479,MASTER_REGISTER!E:E,MASTER_REGISTER!F:F,""),"")</f>
        <v/>
      </c>
      <c r="D479" s="4">
        <f>IFERROR(XLOOKUP(B479,MASTER_REGISTER!E:E,MASTER_REGISTER!C:C,""),"")</f>
        <v/>
      </c>
      <c r="H479" s="4" t="n"/>
    </row>
    <row r="480">
      <c r="C480" s="7">
        <f>IFERROR(XLOOKUP(B480,MASTER_REGISTER!E:E,MASTER_REGISTER!F:F,""),"")</f>
        <v/>
      </c>
      <c r="D480" s="4">
        <f>IFERROR(XLOOKUP(B480,MASTER_REGISTER!E:E,MASTER_REGISTER!C:C,""),"")</f>
        <v/>
      </c>
      <c r="H480" s="4" t="n"/>
    </row>
    <row r="481">
      <c r="C481" s="7">
        <f>IFERROR(XLOOKUP(B481,MASTER_REGISTER!E:E,MASTER_REGISTER!F:F,""),"")</f>
        <v/>
      </c>
      <c r="D481" s="4">
        <f>IFERROR(XLOOKUP(B481,MASTER_REGISTER!E:E,MASTER_REGISTER!C:C,""),"")</f>
        <v/>
      </c>
      <c r="H481" s="4" t="n"/>
    </row>
    <row r="482">
      <c r="C482" s="7">
        <f>IFERROR(XLOOKUP(B482,MASTER_REGISTER!E:E,MASTER_REGISTER!F:F,""),"")</f>
        <v/>
      </c>
      <c r="D482" s="4">
        <f>IFERROR(XLOOKUP(B482,MASTER_REGISTER!E:E,MASTER_REGISTER!C:C,""),"")</f>
        <v/>
      </c>
      <c r="H482" s="4" t="n"/>
    </row>
    <row r="483">
      <c r="C483" s="7">
        <f>IFERROR(XLOOKUP(B483,MASTER_REGISTER!E:E,MASTER_REGISTER!F:F,""),"")</f>
        <v/>
      </c>
      <c r="D483" s="4">
        <f>IFERROR(XLOOKUP(B483,MASTER_REGISTER!E:E,MASTER_REGISTER!C:C,""),"")</f>
        <v/>
      </c>
      <c r="H483" s="4" t="n"/>
    </row>
    <row r="484">
      <c r="C484" s="7">
        <f>IFERROR(XLOOKUP(B484,MASTER_REGISTER!E:E,MASTER_REGISTER!F:F,""),"")</f>
        <v/>
      </c>
      <c r="D484" s="4">
        <f>IFERROR(XLOOKUP(B484,MASTER_REGISTER!E:E,MASTER_REGISTER!C:C,""),"")</f>
        <v/>
      </c>
      <c r="H484" s="4" t="n"/>
    </row>
    <row r="485">
      <c r="C485" s="7">
        <f>IFERROR(XLOOKUP(B485,MASTER_REGISTER!E:E,MASTER_REGISTER!F:F,""),"")</f>
        <v/>
      </c>
      <c r="D485" s="4">
        <f>IFERROR(XLOOKUP(B485,MASTER_REGISTER!E:E,MASTER_REGISTER!C:C,""),"")</f>
        <v/>
      </c>
      <c r="H485" s="4" t="n"/>
    </row>
    <row r="486">
      <c r="C486" s="7">
        <f>IFERROR(XLOOKUP(B486,MASTER_REGISTER!E:E,MASTER_REGISTER!F:F,""),"")</f>
        <v/>
      </c>
      <c r="D486" s="4">
        <f>IFERROR(XLOOKUP(B486,MASTER_REGISTER!E:E,MASTER_REGISTER!C:C,""),"")</f>
        <v/>
      </c>
      <c r="H486" s="4" t="n"/>
    </row>
    <row r="487">
      <c r="C487" s="7">
        <f>IFERROR(XLOOKUP(B487,MASTER_REGISTER!E:E,MASTER_REGISTER!F:F,""),"")</f>
        <v/>
      </c>
      <c r="D487" s="4">
        <f>IFERROR(XLOOKUP(B487,MASTER_REGISTER!E:E,MASTER_REGISTER!C:C,""),"")</f>
        <v/>
      </c>
      <c r="H487" s="4" t="n"/>
    </row>
    <row r="488">
      <c r="C488" s="7">
        <f>IFERROR(XLOOKUP(B488,MASTER_REGISTER!E:E,MASTER_REGISTER!F:F,""),"")</f>
        <v/>
      </c>
      <c r="D488" s="4">
        <f>IFERROR(XLOOKUP(B488,MASTER_REGISTER!E:E,MASTER_REGISTER!C:C,""),"")</f>
        <v/>
      </c>
      <c r="H488" s="4" t="n"/>
    </row>
    <row r="489">
      <c r="C489" s="7">
        <f>IFERROR(XLOOKUP(B489,MASTER_REGISTER!E:E,MASTER_REGISTER!F:F,""),"")</f>
        <v/>
      </c>
      <c r="D489" s="4">
        <f>IFERROR(XLOOKUP(B489,MASTER_REGISTER!E:E,MASTER_REGISTER!C:C,""),"")</f>
        <v/>
      </c>
      <c r="H489" s="4" t="n"/>
    </row>
    <row r="490">
      <c r="C490" s="7">
        <f>IFERROR(XLOOKUP(B490,MASTER_REGISTER!E:E,MASTER_REGISTER!F:F,""),"")</f>
        <v/>
      </c>
      <c r="D490" s="4">
        <f>IFERROR(XLOOKUP(B490,MASTER_REGISTER!E:E,MASTER_REGISTER!C:C,""),"")</f>
        <v/>
      </c>
      <c r="H490" s="4" t="n"/>
    </row>
    <row r="491">
      <c r="C491" s="7">
        <f>IFERROR(XLOOKUP(B491,MASTER_REGISTER!E:E,MASTER_REGISTER!F:F,""),"")</f>
        <v/>
      </c>
      <c r="D491" s="4">
        <f>IFERROR(XLOOKUP(B491,MASTER_REGISTER!E:E,MASTER_REGISTER!C:C,""),"")</f>
        <v/>
      </c>
      <c r="H491" s="4" t="n"/>
    </row>
    <row r="492">
      <c r="C492" s="7">
        <f>IFERROR(XLOOKUP(B492,MASTER_REGISTER!E:E,MASTER_REGISTER!F:F,""),"")</f>
        <v/>
      </c>
      <c r="D492" s="4">
        <f>IFERROR(XLOOKUP(B492,MASTER_REGISTER!E:E,MASTER_REGISTER!C:C,""),"")</f>
        <v/>
      </c>
      <c r="H492" s="4" t="n"/>
    </row>
    <row r="493">
      <c r="C493" s="7">
        <f>IFERROR(XLOOKUP(B493,MASTER_REGISTER!E:E,MASTER_REGISTER!F:F,""),"")</f>
        <v/>
      </c>
      <c r="D493" s="4">
        <f>IFERROR(XLOOKUP(B493,MASTER_REGISTER!E:E,MASTER_REGISTER!C:C,""),"")</f>
        <v/>
      </c>
      <c r="H493" s="4" t="n"/>
    </row>
    <row r="494">
      <c r="C494" s="7">
        <f>IFERROR(XLOOKUP(B494,MASTER_REGISTER!E:E,MASTER_REGISTER!F:F,""),"")</f>
        <v/>
      </c>
      <c r="D494" s="4">
        <f>IFERROR(XLOOKUP(B494,MASTER_REGISTER!E:E,MASTER_REGISTER!C:C,""),"")</f>
        <v/>
      </c>
      <c r="H494" s="4" t="n"/>
    </row>
    <row r="495">
      <c r="C495" s="7">
        <f>IFERROR(XLOOKUP(B495,MASTER_REGISTER!E:E,MASTER_REGISTER!F:F,""),"")</f>
        <v/>
      </c>
      <c r="D495" s="4">
        <f>IFERROR(XLOOKUP(B495,MASTER_REGISTER!E:E,MASTER_REGISTER!C:C,""),"")</f>
        <v/>
      </c>
      <c r="H495" s="4" t="n"/>
    </row>
    <row r="496">
      <c r="C496" s="7">
        <f>IFERROR(XLOOKUP(B496,MASTER_REGISTER!E:E,MASTER_REGISTER!F:F,""),"")</f>
        <v/>
      </c>
      <c r="D496" s="4">
        <f>IFERROR(XLOOKUP(B496,MASTER_REGISTER!E:E,MASTER_REGISTER!C:C,""),"")</f>
        <v/>
      </c>
      <c r="H496" s="4" t="n"/>
    </row>
    <row r="497">
      <c r="C497" s="7">
        <f>IFERROR(XLOOKUP(B497,MASTER_REGISTER!E:E,MASTER_REGISTER!F:F,""),"")</f>
        <v/>
      </c>
      <c r="D497" s="4">
        <f>IFERROR(XLOOKUP(B497,MASTER_REGISTER!E:E,MASTER_REGISTER!C:C,""),"")</f>
        <v/>
      </c>
      <c r="H497" s="4" t="n"/>
    </row>
    <row r="498">
      <c r="C498" s="7">
        <f>IFERROR(XLOOKUP(B498,MASTER_REGISTER!E:E,MASTER_REGISTER!F:F,""),"")</f>
        <v/>
      </c>
      <c r="D498" s="4">
        <f>IFERROR(XLOOKUP(B498,MASTER_REGISTER!E:E,MASTER_REGISTER!C:C,""),"")</f>
        <v/>
      </c>
      <c r="H498" s="4" t="n"/>
    </row>
    <row r="499">
      <c r="C499" s="7">
        <f>IFERROR(XLOOKUP(B499,MASTER_REGISTER!E:E,MASTER_REGISTER!F:F,""),"")</f>
        <v/>
      </c>
      <c r="D499" s="4">
        <f>IFERROR(XLOOKUP(B499,MASTER_REGISTER!E:E,MASTER_REGISTER!C:C,""),"")</f>
        <v/>
      </c>
      <c r="H499" s="4" t="n"/>
    </row>
    <row r="500">
      <c r="C500" s="7">
        <f>IFERROR(XLOOKUP(B500,MASTER_REGISTER!E:E,MASTER_REGISTER!F:F,""),"")</f>
        <v/>
      </c>
      <c r="D500" s="4">
        <f>IFERROR(XLOOKUP(B500,MASTER_REGISTER!E:E,MASTER_REGISTER!C:C,""),"")</f>
        <v/>
      </c>
      <c r="H500" s="4" t="n"/>
    </row>
    <row r="501">
      <c r="C501" s="7">
        <f>IFERROR(XLOOKUP(B501,MASTER_REGISTER!E:E,MASTER_REGISTER!F:F,""),"")</f>
        <v/>
      </c>
      <c r="D501" s="4">
        <f>IFERROR(XLOOKUP(B501,MASTER_REGISTER!E:E,MASTER_REGISTER!C:C,""),"")</f>
        <v/>
      </c>
      <c r="H501" s="4" t="n"/>
    </row>
  </sheetData>
  <dataValidations count="3">
    <dataValidation sqref="E2:E5000" showDropDown="0" showInputMessage="0" showErrorMessage="0" allowBlank="0" type="list">
      <formula1>"Mathematics,Mathematical Literacy,Physical Sciences,Geography,Accounting,Natural Sciences &amp; Technology,EMS,English"</formula1>
    </dataValidation>
    <dataValidation sqref="F2:F5000" showDropDown="0" showInputMessage="0" showErrorMessage="0" allowBlank="0" type="list">
      <formula1>"Class Test,Homework,Quiz,Assignment,Exam Prep,Diagnostic,Other"</formula1>
    </dataValidation>
    <dataValidation sqref="H2:H5000" showDropDown="0" showInputMessage="0" showErrorMessage="0" allowBlank="0" type="decimal">
      <formula1>0</formula1>
      <formula2>100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style="10" min="1" max="1"/>
    <col width="26" customWidth="1" style="10" min="2" max="2"/>
    <col width="10" customWidth="1" style="10" min="3" max="3"/>
    <col width="18" customWidth="1" style="10" min="4" max="4"/>
    <col width="16" customWidth="1" style="10" min="5" max="5"/>
    <col width="12" customWidth="1" style="10" min="6" max="7"/>
    <col width="18" customWidth="1" style="10" min="8" max="8"/>
    <col width="14" customWidth="1" style="10" min="9" max="10"/>
    <col width="12" customWidth="1" style="10" min="11" max="11"/>
    <col width="16" customWidth="1" style="10" min="12" max="13"/>
  </cols>
  <sheetData>
    <row r="1" ht="28.8" customHeight="1" s="10">
      <c r="A1" s="12" t="inlineStr">
        <is>
          <t>Student Number</t>
        </is>
      </c>
      <c r="B1" s="12" t="inlineStr">
        <is>
          <t>Learner Name</t>
        </is>
      </c>
      <c r="C1" s="12" t="inlineStr">
        <is>
          <t>Grade</t>
        </is>
      </c>
      <c r="D1" s="12" t="inlineStr">
        <is>
          <t>Assessments Logged</t>
        </is>
      </c>
      <c r="E1" s="12" t="inlineStr">
        <is>
          <t>Average Score (%)</t>
        </is>
      </c>
      <c r="F1" s="12" t="inlineStr">
        <is>
          <t>Math Avg</t>
        </is>
      </c>
      <c r="G1" s="12" t="inlineStr">
        <is>
          <t>Math Lit Avg</t>
        </is>
      </c>
      <c r="H1" s="12" t="inlineStr">
        <is>
          <t>Physical Sciences Avg</t>
        </is>
      </c>
      <c r="I1" s="12" t="inlineStr">
        <is>
          <t>Geography Avg</t>
        </is>
      </c>
      <c r="J1" s="12" t="inlineStr">
        <is>
          <t>Accounting Avg</t>
        </is>
      </c>
      <c r="K1" s="12" t="inlineStr">
        <is>
          <t>English Avg</t>
        </is>
      </c>
      <c r="L1" s="12" t="inlineStr">
        <is>
          <t>Attendance % (auto)</t>
        </is>
      </c>
      <c r="M1" s="12" t="inlineStr">
        <is>
          <t>Progress Flag</t>
        </is>
      </c>
    </row>
    <row r="2">
      <c r="A2">
        <f>IF(MASTER_REGISTER!E2="","",MASTER_REGISTER!E2)</f>
        <v/>
      </c>
      <c r="B2">
        <f>IF(A2="","",MASTER_REGISTER!F2)</f>
        <v/>
      </c>
      <c r="C2">
        <f>IF(A2="","",MASTER_REGISTER!C2)</f>
        <v/>
      </c>
      <c r="D2">
        <f>IF(A2="","",COUNTIF(ASSESSMENTS!B:B,A2))</f>
        <v/>
      </c>
      <c r="E2" s="4">
        <f>IF(D2=0,"",ROUND(AVERAGEIF(ASSESSMENTS!B:B,A2,ASSESSMENTS!H:H),1))</f>
        <v/>
      </c>
      <c r="F2" s="4">
        <f>IF(A2="","",IFERROR(ROUND(AVERAGEIFS(ASSESSMENTS!H:H,ASSESSMENTS!B:B,A2,ASSESSMENTS!E:E,"Mathematics"),1),""))</f>
        <v/>
      </c>
      <c r="G2" s="4">
        <f>IF(A2="","",IFERROR(ROUND(AVERAGEIFS(ASSESSMENTS!H:H,ASSESSMENTS!B:B,A2,ASSESSMENTS!E:E,"Mathematical Literacy"),1),""))</f>
        <v/>
      </c>
      <c r="H2" s="4">
        <f>IF(A2="","",IFERROR(ROUND(AVERAGEIFS(ASSESSMENTS!H:H,ASSESSMENTS!B:B,A2,ASSESSMENTS!E:E,"Physical Sciences"),1),""))</f>
        <v/>
      </c>
      <c r="I2" s="4">
        <f>IF(A2="","",IFERROR(ROUND(AVERAGEIFS(ASSESSMENTS!H:H,ASSESSMENTS!B:B,A2,ASSESSMENTS!E:E,"Geography"),1),""))</f>
        <v/>
      </c>
      <c r="J2" s="4">
        <f>IF(A2="","",IFERROR(ROUND(AVERAGEIFS(ASSESSMENTS!H:H,ASSESSMENTS!B:B,A2,ASSESSMENTS!E:E,"Accounting"),1),""))</f>
        <v/>
      </c>
      <c r="K2" s="4">
        <f>IF(A2="","",IFERROR(ROUND(AVERAGEIFS(ASSESSMENTS!H:H,ASSESSMENTS!B:B,A2,ASSESSMENTS!E:E,"English"),1),""))</f>
        <v/>
      </c>
      <c r="L2" s="5">
        <f>IF(A2="","",IFERROR(XLOOKUP(A2,ATTENDANCE_SUMMARY!A:A,ATTENDANCE_SUMMARY!G:G,""),""))</f>
        <v/>
      </c>
      <c r="M2" s="4">
        <f>IF(A2="","",IF(OR(E2&lt;50,AND(L2&lt;0.75,L2&lt;&gt;"" )),"At Risk","On Track"))</f>
        <v/>
      </c>
    </row>
    <row r="3">
      <c r="A3">
        <f>IF(MASTER_REGISTER!E3="","",MASTER_REGISTER!E3)</f>
        <v/>
      </c>
      <c r="B3">
        <f>IF(A3="","",MASTER_REGISTER!F3)</f>
        <v/>
      </c>
      <c r="C3">
        <f>IF(A3="","",MASTER_REGISTER!C3)</f>
        <v/>
      </c>
      <c r="D3">
        <f>IF(A3="","",COUNTIF(ASSESSMENTS!B:B,A3))</f>
        <v/>
      </c>
      <c r="E3" s="4">
        <f>IF(D3=0,"",ROUND(AVERAGEIF(ASSESSMENTS!B:B,A3,ASSESSMENTS!H:H),1))</f>
        <v/>
      </c>
      <c r="F3" s="4">
        <f>IF(A3="","",IFERROR(ROUND(AVERAGEIFS(ASSESSMENTS!H:H,ASSESSMENTS!B:B,A3,ASSESSMENTS!E:E,"Mathematics"),1),""))</f>
        <v/>
      </c>
      <c r="G3" s="4">
        <f>IF(A3="","",IFERROR(ROUND(AVERAGEIFS(ASSESSMENTS!H:H,ASSESSMENTS!B:B,A3,ASSESSMENTS!E:E,"Mathematical Literacy"),1),""))</f>
        <v/>
      </c>
      <c r="H3" s="4">
        <f>IF(A3="","",IFERROR(ROUND(AVERAGEIFS(ASSESSMENTS!H:H,ASSESSMENTS!B:B,A3,ASSESSMENTS!E:E,"Physical Sciences"),1),""))</f>
        <v/>
      </c>
      <c r="I3" s="4">
        <f>IF(A3="","",IFERROR(ROUND(AVERAGEIFS(ASSESSMENTS!H:H,ASSESSMENTS!B:B,A3,ASSESSMENTS!E:E,"Geography"),1),""))</f>
        <v/>
      </c>
      <c r="J3" s="4">
        <f>IF(A3="","",IFERROR(ROUND(AVERAGEIFS(ASSESSMENTS!H:H,ASSESSMENTS!B:B,A3,ASSESSMENTS!E:E,"Accounting"),1),""))</f>
        <v/>
      </c>
      <c r="K3" s="4">
        <f>IF(A3="","",IFERROR(ROUND(AVERAGEIFS(ASSESSMENTS!H:H,ASSESSMENTS!B:B,A3,ASSESSMENTS!E:E,"English"),1),""))</f>
        <v/>
      </c>
      <c r="L3" s="5">
        <f>IF(A3="","",IFERROR(XLOOKUP(A3,ATTENDANCE_SUMMARY!A:A,ATTENDANCE_SUMMARY!G:G,""),""))</f>
        <v/>
      </c>
      <c r="M3" s="4">
        <f>IF(A3="","",IF(OR(E3&lt;50,AND(L3&lt;0.75,L3&lt;&gt;"" )),"At Risk","On Track"))</f>
        <v/>
      </c>
    </row>
    <row r="4">
      <c r="A4">
        <f>IF(MASTER_REGISTER!E4="","",MASTER_REGISTER!E4)</f>
        <v/>
      </c>
      <c r="B4">
        <f>IF(A4="","",MASTER_REGISTER!F4)</f>
        <v/>
      </c>
      <c r="C4">
        <f>IF(A4="","",MASTER_REGISTER!C4)</f>
        <v/>
      </c>
      <c r="D4">
        <f>IF(A4="","",COUNTIF(ASSESSMENTS!B:B,A4))</f>
        <v/>
      </c>
      <c r="E4" s="4">
        <f>IF(D4=0,"",ROUND(AVERAGEIF(ASSESSMENTS!B:B,A4,ASSESSMENTS!H:H),1))</f>
        <v/>
      </c>
      <c r="F4" s="4">
        <f>IF(A4="","",IFERROR(ROUND(AVERAGEIFS(ASSESSMENTS!H:H,ASSESSMENTS!B:B,A4,ASSESSMENTS!E:E,"Mathematics"),1),""))</f>
        <v/>
      </c>
      <c r="G4" s="4">
        <f>IF(A4="","",IFERROR(ROUND(AVERAGEIFS(ASSESSMENTS!H:H,ASSESSMENTS!B:B,A4,ASSESSMENTS!E:E,"Mathematical Literacy"),1),""))</f>
        <v/>
      </c>
      <c r="H4" s="4">
        <f>IF(A4="","",IFERROR(ROUND(AVERAGEIFS(ASSESSMENTS!H:H,ASSESSMENTS!B:B,A4,ASSESSMENTS!E:E,"Physical Sciences"),1),""))</f>
        <v/>
      </c>
      <c r="I4" s="4">
        <f>IF(A4="","",IFERROR(ROUND(AVERAGEIFS(ASSESSMENTS!H:H,ASSESSMENTS!B:B,A4,ASSESSMENTS!E:E,"Geography"),1),""))</f>
        <v/>
      </c>
      <c r="J4" s="4">
        <f>IF(A4="","",IFERROR(ROUND(AVERAGEIFS(ASSESSMENTS!H:H,ASSESSMENTS!B:B,A4,ASSESSMENTS!E:E,"Accounting"),1),""))</f>
        <v/>
      </c>
      <c r="K4" s="4">
        <f>IF(A4="","",IFERROR(ROUND(AVERAGEIFS(ASSESSMENTS!H:H,ASSESSMENTS!B:B,A4,ASSESSMENTS!E:E,"English"),1),""))</f>
        <v/>
      </c>
      <c r="L4" s="5">
        <f>IF(A4="","",IFERROR(XLOOKUP(A4,ATTENDANCE_SUMMARY!A:A,ATTENDANCE_SUMMARY!G:G,""),""))</f>
        <v/>
      </c>
      <c r="M4" s="4">
        <f>IF(A4="","",IF(OR(E4&lt;50,AND(L4&lt;0.75,L4&lt;&gt;"" )),"At Risk","On Track"))</f>
        <v/>
      </c>
    </row>
    <row r="5">
      <c r="A5">
        <f>IF(MASTER_REGISTER!E5="","",MASTER_REGISTER!E5)</f>
        <v/>
      </c>
      <c r="B5">
        <f>IF(A5="","",MASTER_REGISTER!F5)</f>
        <v/>
      </c>
      <c r="C5">
        <f>IF(A5="","",MASTER_REGISTER!C5)</f>
        <v/>
      </c>
      <c r="D5">
        <f>IF(A5="","",COUNTIF(ASSESSMENTS!B:B,A5))</f>
        <v/>
      </c>
      <c r="E5" s="4">
        <f>IF(D5=0,"",ROUND(AVERAGEIF(ASSESSMENTS!B:B,A5,ASSESSMENTS!H:H),1))</f>
        <v/>
      </c>
      <c r="F5" s="4">
        <f>IF(A5="","",IFERROR(ROUND(AVERAGEIFS(ASSESSMENTS!H:H,ASSESSMENTS!B:B,A5,ASSESSMENTS!E:E,"Mathematics"),1),""))</f>
        <v/>
      </c>
      <c r="G5" s="4">
        <f>IF(A5="","",IFERROR(ROUND(AVERAGEIFS(ASSESSMENTS!H:H,ASSESSMENTS!B:B,A5,ASSESSMENTS!E:E,"Mathematical Literacy"),1),""))</f>
        <v/>
      </c>
      <c r="H5" s="4">
        <f>IF(A5="","",IFERROR(ROUND(AVERAGEIFS(ASSESSMENTS!H:H,ASSESSMENTS!B:B,A5,ASSESSMENTS!E:E,"Physical Sciences"),1),""))</f>
        <v/>
      </c>
      <c r="I5" s="4">
        <f>IF(A5="","",IFERROR(ROUND(AVERAGEIFS(ASSESSMENTS!H:H,ASSESSMENTS!B:B,A5,ASSESSMENTS!E:E,"Geography"),1),""))</f>
        <v/>
      </c>
      <c r="J5" s="4">
        <f>IF(A5="","",IFERROR(ROUND(AVERAGEIFS(ASSESSMENTS!H:H,ASSESSMENTS!B:B,A5,ASSESSMENTS!E:E,"Accounting"),1),""))</f>
        <v/>
      </c>
      <c r="K5" s="4">
        <f>IF(A5="","",IFERROR(ROUND(AVERAGEIFS(ASSESSMENTS!H:H,ASSESSMENTS!B:B,A5,ASSESSMENTS!E:E,"English"),1),""))</f>
        <v/>
      </c>
      <c r="L5" s="5">
        <f>IF(A5="","",IFERROR(XLOOKUP(A5,ATTENDANCE_SUMMARY!A:A,ATTENDANCE_SUMMARY!G:G,""),""))</f>
        <v/>
      </c>
      <c r="M5" s="4">
        <f>IF(A5="","",IF(OR(E5&lt;50,AND(L5&lt;0.75,L5&lt;&gt;"" )),"At Risk","On Track"))</f>
        <v/>
      </c>
    </row>
    <row r="6">
      <c r="A6">
        <f>IF(MASTER_REGISTER!E6="","",MASTER_REGISTER!E6)</f>
        <v/>
      </c>
      <c r="B6">
        <f>IF(A6="","",MASTER_REGISTER!F6)</f>
        <v/>
      </c>
      <c r="C6">
        <f>IF(A6="","",MASTER_REGISTER!C6)</f>
        <v/>
      </c>
      <c r="D6">
        <f>IF(A6="","",COUNTIF(ASSESSMENTS!B:B,A6))</f>
        <v/>
      </c>
      <c r="E6" s="4">
        <f>IF(D6=0,"",ROUND(AVERAGEIF(ASSESSMENTS!B:B,A6,ASSESSMENTS!H:H),1))</f>
        <v/>
      </c>
      <c r="F6" s="4">
        <f>IF(A6="","",IFERROR(ROUND(AVERAGEIFS(ASSESSMENTS!H:H,ASSESSMENTS!B:B,A6,ASSESSMENTS!E:E,"Mathematics"),1),""))</f>
        <v/>
      </c>
      <c r="G6" s="4">
        <f>IF(A6="","",IFERROR(ROUND(AVERAGEIFS(ASSESSMENTS!H:H,ASSESSMENTS!B:B,A6,ASSESSMENTS!E:E,"Mathematical Literacy"),1),""))</f>
        <v/>
      </c>
      <c r="H6" s="4">
        <f>IF(A6="","",IFERROR(ROUND(AVERAGEIFS(ASSESSMENTS!H:H,ASSESSMENTS!B:B,A6,ASSESSMENTS!E:E,"Physical Sciences"),1),""))</f>
        <v/>
      </c>
      <c r="I6" s="4">
        <f>IF(A6="","",IFERROR(ROUND(AVERAGEIFS(ASSESSMENTS!H:H,ASSESSMENTS!B:B,A6,ASSESSMENTS!E:E,"Geography"),1),""))</f>
        <v/>
      </c>
      <c r="J6" s="4">
        <f>IF(A6="","",IFERROR(ROUND(AVERAGEIFS(ASSESSMENTS!H:H,ASSESSMENTS!B:B,A6,ASSESSMENTS!E:E,"Accounting"),1),""))</f>
        <v/>
      </c>
      <c r="K6" s="4">
        <f>IF(A6="","",IFERROR(ROUND(AVERAGEIFS(ASSESSMENTS!H:H,ASSESSMENTS!B:B,A6,ASSESSMENTS!E:E,"English"),1),""))</f>
        <v/>
      </c>
      <c r="L6" s="5">
        <f>IF(A6="","",IFERROR(XLOOKUP(A6,ATTENDANCE_SUMMARY!A:A,ATTENDANCE_SUMMARY!G:G,""),""))</f>
        <v/>
      </c>
      <c r="M6" s="4">
        <f>IF(A6="","",IF(OR(E6&lt;50,AND(L6&lt;0.75,L6&lt;&gt;"" )),"At Risk","On Track"))</f>
        <v/>
      </c>
    </row>
    <row r="7">
      <c r="A7">
        <f>IF(MASTER_REGISTER!E7="","",MASTER_REGISTER!E7)</f>
        <v/>
      </c>
      <c r="B7">
        <f>IF(A7="","",MASTER_REGISTER!F7)</f>
        <v/>
      </c>
      <c r="C7">
        <f>IF(A7="","",MASTER_REGISTER!C7)</f>
        <v/>
      </c>
      <c r="D7">
        <f>IF(A7="","",COUNTIF(ASSESSMENTS!B:B,A7))</f>
        <v/>
      </c>
      <c r="E7" s="4">
        <f>IF(D7=0,"",ROUND(AVERAGEIF(ASSESSMENTS!B:B,A7,ASSESSMENTS!H:H),1))</f>
        <v/>
      </c>
      <c r="F7" s="4">
        <f>IF(A7="","",IFERROR(ROUND(AVERAGEIFS(ASSESSMENTS!H:H,ASSESSMENTS!B:B,A7,ASSESSMENTS!E:E,"Mathematics"),1),""))</f>
        <v/>
      </c>
      <c r="G7" s="4">
        <f>IF(A7="","",IFERROR(ROUND(AVERAGEIFS(ASSESSMENTS!H:H,ASSESSMENTS!B:B,A7,ASSESSMENTS!E:E,"Mathematical Literacy"),1),""))</f>
        <v/>
      </c>
      <c r="H7" s="4">
        <f>IF(A7="","",IFERROR(ROUND(AVERAGEIFS(ASSESSMENTS!H:H,ASSESSMENTS!B:B,A7,ASSESSMENTS!E:E,"Physical Sciences"),1),""))</f>
        <v/>
      </c>
      <c r="I7" s="4">
        <f>IF(A7="","",IFERROR(ROUND(AVERAGEIFS(ASSESSMENTS!H:H,ASSESSMENTS!B:B,A7,ASSESSMENTS!E:E,"Geography"),1),""))</f>
        <v/>
      </c>
      <c r="J7" s="4">
        <f>IF(A7="","",IFERROR(ROUND(AVERAGEIFS(ASSESSMENTS!H:H,ASSESSMENTS!B:B,A7,ASSESSMENTS!E:E,"Accounting"),1),""))</f>
        <v/>
      </c>
      <c r="K7" s="4">
        <f>IF(A7="","",IFERROR(ROUND(AVERAGEIFS(ASSESSMENTS!H:H,ASSESSMENTS!B:B,A7,ASSESSMENTS!E:E,"English"),1),""))</f>
        <v/>
      </c>
      <c r="L7" s="5">
        <f>IF(A7="","",IFERROR(XLOOKUP(A7,ATTENDANCE_SUMMARY!A:A,ATTENDANCE_SUMMARY!G:G,""),""))</f>
        <v/>
      </c>
      <c r="M7" s="4">
        <f>IF(A7="","",IF(OR(E7&lt;50,AND(L7&lt;0.75,L7&lt;&gt;"" )),"At Risk","On Track"))</f>
        <v/>
      </c>
    </row>
    <row r="8">
      <c r="A8">
        <f>IF(MASTER_REGISTER!E8="","",MASTER_REGISTER!E8)</f>
        <v/>
      </c>
      <c r="B8">
        <f>IF(A8="","",MASTER_REGISTER!F8)</f>
        <v/>
      </c>
      <c r="C8">
        <f>IF(A8="","",MASTER_REGISTER!C8)</f>
        <v/>
      </c>
      <c r="D8">
        <f>IF(A8="","",COUNTIF(ASSESSMENTS!B:B,A8))</f>
        <v/>
      </c>
      <c r="E8" s="4">
        <f>IF(D8=0,"",ROUND(AVERAGEIF(ASSESSMENTS!B:B,A8,ASSESSMENTS!H:H),1))</f>
        <v/>
      </c>
      <c r="F8" s="4">
        <f>IF(A8="","",IFERROR(ROUND(AVERAGEIFS(ASSESSMENTS!H:H,ASSESSMENTS!B:B,A8,ASSESSMENTS!E:E,"Mathematics"),1),""))</f>
        <v/>
      </c>
      <c r="G8" s="4">
        <f>IF(A8="","",IFERROR(ROUND(AVERAGEIFS(ASSESSMENTS!H:H,ASSESSMENTS!B:B,A8,ASSESSMENTS!E:E,"Mathematical Literacy"),1),""))</f>
        <v/>
      </c>
      <c r="H8" s="4">
        <f>IF(A8="","",IFERROR(ROUND(AVERAGEIFS(ASSESSMENTS!H:H,ASSESSMENTS!B:B,A8,ASSESSMENTS!E:E,"Physical Sciences"),1),""))</f>
        <v/>
      </c>
      <c r="I8" s="4">
        <f>IF(A8="","",IFERROR(ROUND(AVERAGEIFS(ASSESSMENTS!H:H,ASSESSMENTS!B:B,A8,ASSESSMENTS!E:E,"Geography"),1),""))</f>
        <v/>
      </c>
      <c r="J8" s="4">
        <f>IF(A8="","",IFERROR(ROUND(AVERAGEIFS(ASSESSMENTS!H:H,ASSESSMENTS!B:B,A8,ASSESSMENTS!E:E,"Accounting"),1),""))</f>
        <v/>
      </c>
      <c r="K8" s="4">
        <f>IF(A8="","",IFERROR(ROUND(AVERAGEIFS(ASSESSMENTS!H:H,ASSESSMENTS!B:B,A8,ASSESSMENTS!E:E,"English"),1),""))</f>
        <v/>
      </c>
      <c r="L8" s="5">
        <f>IF(A8="","",IFERROR(XLOOKUP(A8,ATTENDANCE_SUMMARY!A:A,ATTENDANCE_SUMMARY!G:G,""),""))</f>
        <v/>
      </c>
      <c r="M8" s="4">
        <f>IF(A8="","",IF(OR(E8&lt;50,AND(L8&lt;0.75,L8&lt;&gt;"" )),"At Risk","On Track"))</f>
        <v/>
      </c>
    </row>
    <row r="9">
      <c r="A9">
        <f>IF(MASTER_REGISTER!E9="","",MASTER_REGISTER!E9)</f>
        <v/>
      </c>
      <c r="B9">
        <f>IF(A9="","",MASTER_REGISTER!F9)</f>
        <v/>
      </c>
      <c r="C9">
        <f>IF(A9="","",MASTER_REGISTER!C9)</f>
        <v/>
      </c>
      <c r="D9">
        <f>IF(A9="","",COUNTIF(ASSESSMENTS!B:B,A9))</f>
        <v/>
      </c>
      <c r="E9" s="4">
        <f>IF(D9=0,"",ROUND(AVERAGEIF(ASSESSMENTS!B:B,A9,ASSESSMENTS!H:H),1))</f>
        <v/>
      </c>
      <c r="F9" s="4">
        <f>IF(A9="","",IFERROR(ROUND(AVERAGEIFS(ASSESSMENTS!H:H,ASSESSMENTS!B:B,A9,ASSESSMENTS!E:E,"Mathematics"),1),""))</f>
        <v/>
      </c>
      <c r="G9" s="4">
        <f>IF(A9="","",IFERROR(ROUND(AVERAGEIFS(ASSESSMENTS!H:H,ASSESSMENTS!B:B,A9,ASSESSMENTS!E:E,"Mathematical Literacy"),1),""))</f>
        <v/>
      </c>
      <c r="H9" s="4">
        <f>IF(A9="","",IFERROR(ROUND(AVERAGEIFS(ASSESSMENTS!H:H,ASSESSMENTS!B:B,A9,ASSESSMENTS!E:E,"Physical Sciences"),1),""))</f>
        <v/>
      </c>
      <c r="I9" s="4">
        <f>IF(A9="","",IFERROR(ROUND(AVERAGEIFS(ASSESSMENTS!H:H,ASSESSMENTS!B:B,A9,ASSESSMENTS!E:E,"Geography"),1),""))</f>
        <v/>
      </c>
      <c r="J9" s="4">
        <f>IF(A9="","",IFERROR(ROUND(AVERAGEIFS(ASSESSMENTS!H:H,ASSESSMENTS!B:B,A9,ASSESSMENTS!E:E,"Accounting"),1),""))</f>
        <v/>
      </c>
      <c r="K9" s="4">
        <f>IF(A9="","",IFERROR(ROUND(AVERAGEIFS(ASSESSMENTS!H:H,ASSESSMENTS!B:B,A9,ASSESSMENTS!E:E,"English"),1),""))</f>
        <v/>
      </c>
      <c r="L9" s="5">
        <f>IF(A9="","",IFERROR(XLOOKUP(A9,ATTENDANCE_SUMMARY!A:A,ATTENDANCE_SUMMARY!G:G,""),""))</f>
        <v/>
      </c>
      <c r="M9" s="4">
        <f>IF(A9="","",IF(OR(E9&lt;50,AND(L9&lt;0.75,L9&lt;&gt;"" )),"At Risk","On Track"))</f>
        <v/>
      </c>
    </row>
    <row r="10">
      <c r="A10">
        <f>IF(MASTER_REGISTER!E10="","",MASTER_REGISTER!E10)</f>
        <v/>
      </c>
      <c r="B10">
        <f>IF(A10="","",MASTER_REGISTER!F10)</f>
        <v/>
      </c>
      <c r="C10">
        <f>IF(A10="","",MASTER_REGISTER!C10)</f>
        <v/>
      </c>
      <c r="D10">
        <f>IF(A10="","",COUNTIF(ASSESSMENTS!B:B,A10))</f>
        <v/>
      </c>
      <c r="E10" s="4">
        <f>IF(D10=0,"",ROUND(AVERAGEIF(ASSESSMENTS!B:B,A10,ASSESSMENTS!H:H),1))</f>
        <v/>
      </c>
      <c r="F10" s="4">
        <f>IF(A10="","",IFERROR(ROUND(AVERAGEIFS(ASSESSMENTS!H:H,ASSESSMENTS!B:B,A10,ASSESSMENTS!E:E,"Mathematics"),1),""))</f>
        <v/>
      </c>
      <c r="G10" s="4">
        <f>IF(A10="","",IFERROR(ROUND(AVERAGEIFS(ASSESSMENTS!H:H,ASSESSMENTS!B:B,A10,ASSESSMENTS!E:E,"Mathematical Literacy"),1),""))</f>
        <v/>
      </c>
      <c r="H10" s="4">
        <f>IF(A10="","",IFERROR(ROUND(AVERAGEIFS(ASSESSMENTS!H:H,ASSESSMENTS!B:B,A10,ASSESSMENTS!E:E,"Physical Sciences"),1),""))</f>
        <v/>
      </c>
      <c r="I10" s="4">
        <f>IF(A10="","",IFERROR(ROUND(AVERAGEIFS(ASSESSMENTS!H:H,ASSESSMENTS!B:B,A10,ASSESSMENTS!E:E,"Geography"),1),""))</f>
        <v/>
      </c>
      <c r="J10" s="4">
        <f>IF(A10="","",IFERROR(ROUND(AVERAGEIFS(ASSESSMENTS!H:H,ASSESSMENTS!B:B,A10,ASSESSMENTS!E:E,"Accounting"),1),""))</f>
        <v/>
      </c>
      <c r="K10" s="4">
        <f>IF(A10="","",IFERROR(ROUND(AVERAGEIFS(ASSESSMENTS!H:H,ASSESSMENTS!B:B,A10,ASSESSMENTS!E:E,"English"),1),""))</f>
        <v/>
      </c>
      <c r="L10" s="5">
        <f>IF(A10="","",IFERROR(XLOOKUP(A10,ATTENDANCE_SUMMARY!A:A,ATTENDANCE_SUMMARY!G:G,""),""))</f>
        <v/>
      </c>
      <c r="M10" s="4">
        <f>IF(A10="","",IF(OR(E10&lt;50,AND(L10&lt;0.75,L10&lt;&gt;"" )),"At Risk","On Track"))</f>
        <v/>
      </c>
    </row>
    <row r="11">
      <c r="A11">
        <f>IF(MASTER_REGISTER!E11="","",MASTER_REGISTER!E11)</f>
        <v/>
      </c>
      <c r="B11">
        <f>IF(A11="","",MASTER_REGISTER!F11)</f>
        <v/>
      </c>
      <c r="C11">
        <f>IF(A11="","",MASTER_REGISTER!C11)</f>
        <v/>
      </c>
      <c r="D11">
        <f>IF(A11="","",COUNTIF(ASSESSMENTS!B:B,A11))</f>
        <v/>
      </c>
      <c r="E11" s="4">
        <f>IF(D11=0,"",ROUND(AVERAGEIF(ASSESSMENTS!B:B,A11,ASSESSMENTS!H:H),1))</f>
        <v/>
      </c>
      <c r="F11" s="4">
        <f>IF(A11="","",IFERROR(ROUND(AVERAGEIFS(ASSESSMENTS!H:H,ASSESSMENTS!B:B,A11,ASSESSMENTS!E:E,"Mathematics"),1),""))</f>
        <v/>
      </c>
      <c r="G11" s="4">
        <f>IF(A11="","",IFERROR(ROUND(AVERAGEIFS(ASSESSMENTS!H:H,ASSESSMENTS!B:B,A11,ASSESSMENTS!E:E,"Mathematical Literacy"),1),""))</f>
        <v/>
      </c>
      <c r="H11" s="4">
        <f>IF(A11="","",IFERROR(ROUND(AVERAGEIFS(ASSESSMENTS!H:H,ASSESSMENTS!B:B,A11,ASSESSMENTS!E:E,"Physical Sciences"),1),""))</f>
        <v/>
      </c>
      <c r="I11" s="4">
        <f>IF(A11="","",IFERROR(ROUND(AVERAGEIFS(ASSESSMENTS!H:H,ASSESSMENTS!B:B,A11,ASSESSMENTS!E:E,"Geography"),1),""))</f>
        <v/>
      </c>
      <c r="J11" s="4">
        <f>IF(A11="","",IFERROR(ROUND(AVERAGEIFS(ASSESSMENTS!H:H,ASSESSMENTS!B:B,A11,ASSESSMENTS!E:E,"Accounting"),1),""))</f>
        <v/>
      </c>
      <c r="K11" s="4">
        <f>IF(A11="","",IFERROR(ROUND(AVERAGEIFS(ASSESSMENTS!H:H,ASSESSMENTS!B:B,A11,ASSESSMENTS!E:E,"English"),1),""))</f>
        <v/>
      </c>
      <c r="L11" s="5">
        <f>IF(A11="","",IFERROR(XLOOKUP(A11,ATTENDANCE_SUMMARY!A:A,ATTENDANCE_SUMMARY!G:G,""),""))</f>
        <v/>
      </c>
      <c r="M11" s="4">
        <f>IF(A11="","",IF(OR(E11&lt;50,AND(L11&lt;0.75,L11&lt;&gt;"" )),"At Risk","On Track"))</f>
        <v/>
      </c>
    </row>
    <row r="12">
      <c r="A12">
        <f>IF(MASTER_REGISTER!E12="","",MASTER_REGISTER!E12)</f>
        <v/>
      </c>
      <c r="B12">
        <f>IF(A12="","",MASTER_REGISTER!F12)</f>
        <v/>
      </c>
      <c r="C12">
        <f>IF(A12="","",MASTER_REGISTER!C12)</f>
        <v/>
      </c>
      <c r="D12">
        <f>IF(A12="","",COUNTIF(ASSESSMENTS!B:B,A12))</f>
        <v/>
      </c>
      <c r="E12" s="4">
        <f>IF(D12=0,"",ROUND(AVERAGEIF(ASSESSMENTS!B:B,A12,ASSESSMENTS!H:H),1))</f>
        <v/>
      </c>
      <c r="F12" s="4">
        <f>IF(A12="","",IFERROR(ROUND(AVERAGEIFS(ASSESSMENTS!H:H,ASSESSMENTS!B:B,A12,ASSESSMENTS!E:E,"Mathematics"),1),""))</f>
        <v/>
      </c>
      <c r="G12" s="4">
        <f>IF(A12="","",IFERROR(ROUND(AVERAGEIFS(ASSESSMENTS!H:H,ASSESSMENTS!B:B,A12,ASSESSMENTS!E:E,"Mathematical Literacy"),1),""))</f>
        <v/>
      </c>
      <c r="H12" s="4">
        <f>IF(A12="","",IFERROR(ROUND(AVERAGEIFS(ASSESSMENTS!H:H,ASSESSMENTS!B:B,A12,ASSESSMENTS!E:E,"Physical Sciences"),1),""))</f>
        <v/>
      </c>
      <c r="I12" s="4">
        <f>IF(A12="","",IFERROR(ROUND(AVERAGEIFS(ASSESSMENTS!H:H,ASSESSMENTS!B:B,A12,ASSESSMENTS!E:E,"Geography"),1),""))</f>
        <v/>
      </c>
      <c r="J12" s="4">
        <f>IF(A12="","",IFERROR(ROUND(AVERAGEIFS(ASSESSMENTS!H:H,ASSESSMENTS!B:B,A12,ASSESSMENTS!E:E,"Accounting"),1),""))</f>
        <v/>
      </c>
      <c r="K12" s="4">
        <f>IF(A12="","",IFERROR(ROUND(AVERAGEIFS(ASSESSMENTS!H:H,ASSESSMENTS!B:B,A12,ASSESSMENTS!E:E,"English"),1),""))</f>
        <v/>
      </c>
      <c r="L12" s="5">
        <f>IF(A12="","",IFERROR(XLOOKUP(A12,ATTENDANCE_SUMMARY!A:A,ATTENDANCE_SUMMARY!G:G,""),""))</f>
        <v/>
      </c>
      <c r="M12" s="4">
        <f>IF(A12="","",IF(OR(E12&lt;50,AND(L12&lt;0.75,L12&lt;&gt;"" )),"At Risk","On Track"))</f>
        <v/>
      </c>
    </row>
    <row r="13">
      <c r="A13">
        <f>IF(MASTER_REGISTER!E13="","",MASTER_REGISTER!E13)</f>
        <v/>
      </c>
      <c r="B13">
        <f>IF(A13="","",MASTER_REGISTER!F13)</f>
        <v/>
      </c>
      <c r="C13">
        <f>IF(A13="","",MASTER_REGISTER!C13)</f>
        <v/>
      </c>
      <c r="D13">
        <f>IF(A13="","",COUNTIF(ASSESSMENTS!B:B,A13))</f>
        <v/>
      </c>
      <c r="E13" s="4">
        <f>IF(D13=0,"",ROUND(AVERAGEIF(ASSESSMENTS!B:B,A13,ASSESSMENTS!H:H),1))</f>
        <v/>
      </c>
      <c r="F13" s="4">
        <f>IF(A13="","",IFERROR(ROUND(AVERAGEIFS(ASSESSMENTS!H:H,ASSESSMENTS!B:B,A13,ASSESSMENTS!E:E,"Mathematics"),1),""))</f>
        <v/>
      </c>
      <c r="G13" s="4">
        <f>IF(A13="","",IFERROR(ROUND(AVERAGEIFS(ASSESSMENTS!H:H,ASSESSMENTS!B:B,A13,ASSESSMENTS!E:E,"Mathematical Literacy"),1),""))</f>
        <v/>
      </c>
      <c r="H13" s="4">
        <f>IF(A13="","",IFERROR(ROUND(AVERAGEIFS(ASSESSMENTS!H:H,ASSESSMENTS!B:B,A13,ASSESSMENTS!E:E,"Physical Sciences"),1),""))</f>
        <v/>
      </c>
      <c r="I13" s="4">
        <f>IF(A13="","",IFERROR(ROUND(AVERAGEIFS(ASSESSMENTS!H:H,ASSESSMENTS!B:B,A13,ASSESSMENTS!E:E,"Geography"),1),""))</f>
        <v/>
      </c>
      <c r="J13" s="4">
        <f>IF(A13="","",IFERROR(ROUND(AVERAGEIFS(ASSESSMENTS!H:H,ASSESSMENTS!B:B,A13,ASSESSMENTS!E:E,"Accounting"),1),""))</f>
        <v/>
      </c>
      <c r="K13" s="4">
        <f>IF(A13="","",IFERROR(ROUND(AVERAGEIFS(ASSESSMENTS!H:H,ASSESSMENTS!B:B,A13,ASSESSMENTS!E:E,"English"),1),""))</f>
        <v/>
      </c>
      <c r="L13" s="5">
        <f>IF(A13="","",IFERROR(XLOOKUP(A13,ATTENDANCE_SUMMARY!A:A,ATTENDANCE_SUMMARY!G:G,""),""))</f>
        <v/>
      </c>
      <c r="M13" s="4">
        <f>IF(A13="","",IF(OR(E13&lt;50,AND(L13&lt;0.75,L13&lt;&gt;"" )),"At Risk","On Track"))</f>
        <v/>
      </c>
    </row>
    <row r="14">
      <c r="A14">
        <f>IF(MASTER_REGISTER!E14="","",MASTER_REGISTER!E14)</f>
        <v/>
      </c>
      <c r="B14">
        <f>IF(A14="","",MASTER_REGISTER!F14)</f>
        <v/>
      </c>
      <c r="C14">
        <f>IF(A14="","",MASTER_REGISTER!C14)</f>
        <v/>
      </c>
      <c r="D14">
        <f>IF(A14="","",COUNTIF(ASSESSMENTS!B:B,A14))</f>
        <v/>
      </c>
      <c r="E14" s="4">
        <f>IF(D14=0,"",ROUND(AVERAGEIF(ASSESSMENTS!B:B,A14,ASSESSMENTS!H:H),1))</f>
        <v/>
      </c>
      <c r="F14" s="4">
        <f>IF(A14="","",IFERROR(ROUND(AVERAGEIFS(ASSESSMENTS!H:H,ASSESSMENTS!B:B,A14,ASSESSMENTS!E:E,"Mathematics"),1),""))</f>
        <v/>
      </c>
      <c r="G14" s="4">
        <f>IF(A14="","",IFERROR(ROUND(AVERAGEIFS(ASSESSMENTS!H:H,ASSESSMENTS!B:B,A14,ASSESSMENTS!E:E,"Mathematical Literacy"),1),""))</f>
        <v/>
      </c>
      <c r="H14" s="4">
        <f>IF(A14="","",IFERROR(ROUND(AVERAGEIFS(ASSESSMENTS!H:H,ASSESSMENTS!B:B,A14,ASSESSMENTS!E:E,"Physical Sciences"),1),""))</f>
        <v/>
      </c>
      <c r="I14" s="4">
        <f>IF(A14="","",IFERROR(ROUND(AVERAGEIFS(ASSESSMENTS!H:H,ASSESSMENTS!B:B,A14,ASSESSMENTS!E:E,"Geography"),1),""))</f>
        <v/>
      </c>
      <c r="J14" s="4">
        <f>IF(A14="","",IFERROR(ROUND(AVERAGEIFS(ASSESSMENTS!H:H,ASSESSMENTS!B:B,A14,ASSESSMENTS!E:E,"Accounting"),1),""))</f>
        <v/>
      </c>
      <c r="K14" s="4">
        <f>IF(A14="","",IFERROR(ROUND(AVERAGEIFS(ASSESSMENTS!H:H,ASSESSMENTS!B:B,A14,ASSESSMENTS!E:E,"English"),1),""))</f>
        <v/>
      </c>
      <c r="L14" s="5">
        <f>IF(A14="","",IFERROR(XLOOKUP(A14,ATTENDANCE_SUMMARY!A:A,ATTENDANCE_SUMMARY!G:G,""),""))</f>
        <v/>
      </c>
      <c r="M14" s="4">
        <f>IF(A14="","",IF(OR(E14&lt;50,AND(L14&lt;0.75,L14&lt;&gt;"" )),"At Risk","On Track"))</f>
        <v/>
      </c>
    </row>
    <row r="15">
      <c r="A15">
        <f>IF(MASTER_REGISTER!E15="","",MASTER_REGISTER!E15)</f>
        <v/>
      </c>
      <c r="B15">
        <f>IF(A15="","",MASTER_REGISTER!F15)</f>
        <v/>
      </c>
      <c r="C15">
        <f>IF(A15="","",MASTER_REGISTER!C15)</f>
        <v/>
      </c>
      <c r="D15">
        <f>IF(A15="","",COUNTIF(ASSESSMENTS!B:B,A15))</f>
        <v/>
      </c>
      <c r="E15" s="4">
        <f>IF(D15=0,"",ROUND(AVERAGEIF(ASSESSMENTS!B:B,A15,ASSESSMENTS!H:H),1))</f>
        <v/>
      </c>
      <c r="F15" s="4">
        <f>IF(A15="","",IFERROR(ROUND(AVERAGEIFS(ASSESSMENTS!H:H,ASSESSMENTS!B:B,A15,ASSESSMENTS!E:E,"Mathematics"),1),""))</f>
        <v/>
      </c>
      <c r="G15" s="4">
        <f>IF(A15="","",IFERROR(ROUND(AVERAGEIFS(ASSESSMENTS!H:H,ASSESSMENTS!B:B,A15,ASSESSMENTS!E:E,"Mathematical Literacy"),1),""))</f>
        <v/>
      </c>
      <c r="H15" s="4">
        <f>IF(A15="","",IFERROR(ROUND(AVERAGEIFS(ASSESSMENTS!H:H,ASSESSMENTS!B:B,A15,ASSESSMENTS!E:E,"Physical Sciences"),1),""))</f>
        <v/>
      </c>
      <c r="I15" s="4">
        <f>IF(A15="","",IFERROR(ROUND(AVERAGEIFS(ASSESSMENTS!H:H,ASSESSMENTS!B:B,A15,ASSESSMENTS!E:E,"Geography"),1),""))</f>
        <v/>
      </c>
      <c r="J15" s="4">
        <f>IF(A15="","",IFERROR(ROUND(AVERAGEIFS(ASSESSMENTS!H:H,ASSESSMENTS!B:B,A15,ASSESSMENTS!E:E,"Accounting"),1),""))</f>
        <v/>
      </c>
      <c r="K15" s="4">
        <f>IF(A15="","",IFERROR(ROUND(AVERAGEIFS(ASSESSMENTS!H:H,ASSESSMENTS!B:B,A15,ASSESSMENTS!E:E,"English"),1),""))</f>
        <v/>
      </c>
      <c r="L15" s="5">
        <f>IF(A15="","",IFERROR(XLOOKUP(A15,ATTENDANCE_SUMMARY!A:A,ATTENDANCE_SUMMARY!G:G,""),""))</f>
        <v/>
      </c>
      <c r="M15" s="4">
        <f>IF(A15="","",IF(OR(E15&lt;50,AND(L15&lt;0.75,L15&lt;&gt;"" )),"At Risk","On Track"))</f>
        <v/>
      </c>
    </row>
    <row r="16">
      <c r="A16">
        <f>IF(MASTER_REGISTER!E16="","",MASTER_REGISTER!E16)</f>
        <v/>
      </c>
      <c r="B16">
        <f>IF(A16="","",MASTER_REGISTER!F16)</f>
        <v/>
      </c>
      <c r="C16">
        <f>IF(A16="","",MASTER_REGISTER!C16)</f>
        <v/>
      </c>
      <c r="D16">
        <f>IF(A16="","",COUNTIF(ASSESSMENTS!B:B,A16))</f>
        <v/>
      </c>
      <c r="E16" s="4">
        <f>IF(D16=0,"",ROUND(AVERAGEIF(ASSESSMENTS!B:B,A16,ASSESSMENTS!H:H),1))</f>
        <v/>
      </c>
      <c r="F16" s="4">
        <f>IF(A16="","",IFERROR(ROUND(AVERAGEIFS(ASSESSMENTS!H:H,ASSESSMENTS!B:B,A16,ASSESSMENTS!E:E,"Mathematics"),1),""))</f>
        <v/>
      </c>
      <c r="G16" s="4">
        <f>IF(A16="","",IFERROR(ROUND(AVERAGEIFS(ASSESSMENTS!H:H,ASSESSMENTS!B:B,A16,ASSESSMENTS!E:E,"Mathematical Literacy"),1),""))</f>
        <v/>
      </c>
      <c r="H16" s="4">
        <f>IF(A16="","",IFERROR(ROUND(AVERAGEIFS(ASSESSMENTS!H:H,ASSESSMENTS!B:B,A16,ASSESSMENTS!E:E,"Physical Sciences"),1),""))</f>
        <v/>
      </c>
      <c r="I16" s="4">
        <f>IF(A16="","",IFERROR(ROUND(AVERAGEIFS(ASSESSMENTS!H:H,ASSESSMENTS!B:B,A16,ASSESSMENTS!E:E,"Geography"),1),""))</f>
        <v/>
      </c>
      <c r="J16" s="4">
        <f>IF(A16="","",IFERROR(ROUND(AVERAGEIFS(ASSESSMENTS!H:H,ASSESSMENTS!B:B,A16,ASSESSMENTS!E:E,"Accounting"),1),""))</f>
        <v/>
      </c>
      <c r="K16" s="4">
        <f>IF(A16="","",IFERROR(ROUND(AVERAGEIFS(ASSESSMENTS!H:H,ASSESSMENTS!B:B,A16,ASSESSMENTS!E:E,"English"),1),""))</f>
        <v/>
      </c>
      <c r="L16" s="5">
        <f>IF(A16="","",IFERROR(XLOOKUP(A16,ATTENDANCE_SUMMARY!A:A,ATTENDANCE_SUMMARY!G:G,""),""))</f>
        <v/>
      </c>
      <c r="M16" s="4">
        <f>IF(A16="","",IF(OR(E16&lt;50,AND(L16&lt;0.75,L16&lt;&gt;"" )),"At Risk","On Track"))</f>
        <v/>
      </c>
    </row>
    <row r="17">
      <c r="A17">
        <f>IF(MASTER_REGISTER!E17="","",MASTER_REGISTER!E17)</f>
        <v/>
      </c>
      <c r="B17">
        <f>IF(A17="","",MASTER_REGISTER!F17)</f>
        <v/>
      </c>
      <c r="C17">
        <f>IF(A17="","",MASTER_REGISTER!C17)</f>
        <v/>
      </c>
      <c r="D17">
        <f>IF(A17="","",COUNTIF(ASSESSMENTS!B:B,A17))</f>
        <v/>
      </c>
      <c r="E17" s="4">
        <f>IF(D17=0,"",ROUND(AVERAGEIF(ASSESSMENTS!B:B,A17,ASSESSMENTS!H:H),1))</f>
        <v/>
      </c>
      <c r="F17" s="4">
        <f>IF(A17="","",IFERROR(ROUND(AVERAGEIFS(ASSESSMENTS!H:H,ASSESSMENTS!B:B,A17,ASSESSMENTS!E:E,"Mathematics"),1),""))</f>
        <v/>
      </c>
      <c r="G17" s="4">
        <f>IF(A17="","",IFERROR(ROUND(AVERAGEIFS(ASSESSMENTS!H:H,ASSESSMENTS!B:B,A17,ASSESSMENTS!E:E,"Mathematical Literacy"),1),""))</f>
        <v/>
      </c>
      <c r="H17" s="4">
        <f>IF(A17="","",IFERROR(ROUND(AVERAGEIFS(ASSESSMENTS!H:H,ASSESSMENTS!B:B,A17,ASSESSMENTS!E:E,"Physical Sciences"),1),""))</f>
        <v/>
      </c>
      <c r="I17" s="4">
        <f>IF(A17="","",IFERROR(ROUND(AVERAGEIFS(ASSESSMENTS!H:H,ASSESSMENTS!B:B,A17,ASSESSMENTS!E:E,"Geography"),1),""))</f>
        <v/>
      </c>
      <c r="J17" s="4">
        <f>IF(A17="","",IFERROR(ROUND(AVERAGEIFS(ASSESSMENTS!H:H,ASSESSMENTS!B:B,A17,ASSESSMENTS!E:E,"Accounting"),1),""))</f>
        <v/>
      </c>
      <c r="K17" s="4">
        <f>IF(A17="","",IFERROR(ROUND(AVERAGEIFS(ASSESSMENTS!H:H,ASSESSMENTS!B:B,A17,ASSESSMENTS!E:E,"English"),1),""))</f>
        <v/>
      </c>
      <c r="L17" s="5">
        <f>IF(A17="","",IFERROR(XLOOKUP(A17,ATTENDANCE_SUMMARY!A:A,ATTENDANCE_SUMMARY!G:G,""),""))</f>
        <v/>
      </c>
      <c r="M17" s="4">
        <f>IF(A17="","",IF(OR(E17&lt;50,AND(L17&lt;0.75,L17&lt;&gt;"" )),"At Risk","On Track"))</f>
        <v/>
      </c>
    </row>
    <row r="18">
      <c r="A18">
        <f>IF(MASTER_REGISTER!E18="","",MASTER_REGISTER!E18)</f>
        <v/>
      </c>
      <c r="B18">
        <f>IF(A18="","",MASTER_REGISTER!F18)</f>
        <v/>
      </c>
      <c r="C18">
        <f>IF(A18="","",MASTER_REGISTER!C18)</f>
        <v/>
      </c>
      <c r="D18">
        <f>IF(A18="","",COUNTIF(ASSESSMENTS!B:B,A18))</f>
        <v/>
      </c>
      <c r="E18" s="4">
        <f>IF(D18=0,"",ROUND(AVERAGEIF(ASSESSMENTS!B:B,A18,ASSESSMENTS!H:H),1))</f>
        <v/>
      </c>
      <c r="F18" s="4">
        <f>IF(A18="","",IFERROR(ROUND(AVERAGEIFS(ASSESSMENTS!H:H,ASSESSMENTS!B:B,A18,ASSESSMENTS!E:E,"Mathematics"),1),""))</f>
        <v/>
      </c>
      <c r="G18" s="4">
        <f>IF(A18="","",IFERROR(ROUND(AVERAGEIFS(ASSESSMENTS!H:H,ASSESSMENTS!B:B,A18,ASSESSMENTS!E:E,"Mathematical Literacy"),1),""))</f>
        <v/>
      </c>
      <c r="H18" s="4">
        <f>IF(A18="","",IFERROR(ROUND(AVERAGEIFS(ASSESSMENTS!H:H,ASSESSMENTS!B:B,A18,ASSESSMENTS!E:E,"Physical Sciences"),1),""))</f>
        <v/>
      </c>
      <c r="I18" s="4">
        <f>IF(A18="","",IFERROR(ROUND(AVERAGEIFS(ASSESSMENTS!H:H,ASSESSMENTS!B:B,A18,ASSESSMENTS!E:E,"Geography"),1),""))</f>
        <v/>
      </c>
      <c r="J18" s="4">
        <f>IF(A18="","",IFERROR(ROUND(AVERAGEIFS(ASSESSMENTS!H:H,ASSESSMENTS!B:B,A18,ASSESSMENTS!E:E,"Accounting"),1),""))</f>
        <v/>
      </c>
      <c r="K18" s="4">
        <f>IF(A18="","",IFERROR(ROUND(AVERAGEIFS(ASSESSMENTS!H:H,ASSESSMENTS!B:B,A18,ASSESSMENTS!E:E,"English"),1),""))</f>
        <v/>
      </c>
      <c r="L18" s="5">
        <f>IF(A18="","",IFERROR(XLOOKUP(A18,ATTENDANCE_SUMMARY!A:A,ATTENDANCE_SUMMARY!G:G,""),""))</f>
        <v/>
      </c>
      <c r="M18" s="4">
        <f>IF(A18="","",IF(OR(E18&lt;50,AND(L18&lt;0.75,L18&lt;&gt;"" )),"At Risk","On Track"))</f>
        <v/>
      </c>
    </row>
    <row r="19">
      <c r="A19">
        <f>IF(MASTER_REGISTER!E19="","",MASTER_REGISTER!E19)</f>
        <v/>
      </c>
      <c r="B19">
        <f>IF(A19="","",MASTER_REGISTER!F19)</f>
        <v/>
      </c>
      <c r="C19">
        <f>IF(A19="","",MASTER_REGISTER!C19)</f>
        <v/>
      </c>
      <c r="D19">
        <f>IF(A19="","",COUNTIF(ASSESSMENTS!B:B,A19))</f>
        <v/>
      </c>
      <c r="E19" s="4">
        <f>IF(D19=0,"",ROUND(AVERAGEIF(ASSESSMENTS!B:B,A19,ASSESSMENTS!H:H),1))</f>
        <v/>
      </c>
      <c r="F19" s="4">
        <f>IF(A19="","",IFERROR(ROUND(AVERAGEIFS(ASSESSMENTS!H:H,ASSESSMENTS!B:B,A19,ASSESSMENTS!E:E,"Mathematics"),1),""))</f>
        <v/>
      </c>
      <c r="G19" s="4">
        <f>IF(A19="","",IFERROR(ROUND(AVERAGEIFS(ASSESSMENTS!H:H,ASSESSMENTS!B:B,A19,ASSESSMENTS!E:E,"Mathematical Literacy"),1),""))</f>
        <v/>
      </c>
      <c r="H19" s="4">
        <f>IF(A19="","",IFERROR(ROUND(AVERAGEIFS(ASSESSMENTS!H:H,ASSESSMENTS!B:B,A19,ASSESSMENTS!E:E,"Physical Sciences"),1),""))</f>
        <v/>
      </c>
      <c r="I19" s="4">
        <f>IF(A19="","",IFERROR(ROUND(AVERAGEIFS(ASSESSMENTS!H:H,ASSESSMENTS!B:B,A19,ASSESSMENTS!E:E,"Geography"),1),""))</f>
        <v/>
      </c>
      <c r="J19" s="4">
        <f>IF(A19="","",IFERROR(ROUND(AVERAGEIFS(ASSESSMENTS!H:H,ASSESSMENTS!B:B,A19,ASSESSMENTS!E:E,"Accounting"),1),""))</f>
        <v/>
      </c>
      <c r="K19" s="4">
        <f>IF(A19="","",IFERROR(ROUND(AVERAGEIFS(ASSESSMENTS!H:H,ASSESSMENTS!B:B,A19,ASSESSMENTS!E:E,"English"),1),""))</f>
        <v/>
      </c>
      <c r="L19" s="5">
        <f>IF(A19="","",IFERROR(XLOOKUP(A19,ATTENDANCE_SUMMARY!A:A,ATTENDANCE_SUMMARY!G:G,""),""))</f>
        <v/>
      </c>
      <c r="M19" s="4">
        <f>IF(A19="","",IF(OR(E19&lt;50,AND(L19&lt;0.75,L19&lt;&gt;"" )),"At Risk","On Track"))</f>
        <v/>
      </c>
    </row>
    <row r="20">
      <c r="A20">
        <f>IF(MASTER_REGISTER!E20="","",MASTER_REGISTER!E20)</f>
        <v/>
      </c>
      <c r="B20">
        <f>IF(A20="","",MASTER_REGISTER!F20)</f>
        <v/>
      </c>
      <c r="C20">
        <f>IF(A20="","",MASTER_REGISTER!C20)</f>
        <v/>
      </c>
      <c r="D20">
        <f>IF(A20="","",COUNTIF(ASSESSMENTS!B:B,A20))</f>
        <v/>
      </c>
      <c r="E20" s="4">
        <f>IF(D20=0,"",ROUND(AVERAGEIF(ASSESSMENTS!B:B,A20,ASSESSMENTS!H:H),1))</f>
        <v/>
      </c>
      <c r="F20" s="4">
        <f>IF(A20="","",IFERROR(ROUND(AVERAGEIFS(ASSESSMENTS!H:H,ASSESSMENTS!B:B,A20,ASSESSMENTS!E:E,"Mathematics"),1),""))</f>
        <v/>
      </c>
      <c r="G20" s="4">
        <f>IF(A20="","",IFERROR(ROUND(AVERAGEIFS(ASSESSMENTS!H:H,ASSESSMENTS!B:B,A20,ASSESSMENTS!E:E,"Mathematical Literacy"),1),""))</f>
        <v/>
      </c>
      <c r="H20" s="4">
        <f>IF(A20="","",IFERROR(ROUND(AVERAGEIFS(ASSESSMENTS!H:H,ASSESSMENTS!B:B,A20,ASSESSMENTS!E:E,"Physical Sciences"),1),""))</f>
        <v/>
      </c>
      <c r="I20" s="4">
        <f>IF(A20="","",IFERROR(ROUND(AVERAGEIFS(ASSESSMENTS!H:H,ASSESSMENTS!B:B,A20,ASSESSMENTS!E:E,"Geography"),1),""))</f>
        <v/>
      </c>
      <c r="J20" s="4">
        <f>IF(A20="","",IFERROR(ROUND(AVERAGEIFS(ASSESSMENTS!H:H,ASSESSMENTS!B:B,A20,ASSESSMENTS!E:E,"Accounting"),1),""))</f>
        <v/>
      </c>
      <c r="K20" s="4">
        <f>IF(A20="","",IFERROR(ROUND(AVERAGEIFS(ASSESSMENTS!H:H,ASSESSMENTS!B:B,A20,ASSESSMENTS!E:E,"English"),1),""))</f>
        <v/>
      </c>
      <c r="L20" s="5">
        <f>IF(A20="","",IFERROR(XLOOKUP(A20,ATTENDANCE_SUMMARY!A:A,ATTENDANCE_SUMMARY!G:G,""),""))</f>
        <v/>
      </c>
      <c r="M20" s="4">
        <f>IF(A20="","",IF(OR(E20&lt;50,AND(L20&lt;0.75,L20&lt;&gt;"" )),"At Risk","On Track"))</f>
        <v/>
      </c>
    </row>
    <row r="21">
      <c r="A21">
        <f>IF(MASTER_REGISTER!E21="","",MASTER_REGISTER!E21)</f>
        <v/>
      </c>
      <c r="B21">
        <f>IF(A21="","",MASTER_REGISTER!F21)</f>
        <v/>
      </c>
      <c r="C21">
        <f>IF(A21="","",MASTER_REGISTER!C21)</f>
        <v/>
      </c>
      <c r="D21">
        <f>IF(A21="","",COUNTIF(ASSESSMENTS!B:B,A21))</f>
        <v/>
      </c>
      <c r="E21" s="4">
        <f>IF(D21=0,"",ROUND(AVERAGEIF(ASSESSMENTS!B:B,A21,ASSESSMENTS!H:H),1))</f>
        <v/>
      </c>
      <c r="F21" s="4">
        <f>IF(A21="","",IFERROR(ROUND(AVERAGEIFS(ASSESSMENTS!H:H,ASSESSMENTS!B:B,A21,ASSESSMENTS!E:E,"Mathematics"),1),""))</f>
        <v/>
      </c>
      <c r="G21" s="4">
        <f>IF(A21="","",IFERROR(ROUND(AVERAGEIFS(ASSESSMENTS!H:H,ASSESSMENTS!B:B,A21,ASSESSMENTS!E:E,"Mathematical Literacy"),1),""))</f>
        <v/>
      </c>
      <c r="H21" s="4">
        <f>IF(A21="","",IFERROR(ROUND(AVERAGEIFS(ASSESSMENTS!H:H,ASSESSMENTS!B:B,A21,ASSESSMENTS!E:E,"Physical Sciences"),1),""))</f>
        <v/>
      </c>
      <c r="I21" s="4">
        <f>IF(A21="","",IFERROR(ROUND(AVERAGEIFS(ASSESSMENTS!H:H,ASSESSMENTS!B:B,A21,ASSESSMENTS!E:E,"Geography"),1),""))</f>
        <v/>
      </c>
      <c r="J21" s="4">
        <f>IF(A21="","",IFERROR(ROUND(AVERAGEIFS(ASSESSMENTS!H:H,ASSESSMENTS!B:B,A21,ASSESSMENTS!E:E,"Accounting"),1),""))</f>
        <v/>
      </c>
      <c r="K21" s="4">
        <f>IF(A21="","",IFERROR(ROUND(AVERAGEIFS(ASSESSMENTS!H:H,ASSESSMENTS!B:B,A21,ASSESSMENTS!E:E,"English"),1),""))</f>
        <v/>
      </c>
      <c r="L21" s="5">
        <f>IF(A21="","",IFERROR(XLOOKUP(A21,ATTENDANCE_SUMMARY!A:A,ATTENDANCE_SUMMARY!G:G,""),""))</f>
        <v/>
      </c>
      <c r="M21" s="4">
        <f>IF(A21="","",IF(OR(E21&lt;50,AND(L21&lt;0.75,L21&lt;&gt;"" )),"At Risk","On Track"))</f>
        <v/>
      </c>
    </row>
    <row r="22">
      <c r="A22">
        <f>IF(MASTER_REGISTER!E22="","",MASTER_REGISTER!E22)</f>
        <v/>
      </c>
      <c r="B22">
        <f>IF(A22="","",MASTER_REGISTER!F22)</f>
        <v/>
      </c>
      <c r="C22">
        <f>IF(A22="","",MASTER_REGISTER!C22)</f>
        <v/>
      </c>
      <c r="D22">
        <f>IF(A22="","",COUNTIF(ASSESSMENTS!B:B,A22))</f>
        <v/>
      </c>
      <c r="E22" s="4">
        <f>IF(D22=0,"",ROUND(AVERAGEIF(ASSESSMENTS!B:B,A22,ASSESSMENTS!H:H),1))</f>
        <v/>
      </c>
      <c r="F22" s="4">
        <f>IF(A22="","",IFERROR(ROUND(AVERAGEIFS(ASSESSMENTS!H:H,ASSESSMENTS!B:B,A22,ASSESSMENTS!E:E,"Mathematics"),1),""))</f>
        <v/>
      </c>
      <c r="G22" s="4">
        <f>IF(A22="","",IFERROR(ROUND(AVERAGEIFS(ASSESSMENTS!H:H,ASSESSMENTS!B:B,A22,ASSESSMENTS!E:E,"Mathematical Literacy"),1),""))</f>
        <v/>
      </c>
      <c r="H22" s="4">
        <f>IF(A22="","",IFERROR(ROUND(AVERAGEIFS(ASSESSMENTS!H:H,ASSESSMENTS!B:B,A22,ASSESSMENTS!E:E,"Physical Sciences"),1),""))</f>
        <v/>
      </c>
      <c r="I22" s="4">
        <f>IF(A22="","",IFERROR(ROUND(AVERAGEIFS(ASSESSMENTS!H:H,ASSESSMENTS!B:B,A22,ASSESSMENTS!E:E,"Geography"),1),""))</f>
        <v/>
      </c>
      <c r="J22" s="4">
        <f>IF(A22="","",IFERROR(ROUND(AVERAGEIFS(ASSESSMENTS!H:H,ASSESSMENTS!B:B,A22,ASSESSMENTS!E:E,"Accounting"),1),""))</f>
        <v/>
      </c>
      <c r="K22" s="4">
        <f>IF(A22="","",IFERROR(ROUND(AVERAGEIFS(ASSESSMENTS!H:H,ASSESSMENTS!B:B,A22,ASSESSMENTS!E:E,"English"),1),""))</f>
        <v/>
      </c>
      <c r="L22" s="5">
        <f>IF(A22="","",IFERROR(XLOOKUP(A22,ATTENDANCE_SUMMARY!A:A,ATTENDANCE_SUMMARY!G:G,""),""))</f>
        <v/>
      </c>
      <c r="M22" s="4">
        <f>IF(A22="","",IF(OR(E22&lt;50,AND(L22&lt;0.75,L22&lt;&gt;"" )),"At Risk","On Track"))</f>
        <v/>
      </c>
    </row>
    <row r="23">
      <c r="A23">
        <f>IF(MASTER_REGISTER!E23="","",MASTER_REGISTER!E23)</f>
        <v/>
      </c>
      <c r="B23">
        <f>IF(A23="","",MASTER_REGISTER!F23)</f>
        <v/>
      </c>
      <c r="C23">
        <f>IF(A23="","",MASTER_REGISTER!C23)</f>
        <v/>
      </c>
      <c r="D23">
        <f>IF(A23="","",COUNTIF(ASSESSMENTS!B:B,A23))</f>
        <v/>
      </c>
      <c r="E23" s="4">
        <f>IF(D23=0,"",ROUND(AVERAGEIF(ASSESSMENTS!B:B,A23,ASSESSMENTS!H:H),1))</f>
        <v/>
      </c>
      <c r="F23" s="4">
        <f>IF(A23="","",IFERROR(ROUND(AVERAGEIFS(ASSESSMENTS!H:H,ASSESSMENTS!B:B,A23,ASSESSMENTS!E:E,"Mathematics"),1),""))</f>
        <v/>
      </c>
      <c r="G23" s="4">
        <f>IF(A23="","",IFERROR(ROUND(AVERAGEIFS(ASSESSMENTS!H:H,ASSESSMENTS!B:B,A23,ASSESSMENTS!E:E,"Mathematical Literacy"),1),""))</f>
        <v/>
      </c>
      <c r="H23" s="4">
        <f>IF(A23="","",IFERROR(ROUND(AVERAGEIFS(ASSESSMENTS!H:H,ASSESSMENTS!B:B,A23,ASSESSMENTS!E:E,"Physical Sciences"),1),""))</f>
        <v/>
      </c>
      <c r="I23" s="4">
        <f>IF(A23="","",IFERROR(ROUND(AVERAGEIFS(ASSESSMENTS!H:H,ASSESSMENTS!B:B,A23,ASSESSMENTS!E:E,"Geography"),1),""))</f>
        <v/>
      </c>
      <c r="J23" s="4">
        <f>IF(A23="","",IFERROR(ROUND(AVERAGEIFS(ASSESSMENTS!H:H,ASSESSMENTS!B:B,A23,ASSESSMENTS!E:E,"Accounting"),1),""))</f>
        <v/>
      </c>
      <c r="K23" s="4">
        <f>IF(A23="","",IFERROR(ROUND(AVERAGEIFS(ASSESSMENTS!H:H,ASSESSMENTS!B:B,A23,ASSESSMENTS!E:E,"English"),1),""))</f>
        <v/>
      </c>
      <c r="L23" s="5">
        <f>IF(A23="","",IFERROR(XLOOKUP(A23,ATTENDANCE_SUMMARY!A:A,ATTENDANCE_SUMMARY!G:G,""),""))</f>
        <v/>
      </c>
      <c r="M23" s="4">
        <f>IF(A23="","",IF(OR(E23&lt;50,AND(L23&lt;0.75,L23&lt;&gt;"" )),"At Risk","On Track"))</f>
        <v/>
      </c>
    </row>
    <row r="24">
      <c r="A24">
        <f>IF(MASTER_REGISTER!E24="","",MASTER_REGISTER!E24)</f>
        <v/>
      </c>
      <c r="B24">
        <f>IF(A24="","",MASTER_REGISTER!F24)</f>
        <v/>
      </c>
      <c r="C24">
        <f>IF(A24="","",MASTER_REGISTER!C24)</f>
        <v/>
      </c>
      <c r="D24">
        <f>IF(A24="","",COUNTIF(ASSESSMENTS!B:B,A24))</f>
        <v/>
      </c>
      <c r="E24" s="4">
        <f>IF(D24=0,"",ROUND(AVERAGEIF(ASSESSMENTS!B:B,A24,ASSESSMENTS!H:H),1))</f>
        <v/>
      </c>
      <c r="F24" s="4">
        <f>IF(A24="","",IFERROR(ROUND(AVERAGEIFS(ASSESSMENTS!H:H,ASSESSMENTS!B:B,A24,ASSESSMENTS!E:E,"Mathematics"),1),""))</f>
        <v/>
      </c>
      <c r="G24" s="4">
        <f>IF(A24="","",IFERROR(ROUND(AVERAGEIFS(ASSESSMENTS!H:H,ASSESSMENTS!B:B,A24,ASSESSMENTS!E:E,"Mathematical Literacy"),1),""))</f>
        <v/>
      </c>
      <c r="H24" s="4">
        <f>IF(A24="","",IFERROR(ROUND(AVERAGEIFS(ASSESSMENTS!H:H,ASSESSMENTS!B:B,A24,ASSESSMENTS!E:E,"Physical Sciences"),1),""))</f>
        <v/>
      </c>
      <c r="I24" s="4">
        <f>IF(A24="","",IFERROR(ROUND(AVERAGEIFS(ASSESSMENTS!H:H,ASSESSMENTS!B:B,A24,ASSESSMENTS!E:E,"Geography"),1),""))</f>
        <v/>
      </c>
      <c r="J24" s="4">
        <f>IF(A24="","",IFERROR(ROUND(AVERAGEIFS(ASSESSMENTS!H:H,ASSESSMENTS!B:B,A24,ASSESSMENTS!E:E,"Accounting"),1),""))</f>
        <v/>
      </c>
      <c r="K24" s="4">
        <f>IF(A24="","",IFERROR(ROUND(AVERAGEIFS(ASSESSMENTS!H:H,ASSESSMENTS!B:B,A24,ASSESSMENTS!E:E,"English"),1),""))</f>
        <v/>
      </c>
      <c r="L24" s="5">
        <f>IF(A24="","",IFERROR(XLOOKUP(A24,ATTENDANCE_SUMMARY!A:A,ATTENDANCE_SUMMARY!G:G,""),""))</f>
        <v/>
      </c>
      <c r="M24" s="4">
        <f>IF(A24="","",IF(OR(E24&lt;50,AND(L24&lt;0.75,L24&lt;&gt;"" )),"At Risk","On Track"))</f>
        <v/>
      </c>
    </row>
    <row r="25">
      <c r="A25">
        <f>IF(MASTER_REGISTER!E25="","",MASTER_REGISTER!E25)</f>
        <v/>
      </c>
      <c r="B25">
        <f>IF(A25="","",MASTER_REGISTER!F25)</f>
        <v/>
      </c>
      <c r="C25">
        <f>IF(A25="","",MASTER_REGISTER!C25)</f>
        <v/>
      </c>
      <c r="D25">
        <f>IF(A25="","",COUNTIF(ASSESSMENTS!B:B,A25))</f>
        <v/>
      </c>
      <c r="E25" s="4">
        <f>IF(D25=0,"",ROUND(AVERAGEIF(ASSESSMENTS!B:B,A25,ASSESSMENTS!H:H),1))</f>
        <v/>
      </c>
      <c r="F25" s="4">
        <f>IF(A25="","",IFERROR(ROUND(AVERAGEIFS(ASSESSMENTS!H:H,ASSESSMENTS!B:B,A25,ASSESSMENTS!E:E,"Mathematics"),1),""))</f>
        <v/>
      </c>
      <c r="G25" s="4">
        <f>IF(A25="","",IFERROR(ROUND(AVERAGEIFS(ASSESSMENTS!H:H,ASSESSMENTS!B:B,A25,ASSESSMENTS!E:E,"Mathematical Literacy"),1),""))</f>
        <v/>
      </c>
      <c r="H25" s="4">
        <f>IF(A25="","",IFERROR(ROUND(AVERAGEIFS(ASSESSMENTS!H:H,ASSESSMENTS!B:B,A25,ASSESSMENTS!E:E,"Physical Sciences"),1),""))</f>
        <v/>
      </c>
      <c r="I25" s="4">
        <f>IF(A25="","",IFERROR(ROUND(AVERAGEIFS(ASSESSMENTS!H:H,ASSESSMENTS!B:B,A25,ASSESSMENTS!E:E,"Geography"),1),""))</f>
        <v/>
      </c>
      <c r="J25" s="4">
        <f>IF(A25="","",IFERROR(ROUND(AVERAGEIFS(ASSESSMENTS!H:H,ASSESSMENTS!B:B,A25,ASSESSMENTS!E:E,"Accounting"),1),""))</f>
        <v/>
      </c>
      <c r="K25" s="4">
        <f>IF(A25="","",IFERROR(ROUND(AVERAGEIFS(ASSESSMENTS!H:H,ASSESSMENTS!B:B,A25,ASSESSMENTS!E:E,"English"),1),""))</f>
        <v/>
      </c>
      <c r="L25" s="5">
        <f>IF(A25="","",IFERROR(XLOOKUP(A25,ATTENDANCE_SUMMARY!A:A,ATTENDANCE_SUMMARY!G:G,""),""))</f>
        <v/>
      </c>
      <c r="M25" s="4">
        <f>IF(A25="","",IF(OR(E25&lt;50,AND(L25&lt;0.75,L25&lt;&gt;"" )),"At Risk","On Track"))</f>
        <v/>
      </c>
    </row>
    <row r="26">
      <c r="A26">
        <f>IF(MASTER_REGISTER!E26="","",MASTER_REGISTER!E26)</f>
        <v/>
      </c>
      <c r="B26">
        <f>IF(A26="","",MASTER_REGISTER!F26)</f>
        <v/>
      </c>
      <c r="C26">
        <f>IF(A26="","",MASTER_REGISTER!C26)</f>
        <v/>
      </c>
      <c r="D26">
        <f>IF(A26="","",COUNTIF(ASSESSMENTS!B:B,A26))</f>
        <v/>
      </c>
      <c r="E26" s="4">
        <f>IF(D26=0,"",ROUND(AVERAGEIF(ASSESSMENTS!B:B,A26,ASSESSMENTS!H:H),1))</f>
        <v/>
      </c>
      <c r="F26" s="4">
        <f>IF(A26="","",IFERROR(ROUND(AVERAGEIFS(ASSESSMENTS!H:H,ASSESSMENTS!B:B,A26,ASSESSMENTS!E:E,"Mathematics"),1),""))</f>
        <v/>
      </c>
      <c r="G26" s="4">
        <f>IF(A26="","",IFERROR(ROUND(AVERAGEIFS(ASSESSMENTS!H:H,ASSESSMENTS!B:B,A26,ASSESSMENTS!E:E,"Mathematical Literacy"),1),""))</f>
        <v/>
      </c>
      <c r="H26" s="4">
        <f>IF(A26="","",IFERROR(ROUND(AVERAGEIFS(ASSESSMENTS!H:H,ASSESSMENTS!B:B,A26,ASSESSMENTS!E:E,"Physical Sciences"),1),""))</f>
        <v/>
      </c>
      <c r="I26" s="4">
        <f>IF(A26="","",IFERROR(ROUND(AVERAGEIFS(ASSESSMENTS!H:H,ASSESSMENTS!B:B,A26,ASSESSMENTS!E:E,"Geography"),1),""))</f>
        <v/>
      </c>
      <c r="J26" s="4">
        <f>IF(A26="","",IFERROR(ROUND(AVERAGEIFS(ASSESSMENTS!H:H,ASSESSMENTS!B:B,A26,ASSESSMENTS!E:E,"Accounting"),1),""))</f>
        <v/>
      </c>
      <c r="K26" s="4">
        <f>IF(A26="","",IFERROR(ROUND(AVERAGEIFS(ASSESSMENTS!H:H,ASSESSMENTS!B:B,A26,ASSESSMENTS!E:E,"English"),1),""))</f>
        <v/>
      </c>
      <c r="L26" s="5">
        <f>IF(A26="","",IFERROR(XLOOKUP(A26,ATTENDANCE_SUMMARY!A:A,ATTENDANCE_SUMMARY!G:G,""),""))</f>
        <v/>
      </c>
      <c r="M26" s="4">
        <f>IF(A26="","",IF(OR(E26&lt;50,AND(L26&lt;0.75,L26&lt;&gt;"" )),"At Risk","On Track"))</f>
        <v/>
      </c>
    </row>
    <row r="27">
      <c r="A27">
        <f>IF(MASTER_REGISTER!E27="","",MASTER_REGISTER!E27)</f>
        <v/>
      </c>
      <c r="B27">
        <f>IF(A27="","",MASTER_REGISTER!F27)</f>
        <v/>
      </c>
      <c r="C27">
        <f>IF(A27="","",MASTER_REGISTER!C27)</f>
        <v/>
      </c>
      <c r="D27">
        <f>IF(A27="","",COUNTIF(ASSESSMENTS!B:B,A27))</f>
        <v/>
      </c>
      <c r="E27" s="4">
        <f>IF(D27=0,"",ROUND(AVERAGEIF(ASSESSMENTS!B:B,A27,ASSESSMENTS!H:H),1))</f>
        <v/>
      </c>
      <c r="F27" s="4">
        <f>IF(A27="","",IFERROR(ROUND(AVERAGEIFS(ASSESSMENTS!H:H,ASSESSMENTS!B:B,A27,ASSESSMENTS!E:E,"Mathematics"),1),""))</f>
        <v/>
      </c>
      <c r="G27" s="4">
        <f>IF(A27="","",IFERROR(ROUND(AVERAGEIFS(ASSESSMENTS!H:H,ASSESSMENTS!B:B,A27,ASSESSMENTS!E:E,"Mathematical Literacy"),1),""))</f>
        <v/>
      </c>
      <c r="H27" s="4">
        <f>IF(A27="","",IFERROR(ROUND(AVERAGEIFS(ASSESSMENTS!H:H,ASSESSMENTS!B:B,A27,ASSESSMENTS!E:E,"Physical Sciences"),1),""))</f>
        <v/>
      </c>
      <c r="I27" s="4">
        <f>IF(A27="","",IFERROR(ROUND(AVERAGEIFS(ASSESSMENTS!H:H,ASSESSMENTS!B:B,A27,ASSESSMENTS!E:E,"Geography"),1),""))</f>
        <v/>
      </c>
      <c r="J27" s="4">
        <f>IF(A27="","",IFERROR(ROUND(AVERAGEIFS(ASSESSMENTS!H:H,ASSESSMENTS!B:B,A27,ASSESSMENTS!E:E,"Accounting"),1),""))</f>
        <v/>
      </c>
      <c r="K27" s="4">
        <f>IF(A27="","",IFERROR(ROUND(AVERAGEIFS(ASSESSMENTS!H:H,ASSESSMENTS!B:B,A27,ASSESSMENTS!E:E,"English"),1),""))</f>
        <v/>
      </c>
      <c r="L27" s="5">
        <f>IF(A27="","",IFERROR(XLOOKUP(A27,ATTENDANCE_SUMMARY!A:A,ATTENDANCE_SUMMARY!G:G,""),""))</f>
        <v/>
      </c>
      <c r="M27" s="4">
        <f>IF(A27="","",IF(OR(E27&lt;50,AND(L27&lt;0.75,L27&lt;&gt;"" )),"At Risk","On Track"))</f>
        <v/>
      </c>
    </row>
    <row r="28">
      <c r="A28">
        <f>IF(MASTER_REGISTER!E28="","",MASTER_REGISTER!E28)</f>
        <v/>
      </c>
      <c r="B28">
        <f>IF(A28="","",MASTER_REGISTER!F28)</f>
        <v/>
      </c>
      <c r="C28">
        <f>IF(A28="","",MASTER_REGISTER!C28)</f>
        <v/>
      </c>
      <c r="D28">
        <f>IF(A28="","",COUNTIF(ASSESSMENTS!B:B,A28))</f>
        <v/>
      </c>
      <c r="E28" s="4">
        <f>IF(D28=0,"",ROUND(AVERAGEIF(ASSESSMENTS!B:B,A28,ASSESSMENTS!H:H),1))</f>
        <v/>
      </c>
      <c r="F28" s="4">
        <f>IF(A28="","",IFERROR(ROUND(AVERAGEIFS(ASSESSMENTS!H:H,ASSESSMENTS!B:B,A28,ASSESSMENTS!E:E,"Mathematics"),1),""))</f>
        <v/>
      </c>
      <c r="G28" s="4">
        <f>IF(A28="","",IFERROR(ROUND(AVERAGEIFS(ASSESSMENTS!H:H,ASSESSMENTS!B:B,A28,ASSESSMENTS!E:E,"Mathematical Literacy"),1),""))</f>
        <v/>
      </c>
      <c r="H28" s="4">
        <f>IF(A28="","",IFERROR(ROUND(AVERAGEIFS(ASSESSMENTS!H:H,ASSESSMENTS!B:B,A28,ASSESSMENTS!E:E,"Physical Sciences"),1),""))</f>
        <v/>
      </c>
      <c r="I28" s="4">
        <f>IF(A28="","",IFERROR(ROUND(AVERAGEIFS(ASSESSMENTS!H:H,ASSESSMENTS!B:B,A28,ASSESSMENTS!E:E,"Geography"),1),""))</f>
        <v/>
      </c>
      <c r="J28" s="4">
        <f>IF(A28="","",IFERROR(ROUND(AVERAGEIFS(ASSESSMENTS!H:H,ASSESSMENTS!B:B,A28,ASSESSMENTS!E:E,"Accounting"),1),""))</f>
        <v/>
      </c>
      <c r="K28" s="4">
        <f>IF(A28="","",IFERROR(ROUND(AVERAGEIFS(ASSESSMENTS!H:H,ASSESSMENTS!B:B,A28,ASSESSMENTS!E:E,"English"),1),""))</f>
        <v/>
      </c>
      <c r="L28" s="5">
        <f>IF(A28="","",IFERROR(XLOOKUP(A28,ATTENDANCE_SUMMARY!A:A,ATTENDANCE_SUMMARY!G:G,""),""))</f>
        <v/>
      </c>
      <c r="M28" s="4">
        <f>IF(A28="","",IF(OR(E28&lt;50,AND(L28&lt;0.75,L28&lt;&gt;"" )),"At Risk","On Track"))</f>
        <v/>
      </c>
    </row>
    <row r="29">
      <c r="A29">
        <f>IF(MASTER_REGISTER!E29="","",MASTER_REGISTER!E29)</f>
        <v/>
      </c>
      <c r="B29">
        <f>IF(A29="","",MASTER_REGISTER!F29)</f>
        <v/>
      </c>
      <c r="C29">
        <f>IF(A29="","",MASTER_REGISTER!C29)</f>
        <v/>
      </c>
      <c r="D29">
        <f>IF(A29="","",COUNTIF(ASSESSMENTS!B:B,A29))</f>
        <v/>
      </c>
      <c r="E29" s="4">
        <f>IF(D29=0,"",ROUND(AVERAGEIF(ASSESSMENTS!B:B,A29,ASSESSMENTS!H:H),1))</f>
        <v/>
      </c>
      <c r="F29" s="4">
        <f>IF(A29="","",IFERROR(ROUND(AVERAGEIFS(ASSESSMENTS!H:H,ASSESSMENTS!B:B,A29,ASSESSMENTS!E:E,"Mathematics"),1),""))</f>
        <v/>
      </c>
      <c r="G29" s="4">
        <f>IF(A29="","",IFERROR(ROUND(AVERAGEIFS(ASSESSMENTS!H:H,ASSESSMENTS!B:B,A29,ASSESSMENTS!E:E,"Mathematical Literacy"),1),""))</f>
        <v/>
      </c>
      <c r="H29" s="4">
        <f>IF(A29="","",IFERROR(ROUND(AVERAGEIFS(ASSESSMENTS!H:H,ASSESSMENTS!B:B,A29,ASSESSMENTS!E:E,"Physical Sciences"),1),""))</f>
        <v/>
      </c>
      <c r="I29" s="4">
        <f>IF(A29="","",IFERROR(ROUND(AVERAGEIFS(ASSESSMENTS!H:H,ASSESSMENTS!B:B,A29,ASSESSMENTS!E:E,"Geography"),1),""))</f>
        <v/>
      </c>
      <c r="J29" s="4">
        <f>IF(A29="","",IFERROR(ROUND(AVERAGEIFS(ASSESSMENTS!H:H,ASSESSMENTS!B:B,A29,ASSESSMENTS!E:E,"Accounting"),1),""))</f>
        <v/>
      </c>
      <c r="K29" s="4">
        <f>IF(A29="","",IFERROR(ROUND(AVERAGEIFS(ASSESSMENTS!H:H,ASSESSMENTS!B:B,A29,ASSESSMENTS!E:E,"English"),1),""))</f>
        <v/>
      </c>
      <c r="L29" s="5">
        <f>IF(A29="","",IFERROR(XLOOKUP(A29,ATTENDANCE_SUMMARY!A:A,ATTENDANCE_SUMMARY!G:G,""),""))</f>
        <v/>
      </c>
      <c r="M29" s="4">
        <f>IF(A29="","",IF(OR(E29&lt;50,AND(L29&lt;0.75,L29&lt;&gt;"" )),"At Risk","On Track"))</f>
        <v/>
      </c>
    </row>
    <row r="30">
      <c r="A30">
        <f>IF(MASTER_REGISTER!E30="","",MASTER_REGISTER!E30)</f>
        <v/>
      </c>
      <c r="B30">
        <f>IF(A30="","",MASTER_REGISTER!F30)</f>
        <v/>
      </c>
      <c r="C30">
        <f>IF(A30="","",MASTER_REGISTER!C30)</f>
        <v/>
      </c>
      <c r="D30">
        <f>IF(A30="","",COUNTIF(ASSESSMENTS!B:B,A30))</f>
        <v/>
      </c>
      <c r="E30" s="4">
        <f>IF(D30=0,"",ROUND(AVERAGEIF(ASSESSMENTS!B:B,A30,ASSESSMENTS!H:H),1))</f>
        <v/>
      </c>
      <c r="F30" s="4">
        <f>IF(A30="","",IFERROR(ROUND(AVERAGEIFS(ASSESSMENTS!H:H,ASSESSMENTS!B:B,A30,ASSESSMENTS!E:E,"Mathematics"),1),""))</f>
        <v/>
      </c>
      <c r="G30" s="4">
        <f>IF(A30="","",IFERROR(ROUND(AVERAGEIFS(ASSESSMENTS!H:H,ASSESSMENTS!B:B,A30,ASSESSMENTS!E:E,"Mathematical Literacy"),1),""))</f>
        <v/>
      </c>
      <c r="H30" s="4">
        <f>IF(A30="","",IFERROR(ROUND(AVERAGEIFS(ASSESSMENTS!H:H,ASSESSMENTS!B:B,A30,ASSESSMENTS!E:E,"Physical Sciences"),1),""))</f>
        <v/>
      </c>
      <c r="I30" s="4">
        <f>IF(A30="","",IFERROR(ROUND(AVERAGEIFS(ASSESSMENTS!H:H,ASSESSMENTS!B:B,A30,ASSESSMENTS!E:E,"Geography"),1),""))</f>
        <v/>
      </c>
      <c r="J30" s="4">
        <f>IF(A30="","",IFERROR(ROUND(AVERAGEIFS(ASSESSMENTS!H:H,ASSESSMENTS!B:B,A30,ASSESSMENTS!E:E,"Accounting"),1),""))</f>
        <v/>
      </c>
      <c r="K30" s="4">
        <f>IF(A30="","",IFERROR(ROUND(AVERAGEIFS(ASSESSMENTS!H:H,ASSESSMENTS!B:B,A30,ASSESSMENTS!E:E,"English"),1),""))</f>
        <v/>
      </c>
      <c r="L30" s="5">
        <f>IF(A30="","",IFERROR(XLOOKUP(A30,ATTENDANCE_SUMMARY!A:A,ATTENDANCE_SUMMARY!G:G,""),""))</f>
        <v/>
      </c>
      <c r="M30" s="4">
        <f>IF(A30="","",IF(OR(E30&lt;50,AND(L30&lt;0.75,L30&lt;&gt;"" )),"At Risk","On Track"))</f>
        <v/>
      </c>
    </row>
    <row r="31">
      <c r="A31">
        <f>IF(MASTER_REGISTER!E31="","",MASTER_REGISTER!E31)</f>
        <v/>
      </c>
      <c r="B31">
        <f>IF(A31="","",MASTER_REGISTER!F31)</f>
        <v/>
      </c>
      <c r="C31">
        <f>IF(A31="","",MASTER_REGISTER!C31)</f>
        <v/>
      </c>
      <c r="D31">
        <f>IF(A31="","",COUNTIF(ASSESSMENTS!B:B,A31))</f>
        <v/>
      </c>
      <c r="E31" s="4">
        <f>IF(D31=0,"",ROUND(AVERAGEIF(ASSESSMENTS!B:B,A31,ASSESSMENTS!H:H),1))</f>
        <v/>
      </c>
      <c r="F31" s="4">
        <f>IF(A31="","",IFERROR(ROUND(AVERAGEIFS(ASSESSMENTS!H:H,ASSESSMENTS!B:B,A31,ASSESSMENTS!E:E,"Mathematics"),1),""))</f>
        <v/>
      </c>
      <c r="G31" s="4">
        <f>IF(A31="","",IFERROR(ROUND(AVERAGEIFS(ASSESSMENTS!H:H,ASSESSMENTS!B:B,A31,ASSESSMENTS!E:E,"Mathematical Literacy"),1),""))</f>
        <v/>
      </c>
      <c r="H31" s="4">
        <f>IF(A31="","",IFERROR(ROUND(AVERAGEIFS(ASSESSMENTS!H:H,ASSESSMENTS!B:B,A31,ASSESSMENTS!E:E,"Physical Sciences"),1),""))</f>
        <v/>
      </c>
      <c r="I31" s="4">
        <f>IF(A31="","",IFERROR(ROUND(AVERAGEIFS(ASSESSMENTS!H:H,ASSESSMENTS!B:B,A31,ASSESSMENTS!E:E,"Geography"),1),""))</f>
        <v/>
      </c>
      <c r="J31" s="4">
        <f>IF(A31="","",IFERROR(ROUND(AVERAGEIFS(ASSESSMENTS!H:H,ASSESSMENTS!B:B,A31,ASSESSMENTS!E:E,"Accounting"),1),""))</f>
        <v/>
      </c>
      <c r="K31" s="4">
        <f>IF(A31="","",IFERROR(ROUND(AVERAGEIFS(ASSESSMENTS!H:H,ASSESSMENTS!B:B,A31,ASSESSMENTS!E:E,"English"),1),""))</f>
        <v/>
      </c>
      <c r="L31" s="5">
        <f>IF(A31="","",IFERROR(XLOOKUP(A31,ATTENDANCE_SUMMARY!A:A,ATTENDANCE_SUMMARY!G:G,""),""))</f>
        <v/>
      </c>
      <c r="M31" s="4">
        <f>IF(A31="","",IF(OR(E31&lt;50,AND(L31&lt;0.75,L31&lt;&gt;"" )),"At Risk","On Track"))</f>
        <v/>
      </c>
    </row>
    <row r="32">
      <c r="A32">
        <f>IF(MASTER_REGISTER!E32="","",MASTER_REGISTER!E32)</f>
        <v/>
      </c>
      <c r="B32">
        <f>IF(A32="","",MASTER_REGISTER!F32)</f>
        <v/>
      </c>
      <c r="C32">
        <f>IF(A32="","",MASTER_REGISTER!C32)</f>
        <v/>
      </c>
      <c r="D32">
        <f>IF(A32="","",COUNTIF(ASSESSMENTS!B:B,A32))</f>
        <v/>
      </c>
      <c r="E32" s="4">
        <f>IF(D32=0,"",ROUND(AVERAGEIF(ASSESSMENTS!B:B,A32,ASSESSMENTS!H:H),1))</f>
        <v/>
      </c>
      <c r="F32" s="4">
        <f>IF(A32="","",IFERROR(ROUND(AVERAGEIFS(ASSESSMENTS!H:H,ASSESSMENTS!B:B,A32,ASSESSMENTS!E:E,"Mathematics"),1),""))</f>
        <v/>
      </c>
      <c r="G32" s="4">
        <f>IF(A32="","",IFERROR(ROUND(AVERAGEIFS(ASSESSMENTS!H:H,ASSESSMENTS!B:B,A32,ASSESSMENTS!E:E,"Mathematical Literacy"),1),""))</f>
        <v/>
      </c>
      <c r="H32" s="4">
        <f>IF(A32="","",IFERROR(ROUND(AVERAGEIFS(ASSESSMENTS!H:H,ASSESSMENTS!B:B,A32,ASSESSMENTS!E:E,"Physical Sciences"),1),""))</f>
        <v/>
      </c>
      <c r="I32" s="4">
        <f>IF(A32="","",IFERROR(ROUND(AVERAGEIFS(ASSESSMENTS!H:H,ASSESSMENTS!B:B,A32,ASSESSMENTS!E:E,"Geography"),1),""))</f>
        <v/>
      </c>
      <c r="J32" s="4">
        <f>IF(A32="","",IFERROR(ROUND(AVERAGEIFS(ASSESSMENTS!H:H,ASSESSMENTS!B:B,A32,ASSESSMENTS!E:E,"Accounting"),1),""))</f>
        <v/>
      </c>
      <c r="K32" s="4">
        <f>IF(A32="","",IFERROR(ROUND(AVERAGEIFS(ASSESSMENTS!H:H,ASSESSMENTS!B:B,A32,ASSESSMENTS!E:E,"English"),1),""))</f>
        <v/>
      </c>
      <c r="L32" s="5">
        <f>IF(A32="","",IFERROR(XLOOKUP(A32,ATTENDANCE_SUMMARY!A:A,ATTENDANCE_SUMMARY!G:G,""),""))</f>
        <v/>
      </c>
      <c r="M32" s="4">
        <f>IF(A32="","",IF(OR(E32&lt;50,AND(L32&lt;0.75,L32&lt;&gt;"" )),"At Risk","On Track"))</f>
        <v/>
      </c>
    </row>
    <row r="33">
      <c r="A33">
        <f>IF(MASTER_REGISTER!E33="","",MASTER_REGISTER!E33)</f>
        <v/>
      </c>
      <c r="B33">
        <f>IF(A33="","",MASTER_REGISTER!F33)</f>
        <v/>
      </c>
      <c r="C33">
        <f>IF(A33="","",MASTER_REGISTER!C33)</f>
        <v/>
      </c>
      <c r="D33">
        <f>IF(A33="","",COUNTIF(ASSESSMENTS!B:B,A33))</f>
        <v/>
      </c>
      <c r="E33" s="4">
        <f>IF(D33=0,"",ROUND(AVERAGEIF(ASSESSMENTS!B:B,A33,ASSESSMENTS!H:H),1))</f>
        <v/>
      </c>
      <c r="F33" s="4">
        <f>IF(A33="","",IFERROR(ROUND(AVERAGEIFS(ASSESSMENTS!H:H,ASSESSMENTS!B:B,A33,ASSESSMENTS!E:E,"Mathematics"),1),""))</f>
        <v/>
      </c>
      <c r="G33" s="4">
        <f>IF(A33="","",IFERROR(ROUND(AVERAGEIFS(ASSESSMENTS!H:H,ASSESSMENTS!B:B,A33,ASSESSMENTS!E:E,"Mathematical Literacy"),1),""))</f>
        <v/>
      </c>
      <c r="H33" s="4">
        <f>IF(A33="","",IFERROR(ROUND(AVERAGEIFS(ASSESSMENTS!H:H,ASSESSMENTS!B:B,A33,ASSESSMENTS!E:E,"Physical Sciences"),1),""))</f>
        <v/>
      </c>
      <c r="I33" s="4">
        <f>IF(A33="","",IFERROR(ROUND(AVERAGEIFS(ASSESSMENTS!H:H,ASSESSMENTS!B:B,A33,ASSESSMENTS!E:E,"Geography"),1),""))</f>
        <v/>
      </c>
      <c r="J33" s="4">
        <f>IF(A33="","",IFERROR(ROUND(AVERAGEIFS(ASSESSMENTS!H:H,ASSESSMENTS!B:B,A33,ASSESSMENTS!E:E,"Accounting"),1),""))</f>
        <v/>
      </c>
      <c r="K33" s="4">
        <f>IF(A33="","",IFERROR(ROUND(AVERAGEIFS(ASSESSMENTS!H:H,ASSESSMENTS!B:B,A33,ASSESSMENTS!E:E,"English"),1),""))</f>
        <v/>
      </c>
      <c r="L33" s="5">
        <f>IF(A33="","",IFERROR(XLOOKUP(A33,ATTENDANCE_SUMMARY!A:A,ATTENDANCE_SUMMARY!G:G,""),""))</f>
        <v/>
      </c>
      <c r="M33" s="4">
        <f>IF(A33="","",IF(OR(E33&lt;50,AND(L33&lt;0.75,L33&lt;&gt;"" )),"At Risk","On Track"))</f>
        <v/>
      </c>
    </row>
    <row r="34">
      <c r="A34">
        <f>IF(MASTER_REGISTER!E34="","",MASTER_REGISTER!E34)</f>
        <v/>
      </c>
      <c r="B34">
        <f>IF(A34="","",MASTER_REGISTER!F34)</f>
        <v/>
      </c>
      <c r="C34">
        <f>IF(A34="","",MASTER_REGISTER!C34)</f>
        <v/>
      </c>
      <c r="D34">
        <f>IF(A34="","",COUNTIF(ASSESSMENTS!B:B,A34))</f>
        <v/>
      </c>
      <c r="E34" s="4">
        <f>IF(D34=0,"",ROUND(AVERAGEIF(ASSESSMENTS!B:B,A34,ASSESSMENTS!H:H),1))</f>
        <v/>
      </c>
      <c r="F34" s="4">
        <f>IF(A34="","",IFERROR(ROUND(AVERAGEIFS(ASSESSMENTS!H:H,ASSESSMENTS!B:B,A34,ASSESSMENTS!E:E,"Mathematics"),1),""))</f>
        <v/>
      </c>
      <c r="G34" s="4">
        <f>IF(A34="","",IFERROR(ROUND(AVERAGEIFS(ASSESSMENTS!H:H,ASSESSMENTS!B:B,A34,ASSESSMENTS!E:E,"Mathematical Literacy"),1),""))</f>
        <v/>
      </c>
      <c r="H34" s="4">
        <f>IF(A34="","",IFERROR(ROUND(AVERAGEIFS(ASSESSMENTS!H:H,ASSESSMENTS!B:B,A34,ASSESSMENTS!E:E,"Physical Sciences"),1),""))</f>
        <v/>
      </c>
      <c r="I34" s="4">
        <f>IF(A34="","",IFERROR(ROUND(AVERAGEIFS(ASSESSMENTS!H:H,ASSESSMENTS!B:B,A34,ASSESSMENTS!E:E,"Geography"),1),""))</f>
        <v/>
      </c>
      <c r="J34" s="4">
        <f>IF(A34="","",IFERROR(ROUND(AVERAGEIFS(ASSESSMENTS!H:H,ASSESSMENTS!B:B,A34,ASSESSMENTS!E:E,"Accounting"),1),""))</f>
        <v/>
      </c>
      <c r="K34" s="4">
        <f>IF(A34="","",IFERROR(ROUND(AVERAGEIFS(ASSESSMENTS!H:H,ASSESSMENTS!B:B,A34,ASSESSMENTS!E:E,"English"),1),""))</f>
        <v/>
      </c>
      <c r="L34" s="5">
        <f>IF(A34="","",IFERROR(XLOOKUP(A34,ATTENDANCE_SUMMARY!A:A,ATTENDANCE_SUMMARY!G:G,""),""))</f>
        <v/>
      </c>
      <c r="M34" s="4">
        <f>IF(A34="","",IF(OR(E34&lt;50,AND(L34&lt;0.75,L34&lt;&gt;"" )),"At Risk","On Track"))</f>
        <v/>
      </c>
    </row>
    <row r="35">
      <c r="A35">
        <f>IF(MASTER_REGISTER!E35="","",MASTER_REGISTER!E35)</f>
        <v/>
      </c>
      <c r="B35">
        <f>IF(A35="","",MASTER_REGISTER!F35)</f>
        <v/>
      </c>
      <c r="C35">
        <f>IF(A35="","",MASTER_REGISTER!C35)</f>
        <v/>
      </c>
      <c r="D35">
        <f>IF(A35="","",COUNTIF(ASSESSMENTS!B:B,A35))</f>
        <v/>
      </c>
      <c r="E35" s="4">
        <f>IF(D35=0,"",ROUND(AVERAGEIF(ASSESSMENTS!B:B,A35,ASSESSMENTS!H:H),1))</f>
        <v/>
      </c>
      <c r="F35" s="4">
        <f>IF(A35="","",IFERROR(ROUND(AVERAGEIFS(ASSESSMENTS!H:H,ASSESSMENTS!B:B,A35,ASSESSMENTS!E:E,"Mathematics"),1),""))</f>
        <v/>
      </c>
      <c r="G35" s="4">
        <f>IF(A35="","",IFERROR(ROUND(AVERAGEIFS(ASSESSMENTS!H:H,ASSESSMENTS!B:B,A35,ASSESSMENTS!E:E,"Mathematical Literacy"),1),""))</f>
        <v/>
      </c>
      <c r="H35" s="4">
        <f>IF(A35="","",IFERROR(ROUND(AVERAGEIFS(ASSESSMENTS!H:H,ASSESSMENTS!B:B,A35,ASSESSMENTS!E:E,"Physical Sciences"),1),""))</f>
        <v/>
      </c>
      <c r="I35" s="4">
        <f>IF(A35="","",IFERROR(ROUND(AVERAGEIFS(ASSESSMENTS!H:H,ASSESSMENTS!B:B,A35,ASSESSMENTS!E:E,"Geography"),1),""))</f>
        <v/>
      </c>
      <c r="J35" s="4">
        <f>IF(A35="","",IFERROR(ROUND(AVERAGEIFS(ASSESSMENTS!H:H,ASSESSMENTS!B:B,A35,ASSESSMENTS!E:E,"Accounting"),1),""))</f>
        <v/>
      </c>
      <c r="K35" s="4">
        <f>IF(A35="","",IFERROR(ROUND(AVERAGEIFS(ASSESSMENTS!H:H,ASSESSMENTS!B:B,A35,ASSESSMENTS!E:E,"English"),1),""))</f>
        <v/>
      </c>
      <c r="L35" s="5">
        <f>IF(A35="","",IFERROR(XLOOKUP(A35,ATTENDANCE_SUMMARY!A:A,ATTENDANCE_SUMMARY!G:G,""),""))</f>
        <v/>
      </c>
      <c r="M35" s="4">
        <f>IF(A35="","",IF(OR(E35&lt;50,AND(L35&lt;0.75,L35&lt;&gt;"" )),"At Risk","On Track"))</f>
        <v/>
      </c>
    </row>
    <row r="36">
      <c r="A36">
        <f>IF(MASTER_REGISTER!E36="","",MASTER_REGISTER!E36)</f>
        <v/>
      </c>
      <c r="B36">
        <f>IF(A36="","",MASTER_REGISTER!F36)</f>
        <v/>
      </c>
      <c r="C36">
        <f>IF(A36="","",MASTER_REGISTER!C36)</f>
        <v/>
      </c>
      <c r="D36">
        <f>IF(A36="","",COUNTIF(ASSESSMENTS!B:B,A36))</f>
        <v/>
      </c>
      <c r="E36" s="4">
        <f>IF(D36=0,"",ROUND(AVERAGEIF(ASSESSMENTS!B:B,A36,ASSESSMENTS!H:H),1))</f>
        <v/>
      </c>
      <c r="F36" s="4">
        <f>IF(A36="","",IFERROR(ROUND(AVERAGEIFS(ASSESSMENTS!H:H,ASSESSMENTS!B:B,A36,ASSESSMENTS!E:E,"Mathematics"),1),""))</f>
        <v/>
      </c>
      <c r="G36" s="4">
        <f>IF(A36="","",IFERROR(ROUND(AVERAGEIFS(ASSESSMENTS!H:H,ASSESSMENTS!B:B,A36,ASSESSMENTS!E:E,"Mathematical Literacy"),1),""))</f>
        <v/>
      </c>
      <c r="H36" s="4">
        <f>IF(A36="","",IFERROR(ROUND(AVERAGEIFS(ASSESSMENTS!H:H,ASSESSMENTS!B:B,A36,ASSESSMENTS!E:E,"Physical Sciences"),1),""))</f>
        <v/>
      </c>
      <c r="I36" s="4">
        <f>IF(A36="","",IFERROR(ROUND(AVERAGEIFS(ASSESSMENTS!H:H,ASSESSMENTS!B:B,A36,ASSESSMENTS!E:E,"Geography"),1),""))</f>
        <v/>
      </c>
      <c r="J36" s="4">
        <f>IF(A36="","",IFERROR(ROUND(AVERAGEIFS(ASSESSMENTS!H:H,ASSESSMENTS!B:B,A36,ASSESSMENTS!E:E,"Accounting"),1),""))</f>
        <v/>
      </c>
      <c r="K36" s="4">
        <f>IF(A36="","",IFERROR(ROUND(AVERAGEIFS(ASSESSMENTS!H:H,ASSESSMENTS!B:B,A36,ASSESSMENTS!E:E,"English"),1),""))</f>
        <v/>
      </c>
      <c r="L36" s="5">
        <f>IF(A36="","",IFERROR(XLOOKUP(A36,ATTENDANCE_SUMMARY!A:A,ATTENDANCE_SUMMARY!G:G,""),""))</f>
        <v/>
      </c>
      <c r="M36" s="4">
        <f>IF(A36="","",IF(OR(E36&lt;50,AND(L36&lt;0.75,L36&lt;&gt;"" )),"At Risk","On Track"))</f>
        <v/>
      </c>
    </row>
    <row r="37">
      <c r="A37">
        <f>IF(MASTER_REGISTER!E37="","",MASTER_REGISTER!E37)</f>
        <v/>
      </c>
      <c r="B37">
        <f>IF(A37="","",MASTER_REGISTER!F37)</f>
        <v/>
      </c>
      <c r="C37">
        <f>IF(A37="","",MASTER_REGISTER!C37)</f>
        <v/>
      </c>
      <c r="D37">
        <f>IF(A37="","",COUNTIF(ASSESSMENTS!B:B,A37))</f>
        <v/>
      </c>
      <c r="E37" s="4">
        <f>IF(D37=0,"",ROUND(AVERAGEIF(ASSESSMENTS!B:B,A37,ASSESSMENTS!H:H),1))</f>
        <v/>
      </c>
      <c r="F37" s="4">
        <f>IF(A37="","",IFERROR(ROUND(AVERAGEIFS(ASSESSMENTS!H:H,ASSESSMENTS!B:B,A37,ASSESSMENTS!E:E,"Mathematics"),1),""))</f>
        <v/>
      </c>
      <c r="G37" s="4">
        <f>IF(A37="","",IFERROR(ROUND(AVERAGEIFS(ASSESSMENTS!H:H,ASSESSMENTS!B:B,A37,ASSESSMENTS!E:E,"Mathematical Literacy"),1),""))</f>
        <v/>
      </c>
      <c r="H37" s="4">
        <f>IF(A37="","",IFERROR(ROUND(AVERAGEIFS(ASSESSMENTS!H:H,ASSESSMENTS!B:B,A37,ASSESSMENTS!E:E,"Physical Sciences"),1),""))</f>
        <v/>
      </c>
      <c r="I37" s="4">
        <f>IF(A37="","",IFERROR(ROUND(AVERAGEIFS(ASSESSMENTS!H:H,ASSESSMENTS!B:B,A37,ASSESSMENTS!E:E,"Geography"),1),""))</f>
        <v/>
      </c>
      <c r="J37" s="4">
        <f>IF(A37="","",IFERROR(ROUND(AVERAGEIFS(ASSESSMENTS!H:H,ASSESSMENTS!B:B,A37,ASSESSMENTS!E:E,"Accounting"),1),""))</f>
        <v/>
      </c>
      <c r="K37" s="4">
        <f>IF(A37="","",IFERROR(ROUND(AVERAGEIFS(ASSESSMENTS!H:H,ASSESSMENTS!B:B,A37,ASSESSMENTS!E:E,"English"),1),""))</f>
        <v/>
      </c>
      <c r="L37" s="5">
        <f>IF(A37="","",IFERROR(XLOOKUP(A37,ATTENDANCE_SUMMARY!A:A,ATTENDANCE_SUMMARY!G:G,""),""))</f>
        <v/>
      </c>
      <c r="M37" s="4">
        <f>IF(A37="","",IF(OR(E37&lt;50,AND(L37&lt;0.75,L37&lt;&gt;"" )),"At Risk","On Track"))</f>
        <v/>
      </c>
    </row>
    <row r="38">
      <c r="A38">
        <f>IF(MASTER_REGISTER!E38="","",MASTER_REGISTER!E38)</f>
        <v/>
      </c>
      <c r="B38">
        <f>IF(A38="","",MASTER_REGISTER!F38)</f>
        <v/>
      </c>
      <c r="C38">
        <f>IF(A38="","",MASTER_REGISTER!C38)</f>
        <v/>
      </c>
      <c r="D38">
        <f>IF(A38="","",COUNTIF(ASSESSMENTS!B:B,A38))</f>
        <v/>
      </c>
      <c r="E38" s="4">
        <f>IF(D38=0,"",ROUND(AVERAGEIF(ASSESSMENTS!B:B,A38,ASSESSMENTS!H:H),1))</f>
        <v/>
      </c>
      <c r="F38" s="4">
        <f>IF(A38="","",IFERROR(ROUND(AVERAGEIFS(ASSESSMENTS!H:H,ASSESSMENTS!B:B,A38,ASSESSMENTS!E:E,"Mathematics"),1),""))</f>
        <v/>
      </c>
      <c r="G38" s="4">
        <f>IF(A38="","",IFERROR(ROUND(AVERAGEIFS(ASSESSMENTS!H:H,ASSESSMENTS!B:B,A38,ASSESSMENTS!E:E,"Mathematical Literacy"),1),""))</f>
        <v/>
      </c>
      <c r="H38" s="4">
        <f>IF(A38="","",IFERROR(ROUND(AVERAGEIFS(ASSESSMENTS!H:H,ASSESSMENTS!B:B,A38,ASSESSMENTS!E:E,"Physical Sciences"),1),""))</f>
        <v/>
      </c>
      <c r="I38" s="4">
        <f>IF(A38="","",IFERROR(ROUND(AVERAGEIFS(ASSESSMENTS!H:H,ASSESSMENTS!B:B,A38,ASSESSMENTS!E:E,"Geography"),1),""))</f>
        <v/>
      </c>
      <c r="J38" s="4">
        <f>IF(A38="","",IFERROR(ROUND(AVERAGEIFS(ASSESSMENTS!H:H,ASSESSMENTS!B:B,A38,ASSESSMENTS!E:E,"Accounting"),1),""))</f>
        <v/>
      </c>
      <c r="K38" s="4">
        <f>IF(A38="","",IFERROR(ROUND(AVERAGEIFS(ASSESSMENTS!H:H,ASSESSMENTS!B:B,A38,ASSESSMENTS!E:E,"English"),1),""))</f>
        <v/>
      </c>
      <c r="L38" s="5">
        <f>IF(A38="","",IFERROR(XLOOKUP(A38,ATTENDANCE_SUMMARY!A:A,ATTENDANCE_SUMMARY!G:G,""),""))</f>
        <v/>
      </c>
      <c r="M38" s="4">
        <f>IF(A38="","",IF(OR(E38&lt;50,AND(L38&lt;0.75,L38&lt;&gt;"" )),"At Risk","On Track"))</f>
        <v/>
      </c>
    </row>
    <row r="39">
      <c r="A39">
        <f>IF(MASTER_REGISTER!E39="","",MASTER_REGISTER!E39)</f>
        <v/>
      </c>
      <c r="B39">
        <f>IF(A39="","",MASTER_REGISTER!F39)</f>
        <v/>
      </c>
      <c r="C39">
        <f>IF(A39="","",MASTER_REGISTER!C39)</f>
        <v/>
      </c>
      <c r="D39">
        <f>IF(A39="","",COUNTIF(ASSESSMENTS!B:B,A39))</f>
        <v/>
      </c>
      <c r="E39" s="4">
        <f>IF(D39=0,"",ROUND(AVERAGEIF(ASSESSMENTS!B:B,A39,ASSESSMENTS!H:H),1))</f>
        <v/>
      </c>
      <c r="F39" s="4">
        <f>IF(A39="","",IFERROR(ROUND(AVERAGEIFS(ASSESSMENTS!H:H,ASSESSMENTS!B:B,A39,ASSESSMENTS!E:E,"Mathematics"),1),""))</f>
        <v/>
      </c>
      <c r="G39" s="4">
        <f>IF(A39="","",IFERROR(ROUND(AVERAGEIFS(ASSESSMENTS!H:H,ASSESSMENTS!B:B,A39,ASSESSMENTS!E:E,"Mathematical Literacy"),1),""))</f>
        <v/>
      </c>
      <c r="H39" s="4">
        <f>IF(A39="","",IFERROR(ROUND(AVERAGEIFS(ASSESSMENTS!H:H,ASSESSMENTS!B:B,A39,ASSESSMENTS!E:E,"Physical Sciences"),1),""))</f>
        <v/>
      </c>
      <c r="I39" s="4">
        <f>IF(A39="","",IFERROR(ROUND(AVERAGEIFS(ASSESSMENTS!H:H,ASSESSMENTS!B:B,A39,ASSESSMENTS!E:E,"Geography"),1),""))</f>
        <v/>
      </c>
      <c r="J39" s="4">
        <f>IF(A39="","",IFERROR(ROUND(AVERAGEIFS(ASSESSMENTS!H:H,ASSESSMENTS!B:B,A39,ASSESSMENTS!E:E,"Accounting"),1),""))</f>
        <v/>
      </c>
      <c r="K39" s="4">
        <f>IF(A39="","",IFERROR(ROUND(AVERAGEIFS(ASSESSMENTS!H:H,ASSESSMENTS!B:B,A39,ASSESSMENTS!E:E,"English"),1),""))</f>
        <v/>
      </c>
      <c r="L39" s="5">
        <f>IF(A39="","",IFERROR(XLOOKUP(A39,ATTENDANCE_SUMMARY!A:A,ATTENDANCE_SUMMARY!G:G,""),""))</f>
        <v/>
      </c>
      <c r="M39" s="4">
        <f>IF(A39="","",IF(OR(E39&lt;50,AND(L39&lt;0.75,L39&lt;&gt;"" )),"At Risk","On Track"))</f>
        <v/>
      </c>
    </row>
    <row r="40">
      <c r="A40">
        <f>IF(MASTER_REGISTER!E40="","",MASTER_REGISTER!E40)</f>
        <v/>
      </c>
      <c r="B40">
        <f>IF(A40="","",MASTER_REGISTER!F40)</f>
        <v/>
      </c>
      <c r="C40">
        <f>IF(A40="","",MASTER_REGISTER!C40)</f>
        <v/>
      </c>
      <c r="D40">
        <f>IF(A40="","",COUNTIF(ASSESSMENTS!B:B,A40))</f>
        <v/>
      </c>
      <c r="E40" s="4">
        <f>IF(D40=0,"",ROUND(AVERAGEIF(ASSESSMENTS!B:B,A40,ASSESSMENTS!H:H),1))</f>
        <v/>
      </c>
      <c r="F40" s="4">
        <f>IF(A40="","",IFERROR(ROUND(AVERAGEIFS(ASSESSMENTS!H:H,ASSESSMENTS!B:B,A40,ASSESSMENTS!E:E,"Mathematics"),1),""))</f>
        <v/>
      </c>
      <c r="G40" s="4">
        <f>IF(A40="","",IFERROR(ROUND(AVERAGEIFS(ASSESSMENTS!H:H,ASSESSMENTS!B:B,A40,ASSESSMENTS!E:E,"Mathematical Literacy"),1),""))</f>
        <v/>
      </c>
      <c r="H40" s="4">
        <f>IF(A40="","",IFERROR(ROUND(AVERAGEIFS(ASSESSMENTS!H:H,ASSESSMENTS!B:B,A40,ASSESSMENTS!E:E,"Physical Sciences"),1),""))</f>
        <v/>
      </c>
      <c r="I40" s="4">
        <f>IF(A40="","",IFERROR(ROUND(AVERAGEIFS(ASSESSMENTS!H:H,ASSESSMENTS!B:B,A40,ASSESSMENTS!E:E,"Geography"),1),""))</f>
        <v/>
      </c>
      <c r="J40" s="4">
        <f>IF(A40="","",IFERROR(ROUND(AVERAGEIFS(ASSESSMENTS!H:H,ASSESSMENTS!B:B,A40,ASSESSMENTS!E:E,"Accounting"),1),""))</f>
        <v/>
      </c>
      <c r="K40" s="4">
        <f>IF(A40="","",IFERROR(ROUND(AVERAGEIFS(ASSESSMENTS!H:H,ASSESSMENTS!B:B,A40,ASSESSMENTS!E:E,"English"),1),""))</f>
        <v/>
      </c>
      <c r="L40" s="5">
        <f>IF(A40="","",IFERROR(XLOOKUP(A40,ATTENDANCE_SUMMARY!A:A,ATTENDANCE_SUMMARY!G:G,""),""))</f>
        <v/>
      </c>
      <c r="M40" s="4">
        <f>IF(A40="","",IF(OR(E40&lt;50,AND(L40&lt;0.75,L40&lt;&gt;"" )),"At Risk","On Track"))</f>
        <v/>
      </c>
    </row>
    <row r="41">
      <c r="A41">
        <f>IF(MASTER_REGISTER!E41="","",MASTER_REGISTER!E41)</f>
        <v/>
      </c>
      <c r="B41">
        <f>IF(A41="","",MASTER_REGISTER!F41)</f>
        <v/>
      </c>
      <c r="C41">
        <f>IF(A41="","",MASTER_REGISTER!C41)</f>
        <v/>
      </c>
      <c r="D41">
        <f>IF(A41="","",COUNTIF(ASSESSMENTS!B:B,A41))</f>
        <v/>
      </c>
      <c r="E41" s="4">
        <f>IF(D41=0,"",ROUND(AVERAGEIF(ASSESSMENTS!B:B,A41,ASSESSMENTS!H:H),1))</f>
        <v/>
      </c>
      <c r="F41" s="4">
        <f>IF(A41="","",IFERROR(ROUND(AVERAGEIFS(ASSESSMENTS!H:H,ASSESSMENTS!B:B,A41,ASSESSMENTS!E:E,"Mathematics"),1),""))</f>
        <v/>
      </c>
      <c r="G41" s="4">
        <f>IF(A41="","",IFERROR(ROUND(AVERAGEIFS(ASSESSMENTS!H:H,ASSESSMENTS!B:B,A41,ASSESSMENTS!E:E,"Mathematical Literacy"),1),""))</f>
        <v/>
      </c>
      <c r="H41" s="4">
        <f>IF(A41="","",IFERROR(ROUND(AVERAGEIFS(ASSESSMENTS!H:H,ASSESSMENTS!B:B,A41,ASSESSMENTS!E:E,"Physical Sciences"),1),""))</f>
        <v/>
      </c>
      <c r="I41" s="4">
        <f>IF(A41="","",IFERROR(ROUND(AVERAGEIFS(ASSESSMENTS!H:H,ASSESSMENTS!B:B,A41,ASSESSMENTS!E:E,"Geography"),1),""))</f>
        <v/>
      </c>
      <c r="J41" s="4">
        <f>IF(A41="","",IFERROR(ROUND(AVERAGEIFS(ASSESSMENTS!H:H,ASSESSMENTS!B:B,A41,ASSESSMENTS!E:E,"Accounting"),1),""))</f>
        <v/>
      </c>
      <c r="K41" s="4">
        <f>IF(A41="","",IFERROR(ROUND(AVERAGEIFS(ASSESSMENTS!H:H,ASSESSMENTS!B:B,A41,ASSESSMENTS!E:E,"English"),1),""))</f>
        <v/>
      </c>
      <c r="L41" s="5">
        <f>IF(A41="","",IFERROR(XLOOKUP(A41,ATTENDANCE_SUMMARY!A:A,ATTENDANCE_SUMMARY!G:G,""),""))</f>
        <v/>
      </c>
      <c r="M41" s="4">
        <f>IF(A41="","",IF(OR(E41&lt;50,AND(L41&lt;0.75,L41&lt;&gt;"" )),"At Risk","On Track"))</f>
        <v/>
      </c>
    </row>
    <row r="42">
      <c r="A42">
        <f>IF(MASTER_REGISTER!E42="","",MASTER_REGISTER!E42)</f>
        <v/>
      </c>
      <c r="B42">
        <f>IF(A42="","",MASTER_REGISTER!F42)</f>
        <v/>
      </c>
      <c r="C42">
        <f>IF(A42="","",MASTER_REGISTER!C42)</f>
        <v/>
      </c>
      <c r="D42">
        <f>IF(A42="","",COUNTIF(ASSESSMENTS!B:B,A42))</f>
        <v/>
      </c>
      <c r="E42" s="4">
        <f>IF(D42=0,"",ROUND(AVERAGEIF(ASSESSMENTS!B:B,A42,ASSESSMENTS!H:H),1))</f>
        <v/>
      </c>
      <c r="F42" s="4">
        <f>IF(A42="","",IFERROR(ROUND(AVERAGEIFS(ASSESSMENTS!H:H,ASSESSMENTS!B:B,A42,ASSESSMENTS!E:E,"Mathematics"),1),""))</f>
        <v/>
      </c>
      <c r="G42" s="4">
        <f>IF(A42="","",IFERROR(ROUND(AVERAGEIFS(ASSESSMENTS!H:H,ASSESSMENTS!B:B,A42,ASSESSMENTS!E:E,"Mathematical Literacy"),1),""))</f>
        <v/>
      </c>
      <c r="H42" s="4">
        <f>IF(A42="","",IFERROR(ROUND(AVERAGEIFS(ASSESSMENTS!H:H,ASSESSMENTS!B:B,A42,ASSESSMENTS!E:E,"Physical Sciences"),1),""))</f>
        <v/>
      </c>
      <c r="I42" s="4">
        <f>IF(A42="","",IFERROR(ROUND(AVERAGEIFS(ASSESSMENTS!H:H,ASSESSMENTS!B:B,A42,ASSESSMENTS!E:E,"Geography"),1),""))</f>
        <v/>
      </c>
      <c r="J42" s="4">
        <f>IF(A42="","",IFERROR(ROUND(AVERAGEIFS(ASSESSMENTS!H:H,ASSESSMENTS!B:B,A42,ASSESSMENTS!E:E,"Accounting"),1),""))</f>
        <v/>
      </c>
      <c r="K42" s="4">
        <f>IF(A42="","",IFERROR(ROUND(AVERAGEIFS(ASSESSMENTS!H:H,ASSESSMENTS!B:B,A42,ASSESSMENTS!E:E,"English"),1),""))</f>
        <v/>
      </c>
      <c r="L42" s="5">
        <f>IF(A42="","",IFERROR(XLOOKUP(A42,ATTENDANCE_SUMMARY!A:A,ATTENDANCE_SUMMARY!G:G,""),""))</f>
        <v/>
      </c>
      <c r="M42" s="4">
        <f>IF(A42="","",IF(OR(E42&lt;50,AND(L42&lt;0.75,L42&lt;&gt;"" )),"At Risk","On Track"))</f>
        <v/>
      </c>
    </row>
    <row r="43">
      <c r="A43">
        <f>IF(MASTER_REGISTER!E43="","",MASTER_REGISTER!E43)</f>
        <v/>
      </c>
      <c r="B43">
        <f>IF(A43="","",MASTER_REGISTER!F43)</f>
        <v/>
      </c>
      <c r="C43">
        <f>IF(A43="","",MASTER_REGISTER!C43)</f>
        <v/>
      </c>
      <c r="D43">
        <f>IF(A43="","",COUNTIF(ASSESSMENTS!B:B,A43))</f>
        <v/>
      </c>
      <c r="E43" s="4">
        <f>IF(D43=0,"",ROUND(AVERAGEIF(ASSESSMENTS!B:B,A43,ASSESSMENTS!H:H),1))</f>
        <v/>
      </c>
      <c r="F43" s="4">
        <f>IF(A43="","",IFERROR(ROUND(AVERAGEIFS(ASSESSMENTS!H:H,ASSESSMENTS!B:B,A43,ASSESSMENTS!E:E,"Mathematics"),1),""))</f>
        <v/>
      </c>
      <c r="G43" s="4">
        <f>IF(A43="","",IFERROR(ROUND(AVERAGEIFS(ASSESSMENTS!H:H,ASSESSMENTS!B:B,A43,ASSESSMENTS!E:E,"Mathematical Literacy"),1),""))</f>
        <v/>
      </c>
      <c r="H43" s="4">
        <f>IF(A43="","",IFERROR(ROUND(AVERAGEIFS(ASSESSMENTS!H:H,ASSESSMENTS!B:B,A43,ASSESSMENTS!E:E,"Physical Sciences"),1),""))</f>
        <v/>
      </c>
      <c r="I43" s="4">
        <f>IF(A43="","",IFERROR(ROUND(AVERAGEIFS(ASSESSMENTS!H:H,ASSESSMENTS!B:B,A43,ASSESSMENTS!E:E,"Geography"),1),""))</f>
        <v/>
      </c>
      <c r="J43" s="4">
        <f>IF(A43="","",IFERROR(ROUND(AVERAGEIFS(ASSESSMENTS!H:H,ASSESSMENTS!B:B,A43,ASSESSMENTS!E:E,"Accounting"),1),""))</f>
        <v/>
      </c>
      <c r="K43" s="4">
        <f>IF(A43="","",IFERROR(ROUND(AVERAGEIFS(ASSESSMENTS!H:H,ASSESSMENTS!B:B,A43,ASSESSMENTS!E:E,"English"),1),""))</f>
        <v/>
      </c>
      <c r="L43" s="5">
        <f>IF(A43="","",IFERROR(XLOOKUP(A43,ATTENDANCE_SUMMARY!A:A,ATTENDANCE_SUMMARY!G:G,""),""))</f>
        <v/>
      </c>
      <c r="M43" s="4">
        <f>IF(A43="","",IF(OR(E43&lt;50,AND(L43&lt;0.75,L43&lt;&gt;"" )),"At Risk","On Track"))</f>
        <v/>
      </c>
    </row>
    <row r="44">
      <c r="A44">
        <f>IF(MASTER_REGISTER!E44="","",MASTER_REGISTER!E44)</f>
        <v/>
      </c>
      <c r="B44">
        <f>IF(A44="","",MASTER_REGISTER!F44)</f>
        <v/>
      </c>
      <c r="C44">
        <f>IF(A44="","",MASTER_REGISTER!C44)</f>
        <v/>
      </c>
      <c r="D44">
        <f>IF(A44="","",COUNTIF(ASSESSMENTS!B:B,A44))</f>
        <v/>
      </c>
      <c r="E44" s="4">
        <f>IF(D44=0,"",ROUND(AVERAGEIF(ASSESSMENTS!B:B,A44,ASSESSMENTS!H:H),1))</f>
        <v/>
      </c>
      <c r="F44" s="4">
        <f>IF(A44="","",IFERROR(ROUND(AVERAGEIFS(ASSESSMENTS!H:H,ASSESSMENTS!B:B,A44,ASSESSMENTS!E:E,"Mathematics"),1),""))</f>
        <v/>
      </c>
      <c r="G44" s="4">
        <f>IF(A44="","",IFERROR(ROUND(AVERAGEIFS(ASSESSMENTS!H:H,ASSESSMENTS!B:B,A44,ASSESSMENTS!E:E,"Mathematical Literacy"),1),""))</f>
        <v/>
      </c>
      <c r="H44" s="4">
        <f>IF(A44="","",IFERROR(ROUND(AVERAGEIFS(ASSESSMENTS!H:H,ASSESSMENTS!B:B,A44,ASSESSMENTS!E:E,"Physical Sciences"),1),""))</f>
        <v/>
      </c>
      <c r="I44" s="4">
        <f>IF(A44="","",IFERROR(ROUND(AVERAGEIFS(ASSESSMENTS!H:H,ASSESSMENTS!B:B,A44,ASSESSMENTS!E:E,"Geography"),1),""))</f>
        <v/>
      </c>
      <c r="J44" s="4">
        <f>IF(A44="","",IFERROR(ROUND(AVERAGEIFS(ASSESSMENTS!H:H,ASSESSMENTS!B:B,A44,ASSESSMENTS!E:E,"Accounting"),1),""))</f>
        <v/>
      </c>
      <c r="K44" s="4">
        <f>IF(A44="","",IFERROR(ROUND(AVERAGEIFS(ASSESSMENTS!H:H,ASSESSMENTS!B:B,A44,ASSESSMENTS!E:E,"English"),1),""))</f>
        <v/>
      </c>
      <c r="L44" s="5">
        <f>IF(A44="","",IFERROR(XLOOKUP(A44,ATTENDANCE_SUMMARY!A:A,ATTENDANCE_SUMMARY!G:G,""),""))</f>
        <v/>
      </c>
      <c r="M44" s="4">
        <f>IF(A44="","",IF(OR(E44&lt;50,AND(L44&lt;0.75,L44&lt;&gt;"" )),"At Risk","On Track"))</f>
        <v/>
      </c>
    </row>
    <row r="45">
      <c r="A45">
        <f>IF(MASTER_REGISTER!E45="","",MASTER_REGISTER!E45)</f>
        <v/>
      </c>
      <c r="B45">
        <f>IF(A45="","",MASTER_REGISTER!F45)</f>
        <v/>
      </c>
      <c r="C45">
        <f>IF(A45="","",MASTER_REGISTER!C45)</f>
        <v/>
      </c>
      <c r="D45">
        <f>IF(A45="","",COUNTIF(ASSESSMENTS!B:B,A45))</f>
        <v/>
      </c>
      <c r="E45" s="4">
        <f>IF(D45=0,"",ROUND(AVERAGEIF(ASSESSMENTS!B:B,A45,ASSESSMENTS!H:H),1))</f>
        <v/>
      </c>
      <c r="F45" s="4">
        <f>IF(A45="","",IFERROR(ROUND(AVERAGEIFS(ASSESSMENTS!H:H,ASSESSMENTS!B:B,A45,ASSESSMENTS!E:E,"Mathematics"),1),""))</f>
        <v/>
      </c>
      <c r="G45" s="4">
        <f>IF(A45="","",IFERROR(ROUND(AVERAGEIFS(ASSESSMENTS!H:H,ASSESSMENTS!B:B,A45,ASSESSMENTS!E:E,"Mathematical Literacy"),1),""))</f>
        <v/>
      </c>
      <c r="H45" s="4">
        <f>IF(A45="","",IFERROR(ROUND(AVERAGEIFS(ASSESSMENTS!H:H,ASSESSMENTS!B:B,A45,ASSESSMENTS!E:E,"Physical Sciences"),1),""))</f>
        <v/>
      </c>
      <c r="I45" s="4">
        <f>IF(A45="","",IFERROR(ROUND(AVERAGEIFS(ASSESSMENTS!H:H,ASSESSMENTS!B:B,A45,ASSESSMENTS!E:E,"Geography"),1),""))</f>
        <v/>
      </c>
      <c r="J45" s="4">
        <f>IF(A45="","",IFERROR(ROUND(AVERAGEIFS(ASSESSMENTS!H:H,ASSESSMENTS!B:B,A45,ASSESSMENTS!E:E,"Accounting"),1),""))</f>
        <v/>
      </c>
      <c r="K45" s="4">
        <f>IF(A45="","",IFERROR(ROUND(AVERAGEIFS(ASSESSMENTS!H:H,ASSESSMENTS!B:B,A45,ASSESSMENTS!E:E,"English"),1),""))</f>
        <v/>
      </c>
      <c r="L45" s="5">
        <f>IF(A45="","",IFERROR(XLOOKUP(A45,ATTENDANCE_SUMMARY!A:A,ATTENDANCE_SUMMARY!G:G,""),""))</f>
        <v/>
      </c>
      <c r="M45" s="4">
        <f>IF(A45="","",IF(OR(E45&lt;50,AND(L45&lt;0.75,L45&lt;&gt;"" )),"At Risk","On Track"))</f>
        <v/>
      </c>
    </row>
    <row r="46">
      <c r="A46">
        <f>IF(MASTER_REGISTER!E46="","",MASTER_REGISTER!E46)</f>
        <v/>
      </c>
      <c r="B46">
        <f>IF(A46="","",MASTER_REGISTER!F46)</f>
        <v/>
      </c>
      <c r="C46">
        <f>IF(A46="","",MASTER_REGISTER!C46)</f>
        <v/>
      </c>
      <c r="D46">
        <f>IF(A46="","",COUNTIF(ASSESSMENTS!B:B,A46))</f>
        <v/>
      </c>
      <c r="E46" s="4">
        <f>IF(D46=0,"",ROUND(AVERAGEIF(ASSESSMENTS!B:B,A46,ASSESSMENTS!H:H),1))</f>
        <v/>
      </c>
      <c r="F46" s="4">
        <f>IF(A46="","",IFERROR(ROUND(AVERAGEIFS(ASSESSMENTS!H:H,ASSESSMENTS!B:B,A46,ASSESSMENTS!E:E,"Mathematics"),1),""))</f>
        <v/>
      </c>
      <c r="G46" s="4">
        <f>IF(A46="","",IFERROR(ROUND(AVERAGEIFS(ASSESSMENTS!H:H,ASSESSMENTS!B:B,A46,ASSESSMENTS!E:E,"Mathematical Literacy"),1),""))</f>
        <v/>
      </c>
      <c r="H46" s="4">
        <f>IF(A46="","",IFERROR(ROUND(AVERAGEIFS(ASSESSMENTS!H:H,ASSESSMENTS!B:B,A46,ASSESSMENTS!E:E,"Physical Sciences"),1),""))</f>
        <v/>
      </c>
      <c r="I46" s="4">
        <f>IF(A46="","",IFERROR(ROUND(AVERAGEIFS(ASSESSMENTS!H:H,ASSESSMENTS!B:B,A46,ASSESSMENTS!E:E,"Geography"),1),""))</f>
        <v/>
      </c>
      <c r="J46" s="4">
        <f>IF(A46="","",IFERROR(ROUND(AVERAGEIFS(ASSESSMENTS!H:H,ASSESSMENTS!B:B,A46,ASSESSMENTS!E:E,"Accounting"),1),""))</f>
        <v/>
      </c>
      <c r="K46" s="4">
        <f>IF(A46="","",IFERROR(ROUND(AVERAGEIFS(ASSESSMENTS!H:H,ASSESSMENTS!B:B,A46,ASSESSMENTS!E:E,"English"),1),""))</f>
        <v/>
      </c>
      <c r="L46" s="5">
        <f>IF(A46="","",IFERROR(XLOOKUP(A46,ATTENDANCE_SUMMARY!A:A,ATTENDANCE_SUMMARY!G:G,""),""))</f>
        <v/>
      </c>
      <c r="M46" s="4">
        <f>IF(A46="","",IF(OR(E46&lt;50,AND(L46&lt;0.75,L46&lt;&gt;"" )),"At Risk","On Track"))</f>
        <v/>
      </c>
    </row>
    <row r="47">
      <c r="A47">
        <f>IF(MASTER_REGISTER!E47="","",MASTER_REGISTER!E47)</f>
        <v/>
      </c>
      <c r="B47">
        <f>IF(A47="","",MASTER_REGISTER!F47)</f>
        <v/>
      </c>
      <c r="C47">
        <f>IF(A47="","",MASTER_REGISTER!C47)</f>
        <v/>
      </c>
      <c r="D47">
        <f>IF(A47="","",COUNTIF(ASSESSMENTS!B:B,A47))</f>
        <v/>
      </c>
      <c r="E47" s="4">
        <f>IF(D47=0,"",ROUND(AVERAGEIF(ASSESSMENTS!B:B,A47,ASSESSMENTS!H:H),1))</f>
        <v/>
      </c>
      <c r="F47" s="4">
        <f>IF(A47="","",IFERROR(ROUND(AVERAGEIFS(ASSESSMENTS!H:H,ASSESSMENTS!B:B,A47,ASSESSMENTS!E:E,"Mathematics"),1),""))</f>
        <v/>
      </c>
      <c r="G47" s="4">
        <f>IF(A47="","",IFERROR(ROUND(AVERAGEIFS(ASSESSMENTS!H:H,ASSESSMENTS!B:B,A47,ASSESSMENTS!E:E,"Mathematical Literacy"),1),""))</f>
        <v/>
      </c>
      <c r="H47" s="4">
        <f>IF(A47="","",IFERROR(ROUND(AVERAGEIFS(ASSESSMENTS!H:H,ASSESSMENTS!B:B,A47,ASSESSMENTS!E:E,"Physical Sciences"),1),""))</f>
        <v/>
      </c>
      <c r="I47" s="4">
        <f>IF(A47="","",IFERROR(ROUND(AVERAGEIFS(ASSESSMENTS!H:H,ASSESSMENTS!B:B,A47,ASSESSMENTS!E:E,"Geography"),1),""))</f>
        <v/>
      </c>
      <c r="J47" s="4">
        <f>IF(A47="","",IFERROR(ROUND(AVERAGEIFS(ASSESSMENTS!H:H,ASSESSMENTS!B:B,A47,ASSESSMENTS!E:E,"Accounting"),1),""))</f>
        <v/>
      </c>
      <c r="K47" s="4">
        <f>IF(A47="","",IFERROR(ROUND(AVERAGEIFS(ASSESSMENTS!H:H,ASSESSMENTS!B:B,A47,ASSESSMENTS!E:E,"English"),1),""))</f>
        <v/>
      </c>
      <c r="L47" s="5">
        <f>IF(A47="","",IFERROR(XLOOKUP(A47,ATTENDANCE_SUMMARY!A:A,ATTENDANCE_SUMMARY!G:G,""),""))</f>
        <v/>
      </c>
      <c r="M47" s="4">
        <f>IF(A47="","",IF(OR(E47&lt;50,AND(L47&lt;0.75,L47&lt;&gt;"" )),"At Risk","On Track"))</f>
        <v/>
      </c>
    </row>
    <row r="48">
      <c r="A48">
        <f>IF(MASTER_REGISTER!E48="","",MASTER_REGISTER!E48)</f>
        <v/>
      </c>
      <c r="B48">
        <f>IF(A48="","",MASTER_REGISTER!F48)</f>
        <v/>
      </c>
      <c r="C48">
        <f>IF(A48="","",MASTER_REGISTER!C48)</f>
        <v/>
      </c>
      <c r="D48">
        <f>IF(A48="","",COUNTIF(ASSESSMENTS!B:B,A48))</f>
        <v/>
      </c>
      <c r="E48" s="4">
        <f>IF(D48=0,"",ROUND(AVERAGEIF(ASSESSMENTS!B:B,A48,ASSESSMENTS!H:H),1))</f>
        <v/>
      </c>
      <c r="F48" s="4">
        <f>IF(A48="","",IFERROR(ROUND(AVERAGEIFS(ASSESSMENTS!H:H,ASSESSMENTS!B:B,A48,ASSESSMENTS!E:E,"Mathematics"),1),""))</f>
        <v/>
      </c>
      <c r="G48" s="4">
        <f>IF(A48="","",IFERROR(ROUND(AVERAGEIFS(ASSESSMENTS!H:H,ASSESSMENTS!B:B,A48,ASSESSMENTS!E:E,"Mathematical Literacy"),1),""))</f>
        <v/>
      </c>
      <c r="H48" s="4">
        <f>IF(A48="","",IFERROR(ROUND(AVERAGEIFS(ASSESSMENTS!H:H,ASSESSMENTS!B:B,A48,ASSESSMENTS!E:E,"Physical Sciences"),1),""))</f>
        <v/>
      </c>
      <c r="I48" s="4">
        <f>IF(A48="","",IFERROR(ROUND(AVERAGEIFS(ASSESSMENTS!H:H,ASSESSMENTS!B:B,A48,ASSESSMENTS!E:E,"Geography"),1),""))</f>
        <v/>
      </c>
      <c r="J48" s="4">
        <f>IF(A48="","",IFERROR(ROUND(AVERAGEIFS(ASSESSMENTS!H:H,ASSESSMENTS!B:B,A48,ASSESSMENTS!E:E,"Accounting"),1),""))</f>
        <v/>
      </c>
      <c r="K48" s="4">
        <f>IF(A48="","",IFERROR(ROUND(AVERAGEIFS(ASSESSMENTS!H:H,ASSESSMENTS!B:B,A48,ASSESSMENTS!E:E,"English"),1),""))</f>
        <v/>
      </c>
      <c r="L48" s="5">
        <f>IF(A48="","",IFERROR(XLOOKUP(A48,ATTENDANCE_SUMMARY!A:A,ATTENDANCE_SUMMARY!G:G,""),""))</f>
        <v/>
      </c>
      <c r="M48" s="4">
        <f>IF(A48="","",IF(OR(E48&lt;50,AND(L48&lt;0.75,L48&lt;&gt;"" )),"At Risk","On Track"))</f>
        <v/>
      </c>
    </row>
    <row r="49">
      <c r="A49">
        <f>IF(MASTER_REGISTER!E49="","",MASTER_REGISTER!E49)</f>
        <v/>
      </c>
      <c r="B49">
        <f>IF(A49="","",MASTER_REGISTER!F49)</f>
        <v/>
      </c>
      <c r="C49">
        <f>IF(A49="","",MASTER_REGISTER!C49)</f>
        <v/>
      </c>
      <c r="D49">
        <f>IF(A49="","",COUNTIF(ASSESSMENTS!B:B,A49))</f>
        <v/>
      </c>
      <c r="E49" s="4">
        <f>IF(D49=0,"",ROUND(AVERAGEIF(ASSESSMENTS!B:B,A49,ASSESSMENTS!H:H),1))</f>
        <v/>
      </c>
      <c r="F49" s="4">
        <f>IF(A49="","",IFERROR(ROUND(AVERAGEIFS(ASSESSMENTS!H:H,ASSESSMENTS!B:B,A49,ASSESSMENTS!E:E,"Mathematics"),1),""))</f>
        <v/>
      </c>
      <c r="G49" s="4">
        <f>IF(A49="","",IFERROR(ROUND(AVERAGEIFS(ASSESSMENTS!H:H,ASSESSMENTS!B:B,A49,ASSESSMENTS!E:E,"Mathematical Literacy"),1),""))</f>
        <v/>
      </c>
      <c r="H49" s="4">
        <f>IF(A49="","",IFERROR(ROUND(AVERAGEIFS(ASSESSMENTS!H:H,ASSESSMENTS!B:B,A49,ASSESSMENTS!E:E,"Physical Sciences"),1),""))</f>
        <v/>
      </c>
      <c r="I49" s="4">
        <f>IF(A49="","",IFERROR(ROUND(AVERAGEIFS(ASSESSMENTS!H:H,ASSESSMENTS!B:B,A49,ASSESSMENTS!E:E,"Geography"),1),""))</f>
        <v/>
      </c>
      <c r="J49" s="4">
        <f>IF(A49="","",IFERROR(ROUND(AVERAGEIFS(ASSESSMENTS!H:H,ASSESSMENTS!B:B,A49,ASSESSMENTS!E:E,"Accounting"),1),""))</f>
        <v/>
      </c>
      <c r="K49" s="4">
        <f>IF(A49="","",IFERROR(ROUND(AVERAGEIFS(ASSESSMENTS!H:H,ASSESSMENTS!B:B,A49,ASSESSMENTS!E:E,"English"),1),""))</f>
        <v/>
      </c>
      <c r="L49" s="5">
        <f>IF(A49="","",IFERROR(XLOOKUP(A49,ATTENDANCE_SUMMARY!A:A,ATTENDANCE_SUMMARY!G:G,""),""))</f>
        <v/>
      </c>
      <c r="M49" s="4">
        <f>IF(A49="","",IF(OR(E49&lt;50,AND(L49&lt;0.75,L49&lt;&gt;"" )),"At Risk","On Track"))</f>
        <v/>
      </c>
    </row>
    <row r="50">
      <c r="A50">
        <f>IF(MASTER_REGISTER!E50="","",MASTER_REGISTER!E50)</f>
        <v/>
      </c>
      <c r="B50">
        <f>IF(A50="","",MASTER_REGISTER!F50)</f>
        <v/>
      </c>
      <c r="C50">
        <f>IF(A50="","",MASTER_REGISTER!C50)</f>
        <v/>
      </c>
      <c r="D50">
        <f>IF(A50="","",COUNTIF(ASSESSMENTS!B:B,A50))</f>
        <v/>
      </c>
      <c r="E50" s="4">
        <f>IF(D50=0,"",ROUND(AVERAGEIF(ASSESSMENTS!B:B,A50,ASSESSMENTS!H:H),1))</f>
        <v/>
      </c>
      <c r="F50" s="4">
        <f>IF(A50="","",IFERROR(ROUND(AVERAGEIFS(ASSESSMENTS!H:H,ASSESSMENTS!B:B,A50,ASSESSMENTS!E:E,"Mathematics"),1),""))</f>
        <v/>
      </c>
      <c r="G50" s="4">
        <f>IF(A50="","",IFERROR(ROUND(AVERAGEIFS(ASSESSMENTS!H:H,ASSESSMENTS!B:B,A50,ASSESSMENTS!E:E,"Mathematical Literacy"),1),""))</f>
        <v/>
      </c>
      <c r="H50" s="4">
        <f>IF(A50="","",IFERROR(ROUND(AVERAGEIFS(ASSESSMENTS!H:H,ASSESSMENTS!B:B,A50,ASSESSMENTS!E:E,"Physical Sciences"),1),""))</f>
        <v/>
      </c>
      <c r="I50" s="4">
        <f>IF(A50="","",IFERROR(ROUND(AVERAGEIFS(ASSESSMENTS!H:H,ASSESSMENTS!B:B,A50,ASSESSMENTS!E:E,"Geography"),1),""))</f>
        <v/>
      </c>
      <c r="J50" s="4">
        <f>IF(A50="","",IFERROR(ROUND(AVERAGEIFS(ASSESSMENTS!H:H,ASSESSMENTS!B:B,A50,ASSESSMENTS!E:E,"Accounting"),1),""))</f>
        <v/>
      </c>
      <c r="K50" s="4">
        <f>IF(A50="","",IFERROR(ROUND(AVERAGEIFS(ASSESSMENTS!H:H,ASSESSMENTS!B:B,A50,ASSESSMENTS!E:E,"English"),1),""))</f>
        <v/>
      </c>
      <c r="L50" s="5">
        <f>IF(A50="","",IFERROR(XLOOKUP(A50,ATTENDANCE_SUMMARY!A:A,ATTENDANCE_SUMMARY!G:G,""),""))</f>
        <v/>
      </c>
      <c r="M50" s="4">
        <f>IF(A50="","",IF(OR(E50&lt;50,AND(L50&lt;0.75,L50&lt;&gt;"" )),"At Risk","On Track"))</f>
        <v/>
      </c>
    </row>
    <row r="51">
      <c r="A51">
        <f>IF(MASTER_REGISTER!E51="","",MASTER_REGISTER!E51)</f>
        <v/>
      </c>
      <c r="B51">
        <f>IF(A51="","",MASTER_REGISTER!F51)</f>
        <v/>
      </c>
      <c r="C51">
        <f>IF(A51="","",MASTER_REGISTER!C51)</f>
        <v/>
      </c>
      <c r="D51">
        <f>IF(A51="","",COUNTIF(ASSESSMENTS!B:B,A51))</f>
        <v/>
      </c>
      <c r="E51" s="4">
        <f>IF(D51=0,"",ROUND(AVERAGEIF(ASSESSMENTS!B:B,A51,ASSESSMENTS!H:H),1))</f>
        <v/>
      </c>
      <c r="F51" s="4">
        <f>IF(A51="","",IFERROR(ROUND(AVERAGEIFS(ASSESSMENTS!H:H,ASSESSMENTS!B:B,A51,ASSESSMENTS!E:E,"Mathematics"),1),""))</f>
        <v/>
      </c>
      <c r="G51" s="4">
        <f>IF(A51="","",IFERROR(ROUND(AVERAGEIFS(ASSESSMENTS!H:H,ASSESSMENTS!B:B,A51,ASSESSMENTS!E:E,"Mathematical Literacy"),1),""))</f>
        <v/>
      </c>
      <c r="H51" s="4">
        <f>IF(A51="","",IFERROR(ROUND(AVERAGEIFS(ASSESSMENTS!H:H,ASSESSMENTS!B:B,A51,ASSESSMENTS!E:E,"Physical Sciences"),1),""))</f>
        <v/>
      </c>
      <c r="I51" s="4">
        <f>IF(A51="","",IFERROR(ROUND(AVERAGEIFS(ASSESSMENTS!H:H,ASSESSMENTS!B:B,A51,ASSESSMENTS!E:E,"Geography"),1),""))</f>
        <v/>
      </c>
      <c r="J51" s="4">
        <f>IF(A51="","",IFERROR(ROUND(AVERAGEIFS(ASSESSMENTS!H:H,ASSESSMENTS!B:B,A51,ASSESSMENTS!E:E,"Accounting"),1),""))</f>
        <v/>
      </c>
      <c r="K51" s="4">
        <f>IF(A51="","",IFERROR(ROUND(AVERAGEIFS(ASSESSMENTS!H:H,ASSESSMENTS!B:B,A51,ASSESSMENTS!E:E,"English"),1),""))</f>
        <v/>
      </c>
      <c r="L51" s="5">
        <f>IF(A51="","",IFERROR(XLOOKUP(A51,ATTENDANCE_SUMMARY!A:A,ATTENDANCE_SUMMARY!G:G,""),""))</f>
        <v/>
      </c>
      <c r="M51" s="4">
        <f>IF(A51="","",IF(OR(E51&lt;50,AND(L51&lt;0.75,L51&lt;&gt;"" )),"At Risk","On Track"))</f>
        <v/>
      </c>
    </row>
    <row r="52">
      <c r="A52">
        <f>IF(MASTER_REGISTER!E52="","",MASTER_REGISTER!E52)</f>
        <v/>
      </c>
      <c r="B52">
        <f>IF(A52="","",MASTER_REGISTER!F52)</f>
        <v/>
      </c>
      <c r="C52">
        <f>IF(A52="","",MASTER_REGISTER!C52)</f>
        <v/>
      </c>
      <c r="D52">
        <f>IF(A52="","",COUNTIF(ASSESSMENTS!B:B,A52))</f>
        <v/>
      </c>
      <c r="E52" s="4">
        <f>IF(D52=0,"",ROUND(AVERAGEIF(ASSESSMENTS!B:B,A52,ASSESSMENTS!H:H),1))</f>
        <v/>
      </c>
      <c r="F52" s="4">
        <f>IF(A52="","",IFERROR(ROUND(AVERAGEIFS(ASSESSMENTS!H:H,ASSESSMENTS!B:B,A52,ASSESSMENTS!E:E,"Mathematics"),1),""))</f>
        <v/>
      </c>
      <c r="G52" s="4">
        <f>IF(A52="","",IFERROR(ROUND(AVERAGEIFS(ASSESSMENTS!H:H,ASSESSMENTS!B:B,A52,ASSESSMENTS!E:E,"Mathematical Literacy"),1),""))</f>
        <v/>
      </c>
      <c r="H52" s="4">
        <f>IF(A52="","",IFERROR(ROUND(AVERAGEIFS(ASSESSMENTS!H:H,ASSESSMENTS!B:B,A52,ASSESSMENTS!E:E,"Physical Sciences"),1),""))</f>
        <v/>
      </c>
      <c r="I52" s="4">
        <f>IF(A52="","",IFERROR(ROUND(AVERAGEIFS(ASSESSMENTS!H:H,ASSESSMENTS!B:B,A52,ASSESSMENTS!E:E,"Geography"),1),""))</f>
        <v/>
      </c>
      <c r="J52" s="4">
        <f>IF(A52="","",IFERROR(ROUND(AVERAGEIFS(ASSESSMENTS!H:H,ASSESSMENTS!B:B,A52,ASSESSMENTS!E:E,"Accounting"),1),""))</f>
        <v/>
      </c>
      <c r="K52" s="4">
        <f>IF(A52="","",IFERROR(ROUND(AVERAGEIFS(ASSESSMENTS!H:H,ASSESSMENTS!B:B,A52,ASSESSMENTS!E:E,"English"),1),""))</f>
        <v/>
      </c>
      <c r="L52" s="5">
        <f>IF(A52="","",IFERROR(XLOOKUP(A52,ATTENDANCE_SUMMARY!A:A,ATTENDANCE_SUMMARY!G:G,""),""))</f>
        <v/>
      </c>
      <c r="M52" s="4">
        <f>IF(A52="","",IF(OR(E52&lt;50,AND(L52&lt;0.75,L52&lt;&gt;"" )),"At Risk","On Track"))</f>
        <v/>
      </c>
    </row>
    <row r="53">
      <c r="A53">
        <f>IF(MASTER_REGISTER!E53="","",MASTER_REGISTER!E53)</f>
        <v/>
      </c>
      <c r="B53">
        <f>IF(A53="","",MASTER_REGISTER!F53)</f>
        <v/>
      </c>
      <c r="C53">
        <f>IF(A53="","",MASTER_REGISTER!C53)</f>
        <v/>
      </c>
      <c r="D53">
        <f>IF(A53="","",COUNTIF(ASSESSMENTS!B:B,A53))</f>
        <v/>
      </c>
      <c r="E53" s="4">
        <f>IF(D53=0,"",ROUND(AVERAGEIF(ASSESSMENTS!B:B,A53,ASSESSMENTS!H:H),1))</f>
        <v/>
      </c>
      <c r="F53" s="4">
        <f>IF(A53="","",IFERROR(ROUND(AVERAGEIFS(ASSESSMENTS!H:H,ASSESSMENTS!B:B,A53,ASSESSMENTS!E:E,"Mathematics"),1),""))</f>
        <v/>
      </c>
      <c r="G53" s="4">
        <f>IF(A53="","",IFERROR(ROUND(AVERAGEIFS(ASSESSMENTS!H:H,ASSESSMENTS!B:B,A53,ASSESSMENTS!E:E,"Mathematical Literacy"),1),""))</f>
        <v/>
      </c>
      <c r="H53" s="4">
        <f>IF(A53="","",IFERROR(ROUND(AVERAGEIFS(ASSESSMENTS!H:H,ASSESSMENTS!B:B,A53,ASSESSMENTS!E:E,"Physical Sciences"),1),""))</f>
        <v/>
      </c>
      <c r="I53" s="4">
        <f>IF(A53="","",IFERROR(ROUND(AVERAGEIFS(ASSESSMENTS!H:H,ASSESSMENTS!B:B,A53,ASSESSMENTS!E:E,"Geography"),1),""))</f>
        <v/>
      </c>
      <c r="J53" s="4">
        <f>IF(A53="","",IFERROR(ROUND(AVERAGEIFS(ASSESSMENTS!H:H,ASSESSMENTS!B:B,A53,ASSESSMENTS!E:E,"Accounting"),1),""))</f>
        <v/>
      </c>
      <c r="K53" s="4">
        <f>IF(A53="","",IFERROR(ROUND(AVERAGEIFS(ASSESSMENTS!H:H,ASSESSMENTS!B:B,A53,ASSESSMENTS!E:E,"English"),1),""))</f>
        <v/>
      </c>
      <c r="L53" s="5">
        <f>IF(A53="","",IFERROR(XLOOKUP(A53,ATTENDANCE_SUMMARY!A:A,ATTENDANCE_SUMMARY!G:G,""),""))</f>
        <v/>
      </c>
      <c r="M53" s="4">
        <f>IF(A53="","",IF(OR(E53&lt;50,AND(L53&lt;0.75,L53&lt;&gt;"" )),"At Risk","On Track"))</f>
        <v/>
      </c>
    </row>
    <row r="54">
      <c r="A54">
        <f>IF(MASTER_REGISTER!E54="","",MASTER_REGISTER!E54)</f>
        <v/>
      </c>
      <c r="B54">
        <f>IF(A54="","",MASTER_REGISTER!F54)</f>
        <v/>
      </c>
      <c r="C54">
        <f>IF(A54="","",MASTER_REGISTER!C54)</f>
        <v/>
      </c>
      <c r="D54">
        <f>IF(A54="","",COUNTIF(ASSESSMENTS!B:B,A54))</f>
        <v/>
      </c>
      <c r="E54" s="4">
        <f>IF(D54=0,"",ROUND(AVERAGEIF(ASSESSMENTS!B:B,A54,ASSESSMENTS!H:H),1))</f>
        <v/>
      </c>
      <c r="F54" s="4">
        <f>IF(A54="","",IFERROR(ROUND(AVERAGEIFS(ASSESSMENTS!H:H,ASSESSMENTS!B:B,A54,ASSESSMENTS!E:E,"Mathematics"),1),""))</f>
        <v/>
      </c>
      <c r="G54" s="4">
        <f>IF(A54="","",IFERROR(ROUND(AVERAGEIFS(ASSESSMENTS!H:H,ASSESSMENTS!B:B,A54,ASSESSMENTS!E:E,"Mathematical Literacy"),1),""))</f>
        <v/>
      </c>
      <c r="H54" s="4">
        <f>IF(A54="","",IFERROR(ROUND(AVERAGEIFS(ASSESSMENTS!H:H,ASSESSMENTS!B:B,A54,ASSESSMENTS!E:E,"Physical Sciences"),1),""))</f>
        <v/>
      </c>
      <c r="I54" s="4">
        <f>IF(A54="","",IFERROR(ROUND(AVERAGEIFS(ASSESSMENTS!H:H,ASSESSMENTS!B:B,A54,ASSESSMENTS!E:E,"Geography"),1),""))</f>
        <v/>
      </c>
      <c r="J54" s="4">
        <f>IF(A54="","",IFERROR(ROUND(AVERAGEIFS(ASSESSMENTS!H:H,ASSESSMENTS!B:B,A54,ASSESSMENTS!E:E,"Accounting"),1),""))</f>
        <v/>
      </c>
      <c r="K54" s="4">
        <f>IF(A54="","",IFERROR(ROUND(AVERAGEIFS(ASSESSMENTS!H:H,ASSESSMENTS!B:B,A54,ASSESSMENTS!E:E,"English"),1),""))</f>
        <v/>
      </c>
      <c r="L54" s="5">
        <f>IF(A54="","",IFERROR(XLOOKUP(A54,ATTENDANCE_SUMMARY!A:A,ATTENDANCE_SUMMARY!G:G,""),""))</f>
        <v/>
      </c>
      <c r="M54" s="4">
        <f>IF(A54="","",IF(OR(E54&lt;50,AND(L54&lt;0.75,L54&lt;&gt;"" )),"At Risk","On Track"))</f>
        <v/>
      </c>
    </row>
    <row r="55">
      <c r="A55">
        <f>IF(MASTER_REGISTER!E55="","",MASTER_REGISTER!E55)</f>
        <v/>
      </c>
      <c r="B55">
        <f>IF(A55="","",MASTER_REGISTER!F55)</f>
        <v/>
      </c>
      <c r="C55">
        <f>IF(A55="","",MASTER_REGISTER!C55)</f>
        <v/>
      </c>
      <c r="D55">
        <f>IF(A55="","",COUNTIF(ASSESSMENTS!B:B,A55))</f>
        <v/>
      </c>
      <c r="E55" s="4">
        <f>IF(D55=0,"",ROUND(AVERAGEIF(ASSESSMENTS!B:B,A55,ASSESSMENTS!H:H),1))</f>
        <v/>
      </c>
      <c r="F55" s="4">
        <f>IF(A55="","",IFERROR(ROUND(AVERAGEIFS(ASSESSMENTS!H:H,ASSESSMENTS!B:B,A55,ASSESSMENTS!E:E,"Mathematics"),1),""))</f>
        <v/>
      </c>
      <c r="G55" s="4">
        <f>IF(A55="","",IFERROR(ROUND(AVERAGEIFS(ASSESSMENTS!H:H,ASSESSMENTS!B:B,A55,ASSESSMENTS!E:E,"Mathematical Literacy"),1),""))</f>
        <v/>
      </c>
      <c r="H55" s="4">
        <f>IF(A55="","",IFERROR(ROUND(AVERAGEIFS(ASSESSMENTS!H:H,ASSESSMENTS!B:B,A55,ASSESSMENTS!E:E,"Physical Sciences"),1),""))</f>
        <v/>
      </c>
      <c r="I55" s="4">
        <f>IF(A55="","",IFERROR(ROUND(AVERAGEIFS(ASSESSMENTS!H:H,ASSESSMENTS!B:B,A55,ASSESSMENTS!E:E,"Geography"),1),""))</f>
        <v/>
      </c>
      <c r="J55" s="4">
        <f>IF(A55="","",IFERROR(ROUND(AVERAGEIFS(ASSESSMENTS!H:H,ASSESSMENTS!B:B,A55,ASSESSMENTS!E:E,"Accounting"),1),""))</f>
        <v/>
      </c>
      <c r="K55" s="4">
        <f>IF(A55="","",IFERROR(ROUND(AVERAGEIFS(ASSESSMENTS!H:H,ASSESSMENTS!B:B,A55,ASSESSMENTS!E:E,"English"),1),""))</f>
        <v/>
      </c>
      <c r="L55" s="5">
        <f>IF(A55="","",IFERROR(XLOOKUP(A55,ATTENDANCE_SUMMARY!A:A,ATTENDANCE_SUMMARY!G:G,""),""))</f>
        <v/>
      </c>
      <c r="M55" s="4">
        <f>IF(A55="","",IF(OR(E55&lt;50,AND(L55&lt;0.75,L55&lt;&gt;"" )),"At Risk","On Track"))</f>
        <v/>
      </c>
    </row>
    <row r="56">
      <c r="A56">
        <f>IF(MASTER_REGISTER!E56="","",MASTER_REGISTER!E56)</f>
        <v/>
      </c>
      <c r="B56">
        <f>IF(A56="","",MASTER_REGISTER!F56)</f>
        <v/>
      </c>
      <c r="C56">
        <f>IF(A56="","",MASTER_REGISTER!C56)</f>
        <v/>
      </c>
      <c r="D56">
        <f>IF(A56="","",COUNTIF(ASSESSMENTS!B:B,A56))</f>
        <v/>
      </c>
      <c r="E56" s="4">
        <f>IF(D56=0,"",ROUND(AVERAGEIF(ASSESSMENTS!B:B,A56,ASSESSMENTS!H:H),1))</f>
        <v/>
      </c>
      <c r="F56" s="4">
        <f>IF(A56="","",IFERROR(ROUND(AVERAGEIFS(ASSESSMENTS!H:H,ASSESSMENTS!B:B,A56,ASSESSMENTS!E:E,"Mathematics"),1),""))</f>
        <v/>
      </c>
      <c r="G56" s="4">
        <f>IF(A56="","",IFERROR(ROUND(AVERAGEIFS(ASSESSMENTS!H:H,ASSESSMENTS!B:B,A56,ASSESSMENTS!E:E,"Mathematical Literacy"),1),""))</f>
        <v/>
      </c>
      <c r="H56" s="4">
        <f>IF(A56="","",IFERROR(ROUND(AVERAGEIFS(ASSESSMENTS!H:H,ASSESSMENTS!B:B,A56,ASSESSMENTS!E:E,"Physical Sciences"),1),""))</f>
        <v/>
      </c>
      <c r="I56" s="4">
        <f>IF(A56="","",IFERROR(ROUND(AVERAGEIFS(ASSESSMENTS!H:H,ASSESSMENTS!B:B,A56,ASSESSMENTS!E:E,"Geography"),1),""))</f>
        <v/>
      </c>
      <c r="J56" s="4">
        <f>IF(A56="","",IFERROR(ROUND(AVERAGEIFS(ASSESSMENTS!H:H,ASSESSMENTS!B:B,A56,ASSESSMENTS!E:E,"Accounting"),1),""))</f>
        <v/>
      </c>
      <c r="K56" s="4">
        <f>IF(A56="","",IFERROR(ROUND(AVERAGEIFS(ASSESSMENTS!H:H,ASSESSMENTS!B:B,A56,ASSESSMENTS!E:E,"English"),1),""))</f>
        <v/>
      </c>
      <c r="L56" s="5">
        <f>IF(A56="","",IFERROR(XLOOKUP(A56,ATTENDANCE_SUMMARY!A:A,ATTENDANCE_SUMMARY!G:G,""),""))</f>
        <v/>
      </c>
      <c r="M56" s="4">
        <f>IF(A56="","",IF(OR(E56&lt;50,AND(L56&lt;0.75,L56&lt;&gt;"" )),"At Risk","On Track"))</f>
        <v/>
      </c>
    </row>
    <row r="57">
      <c r="A57">
        <f>IF(MASTER_REGISTER!E57="","",MASTER_REGISTER!E57)</f>
        <v/>
      </c>
      <c r="B57">
        <f>IF(A57="","",MASTER_REGISTER!F57)</f>
        <v/>
      </c>
      <c r="C57">
        <f>IF(A57="","",MASTER_REGISTER!C57)</f>
        <v/>
      </c>
      <c r="D57">
        <f>IF(A57="","",COUNTIF(ASSESSMENTS!B:B,A57))</f>
        <v/>
      </c>
      <c r="E57" s="4">
        <f>IF(D57=0,"",ROUND(AVERAGEIF(ASSESSMENTS!B:B,A57,ASSESSMENTS!H:H),1))</f>
        <v/>
      </c>
      <c r="F57" s="4">
        <f>IF(A57="","",IFERROR(ROUND(AVERAGEIFS(ASSESSMENTS!H:H,ASSESSMENTS!B:B,A57,ASSESSMENTS!E:E,"Mathematics"),1),""))</f>
        <v/>
      </c>
      <c r="G57" s="4">
        <f>IF(A57="","",IFERROR(ROUND(AVERAGEIFS(ASSESSMENTS!H:H,ASSESSMENTS!B:B,A57,ASSESSMENTS!E:E,"Mathematical Literacy"),1),""))</f>
        <v/>
      </c>
      <c r="H57" s="4">
        <f>IF(A57="","",IFERROR(ROUND(AVERAGEIFS(ASSESSMENTS!H:H,ASSESSMENTS!B:B,A57,ASSESSMENTS!E:E,"Physical Sciences"),1),""))</f>
        <v/>
      </c>
      <c r="I57" s="4">
        <f>IF(A57="","",IFERROR(ROUND(AVERAGEIFS(ASSESSMENTS!H:H,ASSESSMENTS!B:B,A57,ASSESSMENTS!E:E,"Geography"),1),""))</f>
        <v/>
      </c>
      <c r="J57" s="4">
        <f>IF(A57="","",IFERROR(ROUND(AVERAGEIFS(ASSESSMENTS!H:H,ASSESSMENTS!B:B,A57,ASSESSMENTS!E:E,"Accounting"),1),""))</f>
        <v/>
      </c>
      <c r="K57" s="4">
        <f>IF(A57="","",IFERROR(ROUND(AVERAGEIFS(ASSESSMENTS!H:H,ASSESSMENTS!B:B,A57,ASSESSMENTS!E:E,"English"),1),""))</f>
        <v/>
      </c>
      <c r="L57" s="5">
        <f>IF(A57="","",IFERROR(XLOOKUP(A57,ATTENDANCE_SUMMARY!A:A,ATTENDANCE_SUMMARY!G:G,""),""))</f>
        <v/>
      </c>
      <c r="M57" s="4">
        <f>IF(A57="","",IF(OR(E57&lt;50,AND(L57&lt;0.75,L57&lt;&gt;"" )),"At Risk","On Track"))</f>
        <v/>
      </c>
    </row>
    <row r="58">
      <c r="A58">
        <f>IF(MASTER_REGISTER!E58="","",MASTER_REGISTER!E58)</f>
        <v/>
      </c>
      <c r="B58">
        <f>IF(A58="","",MASTER_REGISTER!F58)</f>
        <v/>
      </c>
      <c r="C58">
        <f>IF(A58="","",MASTER_REGISTER!C58)</f>
        <v/>
      </c>
      <c r="D58">
        <f>IF(A58="","",COUNTIF(ASSESSMENTS!B:B,A58))</f>
        <v/>
      </c>
      <c r="E58" s="4">
        <f>IF(D58=0,"",ROUND(AVERAGEIF(ASSESSMENTS!B:B,A58,ASSESSMENTS!H:H),1))</f>
        <v/>
      </c>
      <c r="F58" s="4">
        <f>IF(A58="","",IFERROR(ROUND(AVERAGEIFS(ASSESSMENTS!H:H,ASSESSMENTS!B:B,A58,ASSESSMENTS!E:E,"Mathematics"),1),""))</f>
        <v/>
      </c>
      <c r="G58" s="4">
        <f>IF(A58="","",IFERROR(ROUND(AVERAGEIFS(ASSESSMENTS!H:H,ASSESSMENTS!B:B,A58,ASSESSMENTS!E:E,"Mathematical Literacy"),1),""))</f>
        <v/>
      </c>
      <c r="H58" s="4">
        <f>IF(A58="","",IFERROR(ROUND(AVERAGEIFS(ASSESSMENTS!H:H,ASSESSMENTS!B:B,A58,ASSESSMENTS!E:E,"Physical Sciences"),1),""))</f>
        <v/>
      </c>
      <c r="I58" s="4">
        <f>IF(A58="","",IFERROR(ROUND(AVERAGEIFS(ASSESSMENTS!H:H,ASSESSMENTS!B:B,A58,ASSESSMENTS!E:E,"Geography"),1),""))</f>
        <v/>
      </c>
      <c r="J58" s="4">
        <f>IF(A58="","",IFERROR(ROUND(AVERAGEIFS(ASSESSMENTS!H:H,ASSESSMENTS!B:B,A58,ASSESSMENTS!E:E,"Accounting"),1),""))</f>
        <v/>
      </c>
      <c r="K58" s="4">
        <f>IF(A58="","",IFERROR(ROUND(AVERAGEIFS(ASSESSMENTS!H:H,ASSESSMENTS!B:B,A58,ASSESSMENTS!E:E,"English"),1),""))</f>
        <v/>
      </c>
      <c r="L58" s="5">
        <f>IF(A58="","",IFERROR(XLOOKUP(A58,ATTENDANCE_SUMMARY!A:A,ATTENDANCE_SUMMARY!G:G,""),""))</f>
        <v/>
      </c>
      <c r="M58" s="4">
        <f>IF(A58="","",IF(OR(E58&lt;50,AND(L58&lt;0.75,L58&lt;&gt;"" )),"At Risk","On Track"))</f>
        <v/>
      </c>
    </row>
    <row r="59">
      <c r="A59">
        <f>IF(MASTER_REGISTER!E59="","",MASTER_REGISTER!E59)</f>
        <v/>
      </c>
      <c r="B59">
        <f>IF(A59="","",MASTER_REGISTER!F59)</f>
        <v/>
      </c>
      <c r="C59">
        <f>IF(A59="","",MASTER_REGISTER!C59)</f>
        <v/>
      </c>
      <c r="D59">
        <f>IF(A59="","",COUNTIF(ASSESSMENTS!B:B,A59))</f>
        <v/>
      </c>
      <c r="E59" s="4">
        <f>IF(D59=0,"",ROUND(AVERAGEIF(ASSESSMENTS!B:B,A59,ASSESSMENTS!H:H),1))</f>
        <v/>
      </c>
      <c r="F59" s="4">
        <f>IF(A59="","",IFERROR(ROUND(AVERAGEIFS(ASSESSMENTS!H:H,ASSESSMENTS!B:B,A59,ASSESSMENTS!E:E,"Mathematics"),1),""))</f>
        <v/>
      </c>
      <c r="G59" s="4">
        <f>IF(A59="","",IFERROR(ROUND(AVERAGEIFS(ASSESSMENTS!H:H,ASSESSMENTS!B:B,A59,ASSESSMENTS!E:E,"Mathematical Literacy"),1),""))</f>
        <v/>
      </c>
      <c r="H59" s="4">
        <f>IF(A59="","",IFERROR(ROUND(AVERAGEIFS(ASSESSMENTS!H:H,ASSESSMENTS!B:B,A59,ASSESSMENTS!E:E,"Physical Sciences"),1),""))</f>
        <v/>
      </c>
      <c r="I59" s="4">
        <f>IF(A59="","",IFERROR(ROUND(AVERAGEIFS(ASSESSMENTS!H:H,ASSESSMENTS!B:B,A59,ASSESSMENTS!E:E,"Geography"),1),""))</f>
        <v/>
      </c>
      <c r="J59" s="4">
        <f>IF(A59="","",IFERROR(ROUND(AVERAGEIFS(ASSESSMENTS!H:H,ASSESSMENTS!B:B,A59,ASSESSMENTS!E:E,"Accounting"),1),""))</f>
        <v/>
      </c>
      <c r="K59" s="4">
        <f>IF(A59="","",IFERROR(ROUND(AVERAGEIFS(ASSESSMENTS!H:H,ASSESSMENTS!B:B,A59,ASSESSMENTS!E:E,"English"),1),""))</f>
        <v/>
      </c>
      <c r="L59" s="5">
        <f>IF(A59="","",IFERROR(XLOOKUP(A59,ATTENDANCE_SUMMARY!A:A,ATTENDANCE_SUMMARY!G:G,""),""))</f>
        <v/>
      </c>
      <c r="M59" s="4">
        <f>IF(A59="","",IF(OR(E59&lt;50,AND(L59&lt;0.75,L59&lt;&gt;"" )),"At Risk","On Track"))</f>
        <v/>
      </c>
    </row>
    <row r="60">
      <c r="A60">
        <f>IF(MASTER_REGISTER!E60="","",MASTER_REGISTER!E60)</f>
        <v/>
      </c>
      <c r="B60">
        <f>IF(A60="","",MASTER_REGISTER!F60)</f>
        <v/>
      </c>
      <c r="C60">
        <f>IF(A60="","",MASTER_REGISTER!C60)</f>
        <v/>
      </c>
      <c r="D60">
        <f>IF(A60="","",COUNTIF(ASSESSMENTS!B:B,A60))</f>
        <v/>
      </c>
      <c r="E60" s="4">
        <f>IF(D60=0,"",ROUND(AVERAGEIF(ASSESSMENTS!B:B,A60,ASSESSMENTS!H:H),1))</f>
        <v/>
      </c>
      <c r="F60" s="4">
        <f>IF(A60="","",IFERROR(ROUND(AVERAGEIFS(ASSESSMENTS!H:H,ASSESSMENTS!B:B,A60,ASSESSMENTS!E:E,"Mathematics"),1),""))</f>
        <v/>
      </c>
      <c r="G60" s="4">
        <f>IF(A60="","",IFERROR(ROUND(AVERAGEIFS(ASSESSMENTS!H:H,ASSESSMENTS!B:B,A60,ASSESSMENTS!E:E,"Mathematical Literacy"),1),""))</f>
        <v/>
      </c>
      <c r="H60" s="4">
        <f>IF(A60="","",IFERROR(ROUND(AVERAGEIFS(ASSESSMENTS!H:H,ASSESSMENTS!B:B,A60,ASSESSMENTS!E:E,"Physical Sciences"),1),""))</f>
        <v/>
      </c>
      <c r="I60" s="4">
        <f>IF(A60="","",IFERROR(ROUND(AVERAGEIFS(ASSESSMENTS!H:H,ASSESSMENTS!B:B,A60,ASSESSMENTS!E:E,"Geography"),1),""))</f>
        <v/>
      </c>
      <c r="J60" s="4">
        <f>IF(A60="","",IFERROR(ROUND(AVERAGEIFS(ASSESSMENTS!H:H,ASSESSMENTS!B:B,A60,ASSESSMENTS!E:E,"Accounting"),1),""))</f>
        <v/>
      </c>
      <c r="K60" s="4">
        <f>IF(A60="","",IFERROR(ROUND(AVERAGEIFS(ASSESSMENTS!H:H,ASSESSMENTS!B:B,A60,ASSESSMENTS!E:E,"English"),1),""))</f>
        <v/>
      </c>
      <c r="L60" s="5">
        <f>IF(A60="","",IFERROR(XLOOKUP(A60,ATTENDANCE_SUMMARY!A:A,ATTENDANCE_SUMMARY!G:G,""),""))</f>
        <v/>
      </c>
      <c r="M60" s="4">
        <f>IF(A60="","",IF(OR(E60&lt;50,AND(L60&lt;0.75,L60&lt;&gt;"" )),"At Risk","On Track"))</f>
        <v/>
      </c>
    </row>
    <row r="61">
      <c r="A61">
        <f>IF(MASTER_REGISTER!E61="","",MASTER_REGISTER!E61)</f>
        <v/>
      </c>
      <c r="B61">
        <f>IF(A61="","",MASTER_REGISTER!F61)</f>
        <v/>
      </c>
      <c r="C61">
        <f>IF(A61="","",MASTER_REGISTER!C61)</f>
        <v/>
      </c>
      <c r="D61">
        <f>IF(A61="","",COUNTIF(ASSESSMENTS!B:B,A61))</f>
        <v/>
      </c>
      <c r="E61" s="4">
        <f>IF(D61=0,"",ROUND(AVERAGEIF(ASSESSMENTS!B:B,A61,ASSESSMENTS!H:H),1))</f>
        <v/>
      </c>
      <c r="F61" s="4">
        <f>IF(A61="","",IFERROR(ROUND(AVERAGEIFS(ASSESSMENTS!H:H,ASSESSMENTS!B:B,A61,ASSESSMENTS!E:E,"Mathematics"),1),""))</f>
        <v/>
      </c>
      <c r="G61" s="4">
        <f>IF(A61="","",IFERROR(ROUND(AVERAGEIFS(ASSESSMENTS!H:H,ASSESSMENTS!B:B,A61,ASSESSMENTS!E:E,"Mathematical Literacy"),1),""))</f>
        <v/>
      </c>
      <c r="H61" s="4">
        <f>IF(A61="","",IFERROR(ROUND(AVERAGEIFS(ASSESSMENTS!H:H,ASSESSMENTS!B:B,A61,ASSESSMENTS!E:E,"Physical Sciences"),1),""))</f>
        <v/>
      </c>
      <c r="I61" s="4">
        <f>IF(A61="","",IFERROR(ROUND(AVERAGEIFS(ASSESSMENTS!H:H,ASSESSMENTS!B:B,A61,ASSESSMENTS!E:E,"Geography"),1),""))</f>
        <v/>
      </c>
      <c r="J61" s="4">
        <f>IF(A61="","",IFERROR(ROUND(AVERAGEIFS(ASSESSMENTS!H:H,ASSESSMENTS!B:B,A61,ASSESSMENTS!E:E,"Accounting"),1),""))</f>
        <v/>
      </c>
      <c r="K61" s="4">
        <f>IF(A61="","",IFERROR(ROUND(AVERAGEIFS(ASSESSMENTS!H:H,ASSESSMENTS!B:B,A61,ASSESSMENTS!E:E,"English"),1),""))</f>
        <v/>
      </c>
      <c r="L61" s="5">
        <f>IF(A61="","",IFERROR(XLOOKUP(A61,ATTENDANCE_SUMMARY!A:A,ATTENDANCE_SUMMARY!G:G,""),""))</f>
        <v/>
      </c>
      <c r="M61" s="4">
        <f>IF(A61="","",IF(OR(E61&lt;50,AND(L61&lt;0.75,L61&lt;&gt;"" )),"At Risk","On Track"))</f>
        <v/>
      </c>
    </row>
    <row r="62">
      <c r="A62">
        <f>IF(MASTER_REGISTER!E62="","",MASTER_REGISTER!E62)</f>
        <v/>
      </c>
      <c r="B62">
        <f>IF(A62="","",MASTER_REGISTER!F62)</f>
        <v/>
      </c>
      <c r="C62">
        <f>IF(A62="","",MASTER_REGISTER!C62)</f>
        <v/>
      </c>
      <c r="D62">
        <f>IF(A62="","",COUNTIF(ASSESSMENTS!B:B,A62))</f>
        <v/>
      </c>
      <c r="E62" s="4">
        <f>IF(D62=0,"",ROUND(AVERAGEIF(ASSESSMENTS!B:B,A62,ASSESSMENTS!H:H),1))</f>
        <v/>
      </c>
      <c r="F62" s="4">
        <f>IF(A62="","",IFERROR(ROUND(AVERAGEIFS(ASSESSMENTS!H:H,ASSESSMENTS!B:B,A62,ASSESSMENTS!E:E,"Mathematics"),1),""))</f>
        <v/>
      </c>
      <c r="G62" s="4">
        <f>IF(A62="","",IFERROR(ROUND(AVERAGEIFS(ASSESSMENTS!H:H,ASSESSMENTS!B:B,A62,ASSESSMENTS!E:E,"Mathematical Literacy"),1),""))</f>
        <v/>
      </c>
      <c r="H62" s="4">
        <f>IF(A62="","",IFERROR(ROUND(AVERAGEIFS(ASSESSMENTS!H:H,ASSESSMENTS!B:B,A62,ASSESSMENTS!E:E,"Physical Sciences"),1),""))</f>
        <v/>
      </c>
      <c r="I62" s="4">
        <f>IF(A62="","",IFERROR(ROUND(AVERAGEIFS(ASSESSMENTS!H:H,ASSESSMENTS!B:B,A62,ASSESSMENTS!E:E,"Geography"),1),""))</f>
        <v/>
      </c>
      <c r="J62" s="4">
        <f>IF(A62="","",IFERROR(ROUND(AVERAGEIFS(ASSESSMENTS!H:H,ASSESSMENTS!B:B,A62,ASSESSMENTS!E:E,"Accounting"),1),""))</f>
        <v/>
      </c>
      <c r="K62" s="4">
        <f>IF(A62="","",IFERROR(ROUND(AVERAGEIFS(ASSESSMENTS!H:H,ASSESSMENTS!B:B,A62,ASSESSMENTS!E:E,"English"),1),""))</f>
        <v/>
      </c>
      <c r="L62" s="5">
        <f>IF(A62="","",IFERROR(XLOOKUP(A62,ATTENDANCE_SUMMARY!A:A,ATTENDANCE_SUMMARY!G:G,""),""))</f>
        <v/>
      </c>
      <c r="M62" s="4">
        <f>IF(A62="","",IF(OR(E62&lt;50,AND(L62&lt;0.75,L62&lt;&gt;"" )),"At Risk","On Track"))</f>
        <v/>
      </c>
    </row>
    <row r="63">
      <c r="A63">
        <f>IF(MASTER_REGISTER!E63="","",MASTER_REGISTER!E63)</f>
        <v/>
      </c>
      <c r="B63">
        <f>IF(A63="","",MASTER_REGISTER!F63)</f>
        <v/>
      </c>
      <c r="C63">
        <f>IF(A63="","",MASTER_REGISTER!C63)</f>
        <v/>
      </c>
      <c r="D63">
        <f>IF(A63="","",COUNTIF(ASSESSMENTS!B:B,A63))</f>
        <v/>
      </c>
      <c r="E63" s="4">
        <f>IF(D63=0,"",ROUND(AVERAGEIF(ASSESSMENTS!B:B,A63,ASSESSMENTS!H:H),1))</f>
        <v/>
      </c>
      <c r="F63" s="4">
        <f>IF(A63="","",IFERROR(ROUND(AVERAGEIFS(ASSESSMENTS!H:H,ASSESSMENTS!B:B,A63,ASSESSMENTS!E:E,"Mathematics"),1),""))</f>
        <v/>
      </c>
      <c r="G63" s="4">
        <f>IF(A63="","",IFERROR(ROUND(AVERAGEIFS(ASSESSMENTS!H:H,ASSESSMENTS!B:B,A63,ASSESSMENTS!E:E,"Mathematical Literacy"),1),""))</f>
        <v/>
      </c>
      <c r="H63" s="4">
        <f>IF(A63="","",IFERROR(ROUND(AVERAGEIFS(ASSESSMENTS!H:H,ASSESSMENTS!B:B,A63,ASSESSMENTS!E:E,"Physical Sciences"),1),""))</f>
        <v/>
      </c>
      <c r="I63" s="4">
        <f>IF(A63="","",IFERROR(ROUND(AVERAGEIFS(ASSESSMENTS!H:H,ASSESSMENTS!B:B,A63,ASSESSMENTS!E:E,"Geography"),1),""))</f>
        <v/>
      </c>
      <c r="J63" s="4">
        <f>IF(A63="","",IFERROR(ROUND(AVERAGEIFS(ASSESSMENTS!H:H,ASSESSMENTS!B:B,A63,ASSESSMENTS!E:E,"Accounting"),1),""))</f>
        <v/>
      </c>
      <c r="K63" s="4">
        <f>IF(A63="","",IFERROR(ROUND(AVERAGEIFS(ASSESSMENTS!H:H,ASSESSMENTS!B:B,A63,ASSESSMENTS!E:E,"English"),1),""))</f>
        <v/>
      </c>
      <c r="L63" s="5">
        <f>IF(A63="","",IFERROR(XLOOKUP(A63,ATTENDANCE_SUMMARY!A:A,ATTENDANCE_SUMMARY!G:G,""),""))</f>
        <v/>
      </c>
      <c r="M63" s="4">
        <f>IF(A63="","",IF(OR(E63&lt;50,AND(L63&lt;0.75,L63&lt;&gt;"" )),"At Risk","On Track"))</f>
        <v/>
      </c>
    </row>
    <row r="64">
      <c r="A64">
        <f>IF(MASTER_REGISTER!E64="","",MASTER_REGISTER!E64)</f>
        <v/>
      </c>
      <c r="B64">
        <f>IF(A64="","",MASTER_REGISTER!F64)</f>
        <v/>
      </c>
      <c r="C64">
        <f>IF(A64="","",MASTER_REGISTER!C64)</f>
        <v/>
      </c>
      <c r="D64">
        <f>IF(A64="","",COUNTIF(ASSESSMENTS!B:B,A64))</f>
        <v/>
      </c>
      <c r="E64" s="4">
        <f>IF(D64=0,"",ROUND(AVERAGEIF(ASSESSMENTS!B:B,A64,ASSESSMENTS!H:H),1))</f>
        <v/>
      </c>
      <c r="F64" s="4">
        <f>IF(A64="","",IFERROR(ROUND(AVERAGEIFS(ASSESSMENTS!H:H,ASSESSMENTS!B:B,A64,ASSESSMENTS!E:E,"Mathematics"),1),""))</f>
        <v/>
      </c>
      <c r="G64" s="4">
        <f>IF(A64="","",IFERROR(ROUND(AVERAGEIFS(ASSESSMENTS!H:H,ASSESSMENTS!B:B,A64,ASSESSMENTS!E:E,"Mathematical Literacy"),1),""))</f>
        <v/>
      </c>
      <c r="H64" s="4">
        <f>IF(A64="","",IFERROR(ROUND(AVERAGEIFS(ASSESSMENTS!H:H,ASSESSMENTS!B:B,A64,ASSESSMENTS!E:E,"Physical Sciences"),1),""))</f>
        <v/>
      </c>
      <c r="I64" s="4">
        <f>IF(A64="","",IFERROR(ROUND(AVERAGEIFS(ASSESSMENTS!H:H,ASSESSMENTS!B:B,A64,ASSESSMENTS!E:E,"Geography"),1),""))</f>
        <v/>
      </c>
      <c r="J64" s="4">
        <f>IF(A64="","",IFERROR(ROUND(AVERAGEIFS(ASSESSMENTS!H:H,ASSESSMENTS!B:B,A64,ASSESSMENTS!E:E,"Accounting"),1),""))</f>
        <v/>
      </c>
      <c r="K64" s="4">
        <f>IF(A64="","",IFERROR(ROUND(AVERAGEIFS(ASSESSMENTS!H:H,ASSESSMENTS!B:B,A64,ASSESSMENTS!E:E,"English"),1),""))</f>
        <v/>
      </c>
      <c r="L64" s="5">
        <f>IF(A64="","",IFERROR(XLOOKUP(A64,ATTENDANCE_SUMMARY!A:A,ATTENDANCE_SUMMARY!G:G,""),""))</f>
        <v/>
      </c>
      <c r="M64" s="4">
        <f>IF(A64="","",IF(OR(E64&lt;50,AND(L64&lt;0.75,L64&lt;&gt;"" )),"At Risk","On Track"))</f>
        <v/>
      </c>
    </row>
    <row r="65">
      <c r="A65">
        <f>IF(MASTER_REGISTER!E65="","",MASTER_REGISTER!E65)</f>
        <v/>
      </c>
      <c r="B65">
        <f>IF(A65="","",MASTER_REGISTER!F65)</f>
        <v/>
      </c>
      <c r="C65">
        <f>IF(A65="","",MASTER_REGISTER!C65)</f>
        <v/>
      </c>
      <c r="D65">
        <f>IF(A65="","",COUNTIF(ASSESSMENTS!B:B,A65))</f>
        <v/>
      </c>
      <c r="E65" s="4">
        <f>IF(D65=0,"",ROUND(AVERAGEIF(ASSESSMENTS!B:B,A65,ASSESSMENTS!H:H),1))</f>
        <v/>
      </c>
      <c r="F65" s="4">
        <f>IF(A65="","",IFERROR(ROUND(AVERAGEIFS(ASSESSMENTS!H:H,ASSESSMENTS!B:B,A65,ASSESSMENTS!E:E,"Mathematics"),1),""))</f>
        <v/>
      </c>
      <c r="G65" s="4">
        <f>IF(A65="","",IFERROR(ROUND(AVERAGEIFS(ASSESSMENTS!H:H,ASSESSMENTS!B:B,A65,ASSESSMENTS!E:E,"Mathematical Literacy"),1),""))</f>
        <v/>
      </c>
      <c r="H65" s="4">
        <f>IF(A65="","",IFERROR(ROUND(AVERAGEIFS(ASSESSMENTS!H:H,ASSESSMENTS!B:B,A65,ASSESSMENTS!E:E,"Physical Sciences"),1),""))</f>
        <v/>
      </c>
      <c r="I65" s="4">
        <f>IF(A65="","",IFERROR(ROUND(AVERAGEIFS(ASSESSMENTS!H:H,ASSESSMENTS!B:B,A65,ASSESSMENTS!E:E,"Geography"),1),""))</f>
        <v/>
      </c>
      <c r="J65" s="4">
        <f>IF(A65="","",IFERROR(ROUND(AVERAGEIFS(ASSESSMENTS!H:H,ASSESSMENTS!B:B,A65,ASSESSMENTS!E:E,"Accounting"),1),""))</f>
        <v/>
      </c>
      <c r="K65" s="4">
        <f>IF(A65="","",IFERROR(ROUND(AVERAGEIFS(ASSESSMENTS!H:H,ASSESSMENTS!B:B,A65,ASSESSMENTS!E:E,"English"),1),""))</f>
        <v/>
      </c>
      <c r="L65" s="5">
        <f>IF(A65="","",IFERROR(XLOOKUP(A65,ATTENDANCE_SUMMARY!A:A,ATTENDANCE_SUMMARY!G:G,""),""))</f>
        <v/>
      </c>
      <c r="M65" s="4">
        <f>IF(A65="","",IF(OR(E65&lt;50,AND(L65&lt;0.75,L65&lt;&gt;"" )),"At Risk","On Track"))</f>
        <v/>
      </c>
    </row>
    <row r="66">
      <c r="A66">
        <f>IF(MASTER_REGISTER!E66="","",MASTER_REGISTER!E66)</f>
        <v/>
      </c>
      <c r="B66">
        <f>IF(A66="","",MASTER_REGISTER!F66)</f>
        <v/>
      </c>
      <c r="C66">
        <f>IF(A66="","",MASTER_REGISTER!C66)</f>
        <v/>
      </c>
      <c r="D66">
        <f>IF(A66="","",COUNTIF(ASSESSMENTS!B:B,A66))</f>
        <v/>
      </c>
      <c r="E66" s="4">
        <f>IF(D66=0,"",ROUND(AVERAGEIF(ASSESSMENTS!B:B,A66,ASSESSMENTS!H:H),1))</f>
        <v/>
      </c>
      <c r="F66" s="4">
        <f>IF(A66="","",IFERROR(ROUND(AVERAGEIFS(ASSESSMENTS!H:H,ASSESSMENTS!B:B,A66,ASSESSMENTS!E:E,"Mathematics"),1),""))</f>
        <v/>
      </c>
      <c r="G66" s="4">
        <f>IF(A66="","",IFERROR(ROUND(AVERAGEIFS(ASSESSMENTS!H:H,ASSESSMENTS!B:B,A66,ASSESSMENTS!E:E,"Mathematical Literacy"),1),""))</f>
        <v/>
      </c>
      <c r="H66" s="4">
        <f>IF(A66="","",IFERROR(ROUND(AVERAGEIFS(ASSESSMENTS!H:H,ASSESSMENTS!B:B,A66,ASSESSMENTS!E:E,"Physical Sciences"),1),""))</f>
        <v/>
      </c>
      <c r="I66" s="4">
        <f>IF(A66="","",IFERROR(ROUND(AVERAGEIFS(ASSESSMENTS!H:H,ASSESSMENTS!B:B,A66,ASSESSMENTS!E:E,"Geography"),1),""))</f>
        <v/>
      </c>
      <c r="J66" s="4">
        <f>IF(A66="","",IFERROR(ROUND(AVERAGEIFS(ASSESSMENTS!H:H,ASSESSMENTS!B:B,A66,ASSESSMENTS!E:E,"Accounting"),1),""))</f>
        <v/>
      </c>
      <c r="K66" s="4">
        <f>IF(A66="","",IFERROR(ROUND(AVERAGEIFS(ASSESSMENTS!H:H,ASSESSMENTS!B:B,A66,ASSESSMENTS!E:E,"English"),1),""))</f>
        <v/>
      </c>
      <c r="L66" s="5">
        <f>IF(A66="","",IFERROR(XLOOKUP(A66,ATTENDANCE_SUMMARY!A:A,ATTENDANCE_SUMMARY!G:G,""),""))</f>
        <v/>
      </c>
      <c r="M66" s="4">
        <f>IF(A66="","",IF(OR(E66&lt;50,AND(L66&lt;0.75,L66&lt;&gt;"" )),"At Risk","On Track"))</f>
        <v/>
      </c>
    </row>
    <row r="67">
      <c r="A67">
        <f>IF(MASTER_REGISTER!E67="","",MASTER_REGISTER!E67)</f>
        <v/>
      </c>
      <c r="B67">
        <f>IF(A67="","",MASTER_REGISTER!F67)</f>
        <v/>
      </c>
      <c r="C67">
        <f>IF(A67="","",MASTER_REGISTER!C67)</f>
        <v/>
      </c>
      <c r="D67">
        <f>IF(A67="","",COUNTIF(ASSESSMENTS!B:B,A67))</f>
        <v/>
      </c>
      <c r="E67" s="4">
        <f>IF(D67=0,"",ROUND(AVERAGEIF(ASSESSMENTS!B:B,A67,ASSESSMENTS!H:H),1))</f>
        <v/>
      </c>
      <c r="F67" s="4">
        <f>IF(A67="","",IFERROR(ROUND(AVERAGEIFS(ASSESSMENTS!H:H,ASSESSMENTS!B:B,A67,ASSESSMENTS!E:E,"Mathematics"),1),""))</f>
        <v/>
      </c>
      <c r="G67" s="4">
        <f>IF(A67="","",IFERROR(ROUND(AVERAGEIFS(ASSESSMENTS!H:H,ASSESSMENTS!B:B,A67,ASSESSMENTS!E:E,"Mathematical Literacy"),1),""))</f>
        <v/>
      </c>
      <c r="H67" s="4">
        <f>IF(A67="","",IFERROR(ROUND(AVERAGEIFS(ASSESSMENTS!H:H,ASSESSMENTS!B:B,A67,ASSESSMENTS!E:E,"Physical Sciences"),1),""))</f>
        <v/>
      </c>
      <c r="I67" s="4">
        <f>IF(A67="","",IFERROR(ROUND(AVERAGEIFS(ASSESSMENTS!H:H,ASSESSMENTS!B:B,A67,ASSESSMENTS!E:E,"Geography"),1),""))</f>
        <v/>
      </c>
      <c r="J67" s="4">
        <f>IF(A67="","",IFERROR(ROUND(AVERAGEIFS(ASSESSMENTS!H:H,ASSESSMENTS!B:B,A67,ASSESSMENTS!E:E,"Accounting"),1),""))</f>
        <v/>
      </c>
      <c r="K67" s="4">
        <f>IF(A67="","",IFERROR(ROUND(AVERAGEIFS(ASSESSMENTS!H:H,ASSESSMENTS!B:B,A67,ASSESSMENTS!E:E,"English"),1),""))</f>
        <v/>
      </c>
      <c r="L67" s="5">
        <f>IF(A67="","",IFERROR(XLOOKUP(A67,ATTENDANCE_SUMMARY!A:A,ATTENDANCE_SUMMARY!G:G,""),""))</f>
        <v/>
      </c>
      <c r="M67" s="4">
        <f>IF(A67="","",IF(OR(E67&lt;50,AND(L67&lt;0.75,L67&lt;&gt;"" )),"At Risk","On Track"))</f>
        <v/>
      </c>
    </row>
    <row r="68">
      <c r="A68">
        <f>IF(MASTER_REGISTER!E68="","",MASTER_REGISTER!E68)</f>
        <v/>
      </c>
      <c r="B68">
        <f>IF(A68="","",MASTER_REGISTER!F68)</f>
        <v/>
      </c>
      <c r="C68">
        <f>IF(A68="","",MASTER_REGISTER!C68)</f>
        <v/>
      </c>
      <c r="D68">
        <f>IF(A68="","",COUNTIF(ASSESSMENTS!B:B,A68))</f>
        <v/>
      </c>
      <c r="E68" s="4">
        <f>IF(D68=0,"",ROUND(AVERAGEIF(ASSESSMENTS!B:B,A68,ASSESSMENTS!H:H),1))</f>
        <v/>
      </c>
      <c r="F68" s="4">
        <f>IF(A68="","",IFERROR(ROUND(AVERAGEIFS(ASSESSMENTS!H:H,ASSESSMENTS!B:B,A68,ASSESSMENTS!E:E,"Mathematics"),1),""))</f>
        <v/>
      </c>
      <c r="G68" s="4">
        <f>IF(A68="","",IFERROR(ROUND(AVERAGEIFS(ASSESSMENTS!H:H,ASSESSMENTS!B:B,A68,ASSESSMENTS!E:E,"Mathematical Literacy"),1),""))</f>
        <v/>
      </c>
      <c r="H68" s="4">
        <f>IF(A68="","",IFERROR(ROUND(AVERAGEIFS(ASSESSMENTS!H:H,ASSESSMENTS!B:B,A68,ASSESSMENTS!E:E,"Physical Sciences"),1),""))</f>
        <v/>
      </c>
      <c r="I68" s="4">
        <f>IF(A68="","",IFERROR(ROUND(AVERAGEIFS(ASSESSMENTS!H:H,ASSESSMENTS!B:B,A68,ASSESSMENTS!E:E,"Geography"),1),""))</f>
        <v/>
      </c>
      <c r="J68" s="4">
        <f>IF(A68="","",IFERROR(ROUND(AVERAGEIFS(ASSESSMENTS!H:H,ASSESSMENTS!B:B,A68,ASSESSMENTS!E:E,"Accounting"),1),""))</f>
        <v/>
      </c>
      <c r="K68" s="4">
        <f>IF(A68="","",IFERROR(ROUND(AVERAGEIFS(ASSESSMENTS!H:H,ASSESSMENTS!B:B,A68,ASSESSMENTS!E:E,"English"),1),""))</f>
        <v/>
      </c>
      <c r="L68" s="5">
        <f>IF(A68="","",IFERROR(XLOOKUP(A68,ATTENDANCE_SUMMARY!A:A,ATTENDANCE_SUMMARY!G:G,""),""))</f>
        <v/>
      </c>
      <c r="M68" s="4">
        <f>IF(A68="","",IF(OR(E68&lt;50,AND(L68&lt;0.75,L68&lt;&gt;"" )),"At Risk","On Track"))</f>
        <v/>
      </c>
    </row>
    <row r="69">
      <c r="A69">
        <f>IF(MASTER_REGISTER!E69="","",MASTER_REGISTER!E69)</f>
        <v/>
      </c>
      <c r="B69">
        <f>IF(A69="","",MASTER_REGISTER!F69)</f>
        <v/>
      </c>
      <c r="C69">
        <f>IF(A69="","",MASTER_REGISTER!C69)</f>
        <v/>
      </c>
      <c r="D69">
        <f>IF(A69="","",COUNTIF(ASSESSMENTS!B:B,A69))</f>
        <v/>
      </c>
      <c r="E69" s="4">
        <f>IF(D69=0,"",ROUND(AVERAGEIF(ASSESSMENTS!B:B,A69,ASSESSMENTS!H:H),1))</f>
        <v/>
      </c>
      <c r="F69" s="4">
        <f>IF(A69="","",IFERROR(ROUND(AVERAGEIFS(ASSESSMENTS!H:H,ASSESSMENTS!B:B,A69,ASSESSMENTS!E:E,"Mathematics"),1),""))</f>
        <v/>
      </c>
      <c r="G69" s="4">
        <f>IF(A69="","",IFERROR(ROUND(AVERAGEIFS(ASSESSMENTS!H:H,ASSESSMENTS!B:B,A69,ASSESSMENTS!E:E,"Mathematical Literacy"),1),""))</f>
        <v/>
      </c>
      <c r="H69" s="4">
        <f>IF(A69="","",IFERROR(ROUND(AVERAGEIFS(ASSESSMENTS!H:H,ASSESSMENTS!B:B,A69,ASSESSMENTS!E:E,"Physical Sciences"),1),""))</f>
        <v/>
      </c>
      <c r="I69" s="4">
        <f>IF(A69="","",IFERROR(ROUND(AVERAGEIFS(ASSESSMENTS!H:H,ASSESSMENTS!B:B,A69,ASSESSMENTS!E:E,"Geography"),1),""))</f>
        <v/>
      </c>
      <c r="J69" s="4">
        <f>IF(A69="","",IFERROR(ROUND(AVERAGEIFS(ASSESSMENTS!H:H,ASSESSMENTS!B:B,A69,ASSESSMENTS!E:E,"Accounting"),1),""))</f>
        <v/>
      </c>
      <c r="K69" s="4">
        <f>IF(A69="","",IFERROR(ROUND(AVERAGEIFS(ASSESSMENTS!H:H,ASSESSMENTS!B:B,A69,ASSESSMENTS!E:E,"English"),1),""))</f>
        <v/>
      </c>
      <c r="L69" s="5">
        <f>IF(A69="","",IFERROR(XLOOKUP(A69,ATTENDANCE_SUMMARY!A:A,ATTENDANCE_SUMMARY!G:G,""),""))</f>
        <v/>
      </c>
      <c r="M69" s="4">
        <f>IF(A69="","",IF(OR(E69&lt;50,AND(L69&lt;0.75,L69&lt;&gt;"" )),"At Risk","On Track"))</f>
        <v/>
      </c>
    </row>
    <row r="70">
      <c r="A70">
        <f>IF(MASTER_REGISTER!E70="","",MASTER_REGISTER!E70)</f>
        <v/>
      </c>
      <c r="B70">
        <f>IF(A70="","",MASTER_REGISTER!F70)</f>
        <v/>
      </c>
      <c r="C70">
        <f>IF(A70="","",MASTER_REGISTER!C70)</f>
        <v/>
      </c>
      <c r="D70">
        <f>IF(A70="","",COUNTIF(ASSESSMENTS!B:B,A70))</f>
        <v/>
      </c>
      <c r="E70" s="4">
        <f>IF(D70=0,"",ROUND(AVERAGEIF(ASSESSMENTS!B:B,A70,ASSESSMENTS!H:H),1))</f>
        <v/>
      </c>
      <c r="F70" s="4">
        <f>IF(A70="","",IFERROR(ROUND(AVERAGEIFS(ASSESSMENTS!H:H,ASSESSMENTS!B:B,A70,ASSESSMENTS!E:E,"Mathematics"),1),""))</f>
        <v/>
      </c>
      <c r="G70" s="4">
        <f>IF(A70="","",IFERROR(ROUND(AVERAGEIFS(ASSESSMENTS!H:H,ASSESSMENTS!B:B,A70,ASSESSMENTS!E:E,"Mathematical Literacy"),1),""))</f>
        <v/>
      </c>
      <c r="H70" s="4">
        <f>IF(A70="","",IFERROR(ROUND(AVERAGEIFS(ASSESSMENTS!H:H,ASSESSMENTS!B:B,A70,ASSESSMENTS!E:E,"Physical Sciences"),1),""))</f>
        <v/>
      </c>
      <c r="I70" s="4">
        <f>IF(A70="","",IFERROR(ROUND(AVERAGEIFS(ASSESSMENTS!H:H,ASSESSMENTS!B:B,A70,ASSESSMENTS!E:E,"Geography"),1),""))</f>
        <v/>
      </c>
      <c r="J70" s="4">
        <f>IF(A70="","",IFERROR(ROUND(AVERAGEIFS(ASSESSMENTS!H:H,ASSESSMENTS!B:B,A70,ASSESSMENTS!E:E,"Accounting"),1),""))</f>
        <v/>
      </c>
      <c r="K70" s="4">
        <f>IF(A70="","",IFERROR(ROUND(AVERAGEIFS(ASSESSMENTS!H:H,ASSESSMENTS!B:B,A70,ASSESSMENTS!E:E,"English"),1),""))</f>
        <v/>
      </c>
      <c r="L70" s="5">
        <f>IF(A70="","",IFERROR(XLOOKUP(A70,ATTENDANCE_SUMMARY!A:A,ATTENDANCE_SUMMARY!G:G,""),""))</f>
        <v/>
      </c>
      <c r="M70" s="4">
        <f>IF(A70="","",IF(OR(E70&lt;50,AND(L70&lt;0.75,L70&lt;&gt;"" )),"At Risk","On Track"))</f>
        <v/>
      </c>
    </row>
    <row r="71">
      <c r="A71">
        <f>IF(MASTER_REGISTER!E71="","",MASTER_REGISTER!E71)</f>
        <v/>
      </c>
      <c r="B71">
        <f>IF(A71="","",MASTER_REGISTER!F71)</f>
        <v/>
      </c>
      <c r="C71">
        <f>IF(A71="","",MASTER_REGISTER!C71)</f>
        <v/>
      </c>
      <c r="D71">
        <f>IF(A71="","",COUNTIF(ASSESSMENTS!B:B,A71))</f>
        <v/>
      </c>
      <c r="E71" s="4">
        <f>IF(D71=0,"",ROUND(AVERAGEIF(ASSESSMENTS!B:B,A71,ASSESSMENTS!H:H),1))</f>
        <v/>
      </c>
      <c r="F71" s="4">
        <f>IF(A71="","",IFERROR(ROUND(AVERAGEIFS(ASSESSMENTS!H:H,ASSESSMENTS!B:B,A71,ASSESSMENTS!E:E,"Mathematics"),1),""))</f>
        <v/>
      </c>
      <c r="G71" s="4">
        <f>IF(A71="","",IFERROR(ROUND(AVERAGEIFS(ASSESSMENTS!H:H,ASSESSMENTS!B:B,A71,ASSESSMENTS!E:E,"Mathematical Literacy"),1),""))</f>
        <v/>
      </c>
      <c r="H71" s="4">
        <f>IF(A71="","",IFERROR(ROUND(AVERAGEIFS(ASSESSMENTS!H:H,ASSESSMENTS!B:B,A71,ASSESSMENTS!E:E,"Physical Sciences"),1),""))</f>
        <v/>
      </c>
      <c r="I71" s="4">
        <f>IF(A71="","",IFERROR(ROUND(AVERAGEIFS(ASSESSMENTS!H:H,ASSESSMENTS!B:B,A71,ASSESSMENTS!E:E,"Geography"),1),""))</f>
        <v/>
      </c>
      <c r="J71" s="4">
        <f>IF(A71="","",IFERROR(ROUND(AVERAGEIFS(ASSESSMENTS!H:H,ASSESSMENTS!B:B,A71,ASSESSMENTS!E:E,"Accounting"),1),""))</f>
        <v/>
      </c>
      <c r="K71" s="4">
        <f>IF(A71="","",IFERROR(ROUND(AVERAGEIFS(ASSESSMENTS!H:H,ASSESSMENTS!B:B,A71,ASSESSMENTS!E:E,"English"),1),""))</f>
        <v/>
      </c>
      <c r="L71" s="5">
        <f>IF(A71="","",IFERROR(XLOOKUP(A71,ATTENDANCE_SUMMARY!A:A,ATTENDANCE_SUMMARY!G:G,""),""))</f>
        <v/>
      </c>
      <c r="M71" s="4">
        <f>IF(A71="","",IF(OR(E71&lt;50,AND(L71&lt;0.75,L71&lt;&gt;"" )),"At Risk","On Track"))</f>
        <v/>
      </c>
    </row>
    <row r="72">
      <c r="A72">
        <f>IF(MASTER_REGISTER!E72="","",MASTER_REGISTER!E72)</f>
        <v/>
      </c>
      <c r="B72">
        <f>IF(A72="","",MASTER_REGISTER!F72)</f>
        <v/>
      </c>
      <c r="C72">
        <f>IF(A72="","",MASTER_REGISTER!C72)</f>
        <v/>
      </c>
      <c r="D72">
        <f>IF(A72="","",COUNTIF(ASSESSMENTS!B:B,A72))</f>
        <v/>
      </c>
      <c r="E72" s="4">
        <f>IF(D72=0,"",ROUND(AVERAGEIF(ASSESSMENTS!B:B,A72,ASSESSMENTS!H:H),1))</f>
        <v/>
      </c>
      <c r="F72" s="4">
        <f>IF(A72="","",IFERROR(ROUND(AVERAGEIFS(ASSESSMENTS!H:H,ASSESSMENTS!B:B,A72,ASSESSMENTS!E:E,"Mathematics"),1),""))</f>
        <v/>
      </c>
      <c r="G72" s="4">
        <f>IF(A72="","",IFERROR(ROUND(AVERAGEIFS(ASSESSMENTS!H:H,ASSESSMENTS!B:B,A72,ASSESSMENTS!E:E,"Mathematical Literacy"),1),""))</f>
        <v/>
      </c>
      <c r="H72" s="4">
        <f>IF(A72="","",IFERROR(ROUND(AVERAGEIFS(ASSESSMENTS!H:H,ASSESSMENTS!B:B,A72,ASSESSMENTS!E:E,"Physical Sciences"),1),""))</f>
        <v/>
      </c>
      <c r="I72" s="4">
        <f>IF(A72="","",IFERROR(ROUND(AVERAGEIFS(ASSESSMENTS!H:H,ASSESSMENTS!B:B,A72,ASSESSMENTS!E:E,"Geography"),1),""))</f>
        <v/>
      </c>
      <c r="J72" s="4">
        <f>IF(A72="","",IFERROR(ROUND(AVERAGEIFS(ASSESSMENTS!H:H,ASSESSMENTS!B:B,A72,ASSESSMENTS!E:E,"Accounting"),1),""))</f>
        <v/>
      </c>
      <c r="K72" s="4">
        <f>IF(A72="","",IFERROR(ROUND(AVERAGEIFS(ASSESSMENTS!H:H,ASSESSMENTS!B:B,A72,ASSESSMENTS!E:E,"English"),1),""))</f>
        <v/>
      </c>
      <c r="L72" s="5">
        <f>IF(A72="","",IFERROR(XLOOKUP(A72,ATTENDANCE_SUMMARY!A:A,ATTENDANCE_SUMMARY!G:G,""),""))</f>
        <v/>
      </c>
      <c r="M72" s="4">
        <f>IF(A72="","",IF(OR(E72&lt;50,AND(L72&lt;0.75,L72&lt;&gt;"" )),"At Risk","On Track"))</f>
        <v/>
      </c>
    </row>
    <row r="73">
      <c r="A73">
        <f>IF(MASTER_REGISTER!E73="","",MASTER_REGISTER!E73)</f>
        <v/>
      </c>
      <c r="B73">
        <f>IF(A73="","",MASTER_REGISTER!F73)</f>
        <v/>
      </c>
      <c r="C73">
        <f>IF(A73="","",MASTER_REGISTER!C73)</f>
        <v/>
      </c>
      <c r="D73">
        <f>IF(A73="","",COUNTIF(ASSESSMENTS!B:B,A73))</f>
        <v/>
      </c>
      <c r="E73" s="4">
        <f>IF(D73=0,"",ROUND(AVERAGEIF(ASSESSMENTS!B:B,A73,ASSESSMENTS!H:H),1))</f>
        <v/>
      </c>
      <c r="F73" s="4">
        <f>IF(A73="","",IFERROR(ROUND(AVERAGEIFS(ASSESSMENTS!H:H,ASSESSMENTS!B:B,A73,ASSESSMENTS!E:E,"Mathematics"),1),""))</f>
        <v/>
      </c>
      <c r="G73" s="4">
        <f>IF(A73="","",IFERROR(ROUND(AVERAGEIFS(ASSESSMENTS!H:H,ASSESSMENTS!B:B,A73,ASSESSMENTS!E:E,"Mathematical Literacy"),1),""))</f>
        <v/>
      </c>
      <c r="H73" s="4">
        <f>IF(A73="","",IFERROR(ROUND(AVERAGEIFS(ASSESSMENTS!H:H,ASSESSMENTS!B:B,A73,ASSESSMENTS!E:E,"Physical Sciences"),1),""))</f>
        <v/>
      </c>
      <c r="I73" s="4">
        <f>IF(A73="","",IFERROR(ROUND(AVERAGEIFS(ASSESSMENTS!H:H,ASSESSMENTS!B:B,A73,ASSESSMENTS!E:E,"Geography"),1),""))</f>
        <v/>
      </c>
      <c r="J73" s="4">
        <f>IF(A73="","",IFERROR(ROUND(AVERAGEIFS(ASSESSMENTS!H:H,ASSESSMENTS!B:B,A73,ASSESSMENTS!E:E,"Accounting"),1),""))</f>
        <v/>
      </c>
      <c r="K73" s="4">
        <f>IF(A73="","",IFERROR(ROUND(AVERAGEIFS(ASSESSMENTS!H:H,ASSESSMENTS!B:B,A73,ASSESSMENTS!E:E,"English"),1),""))</f>
        <v/>
      </c>
      <c r="L73" s="5">
        <f>IF(A73="","",IFERROR(XLOOKUP(A73,ATTENDANCE_SUMMARY!A:A,ATTENDANCE_SUMMARY!G:G,""),""))</f>
        <v/>
      </c>
      <c r="M73" s="4">
        <f>IF(A73="","",IF(OR(E73&lt;50,AND(L73&lt;0.75,L73&lt;&gt;"" )),"At Risk","On Track"))</f>
        <v/>
      </c>
    </row>
    <row r="74">
      <c r="A74">
        <f>IF(MASTER_REGISTER!E74="","",MASTER_REGISTER!E74)</f>
        <v/>
      </c>
      <c r="B74">
        <f>IF(A74="","",MASTER_REGISTER!F74)</f>
        <v/>
      </c>
      <c r="C74">
        <f>IF(A74="","",MASTER_REGISTER!C74)</f>
        <v/>
      </c>
      <c r="D74">
        <f>IF(A74="","",COUNTIF(ASSESSMENTS!B:B,A74))</f>
        <v/>
      </c>
      <c r="E74" s="4">
        <f>IF(D74=0,"",ROUND(AVERAGEIF(ASSESSMENTS!B:B,A74,ASSESSMENTS!H:H),1))</f>
        <v/>
      </c>
      <c r="F74" s="4">
        <f>IF(A74="","",IFERROR(ROUND(AVERAGEIFS(ASSESSMENTS!H:H,ASSESSMENTS!B:B,A74,ASSESSMENTS!E:E,"Mathematics"),1),""))</f>
        <v/>
      </c>
      <c r="G74" s="4">
        <f>IF(A74="","",IFERROR(ROUND(AVERAGEIFS(ASSESSMENTS!H:H,ASSESSMENTS!B:B,A74,ASSESSMENTS!E:E,"Mathematical Literacy"),1),""))</f>
        <v/>
      </c>
      <c r="H74" s="4">
        <f>IF(A74="","",IFERROR(ROUND(AVERAGEIFS(ASSESSMENTS!H:H,ASSESSMENTS!B:B,A74,ASSESSMENTS!E:E,"Physical Sciences"),1),""))</f>
        <v/>
      </c>
      <c r="I74" s="4">
        <f>IF(A74="","",IFERROR(ROUND(AVERAGEIFS(ASSESSMENTS!H:H,ASSESSMENTS!B:B,A74,ASSESSMENTS!E:E,"Geography"),1),""))</f>
        <v/>
      </c>
      <c r="J74" s="4">
        <f>IF(A74="","",IFERROR(ROUND(AVERAGEIFS(ASSESSMENTS!H:H,ASSESSMENTS!B:B,A74,ASSESSMENTS!E:E,"Accounting"),1),""))</f>
        <v/>
      </c>
      <c r="K74" s="4">
        <f>IF(A74="","",IFERROR(ROUND(AVERAGEIFS(ASSESSMENTS!H:H,ASSESSMENTS!B:B,A74,ASSESSMENTS!E:E,"English"),1),""))</f>
        <v/>
      </c>
      <c r="L74" s="5">
        <f>IF(A74="","",IFERROR(XLOOKUP(A74,ATTENDANCE_SUMMARY!A:A,ATTENDANCE_SUMMARY!G:G,""),""))</f>
        <v/>
      </c>
      <c r="M74" s="4">
        <f>IF(A74="","",IF(OR(E74&lt;50,AND(L74&lt;0.75,L74&lt;&gt;"" )),"At Risk","On Track"))</f>
        <v/>
      </c>
    </row>
    <row r="75">
      <c r="A75">
        <f>IF(MASTER_REGISTER!E75="","",MASTER_REGISTER!E75)</f>
        <v/>
      </c>
      <c r="B75">
        <f>IF(A75="","",MASTER_REGISTER!F75)</f>
        <v/>
      </c>
      <c r="C75">
        <f>IF(A75="","",MASTER_REGISTER!C75)</f>
        <v/>
      </c>
      <c r="D75">
        <f>IF(A75="","",COUNTIF(ASSESSMENTS!B:B,A75))</f>
        <v/>
      </c>
      <c r="E75" s="4">
        <f>IF(D75=0,"",ROUND(AVERAGEIF(ASSESSMENTS!B:B,A75,ASSESSMENTS!H:H),1))</f>
        <v/>
      </c>
      <c r="F75" s="4">
        <f>IF(A75="","",IFERROR(ROUND(AVERAGEIFS(ASSESSMENTS!H:H,ASSESSMENTS!B:B,A75,ASSESSMENTS!E:E,"Mathematics"),1),""))</f>
        <v/>
      </c>
      <c r="G75" s="4">
        <f>IF(A75="","",IFERROR(ROUND(AVERAGEIFS(ASSESSMENTS!H:H,ASSESSMENTS!B:B,A75,ASSESSMENTS!E:E,"Mathematical Literacy"),1),""))</f>
        <v/>
      </c>
      <c r="H75" s="4">
        <f>IF(A75="","",IFERROR(ROUND(AVERAGEIFS(ASSESSMENTS!H:H,ASSESSMENTS!B:B,A75,ASSESSMENTS!E:E,"Physical Sciences"),1),""))</f>
        <v/>
      </c>
      <c r="I75" s="4">
        <f>IF(A75="","",IFERROR(ROUND(AVERAGEIFS(ASSESSMENTS!H:H,ASSESSMENTS!B:B,A75,ASSESSMENTS!E:E,"Geography"),1),""))</f>
        <v/>
      </c>
      <c r="J75" s="4">
        <f>IF(A75="","",IFERROR(ROUND(AVERAGEIFS(ASSESSMENTS!H:H,ASSESSMENTS!B:B,A75,ASSESSMENTS!E:E,"Accounting"),1),""))</f>
        <v/>
      </c>
      <c r="K75" s="4">
        <f>IF(A75="","",IFERROR(ROUND(AVERAGEIFS(ASSESSMENTS!H:H,ASSESSMENTS!B:B,A75,ASSESSMENTS!E:E,"English"),1),""))</f>
        <v/>
      </c>
      <c r="L75" s="5">
        <f>IF(A75="","",IFERROR(XLOOKUP(A75,ATTENDANCE_SUMMARY!A:A,ATTENDANCE_SUMMARY!G:G,""),""))</f>
        <v/>
      </c>
      <c r="M75" s="4">
        <f>IF(A75="","",IF(OR(E75&lt;50,AND(L75&lt;0.75,L75&lt;&gt;"" )),"At Risk","On Track"))</f>
        <v/>
      </c>
    </row>
    <row r="76">
      <c r="A76">
        <f>IF(MASTER_REGISTER!E76="","",MASTER_REGISTER!E76)</f>
        <v/>
      </c>
      <c r="B76">
        <f>IF(A76="","",MASTER_REGISTER!F76)</f>
        <v/>
      </c>
      <c r="C76">
        <f>IF(A76="","",MASTER_REGISTER!C76)</f>
        <v/>
      </c>
      <c r="D76">
        <f>IF(A76="","",COUNTIF(ASSESSMENTS!B:B,A76))</f>
        <v/>
      </c>
      <c r="E76" s="4">
        <f>IF(D76=0,"",ROUND(AVERAGEIF(ASSESSMENTS!B:B,A76,ASSESSMENTS!H:H),1))</f>
        <v/>
      </c>
      <c r="F76" s="4">
        <f>IF(A76="","",IFERROR(ROUND(AVERAGEIFS(ASSESSMENTS!H:H,ASSESSMENTS!B:B,A76,ASSESSMENTS!E:E,"Mathematics"),1),""))</f>
        <v/>
      </c>
      <c r="G76" s="4">
        <f>IF(A76="","",IFERROR(ROUND(AVERAGEIFS(ASSESSMENTS!H:H,ASSESSMENTS!B:B,A76,ASSESSMENTS!E:E,"Mathematical Literacy"),1),""))</f>
        <v/>
      </c>
      <c r="H76" s="4">
        <f>IF(A76="","",IFERROR(ROUND(AVERAGEIFS(ASSESSMENTS!H:H,ASSESSMENTS!B:B,A76,ASSESSMENTS!E:E,"Physical Sciences"),1),""))</f>
        <v/>
      </c>
      <c r="I76" s="4">
        <f>IF(A76="","",IFERROR(ROUND(AVERAGEIFS(ASSESSMENTS!H:H,ASSESSMENTS!B:B,A76,ASSESSMENTS!E:E,"Geography"),1),""))</f>
        <v/>
      </c>
      <c r="J76" s="4">
        <f>IF(A76="","",IFERROR(ROUND(AVERAGEIFS(ASSESSMENTS!H:H,ASSESSMENTS!B:B,A76,ASSESSMENTS!E:E,"Accounting"),1),""))</f>
        <v/>
      </c>
      <c r="K76" s="4">
        <f>IF(A76="","",IFERROR(ROUND(AVERAGEIFS(ASSESSMENTS!H:H,ASSESSMENTS!B:B,A76,ASSESSMENTS!E:E,"English"),1),""))</f>
        <v/>
      </c>
      <c r="L76" s="5">
        <f>IF(A76="","",IFERROR(XLOOKUP(A76,ATTENDANCE_SUMMARY!A:A,ATTENDANCE_SUMMARY!G:G,""),""))</f>
        <v/>
      </c>
      <c r="M76" s="4">
        <f>IF(A76="","",IF(OR(E76&lt;50,AND(L76&lt;0.75,L76&lt;&gt;"" )),"At Risk","On Track"))</f>
        <v/>
      </c>
    </row>
    <row r="77">
      <c r="A77">
        <f>IF(MASTER_REGISTER!E77="","",MASTER_REGISTER!E77)</f>
        <v/>
      </c>
      <c r="B77">
        <f>IF(A77="","",MASTER_REGISTER!F77)</f>
        <v/>
      </c>
      <c r="C77">
        <f>IF(A77="","",MASTER_REGISTER!C77)</f>
        <v/>
      </c>
      <c r="D77">
        <f>IF(A77="","",COUNTIF(ASSESSMENTS!B:B,A77))</f>
        <v/>
      </c>
      <c r="E77" s="4">
        <f>IF(D77=0,"",ROUND(AVERAGEIF(ASSESSMENTS!B:B,A77,ASSESSMENTS!H:H),1))</f>
        <v/>
      </c>
      <c r="F77" s="4">
        <f>IF(A77="","",IFERROR(ROUND(AVERAGEIFS(ASSESSMENTS!H:H,ASSESSMENTS!B:B,A77,ASSESSMENTS!E:E,"Mathematics"),1),""))</f>
        <v/>
      </c>
      <c r="G77" s="4">
        <f>IF(A77="","",IFERROR(ROUND(AVERAGEIFS(ASSESSMENTS!H:H,ASSESSMENTS!B:B,A77,ASSESSMENTS!E:E,"Mathematical Literacy"),1),""))</f>
        <v/>
      </c>
      <c r="H77" s="4">
        <f>IF(A77="","",IFERROR(ROUND(AVERAGEIFS(ASSESSMENTS!H:H,ASSESSMENTS!B:B,A77,ASSESSMENTS!E:E,"Physical Sciences"),1),""))</f>
        <v/>
      </c>
      <c r="I77" s="4">
        <f>IF(A77="","",IFERROR(ROUND(AVERAGEIFS(ASSESSMENTS!H:H,ASSESSMENTS!B:B,A77,ASSESSMENTS!E:E,"Geography"),1),""))</f>
        <v/>
      </c>
      <c r="J77" s="4">
        <f>IF(A77="","",IFERROR(ROUND(AVERAGEIFS(ASSESSMENTS!H:H,ASSESSMENTS!B:B,A77,ASSESSMENTS!E:E,"Accounting"),1),""))</f>
        <v/>
      </c>
      <c r="K77" s="4">
        <f>IF(A77="","",IFERROR(ROUND(AVERAGEIFS(ASSESSMENTS!H:H,ASSESSMENTS!B:B,A77,ASSESSMENTS!E:E,"English"),1),""))</f>
        <v/>
      </c>
      <c r="L77" s="5">
        <f>IF(A77="","",IFERROR(XLOOKUP(A77,ATTENDANCE_SUMMARY!A:A,ATTENDANCE_SUMMARY!G:G,""),""))</f>
        <v/>
      </c>
      <c r="M77" s="4">
        <f>IF(A77="","",IF(OR(E77&lt;50,AND(L77&lt;0.75,L77&lt;&gt;"" )),"At Risk","On Track"))</f>
        <v/>
      </c>
    </row>
    <row r="78">
      <c r="A78">
        <f>IF(MASTER_REGISTER!E78="","",MASTER_REGISTER!E78)</f>
        <v/>
      </c>
      <c r="B78">
        <f>IF(A78="","",MASTER_REGISTER!F78)</f>
        <v/>
      </c>
      <c r="C78">
        <f>IF(A78="","",MASTER_REGISTER!C78)</f>
        <v/>
      </c>
      <c r="D78">
        <f>IF(A78="","",COUNTIF(ASSESSMENTS!B:B,A78))</f>
        <v/>
      </c>
      <c r="E78" s="4">
        <f>IF(D78=0,"",ROUND(AVERAGEIF(ASSESSMENTS!B:B,A78,ASSESSMENTS!H:H),1))</f>
        <v/>
      </c>
      <c r="F78" s="4">
        <f>IF(A78="","",IFERROR(ROUND(AVERAGEIFS(ASSESSMENTS!H:H,ASSESSMENTS!B:B,A78,ASSESSMENTS!E:E,"Mathematics"),1),""))</f>
        <v/>
      </c>
      <c r="G78" s="4">
        <f>IF(A78="","",IFERROR(ROUND(AVERAGEIFS(ASSESSMENTS!H:H,ASSESSMENTS!B:B,A78,ASSESSMENTS!E:E,"Mathematical Literacy"),1),""))</f>
        <v/>
      </c>
      <c r="H78" s="4">
        <f>IF(A78="","",IFERROR(ROUND(AVERAGEIFS(ASSESSMENTS!H:H,ASSESSMENTS!B:B,A78,ASSESSMENTS!E:E,"Physical Sciences"),1),""))</f>
        <v/>
      </c>
      <c r="I78" s="4">
        <f>IF(A78="","",IFERROR(ROUND(AVERAGEIFS(ASSESSMENTS!H:H,ASSESSMENTS!B:B,A78,ASSESSMENTS!E:E,"Geography"),1),""))</f>
        <v/>
      </c>
      <c r="J78" s="4">
        <f>IF(A78="","",IFERROR(ROUND(AVERAGEIFS(ASSESSMENTS!H:H,ASSESSMENTS!B:B,A78,ASSESSMENTS!E:E,"Accounting"),1),""))</f>
        <v/>
      </c>
      <c r="K78" s="4">
        <f>IF(A78="","",IFERROR(ROUND(AVERAGEIFS(ASSESSMENTS!H:H,ASSESSMENTS!B:B,A78,ASSESSMENTS!E:E,"English"),1),""))</f>
        <v/>
      </c>
      <c r="L78" s="5">
        <f>IF(A78="","",IFERROR(XLOOKUP(A78,ATTENDANCE_SUMMARY!A:A,ATTENDANCE_SUMMARY!G:G,""),""))</f>
        <v/>
      </c>
      <c r="M78" s="4">
        <f>IF(A78="","",IF(OR(E78&lt;50,AND(L78&lt;0.75,L78&lt;&gt;"" )),"At Risk","On Track"))</f>
        <v/>
      </c>
    </row>
    <row r="79">
      <c r="A79">
        <f>IF(MASTER_REGISTER!E79="","",MASTER_REGISTER!E79)</f>
        <v/>
      </c>
      <c r="B79">
        <f>IF(A79="","",MASTER_REGISTER!F79)</f>
        <v/>
      </c>
      <c r="C79">
        <f>IF(A79="","",MASTER_REGISTER!C79)</f>
        <v/>
      </c>
      <c r="D79">
        <f>IF(A79="","",COUNTIF(ASSESSMENTS!B:B,A79))</f>
        <v/>
      </c>
      <c r="E79" s="4">
        <f>IF(D79=0,"",ROUND(AVERAGEIF(ASSESSMENTS!B:B,A79,ASSESSMENTS!H:H),1))</f>
        <v/>
      </c>
      <c r="F79" s="4">
        <f>IF(A79="","",IFERROR(ROUND(AVERAGEIFS(ASSESSMENTS!H:H,ASSESSMENTS!B:B,A79,ASSESSMENTS!E:E,"Mathematics"),1),""))</f>
        <v/>
      </c>
      <c r="G79" s="4">
        <f>IF(A79="","",IFERROR(ROUND(AVERAGEIFS(ASSESSMENTS!H:H,ASSESSMENTS!B:B,A79,ASSESSMENTS!E:E,"Mathematical Literacy"),1),""))</f>
        <v/>
      </c>
      <c r="H79" s="4">
        <f>IF(A79="","",IFERROR(ROUND(AVERAGEIFS(ASSESSMENTS!H:H,ASSESSMENTS!B:B,A79,ASSESSMENTS!E:E,"Physical Sciences"),1),""))</f>
        <v/>
      </c>
      <c r="I79" s="4">
        <f>IF(A79="","",IFERROR(ROUND(AVERAGEIFS(ASSESSMENTS!H:H,ASSESSMENTS!B:B,A79,ASSESSMENTS!E:E,"Geography"),1),""))</f>
        <v/>
      </c>
      <c r="J79" s="4">
        <f>IF(A79="","",IFERROR(ROUND(AVERAGEIFS(ASSESSMENTS!H:H,ASSESSMENTS!B:B,A79,ASSESSMENTS!E:E,"Accounting"),1),""))</f>
        <v/>
      </c>
      <c r="K79" s="4">
        <f>IF(A79="","",IFERROR(ROUND(AVERAGEIFS(ASSESSMENTS!H:H,ASSESSMENTS!B:B,A79,ASSESSMENTS!E:E,"English"),1),""))</f>
        <v/>
      </c>
      <c r="L79" s="5">
        <f>IF(A79="","",IFERROR(XLOOKUP(A79,ATTENDANCE_SUMMARY!A:A,ATTENDANCE_SUMMARY!G:G,""),""))</f>
        <v/>
      </c>
      <c r="M79" s="4">
        <f>IF(A79="","",IF(OR(E79&lt;50,AND(L79&lt;0.75,L79&lt;&gt;"" )),"At Risk","On Track"))</f>
        <v/>
      </c>
    </row>
    <row r="80">
      <c r="A80">
        <f>IF(MASTER_REGISTER!E80="","",MASTER_REGISTER!E80)</f>
        <v/>
      </c>
      <c r="B80">
        <f>IF(A80="","",MASTER_REGISTER!F80)</f>
        <v/>
      </c>
      <c r="C80">
        <f>IF(A80="","",MASTER_REGISTER!C80)</f>
        <v/>
      </c>
      <c r="D80">
        <f>IF(A80="","",COUNTIF(ASSESSMENTS!B:B,A80))</f>
        <v/>
      </c>
      <c r="E80" s="4">
        <f>IF(D80=0,"",ROUND(AVERAGEIF(ASSESSMENTS!B:B,A80,ASSESSMENTS!H:H),1))</f>
        <v/>
      </c>
      <c r="F80" s="4">
        <f>IF(A80="","",IFERROR(ROUND(AVERAGEIFS(ASSESSMENTS!H:H,ASSESSMENTS!B:B,A80,ASSESSMENTS!E:E,"Mathematics"),1),""))</f>
        <v/>
      </c>
      <c r="G80" s="4">
        <f>IF(A80="","",IFERROR(ROUND(AVERAGEIFS(ASSESSMENTS!H:H,ASSESSMENTS!B:B,A80,ASSESSMENTS!E:E,"Mathematical Literacy"),1),""))</f>
        <v/>
      </c>
      <c r="H80" s="4">
        <f>IF(A80="","",IFERROR(ROUND(AVERAGEIFS(ASSESSMENTS!H:H,ASSESSMENTS!B:B,A80,ASSESSMENTS!E:E,"Physical Sciences"),1),""))</f>
        <v/>
      </c>
      <c r="I80" s="4">
        <f>IF(A80="","",IFERROR(ROUND(AVERAGEIFS(ASSESSMENTS!H:H,ASSESSMENTS!B:B,A80,ASSESSMENTS!E:E,"Geography"),1),""))</f>
        <v/>
      </c>
      <c r="J80" s="4">
        <f>IF(A80="","",IFERROR(ROUND(AVERAGEIFS(ASSESSMENTS!H:H,ASSESSMENTS!B:B,A80,ASSESSMENTS!E:E,"Accounting"),1),""))</f>
        <v/>
      </c>
      <c r="K80" s="4">
        <f>IF(A80="","",IFERROR(ROUND(AVERAGEIFS(ASSESSMENTS!H:H,ASSESSMENTS!B:B,A80,ASSESSMENTS!E:E,"English"),1),""))</f>
        <v/>
      </c>
      <c r="L80" s="5">
        <f>IF(A80="","",IFERROR(XLOOKUP(A80,ATTENDANCE_SUMMARY!A:A,ATTENDANCE_SUMMARY!G:G,""),""))</f>
        <v/>
      </c>
      <c r="M80" s="4">
        <f>IF(A80="","",IF(OR(E80&lt;50,AND(L80&lt;0.75,L80&lt;&gt;"" )),"At Risk","On Track"))</f>
        <v/>
      </c>
    </row>
    <row r="81">
      <c r="A81">
        <f>IF(MASTER_REGISTER!E81="","",MASTER_REGISTER!E81)</f>
        <v/>
      </c>
      <c r="B81">
        <f>IF(A81="","",MASTER_REGISTER!F81)</f>
        <v/>
      </c>
      <c r="C81">
        <f>IF(A81="","",MASTER_REGISTER!C81)</f>
        <v/>
      </c>
      <c r="D81">
        <f>IF(A81="","",COUNTIF(ASSESSMENTS!B:B,A81))</f>
        <v/>
      </c>
      <c r="E81" s="4">
        <f>IF(D81=0,"",ROUND(AVERAGEIF(ASSESSMENTS!B:B,A81,ASSESSMENTS!H:H),1))</f>
        <v/>
      </c>
      <c r="F81" s="4">
        <f>IF(A81="","",IFERROR(ROUND(AVERAGEIFS(ASSESSMENTS!H:H,ASSESSMENTS!B:B,A81,ASSESSMENTS!E:E,"Mathematics"),1),""))</f>
        <v/>
      </c>
      <c r="G81" s="4">
        <f>IF(A81="","",IFERROR(ROUND(AVERAGEIFS(ASSESSMENTS!H:H,ASSESSMENTS!B:B,A81,ASSESSMENTS!E:E,"Mathematical Literacy"),1),""))</f>
        <v/>
      </c>
      <c r="H81" s="4">
        <f>IF(A81="","",IFERROR(ROUND(AVERAGEIFS(ASSESSMENTS!H:H,ASSESSMENTS!B:B,A81,ASSESSMENTS!E:E,"Physical Sciences"),1),""))</f>
        <v/>
      </c>
      <c r="I81" s="4">
        <f>IF(A81="","",IFERROR(ROUND(AVERAGEIFS(ASSESSMENTS!H:H,ASSESSMENTS!B:B,A81,ASSESSMENTS!E:E,"Geography"),1),""))</f>
        <v/>
      </c>
      <c r="J81" s="4">
        <f>IF(A81="","",IFERROR(ROUND(AVERAGEIFS(ASSESSMENTS!H:H,ASSESSMENTS!B:B,A81,ASSESSMENTS!E:E,"Accounting"),1),""))</f>
        <v/>
      </c>
      <c r="K81" s="4">
        <f>IF(A81="","",IFERROR(ROUND(AVERAGEIFS(ASSESSMENTS!H:H,ASSESSMENTS!B:B,A81,ASSESSMENTS!E:E,"English"),1),""))</f>
        <v/>
      </c>
      <c r="L81" s="5">
        <f>IF(A81="","",IFERROR(XLOOKUP(A81,ATTENDANCE_SUMMARY!A:A,ATTENDANCE_SUMMARY!G:G,""),""))</f>
        <v/>
      </c>
      <c r="M81" s="4">
        <f>IF(A81="","",IF(OR(E81&lt;50,AND(L81&lt;0.75,L81&lt;&gt;"" )),"At Risk","On Track"))</f>
        <v/>
      </c>
    </row>
    <row r="82">
      <c r="A82">
        <f>IF(MASTER_REGISTER!E82="","",MASTER_REGISTER!E82)</f>
        <v/>
      </c>
      <c r="B82">
        <f>IF(A82="","",MASTER_REGISTER!F82)</f>
        <v/>
      </c>
      <c r="C82">
        <f>IF(A82="","",MASTER_REGISTER!C82)</f>
        <v/>
      </c>
      <c r="D82">
        <f>IF(A82="","",COUNTIF(ASSESSMENTS!B:B,A82))</f>
        <v/>
      </c>
      <c r="E82" s="4">
        <f>IF(D82=0,"",ROUND(AVERAGEIF(ASSESSMENTS!B:B,A82,ASSESSMENTS!H:H),1))</f>
        <v/>
      </c>
      <c r="F82" s="4">
        <f>IF(A82="","",IFERROR(ROUND(AVERAGEIFS(ASSESSMENTS!H:H,ASSESSMENTS!B:B,A82,ASSESSMENTS!E:E,"Mathematics"),1),""))</f>
        <v/>
      </c>
      <c r="G82" s="4">
        <f>IF(A82="","",IFERROR(ROUND(AVERAGEIFS(ASSESSMENTS!H:H,ASSESSMENTS!B:B,A82,ASSESSMENTS!E:E,"Mathematical Literacy"),1),""))</f>
        <v/>
      </c>
      <c r="H82" s="4">
        <f>IF(A82="","",IFERROR(ROUND(AVERAGEIFS(ASSESSMENTS!H:H,ASSESSMENTS!B:B,A82,ASSESSMENTS!E:E,"Physical Sciences"),1),""))</f>
        <v/>
      </c>
      <c r="I82" s="4">
        <f>IF(A82="","",IFERROR(ROUND(AVERAGEIFS(ASSESSMENTS!H:H,ASSESSMENTS!B:B,A82,ASSESSMENTS!E:E,"Geography"),1),""))</f>
        <v/>
      </c>
      <c r="J82" s="4">
        <f>IF(A82="","",IFERROR(ROUND(AVERAGEIFS(ASSESSMENTS!H:H,ASSESSMENTS!B:B,A82,ASSESSMENTS!E:E,"Accounting"),1),""))</f>
        <v/>
      </c>
      <c r="K82" s="4">
        <f>IF(A82="","",IFERROR(ROUND(AVERAGEIFS(ASSESSMENTS!H:H,ASSESSMENTS!B:B,A82,ASSESSMENTS!E:E,"English"),1),""))</f>
        <v/>
      </c>
      <c r="L82" s="5">
        <f>IF(A82="","",IFERROR(XLOOKUP(A82,ATTENDANCE_SUMMARY!A:A,ATTENDANCE_SUMMARY!G:G,""),""))</f>
        <v/>
      </c>
      <c r="M82" s="4">
        <f>IF(A82="","",IF(OR(E82&lt;50,AND(L82&lt;0.75,L82&lt;&gt;"" )),"At Risk","On Track"))</f>
        <v/>
      </c>
    </row>
    <row r="83">
      <c r="A83">
        <f>IF(MASTER_REGISTER!E83="","",MASTER_REGISTER!E83)</f>
        <v/>
      </c>
      <c r="B83">
        <f>IF(A83="","",MASTER_REGISTER!F83)</f>
        <v/>
      </c>
      <c r="C83">
        <f>IF(A83="","",MASTER_REGISTER!C83)</f>
        <v/>
      </c>
      <c r="D83">
        <f>IF(A83="","",COUNTIF(ASSESSMENTS!B:B,A83))</f>
        <v/>
      </c>
      <c r="E83" s="4">
        <f>IF(D83=0,"",ROUND(AVERAGEIF(ASSESSMENTS!B:B,A83,ASSESSMENTS!H:H),1))</f>
        <v/>
      </c>
      <c r="F83" s="4">
        <f>IF(A83="","",IFERROR(ROUND(AVERAGEIFS(ASSESSMENTS!H:H,ASSESSMENTS!B:B,A83,ASSESSMENTS!E:E,"Mathematics"),1),""))</f>
        <v/>
      </c>
      <c r="G83" s="4">
        <f>IF(A83="","",IFERROR(ROUND(AVERAGEIFS(ASSESSMENTS!H:H,ASSESSMENTS!B:B,A83,ASSESSMENTS!E:E,"Mathematical Literacy"),1),""))</f>
        <v/>
      </c>
      <c r="H83" s="4">
        <f>IF(A83="","",IFERROR(ROUND(AVERAGEIFS(ASSESSMENTS!H:H,ASSESSMENTS!B:B,A83,ASSESSMENTS!E:E,"Physical Sciences"),1),""))</f>
        <v/>
      </c>
      <c r="I83" s="4">
        <f>IF(A83="","",IFERROR(ROUND(AVERAGEIFS(ASSESSMENTS!H:H,ASSESSMENTS!B:B,A83,ASSESSMENTS!E:E,"Geography"),1),""))</f>
        <v/>
      </c>
      <c r="J83" s="4">
        <f>IF(A83="","",IFERROR(ROUND(AVERAGEIFS(ASSESSMENTS!H:H,ASSESSMENTS!B:B,A83,ASSESSMENTS!E:E,"Accounting"),1),""))</f>
        <v/>
      </c>
      <c r="K83" s="4">
        <f>IF(A83="","",IFERROR(ROUND(AVERAGEIFS(ASSESSMENTS!H:H,ASSESSMENTS!B:B,A83,ASSESSMENTS!E:E,"English"),1),""))</f>
        <v/>
      </c>
      <c r="L83" s="5">
        <f>IF(A83="","",IFERROR(XLOOKUP(A83,ATTENDANCE_SUMMARY!A:A,ATTENDANCE_SUMMARY!G:G,""),""))</f>
        <v/>
      </c>
      <c r="M83" s="4">
        <f>IF(A83="","",IF(OR(E83&lt;50,AND(L83&lt;0.75,L83&lt;&gt;"" )),"At Risk","On Track"))</f>
        <v/>
      </c>
    </row>
    <row r="84">
      <c r="A84">
        <f>IF(MASTER_REGISTER!E84="","",MASTER_REGISTER!E84)</f>
        <v/>
      </c>
      <c r="B84">
        <f>IF(A84="","",MASTER_REGISTER!F84)</f>
        <v/>
      </c>
      <c r="C84">
        <f>IF(A84="","",MASTER_REGISTER!C84)</f>
        <v/>
      </c>
      <c r="D84">
        <f>IF(A84="","",COUNTIF(ASSESSMENTS!B:B,A84))</f>
        <v/>
      </c>
      <c r="E84" s="4">
        <f>IF(D84=0,"",ROUND(AVERAGEIF(ASSESSMENTS!B:B,A84,ASSESSMENTS!H:H),1))</f>
        <v/>
      </c>
      <c r="F84" s="4">
        <f>IF(A84="","",IFERROR(ROUND(AVERAGEIFS(ASSESSMENTS!H:H,ASSESSMENTS!B:B,A84,ASSESSMENTS!E:E,"Mathematics"),1),""))</f>
        <v/>
      </c>
      <c r="G84" s="4">
        <f>IF(A84="","",IFERROR(ROUND(AVERAGEIFS(ASSESSMENTS!H:H,ASSESSMENTS!B:B,A84,ASSESSMENTS!E:E,"Mathematical Literacy"),1),""))</f>
        <v/>
      </c>
      <c r="H84" s="4">
        <f>IF(A84="","",IFERROR(ROUND(AVERAGEIFS(ASSESSMENTS!H:H,ASSESSMENTS!B:B,A84,ASSESSMENTS!E:E,"Physical Sciences"),1),""))</f>
        <v/>
      </c>
      <c r="I84" s="4">
        <f>IF(A84="","",IFERROR(ROUND(AVERAGEIFS(ASSESSMENTS!H:H,ASSESSMENTS!B:B,A84,ASSESSMENTS!E:E,"Geography"),1),""))</f>
        <v/>
      </c>
      <c r="J84" s="4">
        <f>IF(A84="","",IFERROR(ROUND(AVERAGEIFS(ASSESSMENTS!H:H,ASSESSMENTS!B:B,A84,ASSESSMENTS!E:E,"Accounting"),1),""))</f>
        <v/>
      </c>
      <c r="K84" s="4">
        <f>IF(A84="","",IFERROR(ROUND(AVERAGEIFS(ASSESSMENTS!H:H,ASSESSMENTS!B:B,A84,ASSESSMENTS!E:E,"English"),1),""))</f>
        <v/>
      </c>
      <c r="L84" s="5">
        <f>IF(A84="","",IFERROR(XLOOKUP(A84,ATTENDANCE_SUMMARY!A:A,ATTENDANCE_SUMMARY!G:G,""),""))</f>
        <v/>
      </c>
      <c r="M84" s="4">
        <f>IF(A84="","",IF(OR(E84&lt;50,AND(L84&lt;0.75,L84&lt;&gt;"" )),"At Risk","On Track"))</f>
        <v/>
      </c>
    </row>
    <row r="85">
      <c r="A85">
        <f>IF(MASTER_REGISTER!E85="","",MASTER_REGISTER!E85)</f>
        <v/>
      </c>
      <c r="B85">
        <f>IF(A85="","",MASTER_REGISTER!F85)</f>
        <v/>
      </c>
      <c r="C85">
        <f>IF(A85="","",MASTER_REGISTER!C85)</f>
        <v/>
      </c>
      <c r="D85">
        <f>IF(A85="","",COUNTIF(ASSESSMENTS!B:B,A85))</f>
        <v/>
      </c>
      <c r="E85" s="4">
        <f>IF(D85=0,"",ROUND(AVERAGEIF(ASSESSMENTS!B:B,A85,ASSESSMENTS!H:H),1))</f>
        <v/>
      </c>
      <c r="F85" s="4">
        <f>IF(A85="","",IFERROR(ROUND(AVERAGEIFS(ASSESSMENTS!H:H,ASSESSMENTS!B:B,A85,ASSESSMENTS!E:E,"Mathematics"),1),""))</f>
        <v/>
      </c>
      <c r="G85" s="4">
        <f>IF(A85="","",IFERROR(ROUND(AVERAGEIFS(ASSESSMENTS!H:H,ASSESSMENTS!B:B,A85,ASSESSMENTS!E:E,"Mathematical Literacy"),1),""))</f>
        <v/>
      </c>
      <c r="H85" s="4">
        <f>IF(A85="","",IFERROR(ROUND(AVERAGEIFS(ASSESSMENTS!H:H,ASSESSMENTS!B:B,A85,ASSESSMENTS!E:E,"Physical Sciences"),1),""))</f>
        <v/>
      </c>
      <c r="I85" s="4">
        <f>IF(A85="","",IFERROR(ROUND(AVERAGEIFS(ASSESSMENTS!H:H,ASSESSMENTS!B:B,A85,ASSESSMENTS!E:E,"Geography"),1),""))</f>
        <v/>
      </c>
      <c r="J85" s="4">
        <f>IF(A85="","",IFERROR(ROUND(AVERAGEIFS(ASSESSMENTS!H:H,ASSESSMENTS!B:B,A85,ASSESSMENTS!E:E,"Accounting"),1),""))</f>
        <v/>
      </c>
      <c r="K85" s="4">
        <f>IF(A85="","",IFERROR(ROUND(AVERAGEIFS(ASSESSMENTS!H:H,ASSESSMENTS!B:B,A85,ASSESSMENTS!E:E,"English"),1),""))</f>
        <v/>
      </c>
      <c r="L85" s="5">
        <f>IF(A85="","",IFERROR(XLOOKUP(A85,ATTENDANCE_SUMMARY!A:A,ATTENDANCE_SUMMARY!G:G,""),""))</f>
        <v/>
      </c>
      <c r="M85" s="4">
        <f>IF(A85="","",IF(OR(E85&lt;50,AND(L85&lt;0.75,L85&lt;&gt;"" )),"At Risk","On Track"))</f>
        <v/>
      </c>
    </row>
    <row r="86">
      <c r="A86">
        <f>IF(MASTER_REGISTER!E86="","",MASTER_REGISTER!E86)</f>
        <v/>
      </c>
      <c r="B86">
        <f>IF(A86="","",MASTER_REGISTER!F86)</f>
        <v/>
      </c>
      <c r="C86">
        <f>IF(A86="","",MASTER_REGISTER!C86)</f>
        <v/>
      </c>
      <c r="D86">
        <f>IF(A86="","",COUNTIF(ASSESSMENTS!B:B,A86))</f>
        <v/>
      </c>
      <c r="E86" s="4">
        <f>IF(D86=0,"",ROUND(AVERAGEIF(ASSESSMENTS!B:B,A86,ASSESSMENTS!H:H),1))</f>
        <v/>
      </c>
      <c r="F86" s="4">
        <f>IF(A86="","",IFERROR(ROUND(AVERAGEIFS(ASSESSMENTS!H:H,ASSESSMENTS!B:B,A86,ASSESSMENTS!E:E,"Mathematics"),1),""))</f>
        <v/>
      </c>
      <c r="G86" s="4">
        <f>IF(A86="","",IFERROR(ROUND(AVERAGEIFS(ASSESSMENTS!H:H,ASSESSMENTS!B:B,A86,ASSESSMENTS!E:E,"Mathematical Literacy"),1),""))</f>
        <v/>
      </c>
      <c r="H86" s="4">
        <f>IF(A86="","",IFERROR(ROUND(AVERAGEIFS(ASSESSMENTS!H:H,ASSESSMENTS!B:B,A86,ASSESSMENTS!E:E,"Physical Sciences"),1),""))</f>
        <v/>
      </c>
      <c r="I86" s="4">
        <f>IF(A86="","",IFERROR(ROUND(AVERAGEIFS(ASSESSMENTS!H:H,ASSESSMENTS!B:B,A86,ASSESSMENTS!E:E,"Geography"),1),""))</f>
        <v/>
      </c>
      <c r="J86" s="4">
        <f>IF(A86="","",IFERROR(ROUND(AVERAGEIFS(ASSESSMENTS!H:H,ASSESSMENTS!B:B,A86,ASSESSMENTS!E:E,"Accounting"),1),""))</f>
        <v/>
      </c>
      <c r="K86" s="4">
        <f>IF(A86="","",IFERROR(ROUND(AVERAGEIFS(ASSESSMENTS!H:H,ASSESSMENTS!B:B,A86,ASSESSMENTS!E:E,"English"),1),""))</f>
        <v/>
      </c>
      <c r="L86" s="5">
        <f>IF(A86="","",IFERROR(XLOOKUP(A86,ATTENDANCE_SUMMARY!A:A,ATTENDANCE_SUMMARY!G:G,""),""))</f>
        <v/>
      </c>
      <c r="M86" s="4">
        <f>IF(A86="","",IF(OR(E86&lt;50,AND(L86&lt;0.75,L86&lt;&gt;"" )),"At Risk","On Track"))</f>
        <v/>
      </c>
    </row>
    <row r="87">
      <c r="A87">
        <f>IF(MASTER_REGISTER!E87="","",MASTER_REGISTER!E87)</f>
        <v/>
      </c>
      <c r="B87">
        <f>IF(A87="","",MASTER_REGISTER!F87)</f>
        <v/>
      </c>
      <c r="C87">
        <f>IF(A87="","",MASTER_REGISTER!C87)</f>
        <v/>
      </c>
      <c r="D87">
        <f>IF(A87="","",COUNTIF(ASSESSMENTS!B:B,A87))</f>
        <v/>
      </c>
      <c r="E87" s="4">
        <f>IF(D87=0,"",ROUND(AVERAGEIF(ASSESSMENTS!B:B,A87,ASSESSMENTS!H:H),1))</f>
        <v/>
      </c>
      <c r="F87" s="4">
        <f>IF(A87="","",IFERROR(ROUND(AVERAGEIFS(ASSESSMENTS!H:H,ASSESSMENTS!B:B,A87,ASSESSMENTS!E:E,"Mathematics"),1),""))</f>
        <v/>
      </c>
      <c r="G87" s="4">
        <f>IF(A87="","",IFERROR(ROUND(AVERAGEIFS(ASSESSMENTS!H:H,ASSESSMENTS!B:B,A87,ASSESSMENTS!E:E,"Mathematical Literacy"),1),""))</f>
        <v/>
      </c>
      <c r="H87" s="4">
        <f>IF(A87="","",IFERROR(ROUND(AVERAGEIFS(ASSESSMENTS!H:H,ASSESSMENTS!B:B,A87,ASSESSMENTS!E:E,"Physical Sciences"),1),""))</f>
        <v/>
      </c>
      <c r="I87" s="4">
        <f>IF(A87="","",IFERROR(ROUND(AVERAGEIFS(ASSESSMENTS!H:H,ASSESSMENTS!B:B,A87,ASSESSMENTS!E:E,"Geography"),1),""))</f>
        <v/>
      </c>
      <c r="J87" s="4">
        <f>IF(A87="","",IFERROR(ROUND(AVERAGEIFS(ASSESSMENTS!H:H,ASSESSMENTS!B:B,A87,ASSESSMENTS!E:E,"Accounting"),1),""))</f>
        <v/>
      </c>
      <c r="K87" s="4">
        <f>IF(A87="","",IFERROR(ROUND(AVERAGEIFS(ASSESSMENTS!H:H,ASSESSMENTS!B:B,A87,ASSESSMENTS!E:E,"English"),1),""))</f>
        <v/>
      </c>
      <c r="L87" s="5">
        <f>IF(A87="","",IFERROR(XLOOKUP(A87,ATTENDANCE_SUMMARY!A:A,ATTENDANCE_SUMMARY!G:G,""),""))</f>
        <v/>
      </c>
      <c r="M87" s="4">
        <f>IF(A87="","",IF(OR(E87&lt;50,AND(L87&lt;0.75,L87&lt;&gt;"" )),"At Risk","On Track"))</f>
        <v/>
      </c>
    </row>
    <row r="88">
      <c r="A88">
        <f>IF(MASTER_REGISTER!E88="","",MASTER_REGISTER!E88)</f>
        <v/>
      </c>
      <c r="B88">
        <f>IF(A88="","",MASTER_REGISTER!F88)</f>
        <v/>
      </c>
      <c r="C88">
        <f>IF(A88="","",MASTER_REGISTER!C88)</f>
        <v/>
      </c>
      <c r="D88">
        <f>IF(A88="","",COUNTIF(ASSESSMENTS!B:B,A88))</f>
        <v/>
      </c>
      <c r="E88" s="4">
        <f>IF(D88=0,"",ROUND(AVERAGEIF(ASSESSMENTS!B:B,A88,ASSESSMENTS!H:H),1))</f>
        <v/>
      </c>
      <c r="F88" s="4">
        <f>IF(A88="","",IFERROR(ROUND(AVERAGEIFS(ASSESSMENTS!H:H,ASSESSMENTS!B:B,A88,ASSESSMENTS!E:E,"Mathematics"),1),""))</f>
        <v/>
      </c>
      <c r="G88" s="4">
        <f>IF(A88="","",IFERROR(ROUND(AVERAGEIFS(ASSESSMENTS!H:H,ASSESSMENTS!B:B,A88,ASSESSMENTS!E:E,"Mathematical Literacy"),1),""))</f>
        <v/>
      </c>
      <c r="H88" s="4">
        <f>IF(A88="","",IFERROR(ROUND(AVERAGEIFS(ASSESSMENTS!H:H,ASSESSMENTS!B:B,A88,ASSESSMENTS!E:E,"Physical Sciences"),1),""))</f>
        <v/>
      </c>
      <c r="I88" s="4">
        <f>IF(A88="","",IFERROR(ROUND(AVERAGEIFS(ASSESSMENTS!H:H,ASSESSMENTS!B:B,A88,ASSESSMENTS!E:E,"Geography"),1),""))</f>
        <v/>
      </c>
      <c r="J88" s="4">
        <f>IF(A88="","",IFERROR(ROUND(AVERAGEIFS(ASSESSMENTS!H:H,ASSESSMENTS!B:B,A88,ASSESSMENTS!E:E,"Accounting"),1),""))</f>
        <v/>
      </c>
      <c r="K88" s="4">
        <f>IF(A88="","",IFERROR(ROUND(AVERAGEIFS(ASSESSMENTS!H:H,ASSESSMENTS!B:B,A88,ASSESSMENTS!E:E,"English"),1),""))</f>
        <v/>
      </c>
      <c r="L88" s="5">
        <f>IF(A88="","",IFERROR(XLOOKUP(A88,ATTENDANCE_SUMMARY!A:A,ATTENDANCE_SUMMARY!G:G,""),""))</f>
        <v/>
      </c>
      <c r="M88" s="4">
        <f>IF(A88="","",IF(OR(E88&lt;50,AND(L88&lt;0.75,L88&lt;&gt;"" )),"At Risk","On Track"))</f>
        <v/>
      </c>
    </row>
    <row r="89">
      <c r="A89">
        <f>IF(MASTER_REGISTER!E89="","",MASTER_REGISTER!E89)</f>
        <v/>
      </c>
      <c r="B89">
        <f>IF(A89="","",MASTER_REGISTER!F89)</f>
        <v/>
      </c>
      <c r="C89">
        <f>IF(A89="","",MASTER_REGISTER!C89)</f>
        <v/>
      </c>
      <c r="D89">
        <f>IF(A89="","",COUNTIF(ASSESSMENTS!B:B,A89))</f>
        <v/>
      </c>
      <c r="E89" s="4">
        <f>IF(D89=0,"",ROUND(AVERAGEIF(ASSESSMENTS!B:B,A89,ASSESSMENTS!H:H),1))</f>
        <v/>
      </c>
      <c r="F89" s="4">
        <f>IF(A89="","",IFERROR(ROUND(AVERAGEIFS(ASSESSMENTS!H:H,ASSESSMENTS!B:B,A89,ASSESSMENTS!E:E,"Mathematics"),1),""))</f>
        <v/>
      </c>
      <c r="G89" s="4">
        <f>IF(A89="","",IFERROR(ROUND(AVERAGEIFS(ASSESSMENTS!H:H,ASSESSMENTS!B:B,A89,ASSESSMENTS!E:E,"Mathematical Literacy"),1),""))</f>
        <v/>
      </c>
      <c r="H89" s="4">
        <f>IF(A89="","",IFERROR(ROUND(AVERAGEIFS(ASSESSMENTS!H:H,ASSESSMENTS!B:B,A89,ASSESSMENTS!E:E,"Physical Sciences"),1),""))</f>
        <v/>
      </c>
      <c r="I89" s="4">
        <f>IF(A89="","",IFERROR(ROUND(AVERAGEIFS(ASSESSMENTS!H:H,ASSESSMENTS!B:B,A89,ASSESSMENTS!E:E,"Geography"),1),""))</f>
        <v/>
      </c>
      <c r="J89" s="4">
        <f>IF(A89="","",IFERROR(ROUND(AVERAGEIFS(ASSESSMENTS!H:H,ASSESSMENTS!B:B,A89,ASSESSMENTS!E:E,"Accounting"),1),""))</f>
        <v/>
      </c>
      <c r="K89" s="4">
        <f>IF(A89="","",IFERROR(ROUND(AVERAGEIFS(ASSESSMENTS!H:H,ASSESSMENTS!B:B,A89,ASSESSMENTS!E:E,"English"),1),""))</f>
        <v/>
      </c>
      <c r="L89" s="5">
        <f>IF(A89="","",IFERROR(XLOOKUP(A89,ATTENDANCE_SUMMARY!A:A,ATTENDANCE_SUMMARY!G:G,""),""))</f>
        <v/>
      </c>
      <c r="M89" s="4">
        <f>IF(A89="","",IF(OR(E89&lt;50,AND(L89&lt;0.75,L89&lt;&gt;"" )),"At Risk","On Track"))</f>
        <v/>
      </c>
    </row>
    <row r="90">
      <c r="A90">
        <f>IF(MASTER_REGISTER!E90="","",MASTER_REGISTER!E90)</f>
        <v/>
      </c>
      <c r="B90">
        <f>IF(A90="","",MASTER_REGISTER!F90)</f>
        <v/>
      </c>
      <c r="C90">
        <f>IF(A90="","",MASTER_REGISTER!C90)</f>
        <v/>
      </c>
      <c r="D90">
        <f>IF(A90="","",COUNTIF(ASSESSMENTS!B:B,A90))</f>
        <v/>
      </c>
      <c r="E90" s="4">
        <f>IF(D90=0,"",ROUND(AVERAGEIF(ASSESSMENTS!B:B,A90,ASSESSMENTS!H:H),1))</f>
        <v/>
      </c>
      <c r="F90" s="4">
        <f>IF(A90="","",IFERROR(ROUND(AVERAGEIFS(ASSESSMENTS!H:H,ASSESSMENTS!B:B,A90,ASSESSMENTS!E:E,"Mathematics"),1),""))</f>
        <v/>
      </c>
      <c r="G90" s="4">
        <f>IF(A90="","",IFERROR(ROUND(AVERAGEIFS(ASSESSMENTS!H:H,ASSESSMENTS!B:B,A90,ASSESSMENTS!E:E,"Mathematical Literacy"),1),""))</f>
        <v/>
      </c>
      <c r="H90" s="4">
        <f>IF(A90="","",IFERROR(ROUND(AVERAGEIFS(ASSESSMENTS!H:H,ASSESSMENTS!B:B,A90,ASSESSMENTS!E:E,"Physical Sciences"),1),""))</f>
        <v/>
      </c>
      <c r="I90" s="4">
        <f>IF(A90="","",IFERROR(ROUND(AVERAGEIFS(ASSESSMENTS!H:H,ASSESSMENTS!B:B,A90,ASSESSMENTS!E:E,"Geography"),1),""))</f>
        <v/>
      </c>
      <c r="J90" s="4">
        <f>IF(A90="","",IFERROR(ROUND(AVERAGEIFS(ASSESSMENTS!H:H,ASSESSMENTS!B:B,A90,ASSESSMENTS!E:E,"Accounting"),1),""))</f>
        <v/>
      </c>
      <c r="K90" s="4">
        <f>IF(A90="","",IFERROR(ROUND(AVERAGEIFS(ASSESSMENTS!H:H,ASSESSMENTS!B:B,A90,ASSESSMENTS!E:E,"English"),1),""))</f>
        <v/>
      </c>
      <c r="L90" s="5">
        <f>IF(A90="","",IFERROR(XLOOKUP(A90,ATTENDANCE_SUMMARY!A:A,ATTENDANCE_SUMMARY!G:G,""),""))</f>
        <v/>
      </c>
      <c r="M90" s="4">
        <f>IF(A90="","",IF(OR(E90&lt;50,AND(L90&lt;0.75,L90&lt;&gt;"" )),"At Risk","On Track"))</f>
        <v/>
      </c>
    </row>
    <row r="91">
      <c r="A91">
        <f>IF(MASTER_REGISTER!E91="","",MASTER_REGISTER!E91)</f>
        <v/>
      </c>
      <c r="B91">
        <f>IF(A91="","",MASTER_REGISTER!F91)</f>
        <v/>
      </c>
      <c r="C91">
        <f>IF(A91="","",MASTER_REGISTER!C91)</f>
        <v/>
      </c>
      <c r="D91">
        <f>IF(A91="","",COUNTIF(ASSESSMENTS!B:B,A91))</f>
        <v/>
      </c>
      <c r="E91" s="4">
        <f>IF(D91=0,"",ROUND(AVERAGEIF(ASSESSMENTS!B:B,A91,ASSESSMENTS!H:H),1))</f>
        <v/>
      </c>
      <c r="F91" s="4">
        <f>IF(A91="","",IFERROR(ROUND(AVERAGEIFS(ASSESSMENTS!H:H,ASSESSMENTS!B:B,A91,ASSESSMENTS!E:E,"Mathematics"),1),""))</f>
        <v/>
      </c>
      <c r="G91" s="4">
        <f>IF(A91="","",IFERROR(ROUND(AVERAGEIFS(ASSESSMENTS!H:H,ASSESSMENTS!B:B,A91,ASSESSMENTS!E:E,"Mathematical Literacy"),1),""))</f>
        <v/>
      </c>
      <c r="H91" s="4">
        <f>IF(A91="","",IFERROR(ROUND(AVERAGEIFS(ASSESSMENTS!H:H,ASSESSMENTS!B:B,A91,ASSESSMENTS!E:E,"Physical Sciences"),1),""))</f>
        <v/>
      </c>
      <c r="I91" s="4">
        <f>IF(A91="","",IFERROR(ROUND(AVERAGEIFS(ASSESSMENTS!H:H,ASSESSMENTS!B:B,A91,ASSESSMENTS!E:E,"Geography"),1),""))</f>
        <v/>
      </c>
      <c r="J91" s="4">
        <f>IF(A91="","",IFERROR(ROUND(AVERAGEIFS(ASSESSMENTS!H:H,ASSESSMENTS!B:B,A91,ASSESSMENTS!E:E,"Accounting"),1),""))</f>
        <v/>
      </c>
      <c r="K91" s="4">
        <f>IF(A91="","",IFERROR(ROUND(AVERAGEIFS(ASSESSMENTS!H:H,ASSESSMENTS!B:B,A91,ASSESSMENTS!E:E,"English"),1),""))</f>
        <v/>
      </c>
      <c r="L91" s="5">
        <f>IF(A91="","",IFERROR(XLOOKUP(A91,ATTENDANCE_SUMMARY!A:A,ATTENDANCE_SUMMARY!G:G,""),""))</f>
        <v/>
      </c>
      <c r="M91" s="4">
        <f>IF(A91="","",IF(OR(E91&lt;50,AND(L91&lt;0.75,L91&lt;&gt;"" )),"At Risk","On Track"))</f>
        <v/>
      </c>
    </row>
    <row r="92">
      <c r="A92">
        <f>IF(MASTER_REGISTER!E92="","",MASTER_REGISTER!E92)</f>
        <v/>
      </c>
      <c r="B92">
        <f>IF(A92="","",MASTER_REGISTER!F92)</f>
        <v/>
      </c>
      <c r="C92">
        <f>IF(A92="","",MASTER_REGISTER!C92)</f>
        <v/>
      </c>
      <c r="D92">
        <f>IF(A92="","",COUNTIF(ASSESSMENTS!B:B,A92))</f>
        <v/>
      </c>
      <c r="E92" s="4">
        <f>IF(D92=0,"",ROUND(AVERAGEIF(ASSESSMENTS!B:B,A92,ASSESSMENTS!H:H),1))</f>
        <v/>
      </c>
      <c r="F92" s="4">
        <f>IF(A92="","",IFERROR(ROUND(AVERAGEIFS(ASSESSMENTS!H:H,ASSESSMENTS!B:B,A92,ASSESSMENTS!E:E,"Mathematics"),1),""))</f>
        <v/>
      </c>
      <c r="G92" s="4">
        <f>IF(A92="","",IFERROR(ROUND(AVERAGEIFS(ASSESSMENTS!H:H,ASSESSMENTS!B:B,A92,ASSESSMENTS!E:E,"Mathematical Literacy"),1),""))</f>
        <v/>
      </c>
      <c r="H92" s="4">
        <f>IF(A92="","",IFERROR(ROUND(AVERAGEIFS(ASSESSMENTS!H:H,ASSESSMENTS!B:B,A92,ASSESSMENTS!E:E,"Physical Sciences"),1),""))</f>
        <v/>
      </c>
      <c r="I92" s="4">
        <f>IF(A92="","",IFERROR(ROUND(AVERAGEIFS(ASSESSMENTS!H:H,ASSESSMENTS!B:B,A92,ASSESSMENTS!E:E,"Geography"),1),""))</f>
        <v/>
      </c>
      <c r="J92" s="4">
        <f>IF(A92="","",IFERROR(ROUND(AVERAGEIFS(ASSESSMENTS!H:H,ASSESSMENTS!B:B,A92,ASSESSMENTS!E:E,"Accounting"),1),""))</f>
        <v/>
      </c>
      <c r="K92" s="4">
        <f>IF(A92="","",IFERROR(ROUND(AVERAGEIFS(ASSESSMENTS!H:H,ASSESSMENTS!B:B,A92,ASSESSMENTS!E:E,"English"),1),""))</f>
        <v/>
      </c>
      <c r="L92" s="5">
        <f>IF(A92="","",IFERROR(XLOOKUP(A92,ATTENDANCE_SUMMARY!A:A,ATTENDANCE_SUMMARY!G:G,""),""))</f>
        <v/>
      </c>
      <c r="M92" s="4">
        <f>IF(A92="","",IF(OR(E92&lt;50,AND(L92&lt;0.75,L92&lt;&gt;"" )),"At Risk","On Track"))</f>
        <v/>
      </c>
    </row>
    <row r="93">
      <c r="A93">
        <f>IF(MASTER_REGISTER!E93="","",MASTER_REGISTER!E93)</f>
        <v/>
      </c>
      <c r="B93">
        <f>IF(A93="","",MASTER_REGISTER!F93)</f>
        <v/>
      </c>
      <c r="C93">
        <f>IF(A93="","",MASTER_REGISTER!C93)</f>
        <v/>
      </c>
      <c r="D93">
        <f>IF(A93="","",COUNTIF(ASSESSMENTS!B:B,A93))</f>
        <v/>
      </c>
      <c r="E93" s="4">
        <f>IF(D93=0,"",ROUND(AVERAGEIF(ASSESSMENTS!B:B,A93,ASSESSMENTS!H:H),1))</f>
        <v/>
      </c>
      <c r="F93" s="4">
        <f>IF(A93="","",IFERROR(ROUND(AVERAGEIFS(ASSESSMENTS!H:H,ASSESSMENTS!B:B,A93,ASSESSMENTS!E:E,"Mathematics"),1),""))</f>
        <v/>
      </c>
      <c r="G93" s="4">
        <f>IF(A93="","",IFERROR(ROUND(AVERAGEIFS(ASSESSMENTS!H:H,ASSESSMENTS!B:B,A93,ASSESSMENTS!E:E,"Mathematical Literacy"),1),""))</f>
        <v/>
      </c>
      <c r="H93" s="4">
        <f>IF(A93="","",IFERROR(ROUND(AVERAGEIFS(ASSESSMENTS!H:H,ASSESSMENTS!B:B,A93,ASSESSMENTS!E:E,"Physical Sciences"),1),""))</f>
        <v/>
      </c>
      <c r="I93" s="4">
        <f>IF(A93="","",IFERROR(ROUND(AVERAGEIFS(ASSESSMENTS!H:H,ASSESSMENTS!B:B,A93,ASSESSMENTS!E:E,"Geography"),1),""))</f>
        <v/>
      </c>
      <c r="J93" s="4">
        <f>IF(A93="","",IFERROR(ROUND(AVERAGEIFS(ASSESSMENTS!H:H,ASSESSMENTS!B:B,A93,ASSESSMENTS!E:E,"Accounting"),1),""))</f>
        <v/>
      </c>
      <c r="K93" s="4">
        <f>IF(A93="","",IFERROR(ROUND(AVERAGEIFS(ASSESSMENTS!H:H,ASSESSMENTS!B:B,A93,ASSESSMENTS!E:E,"English"),1),""))</f>
        <v/>
      </c>
      <c r="L93" s="5">
        <f>IF(A93="","",IFERROR(XLOOKUP(A93,ATTENDANCE_SUMMARY!A:A,ATTENDANCE_SUMMARY!G:G,""),""))</f>
        <v/>
      </c>
      <c r="M93" s="4">
        <f>IF(A93="","",IF(OR(E93&lt;50,AND(L93&lt;0.75,L93&lt;&gt;"" )),"At Risk","On Track"))</f>
        <v/>
      </c>
    </row>
    <row r="94">
      <c r="A94">
        <f>IF(MASTER_REGISTER!E94="","",MASTER_REGISTER!E94)</f>
        <v/>
      </c>
      <c r="B94">
        <f>IF(A94="","",MASTER_REGISTER!F94)</f>
        <v/>
      </c>
      <c r="C94">
        <f>IF(A94="","",MASTER_REGISTER!C94)</f>
        <v/>
      </c>
      <c r="D94">
        <f>IF(A94="","",COUNTIF(ASSESSMENTS!B:B,A94))</f>
        <v/>
      </c>
      <c r="E94" s="4">
        <f>IF(D94=0,"",ROUND(AVERAGEIF(ASSESSMENTS!B:B,A94,ASSESSMENTS!H:H),1))</f>
        <v/>
      </c>
      <c r="F94" s="4">
        <f>IF(A94="","",IFERROR(ROUND(AVERAGEIFS(ASSESSMENTS!H:H,ASSESSMENTS!B:B,A94,ASSESSMENTS!E:E,"Mathematics"),1),""))</f>
        <v/>
      </c>
      <c r="G94" s="4">
        <f>IF(A94="","",IFERROR(ROUND(AVERAGEIFS(ASSESSMENTS!H:H,ASSESSMENTS!B:B,A94,ASSESSMENTS!E:E,"Mathematical Literacy"),1),""))</f>
        <v/>
      </c>
      <c r="H94" s="4">
        <f>IF(A94="","",IFERROR(ROUND(AVERAGEIFS(ASSESSMENTS!H:H,ASSESSMENTS!B:B,A94,ASSESSMENTS!E:E,"Physical Sciences"),1),""))</f>
        <v/>
      </c>
      <c r="I94" s="4">
        <f>IF(A94="","",IFERROR(ROUND(AVERAGEIFS(ASSESSMENTS!H:H,ASSESSMENTS!B:B,A94,ASSESSMENTS!E:E,"Geography"),1),""))</f>
        <v/>
      </c>
      <c r="J94" s="4">
        <f>IF(A94="","",IFERROR(ROUND(AVERAGEIFS(ASSESSMENTS!H:H,ASSESSMENTS!B:B,A94,ASSESSMENTS!E:E,"Accounting"),1),""))</f>
        <v/>
      </c>
      <c r="K94" s="4">
        <f>IF(A94="","",IFERROR(ROUND(AVERAGEIFS(ASSESSMENTS!H:H,ASSESSMENTS!B:B,A94,ASSESSMENTS!E:E,"English"),1),""))</f>
        <v/>
      </c>
      <c r="L94" s="5">
        <f>IF(A94="","",IFERROR(XLOOKUP(A94,ATTENDANCE_SUMMARY!A:A,ATTENDANCE_SUMMARY!G:G,""),""))</f>
        <v/>
      </c>
      <c r="M94" s="4">
        <f>IF(A94="","",IF(OR(E94&lt;50,AND(L94&lt;0.75,L94&lt;&gt;"" )),"At Risk","On Track"))</f>
        <v/>
      </c>
    </row>
    <row r="95">
      <c r="A95">
        <f>IF(MASTER_REGISTER!E95="","",MASTER_REGISTER!E95)</f>
        <v/>
      </c>
      <c r="B95">
        <f>IF(A95="","",MASTER_REGISTER!F95)</f>
        <v/>
      </c>
      <c r="C95">
        <f>IF(A95="","",MASTER_REGISTER!C95)</f>
        <v/>
      </c>
      <c r="D95">
        <f>IF(A95="","",COUNTIF(ASSESSMENTS!B:B,A95))</f>
        <v/>
      </c>
      <c r="E95" s="4">
        <f>IF(D95=0,"",ROUND(AVERAGEIF(ASSESSMENTS!B:B,A95,ASSESSMENTS!H:H),1))</f>
        <v/>
      </c>
      <c r="F95" s="4">
        <f>IF(A95="","",IFERROR(ROUND(AVERAGEIFS(ASSESSMENTS!H:H,ASSESSMENTS!B:B,A95,ASSESSMENTS!E:E,"Mathematics"),1),""))</f>
        <v/>
      </c>
      <c r="G95" s="4">
        <f>IF(A95="","",IFERROR(ROUND(AVERAGEIFS(ASSESSMENTS!H:H,ASSESSMENTS!B:B,A95,ASSESSMENTS!E:E,"Mathematical Literacy"),1),""))</f>
        <v/>
      </c>
      <c r="H95" s="4">
        <f>IF(A95="","",IFERROR(ROUND(AVERAGEIFS(ASSESSMENTS!H:H,ASSESSMENTS!B:B,A95,ASSESSMENTS!E:E,"Physical Sciences"),1),""))</f>
        <v/>
      </c>
      <c r="I95" s="4">
        <f>IF(A95="","",IFERROR(ROUND(AVERAGEIFS(ASSESSMENTS!H:H,ASSESSMENTS!B:B,A95,ASSESSMENTS!E:E,"Geography"),1),""))</f>
        <v/>
      </c>
      <c r="J95" s="4">
        <f>IF(A95="","",IFERROR(ROUND(AVERAGEIFS(ASSESSMENTS!H:H,ASSESSMENTS!B:B,A95,ASSESSMENTS!E:E,"Accounting"),1),""))</f>
        <v/>
      </c>
      <c r="K95" s="4">
        <f>IF(A95="","",IFERROR(ROUND(AVERAGEIFS(ASSESSMENTS!H:H,ASSESSMENTS!B:B,A95,ASSESSMENTS!E:E,"English"),1),""))</f>
        <v/>
      </c>
      <c r="L95" s="5">
        <f>IF(A95="","",IFERROR(XLOOKUP(A95,ATTENDANCE_SUMMARY!A:A,ATTENDANCE_SUMMARY!G:G,""),""))</f>
        <v/>
      </c>
      <c r="M95" s="4">
        <f>IF(A95="","",IF(OR(E95&lt;50,AND(L95&lt;0.75,L95&lt;&gt;"" )),"At Risk","On Track"))</f>
        <v/>
      </c>
    </row>
    <row r="96">
      <c r="A96">
        <f>IF(MASTER_REGISTER!E96="","",MASTER_REGISTER!E96)</f>
        <v/>
      </c>
      <c r="B96">
        <f>IF(A96="","",MASTER_REGISTER!F96)</f>
        <v/>
      </c>
      <c r="C96">
        <f>IF(A96="","",MASTER_REGISTER!C96)</f>
        <v/>
      </c>
      <c r="D96">
        <f>IF(A96="","",COUNTIF(ASSESSMENTS!B:B,A96))</f>
        <v/>
      </c>
      <c r="E96" s="4">
        <f>IF(D96=0,"",ROUND(AVERAGEIF(ASSESSMENTS!B:B,A96,ASSESSMENTS!H:H),1))</f>
        <v/>
      </c>
      <c r="F96" s="4">
        <f>IF(A96="","",IFERROR(ROUND(AVERAGEIFS(ASSESSMENTS!H:H,ASSESSMENTS!B:B,A96,ASSESSMENTS!E:E,"Mathematics"),1),""))</f>
        <v/>
      </c>
      <c r="G96" s="4">
        <f>IF(A96="","",IFERROR(ROUND(AVERAGEIFS(ASSESSMENTS!H:H,ASSESSMENTS!B:B,A96,ASSESSMENTS!E:E,"Mathematical Literacy"),1),""))</f>
        <v/>
      </c>
      <c r="H96" s="4">
        <f>IF(A96="","",IFERROR(ROUND(AVERAGEIFS(ASSESSMENTS!H:H,ASSESSMENTS!B:B,A96,ASSESSMENTS!E:E,"Physical Sciences"),1),""))</f>
        <v/>
      </c>
      <c r="I96" s="4">
        <f>IF(A96="","",IFERROR(ROUND(AVERAGEIFS(ASSESSMENTS!H:H,ASSESSMENTS!B:B,A96,ASSESSMENTS!E:E,"Geography"),1),""))</f>
        <v/>
      </c>
      <c r="J96" s="4">
        <f>IF(A96="","",IFERROR(ROUND(AVERAGEIFS(ASSESSMENTS!H:H,ASSESSMENTS!B:B,A96,ASSESSMENTS!E:E,"Accounting"),1),""))</f>
        <v/>
      </c>
      <c r="K96" s="4">
        <f>IF(A96="","",IFERROR(ROUND(AVERAGEIFS(ASSESSMENTS!H:H,ASSESSMENTS!B:B,A96,ASSESSMENTS!E:E,"English"),1),""))</f>
        <v/>
      </c>
      <c r="L96" s="5">
        <f>IF(A96="","",IFERROR(XLOOKUP(A96,ATTENDANCE_SUMMARY!A:A,ATTENDANCE_SUMMARY!G:G,""),""))</f>
        <v/>
      </c>
      <c r="M96" s="4">
        <f>IF(A96="","",IF(OR(E96&lt;50,AND(L96&lt;0.75,L96&lt;&gt;"" )),"At Risk","On Track"))</f>
        <v/>
      </c>
    </row>
    <row r="97">
      <c r="A97">
        <f>IF(MASTER_REGISTER!E97="","",MASTER_REGISTER!E97)</f>
        <v/>
      </c>
      <c r="B97">
        <f>IF(A97="","",MASTER_REGISTER!F97)</f>
        <v/>
      </c>
      <c r="C97">
        <f>IF(A97="","",MASTER_REGISTER!C97)</f>
        <v/>
      </c>
      <c r="D97">
        <f>IF(A97="","",COUNTIF(ASSESSMENTS!B:B,A97))</f>
        <v/>
      </c>
      <c r="E97" s="4">
        <f>IF(D97=0,"",ROUND(AVERAGEIF(ASSESSMENTS!B:B,A97,ASSESSMENTS!H:H),1))</f>
        <v/>
      </c>
      <c r="F97" s="4">
        <f>IF(A97="","",IFERROR(ROUND(AVERAGEIFS(ASSESSMENTS!H:H,ASSESSMENTS!B:B,A97,ASSESSMENTS!E:E,"Mathematics"),1),""))</f>
        <v/>
      </c>
      <c r="G97" s="4">
        <f>IF(A97="","",IFERROR(ROUND(AVERAGEIFS(ASSESSMENTS!H:H,ASSESSMENTS!B:B,A97,ASSESSMENTS!E:E,"Mathematical Literacy"),1),""))</f>
        <v/>
      </c>
      <c r="H97" s="4">
        <f>IF(A97="","",IFERROR(ROUND(AVERAGEIFS(ASSESSMENTS!H:H,ASSESSMENTS!B:B,A97,ASSESSMENTS!E:E,"Physical Sciences"),1),""))</f>
        <v/>
      </c>
      <c r="I97" s="4">
        <f>IF(A97="","",IFERROR(ROUND(AVERAGEIFS(ASSESSMENTS!H:H,ASSESSMENTS!B:B,A97,ASSESSMENTS!E:E,"Geography"),1),""))</f>
        <v/>
      </c>
      <c r="J97" s="4">
        <f>IF(A97="","",IFERROR(ROUND(AVERAGEIFS(ASSESSMENTS!H:H,ASSESSMENTS!B:B,A97,ASSESSMENTS!E:E,"Accounting"),1),""))</f>
        <v/>
      </c>
      <c r="K97" s="4">
        <f>IF(A97="","",IFERROR(ROUND(AVERAGEIFS(ASSESSMENTS!H:H,ASSESSMENTS!B:B,A97,ASSESSMENTS!E:E,"English"),1),""))</f>
        <v/>
      </c>
      <c r="L97" s="5">
        <f>IF(A97="","",IFERROR(XLOOKUP(A97,ATTENDANCE_SUMMARY!A:A,ATTENDANCE_SUMMARY!G:G,""),""))</f>
        <v/>
      </c>
      <c r="M97" s="4">
        <f>IF(A97="","",IF(OR(E97&lt;50,AND(L97&lt;0.75,L97&lt;&gt;"" )),"At Risk","On Track"))</f>
        <v/>
      </c>
    </row>
    <row r="98">
      <c r="A98">
        <f>IF(MASTER_REGISTER!E98="","",MASTER_REGISTER!E98)</f>
        <v/>
      </c>
      <c r="B98">
        <f>IF(A98="","",MASTER_REGISTER!F98)</f>
        <v/>
      </c>
      <c r="C98">
        <f>IF(A98="","",MASTER_REGISTER!C98)</f>
        <v/>
      </c>
      <c r="D98">
        <f>IF(A98="","",COUNTIF(ASSESSMENTS!B:B,A98))</f>
        <v/>
      </c>
      <c r="E98" s="4">
        <f>IF(D98=0,"",ROUND(AVERAGEIF(ASSESSMENTS!B:B,A98,ASSESSMENTS!H:H),1))</f>
        <v/>
      </c>
      <c r="F98" s="4">
        <f>IF(A98="","",IFERROR(ROUND(AVERAGEIFS(ASSESSMENTS!H:H,ASSESSMENTS!B:B,A98,ASSESSMENTS!E:E,"Mathematics"),1),""))</f>
        <v/>
      </c>
      <c r="G98" s="4">
        <f>IF(A98="","",IFERROR(ROUND(AVERAGEIFS(ASSESSMENTS!H:H,ASSESSMENTS!B:B,A98,ASSESSMENTS!E:E,"Mathematical Literacy"),1),""))</f>
        <v/>
      </c>
      <c r="H98" s="4">
        <f>IF(A98="","",IFERROR(ROUND(AVERAGEIFS(ASSESSMENTS!H:H,ASSESSMENTS!B:B,A98,ASSESSMENTS!E:E,"Physical Sciences"),1),""))</f>
        <v/>
      </c>
      <c r="I98" s="4">
        <f>IF(A98="","",IFERROR(ROUND(AVERAGEIFS(ASSESSMENTS!H:H,ASSESSMENTS!B:B,A98,ASSESSMENTS!E:E,"Geography"),1),""))</f>
        <v/>
      </c>
      <c r="J98" s="4">
        <f>IF(A98="","",IFERROR(ROUND(AVERAGEIFS(ASSESSMENTS!H:H,ASSESSMENTS!B:B,A98,ASSESSMENTS!E:E,"Accounting"),1),""))</f>
        <v/>
      </c>
      <c r="K98" s="4">
        <f>IF(A98="","",IFERROR(ROUND(AVERAGEIFS(ASSESSMENTS!H:H,ASSESSMENTS!B:B,A98,ASSESSMENTS!E:E,"English"),1),""))</f>
        <v/>
      </c>
      <c r="L98" s="5">
        <f>IF(A98="","",IFERROR(XLOOKUP(A98,ATTENDANCE_SUMMARY!A:A,ATTENDANCE_SUMMARY!G:G,""),""))</f>
        <v/>
      </c>
      <c r="M98" s="4">
        <f>IF(A98="","",IF(OR(E98&lt;50,AND(L98&lt;0.75,L98&lt;&gt;"" )),"At Risk","On Track"))</f>
        <v/>
      </c>
    </row>
    <row r="99">
      <c r="A99">
        <f>IF(MASTER_REGISTER!E99="","",MASTER_REGISTER!E99)</f>
        <v/>
      </c>
      <c r="B99">
        <f>IF(A99="","",MASTER_REGISTER!F99)</f>
        <v/>
      </c>
      <c r="C99">
        <f>IF(A99="","",MASTER_REGISTER!C99)</f>
        <v/>
      </c>
      <c r="D99">
        <f>IF(A99="","",COUNTIF(ASSESSMENTS!B:B,A99))</f>
        <v/>
      </c>
      <c r="E99" s="4">
        <f>IF(D99=0,"",ROUND(AVERAGEIF(ASSESSMENTS!B:B,A99,ASSESSMENTS!H:H),1))</f>
        <v/>
      </c>
      <c r="F99" s="4">
        <f>IF(A99="","",IFERROR(ROUND(AVERAGEIFS(ASSESSMENTS!H:H,ASSESSMENTS!B:B,A99,ASSESSMENTS!E:E,"Mathematics"),1),""))</f>
        <v/>
      </c>
      <c r="G99" s="4">
        <f>IF(A99="","",IFERROR(ROUND(AVERAGEIFS(ASSESSMENTS!H:H,ASSESSMENTS!B:B,A99,ASSESSMENTS!E:E,"Mathematical Literacy"),1),""))</f>
        <v/>
      </c>
      <c r="H99" s="4">
        <f>IF(A99="","",IFERROR(ROUND(AVERAGEIFS(ASSESSMENTS!H:H,ASSESSMENTS!B:B,A99,ASSESSMENTS!E:E,"Physical Sciences"),1),""))</f>
        <v/>
      </c>
      <c r="I99" s="4">
        <f>IF(A99="","",IFERROR(ROUND(AVERAGEIFS(ASSESSMENTS!H:H,ASSESSMENTS!B:B,A99,ASSESSMENTS!E:E,"Geography"),1),""))</f>
        <v/>
      </c>
      <c r="J99" s="4">
        <f>IF(A99="","",IFERROR(ROUND(AVERAGEIFS(ASSESSMENTS!H:H,ASSESSMENTS!B:B,A99,ASSESSMENTS!E:E,"Accounting"),1),""))</f>
        <v/>
      </c>
      <c r="K99" s="4">
        <f>IF(A99="","",IFERROR(ROUND(AVERAGEIFS(ASSESSMENTS!H:H,ASSESSMENTS!B:B,A99,ASSESSMENTS!E:E,"English"),1),""))</f>
        <v/>
      </c>
      <c r="L99" s="5">
        <f>IF(A99="","",IFERROR(XLOOKUP(A99,ATTENDANCE_SUMMARY!A:A,ATTENDANCE_SUMMARY!G:G,""),""))</f>
        <v/>
      </c>
      <c r="M99" s="4">
        <f>IF(A99="","",IF(OR(E99&lt;50,AND(L99&lt;0.75,L99&lt;&gt;"" )),"At Risk","On Track"))</f>
        <v/>
      </c>
    </row>
    <row r="100">
      <c r="A100">
        <f>IF(MASTER_REGISTER!E100="","",MASTER_REGISTER!E100)</f>
        <v/>
      </c>
      <c r="B100">
        <f>IF(A100="","",MASTER_REGISTER!F100)</f>
        <v/>
      </c>
      <c r="C100">
        <f>IF(A100="","",MASTER_REGISTER!C100)</f>
        <v/>
      </c>
      <c r="D100">
        <f>IF(A100="","",COUNTIF(ASSESSMENTS!B:B,A100))</f>
        <v/>
      </c>
      <c r="E100" s="4">
        <f>IF(D100=0,"",ROUND(AVERAGEIF(ASSESSMENTS!B:B,A100,ASSESSMENTS!H:H),1))</f>
        <v/>
      </c>
      <c r="F100" s="4">
        <f>IF(A100="","",IFERROR(ROUND(AVERAGEIFS(ASSESSMENTS!H:H,ASSESSMENTS!B:B,A100,ASSESSMENTS!E:E,"Mathematics"),1),""))</f>
        <v/>
      </c>
      <c r="G100" s="4">
        <f>IF(A100="","",IFERROR(ROUND(AVERAGEIFS(ASSESSMENTS!H:H,ASSESSMENTS!B:B,A100,ASSESSMENTS!E:E,"Mathematical Literacy"),1),""))</f>
        <v/>
      </c>
      <c r="H100" s="4">
        <f>IF(A100="","",IFERROR(ROUND(AVERAGEIFS(ASSESSMENTS!H:H,ASSESSMENTS!B:B,A100,ASSESSMENTS!E:E,"Physical Sciences"),1),""))</f>
        <v/>
      </c>
      <c r="I100" s="4">
        <f>IF(A100="","",IFERROR(ROUND(AVERAGEIFS(ASSESSMENTS!H:H,ASSESSMENTS!B:B,A100,ASSESSMENTS!E:E,"Geography"),1),""))</f>
        <v/>
      </c>
      <c r="J100" s="4">
        <f>IF(A100="","",IFERROR(ROUND(AVERAGEIFS(ASSESSMENTS!H:H,ASSESSMENTS!B:B,A100,ASSESSMENTS!E:E,"Accounting"),1),""))</f>
        <v/>
      </c>
      <c r="K100" s="4">
        <f>IF(A100="","",IFERROR(ROUND(AVERAGEIFS(ASSESSMENTS!H:H,ASSESSMENTS!B:B,A100,ASSESSMENTS!E:E,"English"),1),""))</f>
        <v/>
      </c>
      <c r="L100" s="5">
        <f>IF(A100="","",IFERROR(XLOOKUP(A100,ATTENDANCE_SUMMARY!A:A,ATTENDANCE_SUMMARY!G:G,""),""))</f>
        <v/>
      </c>
      <c r="M100" s="4">
        <f>IF(A100="","",IF(OR(E100&lt;50,AND(L100&lt;0.75,L100&lt;&gt;"" )),"At Risk","On Track"))</f>
        <v/>
      </c>
    </row>
    <row r="101">
      <c r="A101">
        <f>IF(MASTER_REGISTER!E101="","",MASTER_REGISTER!E101)</f>
        <v/>
      </c>
      <c r="B101">
        <f>IF(A101="","",MASTER_REGISTER!F101)</f>
        <v/>
      </c>
      <c r="C101">
        <f>IF(A101="","",MASTER_REGISTER!C101)</f>
        <v/>
      </c>
      <c r="D101">
        <f>IF(A101="","",COUNTIF(ASSESSMENTS!B:B,A101))</f>
        <v/>
      </c>
      <c r="E101" s="4">
        <f>IF(D101=0,"",ROUND(AVERAGEIF(ASSESSMENTS!B:B,A101,ASSESSMENTS!H:H),1))</f>
        <v/>
      </c>
      <c r="F101" s="4">
        <f>IF(A101="","",IFERROR(ROUND(AVERAGEIFS(ASSESSMENTS!H:H,ASSESSMENTS!B:B,A101,ASSESSMENTS!E:E,"Mathematics"),1),""))</f>
        <v/>
      </c>
      <c r="G101" s="4">
        <f>IF(A101="","",IFERROR(ROUND(AVERAGEIFS(ASSESSMENTS!H:H,ASSESSMENTS!B:B,A101,ASSESSMENTS!E:E,"Mathematical Literacy"),1),""))</f>
        <v/>
      </c>
      <c r="H101" s="4">
        <f>IF(A101="","",IFERROR(ROUND(AVERAGEIFS(ASSESSMENTS!H:H,ASSESSMENTS!B:B,A101,ASSESSMENTS!E:E,"Physical Sciences"),1),""))</f>
        <v/>
      </c>
      <c r="I101" s="4">
        <f>IF(A101="","",IFERROR(ROUND(AVERAGEIFS(ASSESSMENTS!H:H,ASSESSMENTS!B:B,A101,ASSESSMENTS!E:E,"Geography"),1),""))</f>
        <v/>
      </c>
      <c r="J101" s="4">
        <f>IF(A101="","",IFERROR(ROUND(AVERAGEIFS(ASSESSMENTS!H:H,ASSESSMENTS!B:B,A101,ASSESSMENTS!E:E,"Accounting"),1),""))</f>
        <v/>
      </c>
      <c r="K101" s="4">
        <f>IF(A101="","",IFERROR(ROUND(AVERAGEIFS(ASSESSMENTS!H:H,ASSESSMENTS!B:B,A101,ASSESSMENTS!E:E,"English"),1),""))</f>
        <v/>
      </c>
      <c r="L101" s="5">
        <f>IF(A101="","",IFERROR(XLOOKUP(A101,ATTENDANCE_SUMMARY!A:A,ATTENDANCE_SUMMARY!G:G,""),""))</f>
        <v/>
      </c>
      <c r="M101" s="4">
        <f>IF(A101="","",IF(OR(E101&lt;50,AND(L101&lt;0.75,L101&lt;&gt;"" )),"At Risk","On Track"))</f>
        <v/>
      </c>
    </row>
    <row r="102">
      <c r="A102">
        <f>IF(MASTER_REGISTER!E102="","",MASTER_REGISTER!E102)</f>
        <v/>
      </c>
      <c r="B102">
        <f>IF(A102="","",MASTER_REGISTER!F102)</f>
        <v/>
      </c>
      <c r="C102">
        <f>IF(A102="","",MASTER_REGISTER!C102)</f>
        <v/>
      </c>
      <c r="D102">
        <f>IF(A102="","",COUNTIF(ASSESSMENTS!B:B,A102))</f>
        <v/>
      </c>
      <c r="E102" s="4">
        <f>IF(D102=0,"",ROUND(AVERAGEIF(ASSESSMENTS!B:B,A102,ASSESSMENTS!H:H),1))</f>
        <v/>
      </c>
      <c r="F102" s="4">
        <f>IF(A102="","",IFERROR(ROUND(AVERAGEIFS(ASSESSMENTS!H:H,ASSESSMENTS!B:B,A102,ASSESSMENTS!E:E,"Mathematics"),1),""))</f>
        <v/>
      </c>
      <c r="G102" s="4">
        <f>IF(A102="","",IFERROR(ROUND(AVERAGEIFS(ASSESSMENTS!H:H,ASSESSMENTS!B:B,A102,ASSESSMENTS!E:E,"Mathematical Literacy"),1),""))</f>
        <v/>
      </c>
      <c r="H102" s="4">
        <f>IF(A102="","",IFERROR(ROUND(AVERAGEIFS(ASSESSMENTS!H:H,ASSESSMENTS!B:B,A102,ASSESSMENTS!E:E,"Physical Sciences"),1),""))</f>
        <v/>
      </c>
      <c r="I102" s="4">
        <f>IF(A102="","",IFERROR(ROUND(AVERAGEIFS(ASSESSMENTS!H:H,ASSESSMENTS!B:B,A102,ASSESSMENTS!E:E,"Geography"),1),""))</f>
        <v/>
      </c>
      <c r="J102" s="4">
        <f>IF(A102="","",IFERROR(ROUND(AVERAGEIFS(ASSESSMENTS!H:H,ASSESSMENTS!B:B,A102,ASSESSMENTS!E:E,"Accounting"),1),""))</f>
        <v/>
      </c>
      <c r="K102" s="4">
        <f>IF(A102="","",IFERROR(ROUND(AVERAGEIFS(ASSESSMENTS!H:H,ASSESSMENTS!B:B,A102,ASSESSMENTS!E:E,"English"),1),""))</f>
        <v/>
      </c>
      <c r="L102" s="5">
        <f>IF(A102="","",IFERROR(XLOOKUP(A102,ATTENDANCE_SUMMARY!A:A,ATTENDANCE_SUMMARY!G:G,""),""))</f>
        <v/>
      </c>
      <c r="M102" s="4">
        <f>IF(A102="","",IF(OR(E102&lt;50,AND(L102&lt;0.75,L102&lt;&gt;"" )),"At Risk","On Track"))</f>
        <v/>
      </c>
    </row>
    <row r="103">
      <c r="A103">
        <f>IF(MASTER_REGISTER!E103="","",MASTER_REGISTER!E103)</f>
        <v/>
      </c>
      <c r="B103">
        <f>IF(A103="","",MASTER_REGISTER!F103)</f>
        <v/>
      </c>
      <c r="C103">
        <f>IF(A103="","",MASTER_REGISTER!C103)</f>
        <v/>
      </c>
      <c r="D103">
        <f>IF(A103="","",COUNTIF(ASSESSMENTS!B:B,A103))</f>
        <v/>
      </c>
      <c r="E103" s="4">
        <f>IF(D103=0,"",ROUND(AVERAGEIF(ASSESSMENTS!B:B,A103,ASSESSMENTS!H:H),1))</f>
        <v/>
      </c>
      <c r="F103" s="4">
        <f>IF(A103="","",IFERROR(ROUND(AVERAGEIFS(ASSESSMENTS!H:H,ASSESSMENTS!B:B,A103,ASSESSMENTS!E:E,"Mathematics"),1),""))</f>
        <v/>
      </c>
      <c r="G103" s="4">
        <f>IF(A103="","",IFERROR(ROUND(AVERAGEIFS(ASSESSMENTS!H:H,ASSESSMENTS!B:B,A103,ASSESSMENTS!E:E,"Mathematical Literacy"),1),""))</f>
        <v/>
      </c>
      <c r="H103" s="4">
        <f>IF(A103="","",IFERROR(ROUND(AVERAGEIFS(ASSESSMENTS!H:H,ASSESSMENTS!B:B,A103,ASSESSMENTS!E:E,"Physical Sciences"),1),""))</f>
        <v/>
      </c>
      <c r="I103" s="4">
        <f>IF(A103="","",IFERROR(ROUND(AVERAGEIFS(ASSESSMENTS!H:H,ASSESSMENTS!B:B,A103,ASSESSMENTS!E:E,"Geography"),1),""))</f>
        <v/>
      </c>
      <c r="J103" s="4">
        <f>IF(A103="","",IFERROR(ROUND(AVERAGEIFS(ASSESSMENTS!H:H,ASSESSMENTS!B:B,A103,ASSESSMENTS!E:E,"Accounting"),1),""))</f>
        <v/>
      </c>
      <c r="K103" s="4">
        <f>IF(A103="","",IFERROR(ROUND(AVERAGEIFS(ASSESSMENTS!H:H,ASSESSMENTS!B:B,A103,ASSESSMENTS!E:E,"English"),1),""))</f>
        <v/>
      </c>
      <c r="L103" s="5">
        <f>IF(A103="","",IFERROR(XLOOKUP(A103,ATTENDANCE_SUMMARY!A:A,ATTENDANCE_SUMMARY!G:G,""),""))</f>
        <v/>
      </c>
      <c r="M103" s="4">
        <f>IF(A103="","",IF(OR(E103&lt;50,AND(L103&lt;0.75,L103&lt;&gt;"" )),"At Risk","On Track"))</f>
        <v/>
      </c>
    </row>
    <row r="104">
      <c r="A104">
        <f>IF(MASTER_REGISTER!E104="","",MASTER_REGISTER!E104)</f>
        <v/>
      </c>
      <c r="B104">
        <f>IF(A104="","",MASTER_REGISTER!F104)</f>
        <v/>
      </c>
      <c r="C104">
        <f>IF(A104="","",MASTER_REGISTER!C104)</f>
        <v/>
      </c>
      <c r="D104">
        <f>IF(A104="","",COUNTIF(ASSESSMENTS!B:B,A104))</f>
        <v/>
      </c>
      <c r="E104" s="4">
        <f>IF(D104=0,"",ROUND(AVERAGEIF(ASSESSMENTS!B:B,A104,ASSESSMENTS!H:H),1))</f>
        <v/>
      </c>
      <c r="F104" s="4">
        <f>IF(A104="","",IFERROR(ROUND(AVERAGEIFS(ASSESSMENTS!H:H,ASSESSMENTS!B:B,A104,ASSESSMENTS!E:E,"Mathematics"),1),""))</f>
        <v/>
      </c>
      <c r="G104" s="4">
        <f>IF(A104="","",IFERROR(ROUND(AVERAGEIFS(ASSESSMENTS!H:H,ASSESSMENTS!B:B,A104,ASSESSMENTS!E:E,"Mathematical Literacy"),1),""))</f>
        <v/>
      </c>
      <c r="H104" s="4">
        <f>IF(A104="","",IFERROR(ROUND(AVERAGEIFS(ASSESSMENTS!H:H,ASSESSMENTS!B:B,A104,ASSESSMENTS!E:E,"Physical Sciences"),1),""))</f>
        <v/>
      </c>
      <c r="I104" s="4">
        <f>IF(A104="","",IFERROR(ROUND(AVERAGEIFS(ASSESSMENTS!H:H,ASSESSMENTS!B:B,A104,ASSESSMENTS!E:E,"Geography"),1),""))</f>
        <v/>
      </c>
      <c r="J104" s="4">
        <f>IF(A104="","",IFERROR(ROUND(AVERAGEIFS(ASSESSMENTS!H:H,ASSESSMENTS!B:B,A104,ASSESSMENTS!E:E,"Accounting"),1),""))</f>
        <v/>
      </c>
      <c r="K104" s="4">
        <f>IF(A104="","",IFERROR(ROUND(AVERAGEIFS(ASSESSMENTS!H:H,ASSESSMENTS!B:B,A104,ASSESSMENTS!E:E,"English"),1),""))</f>
        <v/>
      </c>
      <c r="L104" s="5">
        <f>IF(A104="","",IFERROR(XLOOKUP(A104,ATTENDANCE_SUMMARY!A:A,ATTENDANCE_SUMMARY!G:G,""),""))</f>
        <v/>
      </c>
      <c r="M104" s="4">
        <f>IF(A104="","",IF(OR(E104&lt;50,AND(L104&lt;0.75,L104&lt;&gt;"" )),"At Risk","On Track"))</f>
        <v/>
      </c>
    </row>
    <row r="105">
      <c r="A105">
        <f>IF(MASTER_REGISTER!E105="","",MASTER_REGISTER!E105)</f>
        <v/>
      </c>
      <c r="B105">
        <f>IF(A105="","",MASTER_REGISTER!F105)</f>
        <v/>
      </c>
      <c r="C105">
        <f>IF(A105="","",MASTER_REGISTER!C105)</f>
        <v/>
      </c>
      <c r="D105">
        <f>IF(A105="","",COUNTIF(ASSESSMENTS!B:B,A105))</f>
        <v/>
      </c>
      <c r="E105" s="4">
        <f>IF(D105=0,"",ROUND(AVERAGEIF(ASSESSMENTS!B:B,A105,ASSESSMENTS!H:H),1))</f>
        <v/>
      </c>
      <c r="F105" s="4">
        <f>IF(A105="","",IFERROR(ROUND(AVERAGEIFS(ASSESSMENTS!H:H,ASSESSMENTS!B:B,A105,ASSESSMENTS!E:E,"Mathematics"),1),""))</f>
        <v/>
      </c>
      <c r="G105" s="4">
        <f>IF(A105="","",IFERROR(ROUND(AVERAGEIFS(ASSESSMENTS!H:H,ASSESSMENTS!B:B,A105,ASSESSMENTS!E:E,"Mathematical Literacy"),1),""))</f>
        <v/>
      </c>
      <c r="H105" s="4">
        <f>IF(A105="","",IFERROR(ROUND(AVERAGEIFS(ASSESSMENTS!H:H,ASSESSMENTS!B:B,A105,ASSESSMENTS!E:E,"Physical Sciences"),1),""))</f>
        <v/>
      </c>
      <c r="I105" s="4">
        <f>IF(A105="","",IFERROR(ROUND(AVERAGEIFS(ASSESSMENTS!H:H,ASSESSMENTS!B:B,A105,ASSESSMENTS!E:E,"Geography"),1),""))</f>
        <v/>
      </c>
      <c r="J105" s="4">
        <f>IF(A105="","",IFERROR(ROUND(AVERAGEIFS(ASSESSMENTS!H:H,ASSESSMENTS!B:B,A105,ASSESSMENTS!E:E,"Accounting"),1),""))</f>
        <v/>
      </c>
      <c r="K105" s="4">
        <f>IF(A105="","",IFERROR(ROUND(AVERAGEIFS(ASSESSMENTS!H:H,ASSESSMENTS!B:B,A105,ASSESSMENTS!E:E,"English"),1),""))</f>
        <v/>
      </c>
      <c r="L105" s="5">
        <f>IF(A105="","",IFERROR(XLOOKUP(A105,ATTENDANCE_SUMMARY!A:A,ATTENDANCE_SUMMARY!G:G,""),""))</f>
        <v/>
      </c>
      <c r="M105" s="4">
        <f>IF(A105="","",IF(OR(E105&lt;50,AND(L105&lt;0.75,L105&lt;&gt;"" )),"At Risk","On Track"))</f>
        <v/>
      </c>
    </row>
    <row r="106">
      <c r="A106">
        <f>IF(MASTER_REGISTER!E106="","",MASTER_REGISTER!E106)</f>
        <v/>
      </c>
      <c r="B106">
        <f>IF(A106="","",MASTER_REGISTER!F106)</f>
        <v/>
      </c>
      <c r="C106">
        <f>IF(A106="","",MASTER_REGISTER!C106)</f>
        <v/>
      </c>
      <c r="D106">
        <f>IF(A106="","",COUNTIF(ASSESSMENTS!B:B,A106))</f>
        <v/>
      </c>
      <c r="E106" s="4">
        <f>IF(D106=0,"",ROUND(AVERAGEIF(ASSESSMENTS!B:B,A106,ASSESSMENTS!H:H),1))</f>
        <v/>
      </c>
      <c r="F106" s="4">
        <f>IF(A106="","",IFERROR(ROUND(AVERAGEIFS(ASSESSMENTS!H:H,ASSESSMENTS!B:B,A106,ASSESSMENTS!E:E,"Mathematics"),1),""))</f>
        <v/>
      </c>
      <c r="G106" s="4">
        <f>IF(A106="","",IFERROR(ROUND(AVERAGEIFS(ASSESSMENTS!H:H,ASSESSMENTS!B:B,A106,ASSESSMENTS!E:E,"Mathematical Literacy"),1),""))</f>
        <v/>
      </c>
      <c r="H106" s="4">
        <f>IF(A106="","",IFERROR(ROUND(AVERAGEIFS(ASSESSMENTS!H:H,ASSESSMENTS!B:B,A106,ASSESSMENTS!E:E,"Physical Sciences"),1),""))</f>
        <v/>
      </c>
      <c r="I106" s="4">
        <f>IF(A106="","",IFERROR(ROUND(AVERAGEIFS(ASSESSMENTS!H:H,ASSESSMENTS!B:B,A106,ASSESSMENTS!E:E,"Geography"),1),""))</f>
        <v/>
      </c>
      <c r="J106" s="4">
        <f>IF(A106="","",IFERROR(ROUND(AVERAGEIFS(ASSESSMENTS!H:H,ASSESSMENTS!B:B,A106,ASSESSMENTS!E:E,"Accounting"),1),""))</f>
        <v/>
      </c>
      <c r="K106" s="4">
        <f>IF(A106="","",IFERROR(ROUND(AVERAGEIFS(ASSESSMENTS!H:H,ASSESSMENTS!B:B,A106,ASSESSMENTS!E:E,"English"),1),""))</f>
        <v/>
      </c>
      <c r="L106" s="5">
        <f>IF(A106="","",IFERROR(XLOOKUP(A106,ATTENDANCE_SUMMARY!A:A,ATTENDANCE_SUMMARY!G:G,""),""))</f>
        <v/>
      </c>
      <c r="M106" s="4">
        <f>IF(A106="","",IF(OR(E106&lt;50,AND(L106&lt;0.75,L106&lt;&gt;"" )),"At Risk","On Track"))</f>
        <v/>
      </c>
    </row>
    <row r="107">
      <c r="A107">
        <f>IF(MASTER_REGISTER!E107="","",MASTER_REGISTER!E107)</f>
        <v/>
      </c>
      <c r="B107">
        <f>IF(A107="","",MASTER_REGISTER!F107)</f>
        <v/>
      </c>
      <c r="C107">
        <f>IF(A107="","",MASTER_REGISTER!C107)</f>
        <v/>
      </c>
      <c r="D107">
        <f>IF(A107="","",COUNTIF(ASSESSMENTS!B:B,A107))</f>
        <v/>
      </c>
      <c r="E107" s="4">
        <f>IF(D107=0,"",ROUND(AVERAGEIF(ASSESSMENTS!B:B,A107,ASSESSMENTS!H:H),1))</f>
        <v/>
      </c>
      <c r="F107" s="4">
        <f>IF(A107="","",IFERROR(ROUND(AVERAGEIFS(ASSESSMENTS!H:H,ASSESSMENTS!B:B,A107,ASSESSMENTS!E:E,"Mathematics"),1),""))</f>
        <v/>
      </c>
      <c r="G107" s="4">
        <f>IF(A107="","",IFERROR(ROUND(AVERAGEIFS(ASSESSMENTS!H:H,ASSESSMENTS!B:B,A107,ASSESSMENTS!E:E,"Mathematical Literacy"),1),""))</f>
        <v/>
      </c>
      <c r="H107" s="4">
        <f>IF(A107="","",IFERROR(ROUND(AVERAGEIFS(ASSESSMENTS!H:H,ASSESSMENTS!B:B,A107,ASSESSMENTS!E:E,"Physical Sciences"),1),""))</f>
        <v/>
      </c>
      <c r="I107" s="4">
        <f>IF(A107="","",IFERROR(ROUND(AVERAGEIFS(ASSESSMENTS!H:H,ASSESSMENTS!B:B,A107,ASSESSMENTS!E:E,"Geography"),1),""))</f>
        <v/>
      </c>
      <c r="J107" s="4">
        <f>IF(A107="","",IFERROR(ROUND(AVERAGEIFS(ASSESSMENTS!H:H,ASSESSMENTS!B:B,A107,ASSESSMENTS!E:E,"Accounting"),1),""))</f>
        <v/>
      </c>
      <c r="K107" s="4">
        <f>IF(A107="","",IFERROR(ROUND(AVERAGEIFS(ASSESSMENTS!H:H,ASSESSMENTS!B:B,A107,ASSESSMENTS!E:E,"English"),1),""))</f>
        <v/>
      </c>
      <c r="L107" s="5">
        <f>IF(A107="","",IFERROR(XLOOKUP(A107,ATTENDANCE_SUMMARY!A:A,ATTENDANCE_SUMMARY!G:G,""),""))</f>
        <v/>
      </c>
      <c r="M107" s="4">
        <f>IF(A107="","",IF(OR(E107&lt;50,AND(L107&lt;0.75,L107&lt;&gt;"" )),"At Risk","On Track"))</f>
        <v/>
      </c>
    </row>
    <row r="108">
      <c r="A108">
        <f>IF(MASTER_REGISTER!E108="","",MASTER_REGISTER!E108)</f>
        <v/>
      </c>
      <c r="B108">
        <f>IF(A108="","",MASTER_REGISTER!F108)</f>
        <v/>
      </c>
      <c r="C108">
        <f>IF(A108="","",MASTER_REGISTER!C108)</f>
        <v/>
      </c>
      <c r="D108">
        <f>IF(A108="","",COUNTIF(ASSESSMENTS!B:B,A108))</f>
        <v/>
      </c>
      <c r="E108" s="4">
        <f>IF(D108=0,"",ROUND(AVERAGEIF(ASSESSMENTS!B:B,A108,ASSESSMENTS!H:H),1))</f>
        <v/>
      </c>
      <c r="F108" s="4">
        <f>IF(A108="","",IFERROR(ROUND(AVERAGEIFS(ASSESSMENTS!H:H,ASSESSMENTS!B:B,A108,ASSESSMENTS!E:E,"Mathematics"),1),""))</f>
        <v/>
      </c>
      <c r="G108" s="4">
        <f>IF(A108="","",IFERROR(ROUND(AVERAGEIFS(ASSESSMENTS!H:H,ASSESSMENTS!B:B,A108,ASSESSMENTS!E:E,"Mathematical Literacy"),1),""))</f>
        <v/>
      </c>
      <c r="H108" s="4">
        <f>IF(A108="","",IFERROR(ROUND(AVERAGEIFS(ASSESSMENTS!H:H,ASSESSMENTS!B:B,A108,ASSESSMENTS!E:E,"Physical Sciences"),1),""))</f>
        <v/>
      </c>
      <c r="I108" s="4">
        <f>IF(A108="","",IFERROR(ROUND(AVERAGEIFS(ASSESSMENTS!H:H,ASSESSMENTS!B:B,A108,ASSESSMENTS!E:E,"Geography"),1),""))</f>
        <v/>
      </c>
      <c r="J108" s="4">
        <f>IF(A108="","",IFERROR(ROUND(AVERAGEIFS(ASSESSMENTS!H:H,ASSESSMENTS!B:B,A108,ASSESSMENTS!E:E,"Accounting"),1),""))</f>
        <v/>
      </c>
      <c r="K108" s="4">
        <f>IF(A108="","",IFERROR(ROUND(AVERAGEIFS(ASSESSMENTS!H:H,ASSESSMENTS!B:B,A108,ASSESSMENTS!E:E,"English"),1),""))</f>
        <v/>
      </c>
      <c r="L108" s="5">
        <f>IF(A108="","",IFERROR(XLOOKUP(A108,ATTENDANCE_SUMMARY!A:A,ATTENDANCE_SUMMARY!G:G,""),""))</f>
        <v/>
      </c>
      <c r="M108" s="4">
        <f>IF(A108="","",IF(OR(E108&lt;50,AND(L108&lt;0.75,L108&lt;&gt;"" )),"At Risk","On Track"))</f>
        <v/>
      </c>
    </row>
    <row r="109">
      <c r="A109">
        <f>IF(MASTER_REGISTER!E109="","",MASTER_REGISTER!E109)</f>
        <v/>
      </c>
      <c r="B109">
        <f>IF(A109="","",MASTER_REGISTER!F109)</f>
        <v/>
      </c>
      <c r="C109">
        <f>IF(A109="","",MASTER_REGISTER!C109)</f>
        <v/>
      </c>
      <c r="D109">
        <f>IF(A109="","",COUNTIF(ASSESSMENTS!B:B,A109))</f>
        <v/>
      </c>
      <c r="E109" s="4">
        <f>IF(D109=0,"",ROUND(AVERAGEIF(ASSESSMENTS!B:B,A109,ASSESSMENTS!H:H),1))</f>
        <v/>
      </c>
      <c r="F109" s="4">
        <f>IF(A109="","",IFERROR(ROUND(AVERAGEIFS(ASSESSMENTS!H:H,ASSESSMENTS!B:B,A109,ASSESSMENTS!E:E,"Mathematics"),1),""))</f>
        <v/>
      </c>
      <c r="G109" s="4">
        <f>IF(A109="","",IFERROR(ROUND(AVERAGEIFS(ASSESSMENTS!H:H,ASSESSMENTS!B:B,A109,ASSESSMENTS!E:E,"Mathematical Literacy"),1),""))</f>
        <v/>
      </c>
      <c r="H109" s="4">
        <f>IF(A109="","",IFERROR(ROUND(AVERAGEIFS(ASSESSMENTS!H:H,ASSESSMENTS!B:B,A109,ASSESSMENTS!E:E,"Physical Sciences"),1),""))</f>
        <v/>
      </c>
      <c r="I109" s="4">
        <f>IF(A109="","",IFERROR(ROUND(AVERAGEIFS(ASSESSMENTS!H:H,ASSESSMENTS!B:B,A109,ASSESSMENTS!E:E,"Geography"),1),""))</f>
        <v/>
      </c>
      <c r="J109" s="4">
        <f>IF(A109="","",IFERROR(ROUND(AVERAGEIFS(ASSESSMENTS!H:H,ASSESSMENTS!B:B,A109,ASSESSMENTS!E:E,"Accounting"),1),""))</f>
        <v/>
      </c>
      <c r="K109" s="4">
        <f>IF(A109="","",IFERROR(ROUND(AVERAGEIFS(ASSESSMENTS!H:H,ASSESSMENTS!B:B,A109,ASSESSMENTS!E:E,"English"),1),""))</f>
        <v/>
      </c>
      <c r="L109" s="5">
        <f>IF(A109="","",IFERROR(XLOOKUP(A109,ATTENDANCE_SUMMARY!A:A,ATTENDANCE_SUMMARY!G:G,""),""))</f>
        <v/>
      </c>
      <c r="M109" s="4">
        <f>IF(A109="","",IF(OR(E109&lt;50,AND(L109&lt;0.75,L109&lt;&gt;"" )),"At Risk","On Track"))</f>
        <v/>
      </c>
    </row>
    <row r="110">
      <c r="A110">
        <f>IF(MASTER_REGISTER!E110="","",MASTER_REGISTER!E110)</f>
        <v/>
      </c>
      <c r="B110">
        <f>IF(A110="","",MASTER_REGISTER!F110)</f>
        <v/>
      </c>
      <c r="C110">
        <f>IF(A110="","",MASTER_REGISTER!C110)</f>
        <v/>
      </c>
      <c r="D110">
        <f>IF(A110="","",COUNTIF(ASSESSMENTS!B:B,A110))</f>
        <v/>
      </c>
      <c r="E110" s="4">
        <f>IF(D110=0,"",ROUND(AVERAGEIF(ASSESSMENTS!B:B,A110,ASSESSMENTS!H:H),1))</f>
        <v/>
      </c>
      <c r="F110" s="4">
        <f>IF(A110="","",IFERROR(ROUND(AVERAGEIFS(ASSESSMENTS!H:H,ASSESSMENTS!B:B,A110,ASSESSMENTS!E:E,"Mathematics"),1),""))</f>
        <v/>
      </c>
      <c r="G110" s="4">
        <f>IF(A110="","",IFERROR(ROUND(AVERAGEIFS(ASSESSMENTS!H:H,ASSESSMENTS!B:B,A110,ASSESSMENTS!E:E,"Mathematical Literacy"),1),""))</f>
        <v/>
      </c>
      <c r="H110" s="4">
        <f>IF(A110="","",IFERROR(ROUND(AVERAGEIFS(ASSESSMENTS!H:H,ASSESSMENTS!B:B,A110,ASSESSMENTS!E:E,"Physical Sciences"),1),""))</f>
        <v/>
      </c>
      <c r="I110" s="4">
        <f>IF(A110="","",IFERROR(ROUND(AVERAGEIFS(ASSESSMENTS!H:H,ASSESSMENTS!B:B,A110,ASSESSMENTS!E:E,"Geography"),1),""))</f>
        <v/>
      </c>
      <c r="J110" s="4">
        <f>IF(A110="","",IFERROR(ROUND(AVERAGEIFS(ASSESSMENTS!H:H,ASSESSMENTS!B:B,A110,ASSESSMENTS!E:E,"Accounting"),1),""))</f>
        <v/>
      </c>
      <c r="K110" s="4">
        <f>IF(A110="","",IFERROR(ROUND(AVERAGEIFS(ASSESSMENTS!H:H,ASSESSMENTS!B:B,A110,ASSESSMENTS!E:E,"English"),1),""))</f>
        <v/>
      </c>
      <c r="L110" s="5">
        <f>IF(A110="","",IFERROR(XLOOKUP(A110,ATTENDANCE_SUMMARY!A:A,ATTENDANCE_SUMMARY!G:G,""),""))</f>
        <v/>
      </c>
      <c r="M110" s="4">
        <f>IF(A110="","",IF(OR(E110&lt;50,AND(L110&lt;0.75,L110&lt;&gt;"" )),"At Risk","On Track"))</f>
        <v/>
      </c>
    </row>
    <row r="111">
      <c r="A111">
        <f>IF(MASTER_REGISTER!E111="","",MASTER_REGISTER!E111)</f>
        <v/>
      </c>
      <c r="B111">
        <f>IF(A111="","",MASTER_REGISTER!F111)</f>
        <v/>
      </c>
      <c r="C111">
        <f>IF(A111="","",MASTER_REGISTER!C111)</f>
        <v/>
      </c>
      <c r="D111">
        <f>IF(A111="","",COUNTIF(ASSESSMENTS!B:B,A111))</f>
        <v/>
      </c>
      <c r="E111" s="4">
        <f>IF(D111=0,"",ROUND(AVERAGEIF(ASSESSMENTS!B:B,A111,ASSESSMENTS!H:H),1))</f>
        <v/>
      </c>
      <c r="F111" s="4">
        <f>IF(A111="","",IFERROR(ROUND(AVERAGEIFS(ASSESSMENTS!H:H,ASSESSMENTS!B:B,A111,ASSESSMENTS!E:E,"Mathematics"),1),""))</f>
        <v/>
      </c>
      <c r="G111" s="4">
        <f>IF(A111="","",IFERROR(ROUND(AVERAGEIFS(ASSESSMENTS!H:H,ASSESSMENTS!B:B,A111,ASSESSMENTS!E:E,"Mathematical Literacy"),1),""))</f>
        <v/>
      </c>
      <c r="H111" s="4">
        <f>IF(A111="","",IFERROR(ROUND(AVERAGEIFS(ASSESSMENTS!H:H,ASSESSMENTS!B:B,A111,ASSESSMENTS!E:E,"Physical Sciences"),1),""))</f>
        <v/>
      </c>
      <c r="I111" s="4">
        <f>IF(A111="","",IFERROR(ROUND(AVERAGEIFS(ASSESSMENTS!H:H,ASSESSMENTS!B:B,A111,ASSESSMENTS!E:E,"Geography"),1),""))</f>
        <v/>
      </c>
      <c r="J111" s="4">
        <f>IF(A111="","",IFERROR(ROUND(AVERAGEIFS(ASSESSMENTS!H:H,ASSESSMENTS!B:B,A111,ASSESSMENTS!E:E,"Accounting"),1),""))</f>
        <v/>
      </c>
      <c r="K111" s="4">
        <f>IF(A111="","",IFERROR(ROUND(AVERAGEIFS(ASSESSMENTS!H:H,ASSESSMENTS!B:B,A111,ASSESSMENTS!E:E,"English"),1),""))</f>
        <v/>
      </c>
      <c r="L111" s="5">
        <f>IF(A111="","",IFERROR(XLOOKUP(A111,ATTENDANCE_SUMMARY!A:A,ATTENDANCE_SUMMARY!G:G,""),""))</f>
        <v/>
      </c>
      <c r="M111" s="4">
        <f>IF(A111="","",IF(OR(E111&lt;50,AND(L111&lt;0.75,L111&lt;&gt;"" )),"At Risk","On Track"))</f>
        <v/>
      </c>
    </row>
    <row r="112">
      <c r="A112">
        <f>IF(MASTER_REGISTER!E112="","",MASTER_REGISTER!E112)</f>
        <v/>
      </c>
      <c r="B112">
        <f>IF(A112="","",MASTER_REGISTER!F112)</f>
        <v/>
      </c>
      <c r="C112">
        <f>IF(A112="","",MASTER_REGISTER!C112)</f>
        <v/>
      </c>
      <c r="D112">
        <f>IF(A112="","",COUNTIF(ASSESSMENTS!B:B,A112))</f>
        <v/>
      </c>
      <c r="E112" s="4">
        <f>IF(D112=0,"",ROUND(AVERAGEIF(ASSESSMENTS!B:B,A112,ASSESSMENTS!H:H),1))</f>
        <v/>
      </c>
      <c r="F112" s="4">
        <f>IF(A112="","",IFERROR(ROUND(AVERAGEIFS(ASSESSMENTS!H:H,ASSESSMENTS!B:B,A112,ASSESSMENTS!E:E,"Mathematics"),1),""))</f>
        <v/>
      </c>
      <c r="G112" s="4">
        <f>IF(A112="","",IFERROR(ROUND(AVERAGEIFS(ASSESSMENTS!H:H,ASSESSMENTS!B:B,A112,ASSESSMENTS!E:E,"Mathematical Literacy"),1),""))</f>
        <v/>
      </c>
      <c r="H112" s="4">
        <f>IF(A112="","",IFERROR(ROUND(AVERAGEIFS(ASSESSMENTS!H:H,ASSESSMENTS!B:B,A112,ASSESSMENTS!E:E,"Physical Sciences"),1),""))</f>
        <v/>
      </c>
      <c r="I112" s="4">
        <f>IF(A112="","",IFERROR(ROUND(AVERAGEIFS(ASSESSMENTS!H:H,ASSESSMENTS!B:B,A112,ASSESSMENTS!E:E,"Geography"),1),""))</f>
        <v/>
      </c>
      <c r="J112" s="4">
        <f>IF(A112="","",IFERROR(ROUND(AVERAGEIFS(ASSESSMENTS!H:H,ASSESSMENTS!B:B,A112,ASSESSMENTS!E:E,"Accounting"),1),""))</f>
        <v/>
      </c>
      <c r="K112" s="4">
        <f>IF(A112="","",IFERROR(ROUND(AVERAGEIFS(ASSESSMENTS!H:H,ASSESSMENTS!B:B,A112,ASSESSMENTS!E:E,"English"),1),""))</f>
        <v/>
      </c>
      <c r="L112" s="5">
        <f>IF(A112="","",IFERROR(XLOOKUP(A112,ATTENDANCE_SUMMARY!A:A,ATTENDANCE_SUMMARY!G:G,""),""))</f>
        <v/>
      </c>
      <c r="M112" s="4">
        <f>IF(A112="","",IF(OR(E112&lt;50,AND(L112&lt;0.75,L112&lt;&gt;"" )),"At Risk","On Track"))</f>
        <v/>
      </c>
    </row>
    <row r="113">
      <c r="A113">
        <f>IF(MASTER_REGISTER!E113="","",MASTER_REGISTER!E113)</f>
        <v/>
      </c>
      <c r="B113">
        <f>IF(A113="","",MASTER_REGISTER!F113)</f>
        <v/>
      </c>
      <c r="C113">
        <f>IF(A113="","",MASTER_REGISTER!C113)</f>
        <v/>
      </c>
      <c r="D113">
        <f>IF(A113="","",COUNTIF(ASSESSMENTS!B:B,A113))</f>
        <v/>
      </c>
      <c r="E113" s="4">
        <f>IF(D113=0,"",ROUND(AVERAGEIF(ASSESSMENTS!B:B,A113,ASSESSMENTS!H:H),1))</f>
        <v/>
      </c>
      <c r="F113" s="4">
        <f>IF(A113="","",IFERROR(ROUND(AVERAGEIFS(ASSESSMENTS!H:H,ASSESSMENTS!B:B,A113,ASSESSMENTS!E:E,"Mathematics"),1),""))</f>
        <v/>
      </c>
      <c r="G113" s="4">
        <f>IF(A113="","",IFERROR(ROUND(AVERAGEIFS(ASSESSMENTS!H:H,ASSESSMENTS!B:B,A113,ASSESSMENTS!E:E,"Mathematical Literacy"),1),""))</f>
        <v/>
      </c>
      <c r="H113" s="4">
        <f>IF(A113="","",IFERROR(ROUND(AVERAGEIFS(ASSESSMENTS!H:H,ASSESSMENTS!B:B,A113,ASSESSMENTS!E:E,"Physical Sciences"),1),""))</f>
        <v/>
      </c>
      <c r="I113" s="4">
        <f>IF(A113="","",IFERROR(ROUND(AVERAGEIFS(ASSESSMENTS!H:H,ASSESSMENTS!B:B,A113,ASSESSMENTS!E:E,"Geography"),1),""))</f>
        <v/>
      </c>
      <c r="J113" s="4">
        <f>IF(A113="","",IFERROR(ROUND(AVERAGEIFS(ASSESSMENTS!H:H,ASSESSMENTS!B:B,A113,ASSESSMENTS!E:E,"Accounting"),1),""))</f>
        <v/>
      </c>
      <c r="K113" s="4">
        <f>IF(A113="","",IFERROR(ROUND(AVERAGEIFS(ASSESSMENTS!H:H,ASSESSMENTS!B:B,A113,ASSESSMENTS!E:E,"English"),1),""))</f>
        <v/>
      </c>
      <c r="L113" s="5">
        <f>IF(A113="","",IFERROR(XLOOKUP(A113,ATTENDANCE_SUMMARY!A:A,ATTENDANCE_SUMMARY!G:G,""),""))</f>
        <v/>
      </c>
      <c r="M113" s="4">
        <f>IF(A113="","",IF(OR(E113&lt;50,AND(L113&lt;0.75,L113&lt;&gt;"" )),"At Risk","On Track"))</f>
        <v/>
      </c>
    </row>
    <row r="114">
      <c r="A114">
        <f>IF(MASTER_REGISTER!E114="","",MASTER_REGISTER!E114)</f>
        <v/>
      </c>
      <c r="B114">
        <f>IF(A114="","",MASTER_REGISTER!F114)</f>
        <v/>
      </c>
      <c r="C114">
        <f>IF(A114="","",MASTER_REGISTER!C114)</f>
        <v/>
      </c>
      <c r="D114">
        <f>IF(A114="","",COUNTIF(ASSESSMENTS!B:B,A114))</f>
        <v/>
      </c>
      <c r="E114" s="4">
        <f>IF(D114=0,"",ROUND(AVERAGEIF(ASSESSMENTS!B:B,A114,ASSESSMENTS!H:H),1))</f>
        <v/>
      </c>
      <c r="F114" s="4">
        <f>IF(A114="","",IFERROR(ROUND(AVERAGEIFS(ASSESSMENTS!H:H,ASSESSMENTS!B:B,A114,ASSESSMENTS!E:E,"Mathematics"),1),""))</f>
        <v/>
      </c>
      <c r="G114" s="4">
        <f>IF(A114="","",IFERROR(ROUND(AVERAGEIFS(ASSESSMENTS!H:H,ASSESSMENTS!B:B,A114,ASSESSMENTS!E:E,"Mathematical Literacy"),1),""))</f>
        <v/>
      </c>
      <c r="H114" s="4">
        <f>IF(A114="","",IFERROR(ROUND(AVERAGEIFS(ASSESSMENTS!H:H,ASSESSMENTS!B:B,A114,ASSESSMENTS!E:E,"Physical Sciences"),1),""))</f>
        <v/>
      </c>
      <c r="I114" s="4">
        <f>IF(A114="","",IFERROR(ROUND(AVERAGEIFS(ASSESSMENTS!H:H,ASSESSMENTS!B:B,A114,ASSESSMENTS!E:E,"Geography"),1),""))</f>
        <v/>
      </c>
      <c r="J114" s="4">
        <f>IF(A114="","",IFERROR(ROUND(AVERAGEIFS(ASSESSMENTS!H:H,ASSESSMENTS!B:B,A114,ASSESSMENTS!E:E,"Accounting"),1),""))</f>
        <v/>
      </c>
      <c r="K114" s="4">
        <f>IF(A114="","",IFERROR(ROUND(AVERAGEIFS(ASSESSMENTS!H:H,ASSESSMENTS!B:B,A114,ASSESSMENTS!E:E,"English"),1),""))</f>
        <v/>
      </c>
      <c r="L114" s="5">
        <f>IF(A114="","",IFERROR(XLOOKUP(A114,ATTENDANCE_SUMMARY!A:A,ATTENDANCE_SUMMARY!G:G,""),""))</f>
        <v/>
      </c>
      <c r="M114" s="4">
        <f>IF(A114="","",IF(OR(E114&lt;50,AND(L114&lt;0.75,L114&lt;&gt;"" )),"At Risk","On Track"))</f>
        <v/>
      </c>
    </row>
    <row r="115">
      <c r="A115">
        <f>IF(MASTER_REGISTER!E115="","",MASTER_REGISTER!E115)</f>
        <v/>
      </c>
      <c r="B115">
        <f>IF(A115="","",MASTER_REGISTER!F115)</f>
        <v/>
      </c>
      <c r="C115">
        <f>IF(A115="","",MASTER_REGISTER!C115)</f>
        <v/>
      </c>
      <c r="D115">
        <f>IF(A115="","",COUNTIF(ASSESSMENTS!B:B,A115))</f>
        <v/>
      </c>
      <c r="E115" s="4">
        <f>IF(D115=0,"",ROUND(AVERAGEIF(ASSESSMENTS!B:B,A115,ASSESSMENTS!H:H),1))</f>
        <v/>
      </c>
      <c r="F115" s="4">
        <f>IF(A115="","",IFERROR(ROUND(AVERAGEIFS(ASSESSMENTS!H:H,ASSESSMENTS!B:B,A115,ASSESSMENTS!E:E,"Mathematics"),1),""))</f>
        <v/>
      </c>
      <c r="G115" s="4">
        <f>IF(A115="","",IFERROR(ROUND(AVERAGEIFS(ASSESSMENTS!H:H,ASSESSMENTS!B:B,A115,ASSESSMENTS!E:E,"Mathematical Literacy"),1),""))</f>
        <v/>
      </c>
      <c r="H115" s="4">
        <f>IF(A115="","",IFERROR(ROUND(AVERAGEIFS(ASSESSMENTS!H:H,ASSESSMENTS!B:B,A115,ASSESSMENTS!E:E,"Physical Sciences"),1),""))</f>
        <v/>
      </c>
      <c r="I115" s="4">
        <f>IF(A115="","",IFERROR(ROUND(AVERAGEIFS(ASSESSMENTS!H:H,ASSESSMENTS!B:B,A115,ASSESSMENTS!E:E,"Geography"),1),""))</f>
        <v/>
      </c>
      <c r="J115" s="4">
        <f>IF(A115="","",IFERROR(ROUND(AVERAGEIFS(ASSESSMENTS!H:H,ASSESSMENTS!B:B,A115,ASSESSMENTS!E:E,"Accounting"),1),""))</f>
        <v/>
      </c>
      <c r="K115" s="4">
        <f>IF(A115="","",IFERROR(ROUND(AVERAGEIFS(ASSESSMENTS!H:H,ASSESSMENTS!B:B,A115,ASSESSMENTS!E:E,"English"),1),""))</f>
        <v/>
      </c>
      <c r="L115" s="5">
        <f>IF(A115="","",IFERROR(XLOOKUP(A115,ATTENDANCE_SUMMARY!A:A,ATTENDANCE_SUMMARY!G:G,""),""))</f>
        <v/>
      </c>
      <c r="M115" s="4">
        <f>IF(A115="","",IF(OR(E115&lt;50,AND(L115&lt;0.75,L115&lt;&gt;"" )),"At Risk","On Track"))</f>
        <v/>
      </c>
    </row>
    <row r="116">
      <c r="A116">
        <f>IF(MASTER_REGISTER!E116="","",MASTER_REGISTER!E116)</f>
        <v/>
      </c>
      <c r="B116">
        <f>IF(A116="","",MASTER_REGISTER!F116)</f>
        <v/>
      </c>
      <c r="C116">
        <f>IF(A116="","",MASTER_REGISTER!C116)</f>
        <v/>
      </c>
      <c r="D116">
        <f>IF(A116="","",COUNTIF(ASSESSMENTS!B:B,A116))</f>
        <v/>
      </c>
      <c r="E116" s="4">
        <f>IF(D116=0,"",ROUND(AVERAGEIF(ASSESSMENTS!B:B,A116,ASSESSMENTS!H:H),1))</f>
        <v/>
      </c>
      <c r="F116" s="4">
        <f>IF(A116="","",IFERROR(ROUND(AVERAGEIFS(ASSESSMENTS!H:H,ASSESSMENTS!B:B,A116,ASSESSMENTS!E:E,"Mathematics"),1),""))</f>
        <v/>
      </c>
      <c r="G116" s="4">
        <f>IF(A116="","",IFERROR(ROUND(AVERAGEIFS(ASSESSMENTS!H:H,ASSESSMENTS!B:B,A116,ASSESSMENTS!E:E,"Mathematical Literacy"),1),""))</f>
        <v/>
      </c>
      <c r="H116" s="4">
        <f>IF(A116="","",IFERROR(ROUND(AVERAGEIFS(ASSESSMENTS!H:H,ASSESSMENTS!B:B,A116,ASSESSMENTS!E:E,"Physical Sciences"),1),""))</f>
        <v/>
      </c>
      <c r="I116" s="4">
        <f>IF(A116="","",IFERROR(ROUND(AVERAGEIFS(ASSESSMENTS!H:H,ASSESSMENTS!B:B,A116,ASSESSMENTS!E:E,"Geography"),1),""))</f>
        <v/>
      </c>
      <c r="J116" s="4">
        <f>IF(A116="","",IFERROR(ROUND(AVERAGEIFS(ASSESSMENTS!H:H,ASSESSMENTS!B:B,A116,ASSESSMENTS!E:E,"Accounting"),1),""))</f>
        <v/>
      </c>
      <c r="K116" s="4">
        <f>IF(A116="","",IFERROR(ROUND(AVERAGEIFS(ASSESSMENTS!H:H,ASSESSMENTS!B:B,A116,ASSESSMENTS!E:E,"English"),1),""))</f>
        <v/>
      </c>
      <c r="L116" s="5">
        <f>IF(A116="","",IFERROR(XLOOKUP(A116,ATTENDANCE_SUMMARY!A:A,ATTENDANCE_SUMMARY!G:G,""),""))</f>
        <v/>
      </c>
      <c r="M116" s="4">
        <f>IF(A116="","",IF(OR(E116&lt;50,AND(L116&lt;0.75,L116&lt;&gt;"" )),"At Risk","On Track"))</f>
        <v/>
      </c>
    </row>
    <row r="117">
      <c r="A117">
        <f>IF(MASTER_REGISTER!E117="","",MASTER_REGISTER!E117)</f>
        <v/>
      </c>
      <c r="B117">
        <f>IF(A117="","",MASTER_REGISTER!F117)</f>
        <v/>
      </c>
      <c r="C117">
        <f>IF(A117="","",MASTER_REGISTER!C117)</f>
        <v/>
      </c>
      <c r="D117">
        <f>IF(A117="","",COUNTIF(ASSESSMENTS!B:B,A117))</f>
        <v/>
      </c>
      <c r="E117" s="4">
        <f>IF(D117=0,"",ROUND(AVERAGEIF(ASSESSMENTS!B:B,A117,ASSESSMENTS!H:H),1))</f>
        <v/>
      </c>
      <c r="F117" s="4">
        <f>IF(A117="","",IFERROR(ROUND(AVERAGEIFS(ASSESSMENTS!H:H,ASSESSMENTS!B:B,A117,ASSESSMENTS!E:E,"Mathematics"),1),""))</f>
        <v/>
      </c>
      <c r="G117" s="4">
        <f>IF(A117="","",IFERROR(ROUND(AVERAGEIFS(ASSESSMENTS!H:H,ASSESSMENTS!B:B,A117,ASSESSMENTS!E:E,"Mathematical Literacy"),1),""))</f>
        <v/>
      </c>
      <c r="H117" s="4">
        <f>IF(A117="","",IFERROR(ROUND(AVERAGEIFS(ASSESSMENTS!H:H,ASSESSMENTS!B:B,A117,ASSESSMENTS!E:E,"Physical Sciences"),1),""))</f>
        <v/>
      </c>
      <c r="I117" s="4">
        <f>IF(A117="","",IFERROR(ROUND(AVERAGEIFS(ASSESSMENTS!H:H,ASSESSMENTS!B:B,A117,ASSESSMENTS!E:E,"Geography"),1),""))</f>
        <v/>
      </c>
      <c r="J117" s="4">
        <f>IF(A117="","",IFERROR(ROUND(AVERAGEIFS(ASSESSMENTS!H:H,ASSESSMENTS!B:B,A117,ASSESSMENTS!E:E,"Accounting"),1),""))</f>
        <v/>
      </c>
      <c r="K117" s="4">
        <f>IF(A117="","",IFERROR(ROUND(AVERAGEIFS(ASSESSMENTS!H:H,ASSESSMENTS!B:B,A117,ASSESSMENTS!E:E,"English"),1),""))</f>
        <v/>
      </c>
      <c r="L117" s="5">
        <f>IF(A117="","",IFERROR(XLOOKUP(A117,ATTENDANCE_SUMMARY!A:A,ATTENDANCE_SUMMARY!G:G,""),""))</f>
        <v/>
      </c>
      <c r="M117" s="4">
        <f>IF(A117="","",IF(OR(E117&lt;50,AND(L117&lt;0.75,L117&lt;&gt;"" )),"At Risk","On Track"))</f>
        <v/>
      </c>
    </row>
    <row r="118">
      <c r="A118">
        <f>IF(MASTER_REGISTER!E118="","",MASTER_REGISTER!E118)</f>
        <v/>
      </c>
      <c r="B118">
        <f>IF(A118="","",MASTER_REGISTER!F118)</f>
        <v/>
      </c>
      <c r="C118">
        <f>IF(A118="","",MASTER_REGISTER!C118)</f>
        <v/>
      </c>
      <c r="D118">
        <f>IF(A118="","",COUNTIF(ASSESSMENTS!B:B,A118))</f>
        <v/>
      </c>
      <c r="E118" s="4">
        <f>IF(D118=0,"",ROUND(AVERAGEIF(ASSESSMENTS!B:B,A118,ASSESSMENTS!H:H),1))</f>
        <v/>
      </c>
      <c r="F118" s="4">
        <f>IF(A118="","",IFERROR(ROUND(AVERAGEIFS(ASSESSMENTS!H:H,ASSESSMENTS!B:B,A118,ASSESSMENTS!E:E,"Mathematics"),1),""))</f>
        <v/>
      </c>
      <c r="G118" s="4">
        <f>IF(A118="","",IFERROR(ROUND(AVERAGEIFS(ASSESSMENTS!H:H,ASSESSMENTS!B:B,A118,ASSESSMENTS!E:E,"Mathematical Literacy"),1),""))</f>
        <v/>
      </c>
      <c r="H118" s="4">
        <f>IF(A118="","",IFERROR(ROUND(AVERAGEIFS(ASSESSMENTS!H:H,ASSESSMENTS!B:B,A118,ASSESSMENTS!E:E,"Physical Sciences"),1),""))</f>
        <v/>
      </c>
      <c r="I118" s="4">
        <f>IF(A118="","",IFERROR(ROUND(AVERAGEIFS(ASSESSMENTS!H:H,ASSESSMENTS!B:B,A118,ASSESSMENTS!E:E,"Geography"),1),""))</f>
        <v/>
      </c>
      <c r="J118" s="4">
        <f>IF(A118="","",IFERROR(ROUND(AVERAGEIFS(ASSESSMENTS!H:H,ASSESSMENTS!B:B,A118,ASSESSMENTS!E:E,"Accounting"),1),""))</f>
        <v/>
      </c>
      <c r="K118" s="4">
        <f>IF(A118="","",IFERROR(ROUND(AVERAGEIFS(ASSESSMENTS!H:H,ASSESSMENTS!B:B,A118,ASSESSMENTS!E:E,"English"),1),""))</f>
        <v/>
      </c>
      <c r="L118" s="5">
        <f>IF(A118="","",IFERROR(XLOOKUP(A118,ATTENDANCE_SUMMARY!A:A,ATTENDANCE_SUMMARY!G:G,""),""))</f>
        <v/>
      </c>
      <c r="M118" s="4">
        <f>IF(A118="","",IF(OR(E118&lt;50,AND(L118&lt;0.75,L118&lt;&gt;"" )),"At Risk","On Track"))</f>
        <v/>
      </c>
    </row>
    <row r="119">
      <c r="A119">
        <f>IF(MASTER_REGISTER!E119="","",MASTER_REGISTER!E119)</f>
        <v/>
      </c>
      <c r="B119">
        <f>IF(A119="","",MASTER_REGISTER!F119)</f>
        <v/>
      </c>
      <c r="C119">
        <f>IF(A119="","",MASTER_REGISTER!C119)</f>
        <v/>
      </c>
      <c r="D119">
        <f>IF(A119="","",COUNTIF(ASSESSMENTS!B:B,A119))</f>
        <v/>
      </c>
      <c r="E119" s="4">
        <f>IF(D119=0,"",ROUND(AVERAGEIF(ASSESSMENTS!B:B,A119,ASSESSMENTS!H:H),1))</f>
        <v/>
      </c>
      <c r="F119" s="4">
        <f>IF(A119="","",IFERROR(ROUND(AVERAGEIFS(ASSESSMENTS!H:H,ASSESSMENTS!B:B,A119,ASSESSMENTS!E:E,"Mathematics"),1),""))</f>
        <v/>
      </c>
      <c r="G119" s="4">
        <f>IF(A119="","",IFERROR(ROUND(AVERAGEIFS(ASSESSMENTS!H:H,ASSESSMENTS!B:B,A119,ASSESSMENTS!E:E,"Mathematical Literacy"),1),""))</f>
        <v/>
      </c>
      <c r="H119" s="4">
        <f>IF(A119="","",IFERROR(ROUND(AVERAGEIFS(ASSESSMENTS!H:H,ASSESSMENTS!B:B,A119,ASSESSMENTS!E:E,"Physical Sciences"),1),""))</f>
        <v/>
      </c>
      <c r="I119" s="4">
        <f>IF(A119="","",IFERROR(ROUND(AVERAGEIFS(ASSESSMENTS!H:H,ASSESSMENTS!B:B,A119,ASSESSMENTS!E:E,"Geography"),1),""))</f>
        <v/>
      </c>
      <c r="J119" s="4">
        <f>IF(A119="","",IFERROR(ROUND(AVERAGEIFS(ASSESSMENTS!H:H,ASSESSMENTS!B:B,A119,ASSESSMENTS!E:E,"Accounting"),1),""))</f>
        <v/>
      </c>
      <c r="K119" s="4">
        <f>IF(A119="","",IFERROR(ROUND(AVERAGEIFS(ASSESSMENTS!H:H,ASSESSMENTS!B:B,A119,ASSESSMENTS!E:E,"English"),1),""))</f>
        <v/>
      </c>
      <c r="L119" s="5">
        <f>IF(A119="","",IFERROR(XLOOKUP(A119,ATTENDANCE_SUMMARY!A:A,ATTENDANCE_SUMMARY!G:G,""),""))</f>
        <v/>
      </c>
      <c r="M119" s="4">
        <f>IF(A119="","",IF(OR(E119&lt;50,AND(L119&lt;0.75,L119&lt;&gt;"" )),"At Risk","On Track"))</f>
        <v/>
      </c>
    </row>
    <row r="120">
      <c r="A120">
        <f>IF(MASTER_REGISTER!E120="","",MASTER_REGISTER!E120)</f>
        <v/>
      </c>
      <c r="B120">
        <f>IF(A120="","",MASTER_REGISTER!F120)</f>
        <v/>
      </c>
      <c r="C120">
        <f>IF(A120="","",MASTER_REGISTER!C120)</f>
        <v/>
      </c>
      <c r="D120">
        <f>IF(A120="","",COUNTIF(ASSESSMENTS!B:B,A120))</f>
        <v/>
      </c>
      <c r="E120" s="4">
        <f>IF(D120=0,"",ROUND(AVERAGEIF(ASSESSMENTS!B:B,A120,ASSESSMENTS!H:H),1))</f>
        <v/>
      </c>
      <c r="F120" s="4">
        <f>IF(A120="","",IFERROR(ROUND(AVERAGEIFS(ASSESSMENTS!H:H,ASSESSMENTS!B:B,A120,ASSESSMENTS!E:E,"Mathematics"),1),""))</f>
        <v/>
      </c>
      <c r="G120" s="4">
        <f>IF(A120="","",IFERROR(ROUND(AVERAGEIFS(ASSESSMENTS!H:H,ASSESSMENTS!B:B,A120,ASSESSMENTS!E:E,"Mathematical Literacy"),1),""))</f>
        <v/>
      </c>
      <c r="H120" s="4">
        <f>IF(A120="","",IFERROR(ROUND(AVERAGEIFS(ASSESSMENTS!H:H,ASSESSMENTS!B:B,A120,ASSESSMENTS!E:E,"Physical Sciences"),1),""))</f>
        <v/>
      </c>
      <c r="I120" s="4">
        <f>IF(A120="","",IFERROR(ROUND(AVERAGEIFS(ASSESSMENTS!H:H,ASSESSMENTS!B:B,A120,ASSESSMENTS!E:E,"Geography"),1),""))</f>
        <v/>
      </c>
      <c r="J120" s="4">
        <f>IF(A120="","",IFERROR(ROUND(AVERAGEIFS(ASSESSMENTS!H:H,ASSESSMENTS!B:B,A120,ASSESSMENTS!E:E,"Accounting"),1),""))</f>
        <v/>
      </c>
      <c r="K120" s="4">
        <f>IF(A120="","",IFERROR(ROUND(AVERAGEIFS(ASSESSMENTS!H:H,ASSESSMENTS!B:B,A120,ASSESSMENTS!E:E,"English"),1),""))</f>
        <v/>
      </c>
      <c r="L120" s="5">
        <f>IF(A120="","",IFERROR(XLOOKUP(A120,ATTENDANCE_SUMMARY!A:A,ATTENDANCE_SUMMARY!G:G,""),""))</f>
        <v/>
      </c>
      <c r="M120" s="4">
        <f>IF(A120="","",IF(OR(E120&lt;50,AND(L120&lt;0.75,L120&lt;&gt;"" )),"At Risk","On Track"))</f>
        <v/>
      </c>
    </row>
    <row r="121">
      <c r="A121">
        <f>IF(MASTER_REGISTER!E121="","",MASTER_REGISTER!E121)</f>
        <v/>
      </c>
      <c r="B121">
        <f>IF(A121="","",MASTER_REGISTER!F121)</f>
        <v/>
      </c>
      <c r="C121">
        <f>IF(A121="","",MASTER_REGISTER!C121)</f>
        <v/>
      </c>
      <c r="D121">
        <f>IF(A121="","",COUNTIF(ASSESSMENTS!B:B,A121))</f>
        <v/>
      </c>
      <c r="E121" s="4">
        <f>IF(D121=0,"",ROUND(AVERAGEIF(ASSESSMENTS!B:B,A121,ASSESSMENTS!H:H),1))</f>
        <v/>
      </c>
      <c r="F121" s="4">
        <f>IF(A121="","",IFERROR(ROUND(AVERAGEIFS(ASSESSMENTS!H:H,ASSESSMENTS!B:B,A121,ASSESSMENTS!E:E,"Mathematics"),1),""))</f>
        <v/>
      </c>
      <c r="G121" s="4">
        <f>IF(A121="","",IFERROR(ROUND(AVERAGEIFS(ASSESSMENTS!H:H,ASSESSMENTS!B:B,A121,ASSESSMENTS!E:E,"Mathematical Literacy"),1),""))</f>
        <v/>
      </c>
      <c r="H121" s="4">
        <f>IF(A121="","",IFERROR(ROUND(AVERAGEIFS(ASSESSMENTS!H:H,ASSESSMENTS!B:B,A121,ASSESSMENTS!E:E,"Physical Sciences"),1),""))</f>
        <v/>
      </c>
      <c r="I121" s="4">
        <f>IF(A121="","",IFERROR(ROUND(AVERAGEIFS(ASSESSMENTS!H:H,ASSESSMENTS!B:B,A121,ASSESSMENTS!E:E,"Geography"),1),""))</f>
        <v/>
      </c>
      <c r="J121" s="4">
        <f>IF(A121="","",IFERROR(ROUND(AVERAGEIFS(ASSESSMENTS!H:H,ASSESSMENTS!B:B,A121,ASSESSMENTS!E:E,"Accounting"),1),""))</f>
        <v/>
      </c>
      <c r="K121" s="4">
        <f>IF(A121="","",IFERROR(ROUND(AVERAGEIFS(ASSESSMENTS!H:H,ASSESSMENTS!B:B,A121,ASSESSMENTS!E:E,"English"),1),""))</f>
        <v/>
      </c>
      <c r="L121" s="5">
        <f>IF(A121="","",IFERROR(XLOOKUP(A121,ATTENDANCE_SUMMARY!A:A,ATTENDANCE_SUMMARY!G:G,""),""))</f>
        <v/>
      </c>
      <c r="M121" s="4">
        <f>IF(A121="","",IF(OR(E121&lt;50,AND(L121&lt;0.75,L121&lt;&gt;"" )),"At Risk","On Track"))</f>
        <v/>
      </c>
    </row>
    <row r="122">
      <c r="A122">
        <f>IF(MASTER_REGISTER!E122="","",MASTER_REGISTER!E122)</f>
        <v/>
      </c>
      <c r="B122">
        <f>IF(A122="","",MASTER_REGISTER!F122)</f>
        <v/>
      </c>
      <c r="C122">
        <f>IF(A122="","",MASTER_REGISTER!C122)</f>
        <v/>
      </c>
      <c r="D122">
        <f>IF(A122="","",COUNTIF(ASSESSMENTS!B:B,A122))</f>
        <v/>
      </c>
      <c r="E122" s="4">
        <f>IF(D122=0,"",ROUND(AVERAGEIF(ASSESSMENTS!B:B,A122,ASSESSMENTS!H:H),1))</f>
        <v/>
      </c>
      <c r="F122" s="4">
        <f>IF(A122="","",IFERROR(ROUND(AVERAGEIFS(ASSESSMENTS!H:H,ASSESSMENTS!B:B,A122,ASSESSMENTS!E:E,"Mathematics"),1),""))</f>
        <v/>
      </c>
      <c r="G122" s="4">
        <f>IF(A122="","",IFERROR(ROUND(AVERAGEIFS(ASSESSMENTS!H:H,ASSESSMENTS!B:B,A122,ASSESSMENTS!E:E,"Mathematical Literacy"),1),""))</f>
        <v/>
      </c>
      <c r="H122" s="4">
        <f>IF(A122="","",IFERROR(ROUND(AVERAGEIFS(ASSESSMENTS!H:H,ASSESSMENTS!B:B,A122,ASSESSMENTS!E:E,"Physical Sciences"),1),""))</f>
        <v/>
      </c>
      <c r="I122" s="4">
        <f>IF(A122="","",IFERROR(ROUND(AVERAGEIFS(ASSESSMENTS!H:H,ASSESSMENTS!B:B,A122,ASSESSMENTS!E:E,"Geography"),1),""))</f>
        <v/>
      </c>
      <c r="J122" s="4">
        <f>IF(A122="","",IFERROR(ROUND(AVERAGEIFS(ASSESSMENTS!H:H,ASSESSMENTS!B:B,A122,ASSESSMENTS!E:E,"Accounting"),1),""))</f>
        <v/>
      </c>
      <c r="K122" s="4">
        <f>IF(A122="","",IFERROR(ROUND(AVERAGEIFS(ASSESSMENTS!H:H,ASSESSMENTS!B:B,A122,ASSESSMENTS!E:E,"English"),1),""))</f>
        <v/>
      </c>
      <c r="L122" s="5">
        <f>IF(A122="","",IFERROR(XLOOKUP(A122,ATTENDANCE_SUMMARY!A:A,ATTENDANCE_SUMMARY!G:G,""),""))</f>
        <v/>
      </c>
      <c r="M122" s="4">
        <f>IF(A122="","",IF(OR(E122&lt;50,AND(L122&lt;0.75,L122&lt;&gt;"" )),"At Risk","On Track"))</f>
        <v/>
      </c>
    </row>
    <row r="123">
      <c r="A123">
        <f>IF(MASTER_REGISTER!E123="","",MASTER_REGISTER!E123)</f>
        <v/>
      </c>
      <c r="B123">
        <f>IF(A123="","",MASTER_REGISTER!F123)</f>
        <v/>
      </c>
      <c r="C123">
        <f>IF(A123="","",MASTER_REGISTER!C123)</f>
        <v/>
      </c>
      <c r="D123">
        <f>IF(A123="","",COUNTIF(ASSESSMENTS!B:B,A123))</f>
        <v/>
      </c>
      <c r="E123" s="4">
        <f>IF(D123=0,"",ROUND(AVERAGEIF(ASSESSMENTS!B:B,A123,ASSESSMENTS!H:H),1))</f>
        <v/>
      </c>
      <c r="F123" s="4">
        <f>IF(A123="","",IFERROR(ROUND(AVERAGEIFS(ASSESSMENTS!H:H,ASSESSMENTS!B:B,A123,ASSESSMENTS!E:E,"Mathematics"),1),""))</f>
        <v/>
      </c>
      <c r="G123" s="4">
        <f>IF(A123="","",IFERROR(ROUND(AVERAGEIFS(ASSESSMENTS!H:H,ASSESSMENTS!B:B,A123,ASSESSMENTS!E:E,"Mathematical Literacy"),1),""))</f>
        <v/>
      </c>
      <c r="H123" s="4">
        <f>IF(A123="","",IFERROR(ROUND(AVERAGEIFS(ASSESSMENTS!H:H,ASSESSMENTS!B:B,A123,ASSESSMENTS!E:E,"Physical Sciences"),1),""))</f>
        <v/>
      </c>
      <c r="I123" s="4">
        <f>IF(A123="","",IFERROR(ROUND(AVERAGEIFS(ASSESSMENTS!H:H,ASSESSMENTS!B:B,A123,ASSESSMENTS!E:E,"Geography"),1),""))</f>
        <v/>
      </c>
      <c r="J123" s="4">
        <f>IF(A123="","",IFERROR(ROUND(AVERAGEIFS(ASSESSMENTS!H:H,ASSESSMENTS!B:B,A123,ASSESSMENTS!E:E,"Accounting"),1),""))</f>
        <v/>
      </c>
      <c r="K123" s="4">
        <f>IF(A123="","",IFERROR(ROUND(AVERAGEIFS(ASSESSMENTS!H:H,ASSESSMENTS!B:B,A123,ASSESSMENTS!E:E,"English"),1),""))</f>
        <v/>
      </c>
      <c r="L123" s="5">
        <f>IF(A123="","",IFERROR(XLOOKUP(A123,ATTENDANCE_SUMMARY!A:A,ATTENDANCE_SUMMARY!G:G,""),""))</f>
        <v/>
      </c>
      <c r="M123" s="4">
        <f>IF(A123="","",IF(OR(E123&lt;50,AND(L123&lt;0.75,L123&lt;&gt;"" )),"At Risk","On Track"))</f>
        <v/>
      </c>
    </row>
    <row r="124">
      <c r="A124">
        <f>IF(MASTER_REGISTER!E124="","",MASTER_REGISTER!E124)</f>
        <v/>
      </c>
      <c r="B124">
        <f>IF(A124="","",MASTER_REGISTER!F124)</f>
        <v/>
      </c>
      <c r="C124">
        <f>IF(A124="","",MASTER_REGISTER!C124)</f>
        <v/>
      </c>
      <c r="D124">
        <f>IF(A124="","",COUNTIF(ASSESSMENTS!B:B,A124))</f>
        <v/>
      </c>
      <c r="E124" s="4">
        <f>IF(D124=0,"",ROUND(AVERAGEIF(ASSESSMENTS!B:B,A124,ASSESSMENTS!H:H),1))</f>
        <v/>
      </c>
      <c r="F124" s="4">
        <f>IF(A124="","",IFERROR(ROUND(AVERAGEIFS(ASSESSMENTS!H:H,ASSESSMENTS!B:B,A124,ASSESSMENTS!E:E,"Mathematics"),1),""))</f>
        <v/>
      </c>
      <c r="G124" s="4">
        <f>IF(A124="","",IFERROR(ROUND(AVERAGEIFS(ASSESSMENTS!H:H,ASSESSMENTS!B:B,A124,ASSESSMENTS!E:E,"Mathematical Literacy"),1),""))</f>
        <v/>
      </c>
      <c r="H124" s="4">
        <f>IF(A124="","",IFERROR(ROUND(AVERAGEIFS(ASSESSMENTS!H:H,ASSESSMENTS!B:B,A124,ASSESSMENTS!E:E,"Physical Sciences"),1),""))</f>
        <v/>
      </c>
      <c r="I124" s="4">
        <f>IF(A124="","",IFERROR(ROUND(AVERAGEIFS(ASSESSMENTS!H:H,ASSESSMENTS!B:B,A124,ASSESSMENTS!E:E,"Geography"),1),""))</f>
        <v/>
      </c>
      <c r="J124" s="4">
        <f>IF(A124="","",IFERROR(ROUND(AVERAGEIFS(ASSESSMENTS!H:H,ASSESSMENTS!B:B,A124,ASSESSMENTS!E:E,"Accounting"),1),""))</f>
        <v/>
      </c>
      <c r="K124" s="4">
        <f>IF(A124="","",IFERROR(ROUND(AVERAGEIFS(ASSESSMENTS!H:H,ASSESSMENTS!B:B,A124,ASSESSMENTS!E:E,"English"),1),""))</f>
        <v/>
      </c>
      <c r="L124" s="5">
        <f>IF(A124="","",IFERROR(XLOOKUP(A124,ATTENDANCE_SUMMARY!A:A,ATTENDANCE_SUMMARY!G:G,""),""))</f>
        <v/>
      </c>
      <c r="M124" s="4">
        <f>IF(A124="","",IF(OR(E124&lt;50,AND(L124&lt;0.75,L124&lt;&gt;"" )),"At Risk","On Track"))</f>
        <v/>
      </c>
    </row>
    <row r="125">
      <c r="A125">
        <f>IF(MASTER_REGISTER!E125="","",MASTER_REGISTER!E125)</f>
        <v/>
      </c>
      <c r="B125">
        <f>IF(A125="","",MASTER_REGISTER!F125)</f>
        <v/>
      </c>
      <c r="C125">
        <f>IF(A125="","",MASTER_REGISTER!C125)</f>
        <v/>
      </c>
      <c r="D125">
        <f>IF(A125="","",COUNTIF(ASSESSMENTS!B:B,A125))</f>
        <v/>
      </c>
      <c r="E125" s="4">
        <f>IF(D125=0,"",ROUND(AVERAGEIF(ASSESSMENTS!B:B,A125,ASSESSMENTS!H:H),1))</f>
        <v/>
      </c>
      <c r="F125" s="4">
        <f>IF(A125="","",IFERROR(ROUND(AVERAGEIFS(ASSESSMENTS!H:H,ASSESSMENTS!B:B,A125,ASSESSMENTS!E:E,"Mathematics"),1),""))</f>
        <v/>
      </c>
      <c r="G125" s="4">
        <f>IF(A125="","",IFERROR(ROUND(AVERAGEIFS(ASSESSMENTS!H:H,ASSESSMENTS!B:B,A125,ASSESSMENTS!E:E,"Mathematical Literacy"),1),""))</f>
        <v/>
      </c>
      <c r="H125" s="4">
        <f>IF(A125="","",IFERROR(ROUND(AVERAGEIFS(ASSESSMENTS!H:H,ASSESSMENTS!B:B,A125,ASSESSMENTS!E:E,"Physical Sciences"),1),""))</f>
        <v/>
      </c>
      <c r="I125" s="4">
        <f>IF(A125="","",IFERROR(ROUND(AVERAGEIFS(ASSESSMENTS!H:H,ASSESSMENTS!B:B,A125,ASSESSMENTS!E:E,"Geography"),1),""))</f>
        <v/>
      </c>
      <c r="J125" s="4">
        <f>IF(A125="","",IFERROR(ROUND(AVERAGEIFS(ASSESSMENTS!H:H,ASSESSMENTS!B:B,A125,ASSESSMENTS!E:E,"Accounting"),1),""))</f>
        <v/>
      </c>
      <c r="K125" s="4">
        <f>IF(A125="","",IFERROR(ROUND(AVERAGEIFS(ASSESSMENTS!H:H,ASSESSMENTS!B:B,A125,ASSESSMENTS!E:E,"English"),1),""))</f>
        <v/>
      </c>
      <c r="L125" s="5">
        <f>IF(A125="","",IFERROR(XLOOKUP(A125,ATTENDANCE_SUMMARY!A:A,ATTENDANCE_SUMMARY!G:G,""),""))</f>
        <v/>
      </c>
      <c r="M125" s="4">
        <f>IF(A125="","",IF(OR(E125&lt;50,AND(L125&lt;0.75,L125&lt;&gt;"" )),"At Risk","On Track"))</f>
        <v/>
      </c>
    </row>
    <row r="126">
      <c r="A126">
        <f>IF(MASTER_REGISTER!E126="","",MASTER_REGISTER!E126)</f>
        <v/>
      </c>
      <c r="B126">
        <f>IF(A126="","",MASTER_REGISTER!F126)</f>
        <v/>
      </c>
      <c r="C126">
        <f>IF(A126="","",MASTER_REGISTER!C126)</f>
        <v/>
      </c>
      <c r="D126">
        <f>IF(A126="","",COUNTIF(ASSESSMENTS!B:B,A126))</f>
        <v/>
      </c>
      <c r="E126" s="4">
        <f>IF(D126=0,"",ROUND(AVERAGEIF(ASSESSMENTS!B:B,A126,ASSESSMENTS!H:H),1))</f>
        <v/>
      </c>
      <c r="F126" s="4">
        <f>IF(A126="","",IFERROR(ROUND(AVERAGEIFS(ASSESSMENTS!H:H,ASSESSMENTS!B:B,A126,ASSESSMENTS!E:E,"Mathematics"),1),""))</f>
        <v/>
      </c>
      <c r="G126" s="4">
        <f>IF(A126="","",IFERROR(ROUND(AVERAGEIFS(ASSESSMENTS!H:H,ASSESSMENTS!B:B,A126,ASSESSMENTS!E:E,"Mathematical Literacy"),1),""))</f>
        <v/>
      </c>
      <c r="H126" s="4">
        <f>IF(A126="","",IFERROR(ROUND(AVERAGEIFS(ASSESSMENTS!H:H,ASSESSMENTS!B:B,A126,ASSESSMENTS!E:E,"Physical Sciences"),1),""))</f>
        <v/>
      </c>
      <c r="I126" s="4">
        <f>IF(A126="","",IFERROR(ROUND(AVERAGEIFS(ASSESSMENTS!H:H,ASSESSMENTS!B:B,A126,ASSESSMENTS!E:E,"Geography"),1),""))</f>
        <v/>
      </c>
      <c r="J126" s="4">
        <f>IF(A126="","",IFERROR(ROUND(AVERAGEIFS(ASSESSMENTS!H:H,ASSESSMENTS!B:B,A126,ASSESSMENTS!E:E,"Accounting"),1),""))</f>
        <v/>
      </c>
      <c r="K126" s="4">
        <f>IF(A126="","",IFERROR(ROUND(AVERAGEIFS(ASSESSMENTS!H:H,ASSESSMENTS!B:B,A126,ASSESSMENTS!E:E,"English"),1),""))</f>
        <v/>
      </c>
      <c r="L126" s="5">
        <f>IF(A126="","",IFERROR(XLOOKUP(A126,ATTENDANCE_SUMMARY!A:A,ATTENDANCE_SUMMARY!G:G,""),""))</f>
        <v/>
      </c>
      <c r="M126" s="4">
        <f>IF(A126="","",IF(OR(E126&lt;50,AND(L126&lt;0.75,L126&lt;&gt;"" )),"At Risk","On Track"))</f>
        <v/>
      </c>
    </row>
    <row r="127">
      <c r="A127">
        <f>IF(MASTER_REGISTER!E127="","",MASTER_REGISTER!E127)</f>
        <v/>
      </c>
      <c r="B127">
        <f>IF(A127="","",MASTER_REGISTER!F127)</f>
        <v/>
      </c>
      <c r="C127">
        <f>IF(A127="","",MASTER_REGISTER!C127)</f>
        <v/>
      </c>
      <c r="D127">
        <f>IF(A127="","",COUNTIF(ASSESSMENTS!B:B,A127))</f>
        <v/>
      </c>
      <c r="E127" s="4">
        <f>IF(D127=0,"",ROUND(AVERAGEIF(ASSESSMENTS!B:B,A127,ASSESSMENTS!H:H),1))</f>
        <v/>
      </c>
      <c r="F127" s="4">
        <f>IF(A127="","",IFERROR(ROUND(AVERAGEIFS(ASSESSMENTS!H:H,ASSESSMENTS!B:B,A127,ASSESSMENTS!E:E,"Mathematics"),1),""))</f>
        <v/>
      </c>
      <c r="G127" s="4">
        <f>IF(A127="","",IFERROR(ROUND(AVERAGEIFS(ASSESSMENTS!H:H,ASSESSMENTS!B:B,A127,ASSESSMENTS!E:E,"Mathematical Literacy"),1),""))</f>
        <v/>
      </c>
      <c r="H127" s="4">
        <f>IF(A127="","",IFERROR(ROUND(AVERAGEIFS(ASSESSMENTS!H:H,ASSESSMENTS!B:B,A127,ASSESSMENTS!E:E,"Physical Sciences"),1),""))</f>
        <v/>
      </c>
      <c r="I127" s="4">
        <f>IF(A127="","",IFERROR(ROUND(AVERAGEIFS(ASSESSMENTS!H:H,ASSESSMENTS!B:B,A127,ASSESSMENTS!E:E,"Geography"),1),""))</f>
        <v/>
      </c>
      <c r="J127" s="4">
        <f>IF(A127="","",IFERROR(ROUND(AVERAGEIFS(ASSESSMENTS!H:H,ASSESSMENTS!B:B,A127,ASSESSMENTS!E:E,"Accounting"),1),""))</f>
        <v/>
      </c>
      <c r="K127" s="4">
        <f>IF(A127="","",IFERROR(ROUND(AVERAGEIFS(ASSESSMENTS!H:H,ASSESSMENTS!B:B,A127,ASSESSMENTS!E:E,"English"),1),""))</f>
        <v/>
      </c>
      <c r="L127" s="5">
        <f>IF(A127="","",IFERROR(XLOOKUP(A127,ATTENDANCE_SUMMARY!A:A,ATTENDANCE_SUMMARY!G:G,""),""))</f>
        <v/>
      </c>
      <c r="M127" s="4">
        <f>IF(A127="","",IF(OR(E127&lt;50,AND(L127&lt;0.75,L127&lt;&gt;"" )),"At Risk","On Track"))</f>
        <v/>
      </c>
    </row>
    <row r="128">
      <c r="A128">
        <f>IF(MASTER_REGISTER!E128="","",MASTER_REGISTER!E128)</f>
        <v/>
      </c>
      <c r="B128">
        <f>IF(A128="","",MASTER_REGISTER!F128)</f>
        <v/>
      </c>
      <c r="C128">
        <f>IF(A128="","",MASTER_REGISTER!C128)</f>
        <v/>
      </c>
      <c r="D128">
        <f>IF(A128="","",COUNTIF(ASSESSMENTS!B:B,A128))</f>
        <v/>
      </c>
      <c r="E128" s="4">
        <f>IF(D128=0,"",ROUND(AVERAGEIF(ASSESSMENTS!B:B,A128,ASSESSMENTS!H:H),1))</f>
        <v/>
      </c>
      <c r="F128" s="4">
        <f>IF(A128="","",IFERROR(ROUND(AVERAGEIFS(ASSESSMENTS!H:H,ASSESSMENTS!B:B,A128,ASSESSMENTS!E:E,"Mathematics"),1),""))</f>
        <v/>
      </c>
      <c r="G128" s="4">
        <f>IF(A128="","",IFERROR(ROUND(AVERAGEIFS(ASSESSMENTS!H:H,ASSESSMENTS!B:B,A128,ASSESSMENTS!E:E,"Mathematical Literacy"),1),""))</f>
        <v/>
      </c>
      <c r="H128" s="4">
        <f>IF(A128="","",IFERROR(ROUND(AVERAGEIFS(ASSESSMENTS!H:H,ASSESSMENTS!B:B,A128,ASSESSMENTS!E:E,"Physical Sciences"),1),""))</f>
        <v/>
      </c>
      <c r="I128" s="4">
        <f>IF(A128="","",IFERROR(ROUND(AVERAGEIFS(ASSESSMENTS!H:H,ASSESSMENTS!B:B,A128,ASSESSMENTS!E:E,"Geography"),1),""))</f>
        <v/>
      </c>
      <c r="J128" s="4">
        <f>IF(A128="","",IFERROR(ROUND(AVERAGEIFS(ASSESSMENTS!H:H,ASSESSMENTS!B:B,A128,ASSESSMENTS!E:E,"Accounting"),1),""))</f>
        <v/>
      </c>
      <c r="K128" s="4">
        <f>IF(A128="","",IFERROR(ROUND(AVERAGEIFS(ASSESSMENTS!H:H,ASSESSMENTS!B:B,A128,ASSESSMENTS!E:E,"English"),1),""))</f>
        <v/>
      </c>
      <c r="L128" s="5">
        <f>IF(A128="","",IFERROR(XLOOKUP(A128,ATTENDANCE_SUMMARY!A:A,ATTENDANCE_SUMMARY!G:G,""),""))</f>
        <v/>
      </c>
      <c r="M128" s="4">
        <f>IF(A128="","",IF(OR(E128&lt;50,AND(L128&lt;0.75,L128&lt;&gt;"" )),"At Risk","On Track"))</f>
        <v/>
      </c>
    </row>
    <row r="129">
      <c r="A129">
        <f>IF(MASTER_REGISTER!E129="","",MASTER_REGISTER!E129)</f>
        <v/>
      </c>
      <c r="B129">
        <f>IF(A129="","",MASTER_REGISTER!F129)</f>
        <v/>
      </c>
      <c r="C129">
        <f>IF(A129="","",MASTER_REGISTER!C129)</f>
        <v/>
      </c>
      <c r="D129">
        <f>IF(A129="","",COUNTIF(ASSESSMENTS!B:B,A129))</f>
        <v/>
      </c>
      <c r="E129" s="4">
        <f>IF(D129=0,"",ROUND(AVERAGEIF(ASSESSMENTS!B:B,A129,ASSESSMENTS!H:H),1))</f>
        <v/>
      </c>
      <c r="F129" s="4">
        <f>IF(A129="","",IFERROR(ROUND(AVERAGEIFS(ASSESSMENTS!H:H,ASSESSMENTS!B:B,A129,ASSESSMENTS!E:E,"Mathematics"),1),""))</f>
        <v/>
      </c>
      <c r="G129" s="4">
        <f>IF(A129="","",IFERROR(ROUND(AVERAGEIFS(ASSESSMENTS!H:H,ASSESSMENTS!B:B,A129,ASSESSMENTS!E:E,"Mathematical Literacy"),1),""))</f>
        <v/>
      </c>
      <c r="H129" s="4">
        <f>IF(A129="","",IFERROR(ROUND(AVERAGEIFS(ASSESSMENTS!H:H,ASSESSMENTS!B:B,A129,ASSESSMENTS!E:E,"Physical Sciences"),1),""))</f>
        <v/>
      </c>
      <c r="I129" s="4">
        <f>IF(A129="","",IFERROR(ROUND(AVERAGEIFS(ASSESSMENTS!H:H,ASSESSMENTS!B:B,A129,ASSESSMENTS!E:E,"Geography"),1),""))</f>
        <v/>
      </c>
      <c r="J129" s="4">
        <f>IF(A129="","",IFERROR(ROUND(AVERAGEIFS(ASSESSMENTS!H:H,ASSESSMENTS!B:B,A129,ASSESSMENTS!E:E,"Accounting"),1),""))</f>
        <v/>
      </c>
      <c r="K129" s="4">
        <f>IF(A129="","",IFERROR(ROUND(AVERAGEIFS(ASSESSMENTS!H:H,ASSESSMENTS!B:B,A129,ASSESSMENTS!E:E,"English"),1),""))</f>
        <v/>
      </c>
      <c r="L129" s="5">
        <f>IF(A129="","",IFERROR(XLOOKUP(A129,ATTENDANCE_SUMMARY!A:A,ATTENDANCE_SUMMARY!G:G,""),""))</f>
        <v/>
      </c>
      <c r="M129" s="4">
        <f>IF(A129="","",IF(OR(E129&lt;50,AND(L129&lt;0.75,L129&lt;&gt;"" )),"At Risk","On Track"))</f>
        <v/>
      </c>
    </row>
    <row r="130">
      <c r="A130">
        <f>IF(MASTER_REGISTER!E130="","",MASTER_REGISTER!E130)</f>
        <v/>
      </c>
      <c r="B130">
        <f>IF(A130="","",MASTER_REGISTER!F130)</f>
        <v/>
      </c>
      <c r="C130">
        <f>IF(A130="","",MASTER_REGISTER!C130)</f>
        <v/>
      </c>
      <c r="D130">
        <f>IF(A130="","",COUNTIF(ASSESSMENTS!B:B,A130))</f>
        <v/>
      </c>
      <c r="E130" s="4">
        <f>IF(D130=0,"",ROUND(AVERAGEIF(ASSESSMENTS!B:B,A130,ASSESSMENTS!H:H),1))</f>
        <v/>
      </c>
      <c r="F130" s="4">
        <f>IF(A130="","",IFERROR(ROUND(AVERAGEIFS(ASSESSMENTS!H:H,ASSESSMENTS!B:B,A130,ASSESSMENTS!E:E,"Mathematics"),1),""))</f>
        <v/>
      </c>
      <c r="G130" s="4">
        <f>IF(A130="","",IFERROR(ROUND(AVERAGEIFS(ASSESSMENTS!H:H,ASSESSMENTS!B:B,A130,ASSESSMENTS!E:E,"Mathematical Literacy"),1),""))</f>
        <v/>
      </c>
      <c r="H130" s="4">
        <f>IF(A130="","",IFERROR(ROUND(AVERAGEIFS(ASSESSMENTS!H:H,ASSESSMENTS!B:B,A130,ASSESSMENTS!E:E,"Physical Sciences"),1),""))</f>
        <v/>
      </c>
      <c r="I130" s="4">
        <f>IF(A130="","",IFERROR(ROUND(AVERAGEIFS(ASSESSMENTS!H:H,ASSESSMENTS!B:B,A130,ASSESSMENTS!E:E,"Geography"),1),""))</f>
        <v/>
      </c>
      <c r="J130" s="4">
        <f>IF(A130="","",IFERROR(ROUND(AVERAGEIFS(ASSESSMENTS!H:H,ASSESSMENTS!B:B,A130,ASSESSMENTS!E:E,"Accounting"),1),""))</f>
        <v/>
      </c>
      <c r="K130" s="4">
        <f>IF(A130="","",IFERROR(ROUND(AVERAGEIFS(ASSESSMENTS!H:H,ASSESSMENTS!B:B,A130,ASSESSMENTS!E:E,"English"),1),""))</f>
        <v/>
      </c>
      <c r="L130" s="5">
        <f>IF(A130="","",IFERROR(XLOOKUP(A130,ATTENDANCE_SUMMARY!A:A,ATTENDANCE_SUMMARY!G:G,""),""))</f>
        <v/>
      </c>
      <c r="M130" s="4">
        <f>IF(A130="","",IF(OR(E130&lt;50,AND(L130&lt;0.75,L130&lt;&gt;"" )),"At Risk","On Track"))</f>
        <v/>
      </c>
    </row>
    <row r="131">
      <c r="A131">
        <f>IF(MASTER_REGISTER!E131="","",MASTER_REGISTER!E131)</f>
        <v/>
      </c>
      <c r="B131">
        <f>IF(A131="","",MASTER_REGISTER!F131)</f>
        <v/>
      </c>
      <c r="C131">
        <f>IF(A131="","",MASTER_REGISTER!C131)</f>
        <v/>
      </c>
      <c r="D131">
        <f>IF(A131="","",COUNTIF(ASSESSMENTS!B:B,A131))</f>
        <v/>
      </c>
      <c r="E131" s="4">
        <f>IF(D131=0,"",ROUND(AVERAGEIF(ASSESSMENTS!B:B,A131,ASSESSMENTS!H:H),1))</f>
        <v/>
      </c>
      <c r="F131" s="4">
        <f>IF(A131="","",IFERROR(ROUND(AVERAGEIFS(ASSESSMENTS!H:H,ASSESSMENTS!B:B,A131,ASSESSMENTS!E:E,"Mathematics"),1),""))</f>
        <v/>
      </c>
      <c r="G131" s="4">
        <f>IF(A131="","",IFERROR(ROUND(AVERAGEIFS(ASSESSMENTS!H:H,ASSESSMENTS!B:B,A131,ASSESSMENTS!E:E,"Mathematical Literacy"),1),""))</f>
        <v/>
      </c>
      <c r="H131" s="4">
        <f>IF(A131="","",IFERROR(ROUND(AVERAGEIFS(ASSESSMENTS!H:H,ASSESSMENTS!B:B,A131,ASSESSMENTS!E:E,"Physical Sciences"),1),""))</f>
        <v/>
      </c>
      <c r="I131" s="4">
        <f>IF(A131="","",IFERROR(ROUND(AVERAGEIFS(ASSESSMENTS!H:H,ASSESSMENTS!B:B,A131,ASSESSMENTS!E:E,"Geography"),1),""))</f>
        <v/>
      </c>
      <c r="J131" s="4">
        <f>IF(A131="","",IFERROR(ROUND(AVERAGEIFS(ASSESSMENTS!H:H,ASSESSMENTS!B:B,A131,ASSESSMENTS!E:E,"Accounting"),1),""))</f>
        <v/>
      </c>
      <c r="K131" s="4">
        <f>IF(A131="","",IFERROR(ROUND(AVERAGEIFS(ASSESSMENTS!H:H,ASSESSMENTS!B:B,A131,ASSESSMENTS!E:E,"English"),1),""))</f>
        <v/>
      </c>
      <c r="L131" s="5">
        <f>IF(A131="","",IFERROR(XLOOKUP(A131,ATTENDANCE_SUMMARY!A:A,ATTENDANCE_SUMMARY!G:G,""),""))</f>
        <v/>
      </c>
      <c r="M131" s="4">
        <f>IF(A131="","",IF(OR(E131&lt;50,AND(L131&lt;0.75,L131&lt;&gt;"" )),"At Risk","On Track"))</f>
        <v/>
      </c>
    </row>
    <row r="132">
      <c r="A132">
        <f>IF(MASTER_REGISTER!E132="","",MASTER_REGISTER!E132)</f>
        <v/>
      </c>
      <c r="B132">
        <f>IF(A132="","",MASTER_REGISTER!F132)</f>
        <v/>
      </c>
      <c r="C132">
        <f>IF(A132="","",MASTER_REGISTER!C132)</f>
        <v/>
      </c>
      <c r="D132">
        <f>IF(A132="","",COUNTIF(ASSESSMENTS!B:B,A132))</f>
        <v/>
      </c>
      <c r="E132" s="4">
        <f>IF(D132=0,"",ROUND(AVERAGEIF(ASSESSMENTS!B:B,A132,ASSESSMENTS!H:H),1))</f>
        <v/>
      </c>
      <c r="F132" s="4">
        <f>IF(A132="","",IFERROR(ROUND(AVERAGEIFS(ASSESSMENTS!H:H,ASSESSMENTS!B:B,A132,ASSESSMENTS!E:E,"Mathematics"),1),""))</f>
        <v/>
      </c>
      <c r="G132" s="4">
        <f>IF(A132="","",IFERROR(ROUND(AVERAGEIFS(ASSESSMENTS!H:H,ASSESSMENTS!B:B,A132,ASSESSMENTS!E:E,"Mathematical Literacy"),1),""))</f>
        <v/>
      </c>
      <c r="H132" s="4">
        <f>IF(A132="","",IFERROR(ROUND(AVERAGEIFS(ASSESSMENTS!H:H,ASSESSMENTS!B:B,A132,ASSESSMENTS!E:E,"Physical Sciences"),1),""))</f>
        <v/>
      </c>
      <c r="I132" s="4">
        <f>IF(A132="","",IFERROR(ROUND(AVERAGEIFS(ASSESSMENTS!H:H,ASSESSMENTS!B:B,A132,ASSESSMENTS!E:E,"Geography"),1),""))</f>
        <v/>
      </c>
      <c r="J132" s="4">
        <f>IF(A132="","",IFERROR(ROUND(AVERAGEIFS(ASSESSMENTS!H:H,ASSESSMENTS!B:B,A132,ASSESSMENTS!E:E,"Accounting"),1),""))</f>
        <v/>
      </c>
      <c r="K132" s="4">
        <f>IF(A132="","",IFERROR(ROUND(AVERAGEIFS(ASSESSMENTS!H:H,ASSESSMENTS!B:B,A132,ASSESSMENTS!E:E,"English"),1),""))</f>
        <v/>
      </c>
      <c r="L132" s="5">
        <f>IF(A132="","",IFERROR(XLOOKUP(A132,ATTENDANCE_SUMMARY!A:A,ATTENDANCE_SUMMARY!G:G,""),""))</f>
        <v/>
      </c>
      <c r="M132" s="4">
        <f>IF(A132="","",IF(OR(E132&lt;50,AND(L132&lt;0.75,L132&lt;&gt;"" )),"At Risk","On Track"))</f>
        <v/>
      </c>
    </row>
    <row r="133">
      <c r="A133">
        <f>IF(MASTER_REGISTER!E133="","",MASTER_REGISTER!E133)</f>
        <v/>
      </c>
      <c r="B133">
        <f>IF(A133="","",MASTER_REGISTER!F133)</f>
        <v/>
      </c>
      <c r="C133">
        <f>IF(A133="","",MASTER_REGISTER!C133)</f>
        <v/>
      </c>
      <c r="D133">
        <f>IF(A133="","",COUNTIF(ASSESSMENTS!B:B,A133))</f>
        <v/>
      </c>
      <c r="E133" s="4">
        <f>IF(D133=0,"",ROUND(AVERAGEIF(ASSESSMENTS!B:B,A133,ASSESSMENTS!H:H),1))</f>
        <v/>
      </c>
      <c r="F133" s="4">
        <f>IF(A133="","",IFERROR(ROUND(AVERAGEIFS(ASSESSMENTS!H:H,ASSESSMENTS!B:B,A133,ASSESSMENTS!E:E,"Mathematics"),1),""))</f>
        <v/>
      </c>
      <c r="G133" s="4">
        <f>IF(A133="","",IFERROR(ROUND(AVERAGEIFS(ASSESSMENTS!H:H,ASSESSMENTS!B:B,A133,ASSESSMENTS!E:E,"Mathematical Literacy"),1),""))</f>
        <v/>
      </c>
      <c r="H133" s="4">
        <f>IF(A133="","",IFERROR(ROUND(AVERAGEIFS(ASSESSMENTS!H:H,ASSESSMENTS!B:B,A133,ASSESSMENTS!E:E,"Physical Sciences"),1),""))</f>
        <v/>
      </c>
      <c r="I133" s="4">
        <f>IF(A133="","",IFERROR(ROUND(AVERAGEIFS(ASSESSMENTS!H:H,ASSESSMENTS!B:B,A133,ASSESSMENTS!E:E,"Geography"),1),""))</f>
        <v/>
      </c>
      <c r="J133" s="4">
        <f>IF(A133="","",IFERROR(ROUND(AVERAGEIFS(ASSESSMENTS!H:H,ASSESSMENTS!B:B,A133,ASSESSMENTS!E:E,"Accounting"),1),""))</f>
        <v/>
      </c>
      <c r="K133" s="4">
        <f>IF(A133="","",IFERROR(ROUND(AVERAGEIFS(ASSESSMENTS!H:H,ASSESSMENTS!B:B,A133,ASSESSMENTS!E:E,"English"),1),""))</f>
        <v/>
      </c>
      <c r="L133" s="5">
        <f>IF(A133="","",IFERROR(XLOOKUP(A133,ATTENDANCE_SUMMARY!A:A,ATTENDANCE_SUMMARY!G:G,""),""))</f>
        <v/>
      </c>
      <c r="M133" s="4">
        <f>IF(A133="","",IF(OR(E133&lt;50,AND(L133&lt;0.75,L133&lt;&gt;"" )),"At Risk","On Track"))</f>
        <v/>
      </c>
    </row>
    <row r="134">
      <c r="A134">
        <f>IF(MASTER_REGISTER!E134="","",MASTER_REGISTER!E134)</f>
        <v/>
      </c>
      <c r="B134">
        <f>IF(A134="","",MASTER_REGISTER!F134)</f>
        <v/>
      </c>
      <c r="C134">
        <f>IF(A134="","",MASTER_REGISTER!C134)</f>
        <v/>
      </c>
      <c r="D134">
        <f>IF(A134="","",COUNTIF(ASSESSMENTS!B:B,A134))</f>
        <v/>
      </c>
      <c r="E134" s="4">
        <f>IF(D134=0,"",ROUND(AVERAGEIF(ASSESSMENTS!B:B,A134,ASSESSMENTS!H:H),1))</f>
        <v/>
      </c>
      <c r="F134" s="4">
        <f>IF(A134="","",IFERROR(ROUND(AVERAGEIFS(ASSESSMENTS!H:H,ASSESSMENTS!B:B,A134,ASSESSMENTS!E:E,"Mathematics"),1),""))</f>
        <v/>
      </c>
      <c r="G134" s="4">
        <f>IF(A134="","",IFERROR(ROUND(AVERAGEIFS(ASSESSMENTS!H:H,ASSESSMENTS!B:B,A134,ASSESSMENTS!E:E,"Mathematical Literacy"),1),""))</f>
        <v/>
      </c>
      <c r="H134" s="4">
        <f>IF(A134="","",IFERROR(ROUND(AVERAGEIFS(ASSESSMENTS!H:H,ASSESSMENTS!B:B,A134,ASSESSMENTS!E:E,"Physical Sciences"),1),""))</f>
        <v/>
      </c>
      <c r="I134" s="4">
        <f>IF(A134="","",IFERROR(ROUND(AVERAGEIFS(ASSESSMENTS!H:H,ASSESSMENTS!B:B,A134,ASSESSMENTS!E:E,"Geography"),1),""))</f>
        <v/>
      </c>
      <c r="J134" s="4">
        <f>IF(A134="","",IFERROR(ROUND(AVERAGEIFS(ASSESSMENTS!H:H,ASSESSMENTS!B:B,A134,ASSESSMENTS!E:E,"Accounting"),1),""))</f>
        <v/>
      </c>
      <c r="K134" s="4">
        <f>IF(A134="","",IFERROR(ROUND(AVERAGEIFS(ASSESSMENTS!H:H,ASSESSMENTS!B:B,A134,ASSESSMENTS!E:E,"English"),1),""))</f>
        <v/>
      </c>
      <c r="L134" s="5">
        <f>IF(A134="","",IFERROR(XLOOKUP(A134,ATTENDANCE_SUMMARY!A:A,ATTENDANCE_SUMMARY!G:G,""),""))</f>
        <v/>
      </c>
      <c r="M134" s="4">
        <f>IF(A134="","",IF(OR(E134&lt;50,AND(L134&lt;0.75,L134&lt;&gt;"" )),"At Risk","On Track"))</f>
        <v/>
      </c>
    </row>
    <row r="135">
      <c r="A135">
        <f>IF(MASTER_REGISTER!E135="","",MASTER_REGISTER!E135)</f>
        <v/>
      </c>
      <c r="B135">
        <f>IF(A135="","",MASTER_REGISTER!F135)</f>
        <v/>
      </c>
      <c r="C135">
        <f>IF(A135="","",MASTER_REGISTER!C135)</f>
        <v/>
      </c>
      <c r="D135">
        <f>IF(A135="","",COUNTIF(ASSESSMENTS!B:B,A135))</f>
        <v/>
      </c>
      <c r="E135" s="4">
        <f>IF(D135=0,"",ROUND(AVERAGEIF(ASSESSMENTS!B:B,A135,ASSESSMENTS!H:H),1))</f>
        <v/>
      </c>
      <c r="F135" s="4">
        <f>IF(A135="","",IFERROR(ROUND(AVERAGEIFS(ASSESSMENTS!H:H,ASSESSMENTS!B:B,A135,ASSESSMENTS!E:E,"Mathematics"),1),""))</f>
        <v/>
      </c>
      <c r="G135" s="4">
        <f>IF(A135="","",IFERROR(ROUND(AVERAGEIFS(ASSESSMENTS!H:H,ASSESSMENTS!B:B,A135,ASSESSMENTS!E:E,"Mathematical Literacy"),1),""))</f>
        <v/>
      </c>
      <c r="H135" s="4">
        <f>IF(A135="","",IFERROR(ROUND(AVERAGEIFS(ASSESSMENTS!H:H,ASSESSMENTS!B:B,A135,ASSESSMENTS!E:E,"Physical Sciences"),1),""))</f>
        <v/>
      </c>
      <c r="I135" s="4">
        <f>IF(A135="","",IFERROR(ROUND(AVERAGEIFS(ASSESSMENTS!H:H,ASSESSMENTS!B:B,A135,ASSESSMENTS!E:E,"Geography"),1),""))</f>
        <v/>
      </c>
      <c r="J135" s="4">
        <f>IF(A135="","",IFERROR(ROUND(AVERAGEIFS(ASSESSMENTS!H:H,ASSESSMENTS!B:B,A135,ASSESSMENTS!E:E,"Accounting"),1),""))</f>
        <v/>
      </c>
      <c r="K135" s="4">
        <f>IF(A135="","",IFERROR(ROUND(AVERAGEIFS(ASSESSMENTS!H:H,ASSESSMENTS!B:B,A135,ASSESSMENTS!E:E,"English"),1),""))</f>
        <v/>
      </c>
      <c r="L135" s="5">
        <f>IF(A135="","",IFERROR(XLOOKUP(A135,ATTENDANCE_SUMMARY!A:A,ATTENDANCE_SUMMARY!G:G,""),""))</f>
        <v/>
      </c>
      <c r="M135" s="4">
        <f>IF(A135="","",IF(OR(E135&lt;50,AND(L135&lt;0.75,L135&lt;&gt;"" )),"At Risk","On Track"))</f>
        <v/>
      </c>
    </row>
    <row r="136">
      <c r="A136">
        <f>IF(MASTER_REGISTER!E136="","",MASTER_REGISTER!E136)</f>
        <v/>
      </c>
      <c r="B136">
        <f>IF(A136="","",MASTER_REGISTER!F136)</f>
        <v/>
      </c>
      <c r="C136">
        <f>IF(A136="","",MASTER_REGISTER!C136)</f>
        <v/>
      </c>
      <c r="D136">
        <f>IF(A136="","",COUNTIF(ASSESSMENTS!B:B,A136))</f>
        <v/>
      </c>
      <c r="E136" s="4">
        <f>IF(D136=0,"",ROUND(AVERAGEIF(ASSESSMENTS!B:B,A136,ASSESSMENTS!H:H),1))</f>
        <v/>
      </c>
      <c r="F136" s="4">
        <f>IF(A136="","",IFERROR(ROUND(AVERAGEIFS(ASSESSMENTS!H:H,ASSESSMENTS!B:B,A136,ASSESSMENTS!E:E,"Mathematics"),1),""))</f>
        <v/>
      </c>
      <c r="G136" s="4">
        <f>IF(A136="","",IFERROR(ROUND(AVERAGEIFS(ASSESSMENTS!H:H,ASSESSMENTS!B:B,A136,ASSESSMENTS!E:E,"Mathematical Literacy"),1),""))</f>
        <v/>
      </c>
      <c r="H136" s="4">
        <f>IF(A136="","",IFERROR(ROUND(AVERAGEIFS(ASSESSMENTS!H:H,ASSESSMENTS!B:B,A136,ASSESSMENTS!E:E,"Physical Sciences"),1),""))</f>
        <v/>
      </c>
      <c r="I136" s="4">
        <f>IF(A136="","",IFERROR(ROUND(AVERAGEIFS(ASSESSMENTS!H:H,ASSESSMENTS!B:B,A136,ASSESSMENTS!E:E,"Geography"),1),""))</f>
        <v/>
      </c>
      <c r="J136" s="4">
        <f>IF(A136="","",IFERROR(ROUND(AVERAGEIFS(ASSESSMENTS!H:H,ASSESSMENTS!B:B,A136,ASSESSMENTS!E:E,"Accounting"),1),""))</f>
        <v/>
      </c>
      <c r="K136" s="4">
        <f>IF(A136="","",IFERROR(ROUND(AVERAGEIFS(ASSESSMENTS!H:H,ASSESSMENTS!B:B,A136,ASSESSMENTS!E:E,"English"),1),""))</f>
        <v/>
      </c>
      <c r="L136" s="5">
        <f>IF(A136="","",IFERROR(XLOOKUP(A136,ATTENDANCE_SUMMARY!A:A,ATTENDANCE_SUMMARY!G:G,""),""))</f>
        <v/>
      </c>
      <c r="M136" s="4">
        <f>IF(A136="","",IF(OR(E136&lt;50,AND(L136&lt;0.75,L136&lt;&gt;"" )),"At Risk","On Track"))</f>
        <v/>
      </c>
    </row>
    <row r="137">
      <c r="A137">
        <f>IF(MASTER_REGISTER!E137="","",MASTER_REGISTER!E137)</f>
        <v/>
      </c>
      <c r="B137">
        <f>IF(A137="","",MASTER_REGISTER!F137)</f>
        <v/>
      </c>
      <c r="C137">
        <f>IF(A137="","",MASTER_REGISTER!C137)</f>
        <v/>
      </c>
      <c r="D137">
        <f>IF(A137="","",COUNTIF(ASSESSMENTS!B:B,A137))</f>
        <v/>
      </c>
      <c r="E137" s="4">
        <f>IF(D137=0,"",ROUND(AVERAGEIF(ASSESSMENTS!B:B,A137,ASSESSMENTS!H:H),1))</f>
        <v/>
      </c>
      <c r="F137" s="4">
        <f>IF(A137="","",IFERROR(ROUND(AVERAGEIFS(ASSESSMENTS!H:H,ASSESSMENTS!B:B,A137,ASSESSMENTS!E:E,"Mathematics"),1),""))</f>
        <v/>
      </c>
      <c r="G137" s="4">
        <f>IF(A137="","",IFERROR(ROUND(AVERAGEIFS(ASSESSMENTS!H:H,ASSESSMENTS!B:B,A137,ASSESSMENTS!E:E,"Mathematical Literacy"),1),""))</f>
        <v/>
      </c>
      <c r="H137" s="4">
        <f>IF(A137="","",IFERROR(ROUND(AVERAGEIFS(ASSESSMENTS!H:H,ASSESSMENTS!B:B,A137,ASSESSMENTS!E:E,"Physical Sciences"),1),""))</f>
        <v/>
      </c>
      <c r="I137" s="4">
        <f>IF(A137="","",IFERROR(ROUND(AVERAGEIFS(ASSESSMENTS!H:H,ASSESSMENTS!B:B,A137,ASSESSMENTS!E:E,"Geography"),1),""))</f>
        <v/>
      </c>
      <c r="J137" s="4">
        <f>IF(A137="","",IFERROR(ROUND(AVERAGEIFS(ASSESSMENTS!H:H,ASSESSMENTS!B:B,A137,ASSESSMENTS!E:E,"Accounting"),1),""))</f>
        <v/>
      </c>
      <c r="K137" s="4">
        <f>IF(A137="","",IFERROR(ROUND(AVERAGEIFS(ASSESSMENTS!H:H,ASSESSMENTS!B:B,A137,ASSESSMENTS!E:E,"English"),1),""))</f>
        <v/>
      </c>
      <c r="L137" s="5">
        <f>IF(A137="","",IFERROR(XLOOKUP(A137,ATTENDANCE_SUMMARY!A:A,ATTENDANCE_SUMMARY!G:G,""),""))</f>
        <v/>
      </c>
      <c r="M137" s="4">
        <f>IF(A137="","",IF(OR(E137&lt;50,AND(L137&lt;0.75,L137&lt;&gt;"" )),"At Risk","On Track"))</f>
        <v/>
      </c>
    </row>
    <row r="138">
      <c r="A138">
        <f>IF(MASTER_REGISTER!E138="","",MASTER_REGISTER!E138)</f>
        <v/>
      </c>
      <c r="B138">
        <f>IF(A138="","",MASTER_REGISTER!F138)</f>
        <v/>
      </c>
      <c r="C138">
        <f>IF(A138="","",MASTER_REGISTER!C138)</f>
        <v/>
      </c>
      <c r="D138">
        <f>IF(A138="","",COUNTIF(ASSESSMENTS!B:B,A138))</f>
        <v/>
      </c>
      <c r="E138" s="4">
        <f>IF(D138=0,"",ROUND(AVERAGEIF(ASSESSMENTS!B:B,A138,ASSESSMENTS!H:H),1))</f>
        <v/>
      </c>
      <c r="F138" s="4">
        <f>IF(A138="","",IFERROR(ROUND(AVERAGEIFS(ASSESSMENTS!H:H,ASSESSMENTS!B:B,A138,ASSESSMENTS!E:E,"Mathematics"),1),""))</f>
        <v/>
      </c>
      <c r="G138" s="4">
        <f>IF(A138="","",IFERROR(ROUND(AVERAGEIFS(ASSESSMENTS!H:H,ASSESSMENTS!B:B,A138,ASSESSMENTS!E:E,"Mathematical Literacy"),1),""))</f>
        <v/>
      </c>
      <c r="H138" s="4">
        <f>IF(A138="","",IFERROR(ROUND(AVERAGEIFS(ASSESSMENTS!H:H,ASSESSMENTS!B:B,A138,ASSESSMENTS!E:E,"Physical Sciences"),1),""))</f>
        <v/>
      </c>
      <c r="I138" s="4">
        <f>IF(A138="","",IFERROR(ROUND(AVERAGEIFS(ASSESSMENTS!H:H,ASSESSMENTS!B:B,A138,ASSESSMENTS!E:E,"Geography"),1),""))</f>
        <v/>
      </c>
      <c r="J138" s="4">
        <f>IF(A138="","",IFERROR(ROUND(AVERAGEIFS(ASSESSMENTS!H:H,ASSESSMENTS!B:B,A138,ASSESSMENTS!E:E,"Accounting"),1),""))</f>
        <v/>
      </c>
      <c r="K138" s="4">
        <f>IF(A138="","",IFERROR(ROUND(AVERAGEIFS(ASSESSMENTS!H:H,ASSESSMENTS!B:B,A138,ASSESSMENTS!E:E,"English"),1),""))</f>
        <v/>
      </c>
      <c r="L138" s="5">
        <f>IF(A138="","",IFERROR(XLOOKUP(A138,ATTENDANCE_SUMMARY!A:A,ATTENDANCE_SUMMARY!G:G,""),""))</f>
        <v/>
      </c>
      <c r="M138" s="4">
        <f>IF(A138="","",IF(OR(E138&lt;50,AND(L138&lt;0.75,L138&lt;&gt;"" )),"At Risk","On Track"))</f>
        <v/>
      </c>
    </row>
    <row r="139">
      <c r="A139">
        <f>IF(MASTER_REGISTER!E139="","",MASTER_REGISTER!E139)</f>
        <v/>
      </c>
      <c r="B139">
        <f>IF(A139="","",MASTER_REGISTER!F139)</f>
        <v/>
      </c>
      <c r="C139">
        <f>IF(A139="","",MASTER_REGISTER!C139)</f>
        <v/>
      </c>
      <c r="D139">
        <f>IF(A139="","",COUNTIF(ASSESSMENTS!B:B,A139))</f>
        <v/>
      </c>
      <c r="E139" s="4">
        <f>IF(D139=0,"",ROUND(AVERAGEIF(ASSESSMENTS!B:B,A139,ASSESSMENTS!H:H),1))</f>
        <v/>
      </c>
      <c r="F139" s="4">
        <f>IF(A139="","",IFERROR(ROUND(AVERAGEIFS(ASSESSMENTS!H:H,ASSESSMENTS!B:B,A139,ASSESSMENTS!E:E,"Mathematics"),1),""))</f>
        <v/>
      </c>
      <c r="G139" s="4">
        <f>IF(A139="","",IFERROR(ROUND(AVERAGEIFS(ASSESSMENTS!H:H,ASSESSMENTS!B:B,A139,ASSESSMENTS!E:E,"Mathematical Literacy"),1),""))</f>
        <v/>
      </c>
      <c r="H139" s="4">
        <f>IF(A139="","",IFERROR(ROUND(AVERAGEIFS(ASSESSMENTS!H:H,ASSESSMENTS!B:B,A139,ASSESSMENTS!E:E,"Physical Sciences"),1),""))</f>
        <v/>
      </c>
      <c r="I139" s="4">
        <f>IF(A139="","",IFERROR(ROUND(AVERAGEIFS(ASSESSMENTS!H:H,ASSESSMENTS!B:B,A139,ASSESSMENTS!E:E,"Geography"),1),""))</f>
        <v/>
      </c>
      <c r="J139" s="4">
        <f>IF(A139="","",IFERROR(ROUND(AVERAGEIFS(ASSESSMENTS!H:H,ASSESSMENTS!B:B,A139,ASSESSMENTS!E:E,"Accounting"),1),""))</f>
        <v/>
      </c>
      <c r="K139" s="4">
        <f>IF(A139="","",IFERROR(ROUND(AVERAGEIFS(ASSESSMENTS!H:H,ASSESSMENTS!B:B,A139,ASSESSMENTS!E:E,"English"),1),""))</f>
        <v/>
      </c>
      <c r="L139" s="5">
        <f>IF(A139="","",IFERROR(XLOOKUP(A139,ATTENDANCE_SUMMARY!A:A,ATTENDANCE_SUMMARY!G:G,""),""))</f>
        <v/>
      </c>
      <c r="M139" s="4">
        <f>IF(A139="","",IF(OR(E139&lt;50,AND(L139&lt;0.75,L139&lt;&gt;"" )),"At Risk","On Track"))</f>
        <v/>
      </c>
    </row>
    <row r="140">
      <c r="A140">
        <f>IF(MASTER_REGISTER!E140="","",MASTER_REGISTER!E140)</f>
        <v/>
      </c>
      <c r="B140">
        <f>IF(A140="","",MASTER_REGISTER!F140)</f>
        <v/>
      </c>
      <c r="C140">
        <f>IF(A140="","",MASTER_REGISTER!C140)</f>
        <v/>
      </c>
      <c r="D140">
        <f>IF(A140="","",COUNTIF(ASSESSMENTS!B:B,A140))</f>
        <v/>
      </c>
      <c r="E140" s="4">
        <f>IF(D140=0,"",ROUND(AVERAGEIF(ASSESSMENTS!B:B,A140,ASSESSMENTS!H:H),1))</f>
        <v/>
      </c>
      <c r="F140" s="4">
        <f>IF(A140="","",IFERROR(ROUND(AVERAGEIFS(ASSESSMENTS!H:H,ASSESSMENTS!B:B,A140,ASSESSMENTS!E:E,"Mathematics"),1),""))</f>
        <v/>
      </c>
      <c r="G140" s="4">
        <f>IF(A140="","",IFERROR(ROUND(AVERAGEIFS(ASSESSMENTS!H:H,ASSESSMENTS!B:B,A140,ASSESSMENTS!E:E,"Mathematical Literacy"),1),""))</f>
        <v/>
      </c>
      <c r="H140" s="4">
        <f>IF(A140="","",IFERROR(ROUND(AVERAGEIFS(ASSESSMENTS!H:H,ASSESSMENTS!B:B,A140,ASSESSMENTS!E:E,"Physical Sciences"),1),""))</f>
        <v/>
      </c>
      <c r="I140" s="4">
        <f>IF(A140="","",IFERROR(ROUND(AVERAGEIFS(ASSESSMENTS!H:H,ASSESSMENTS!B:B,A140,ASSESSMENTS!E:E,"Geography"),1),""))</f>
        <v/>
      </c>
      <c r="J140" s="4">
        <f>IF(A140="","",IFERROR(ROUND(AVERAGEIFS(ASSESSMENTS!H:H,ASSESSMENTS!B:B,A140,ASSESSMENTS!E:E,"Accounting"),1),""))</f>
        <v/>
      </c>
      <c r="K140" s="4">
        <f>IF(A140="","",IFERROR(ROUND(AVERAGEIFS(ASSESSMENTS!H:H,ASSESSMENTS!B:B,A140,ASSESSMENTS!E:E,"English"),1),""))</f>
        <v/>
      </c>
      <c r="L140" s="5">
        <f>IF(A140="","",IFERROR(XLOOKUP(A140,ATTENDANCE_SUMMARY!A:A,ATTENDANCE_SUMMARY!G:G,""),""))</f>
        <v/>
      </c>
      <c r="M140" s="4">
        <f>IF(A140="","",IF(OR(E140&lt;50,AND(L140&lt;0.75,L140&lt;&gt;"" )),"At Risk","On Track"))</f>
        <v/>
      </c>
    </row>
    <row r="141">
      <c r="A141">
        <f>IF(MASTER_REGISTER!E141="","",MASTER_REGISTER!E141)</f>
        <v/>
      </c>
      <c r="B141">
        <f>IF(A141="","",MASTER_REGISTER!F141)</f>
        <v/>
      </c>
      <c r="C141">
        <f>IF(A141="","",MASTER_REGISTER!C141)</f>
        <v/>
      </c>
      <c r="D141">
        <f>IF(A141="","",COUNTIF(ASSESSMENTS!B:B,A141))</f>
        <v/>
      </c>
      <c r="E141" s="4">
        <f>IF(D141=0,"",ROUND(AVERAGEIF(ASSESSMENTS!B:B,A141,ASSESSMENTS!H:H),1))</f>
        <v/>
      </c>
      <c r="F141" s="4">
        <f>IF(A141="","",IFERROR(ROUND(AVERAGEIFS(ASSESSMENTS!H:H,ASSESSMENTS!B:B,A141,ASSESSMENTS!E:E,"Mathematics"),1),""))</f>
        <v/>
      </c>
      <c r="G141" s="4">
        <f>IF(A141="","",IFERROR(ROUND(AVERAGEIFS(ASSESSMENTS!H:H,ASSESSMENTS!B:B,A141,ASSESSMENTS!E:E,"Mathematical Literacy"),1),""))</f>
        <v/>
      </c>
      <c r="H141" s="4">
        <f>IF(A141="","",IFERROR(ROUND(AVERAGEIFS(ASSESSMENTS!H:H,ASSESSMENTS!B:B,A141,ASSESSMENTS!E:E,"Physical Sciences"),1),""))</f>
        <v/>
      </c>
      <c r="I141" s="4">
        <f>IF(A141="","",IFERROR(ROUND(AVERAGEIFS(ASSESSMENTS!H:H,ASSESSMENTS!B:B,A141,ASSESSMENTS!E:E,"Geography"),1),""))</f>
        <v/>
      </c>
      <c r="J141" s="4">
        <f>IF(A141="","",IFERROR(ROUND(AVERAGEIFS(ASSESSMENTS!H:H,ASSESSMENTS!B:B,A141,ASSESSMENTS!E:E,"Accounting"),1),""))</f>
        <v/>
      </c>
      <c r="K141" s="4">
        <f>IF(A141="","",IFERROR(ROUND(AVERAGEIFS(ASSESSMENTS!H:H,ASSESSMENTS!B:B,A141,ASSESSMENTS!E:E,"English"),1),""))</f>
        <v/>
      </c>
      <c r="L141" s="5">
        <f>IF(A141="","",IFERROR(XLOOKUP(A141,ATTENDANCE_SUMMARY!A:A,ATTENDANCE_SUMMARY!G:G,""),""))</f>
        <v/>
      </c>
      <c r="M141" s="4">
        <f>IF(A141="","",IF(OR(E141&lt;50,AND(L141&lt;0.75,L141&lt;&gt;"" )),"At Risk","On Track"))</f>
        <v/>
      </c>
    </row>
    <row r="142">
      <c r="A142">
        <f>IF(MASTER_REGISTER!E142="","",MASTER_REGISTER!E142)</f>
        <v/>
      </c>
      <c r="B142">
        <f>IF(A142="","",MASTER_REGISTER!F142)</f>
        <v/>
      </c>
      <c r="C142">
        <f>IF(A142="","",MASTER_REGISTER!C142)</f>
        <v/>
      </c>
      <c r="D142">
        <f>IF(A142="","",COUNTIF(ASSESSMENTS!B:B,A142))</f>
        <v/>
      </c>
      <c r="E142" s="4">
        <f>IF(D142=0,"",ROUND(AVERAGEIF(ASSESSMENTS!B:B,A142,ASSESSMENTS!H:H),1))</f>
        <v/>
      </c>
      <c r="F142" s="4">
        <f>IF(A142="","",IFERROR(ROUND(AVERAGEIFS(ASSESSMENTS!H:H,ASSESSMENTS!B:B,A142,ASSESSMENTS!E:E,"Mathematics"),1),""))</f>
        <v/>
      </c>
      <c r="G142" s="4">
        <f>IF(A142="","",IFERROR(ROUND(AVERAGEIFS(ASSESSMENTS!H:H,ASSESSMENTS!B:B,A142,ASSESSMENTS!E:E,"Mathematical Literacy"),1),""))</f>
        <v/>
      </c>
      <c r="H142" s="4">
        <f>IF(A142="","",IFERROR(ROUND(AVERAGEIFS(ASSESSMENTS!H:H,ASSESSMENTS!B:B,A142,ASSESSMENTS!E:E,"Physical Sciences"),1),""))</f>
        <v/>
      </c>
      <c r="I142" s="4">
        <f>IF(A142="","",IFERROR(ROUND(AVERAGEIFS(ASSESSMENTS!H:H,ASSESSMENTS!B:B,A142,ASSESSMENTS!E:E,"Geography"),1),""))</f>
        <v/>
      </c>
      <c r="J142" s="4">
        <f>IF(A142="","",IFERROR(ROUND(AVERAGEIFS(ASSESSMENTS!H:H,ASSESSMENTS!B:B,A142,ASSESSMENTS!E:E,"Accounting"),1),""))</f>
        <v/>
      </c>
      <c r="K142" s="4">
        <f>IF(A142="","",IFERROR(ROUND(AVERAGEIFS(ASSESSMENTS!H:H,ASSESSMENTS!B:B,A142,ASSESSMENTS!E:E,"English"),1),""))</f>
        <v/>
      </c>
      <c r="L142" s="5">
        <f>IF(A142="","",IFERROR(XLOOKUP(A142,ATTENDANCE_SUMMARY!A:A,ATTENDANCE_SUMMARY!G:G,""),""))</f>
        <v/>
      </c>
      <c r="M142" s="4">
        <f>IF(A142="","",IF(OR(E142&lt;50,AND(L142&lt;0.75,L142&lt;&gt;"" )),"At Risk","On Track"))</f>
        <v/>
      </c>
    </row>
    <row r="143">
      <c r="A143">
        <f>IF(MASTER_REGISTER!E143="","",MASTER_REGISTER!E143)</f>
        <v/>
      </c>
      <c r="B143">
        <f>IF(A143="","",MASTER_REGISTER!F143)</f>
        <v/>
      </c>
      <c r="C143">
        <f>IF(A143="","",MASTER_REGISTER!C143)</f>
        <v/>
      </c>
      <c r="D143">
        <f>IF(A143="","",COUNTIF(ASSESSMENTS!B:B,A143))</f>
        <v/>
      </c>
      <c r="E143" s="4">
        <f>IF(D143=0,"",ROUND(AVERAGEIF(ASSESSMENTS!B:B,A143,ASSESSMENTS!H:H),1))</f>
        <v/>
      </c>
      <c r="F143" s="4">
        <f>IF(A143="","",IFERROR(ROUND(AVERAGEIFS(ASSESSMENTS!H:H,ASSESSMENTS!B:B,A143,ASSESSMENTS!E:E,"Mathematics"),1),""))</f>
        <v/>
      </c>
      <c r="G143" s="4">
        <f>IF(A143="","",IFERROR(ROUND(AVERAGEIFS(ASSESSMENTS!H:H,ASSESSMENTS!B:B,A143,ASSESSMENTS!E:E,"Mathematical Literacy"),1),""))</f>
        <v/>
      </c>
      <c r="H143" s="4">
        <f>IF(A143="","",IFERROR(ROUND(AVERAGEIFS(ASSESSMENTS!H:H,ASSESSMENTS!B:B,A143,ASSESSMENTS!E:E,"Physical Sciences"),1),""))</f>
        <v/>
      </c>
      <c r="I143" s="4">
        <f>IF(A143="","",IFERROR(ROUND(AVERAGEIFS(ASSESSMENTS!H:H,ASSESSMENTS!B:B,A143,ASSESSMENTS!E:E,"Geography"),1),""))</f>
        <v/>
      </c>
      <c r="J143" s="4">
        <f>IF(A143="","",IFERROR(ROUND(AVERAGEIFS(ASSESSMENTS!H:H,ASSESSMENTS!B:B,A143,ASSESSMENTS!E:E,"Accounting"),1),""))</f>
        <v/>
      </c>
      <c r="K143" s="4">
        <f>IF(A143="","",IFERROR(ROUND(AVERAGEIFS(ASSESSMENTS!H:H,ASSESSMENTS!B:B,A143,ASSESSMENTS!E:E,"English"),1),""))</f>
        <v/>
      </c>
      <c r="L143" s="5">
        <f>IF(A143="","",IFERROR(XLOOKUP(A143,ATTENDANCE_SUMMARY!A:A,ATTENDANCE_SUMMARY!G:G,""),""))</f>
        <v/>
      </c>
      <c r="M143" s="4">
        <f>IF(A143="","",IF(OR(E143&lt;50,AND(L143&lt;0.75,L143&lt;&gt;"" )),"At Risk","On Track"))</f>
        <v/>
      </c>
    </row>
    <row r="144">
      <c r="A144">
        <f>IF(MASTER_REGISTER!E144="","",MASTER_REGISTER!E144)</f>
        <v/>
      </c>
      <c r="B144">
        <f>IF(A144="","",MASTER_REGISTER!F144)</f>
        <v/>
      </c>
      <c r="C144">
        <f>IF(A144="","",MASTER_REGISTER!C144)</f>
        <v/>
      </c>
      <c r="D144">
        <f>IF(A144="","",COUNTIF(ASSESSMENTS!B:B,A144))</f>
        <v/>
      </c>
      <c r="E144" s="4">
        <f>IF(D144=0,"",ROUND(AVERAGEIF(ASSESSMENTS!B:B,A144,ASSESSMENTS!H:H),1))</f>
        <v/>
      </c>
      <c r="F144" s="4">
        <f>IF(A144="","",IFERROR(ROUND(AVERAGEIFS(ASSESSMENTS!H:H,ASSESSMENTS!B:B,A144,ASSESSMENTS!E:E,"Mathematics"),1),""))</f>
        <v/>
      </c>
      <c r="G144" s="4">
        <f>IF(A144="","",IFERROR(ROUND(AVERAGEIFS(ASSESSMENTS!H:H,ASSESSMENTS!B:B,A144,ASSESSMENTS!E:E,"Mathematical Literacy"),1),""))</f>
        <v/>
      </c>
      <c r="H144" s="4">
        <f>IF(A144="","",IFERROR(ROUND(AVERAGEIFS(ASSESSMENTS!H:H,ASSESSMENTS!B:B,A144,ASSESSMENTS!E:E,"Physical Sciences"),1),""))</f>
        <v/>
      </c>
      <c r="I144" s="4">
        <f>IF(A144="","",IFERROR(ROUND(AVERAGEIFS(ASSESSMENTS!H:H,ASSESSMENTS!B:B,A144,ASSESSMENTS!E:E,"Geography"),1),""))</f>
        <v/>
      </c>
      <c r="J144" s="4">
        <f>IF(A144="","",IFERROR(ROUND(AVERAGEIFS(ASSESSMENTS!H:H,ASSESSMENTS!B:B,A144,ASSESSMENTS!E:E,"Accounting"),1),""))</f>
        <v/>
      </c>
      <c r="K144" s="4">
        <f>IF(A144="","",IFERROR(ROUND(AVERAGEIFS(ASSESSMENTS!H:H,ASSESSMENTS!B:B,A144,ASSESSMENTS!E:E,"English"),1),""))</f>
        <v/>
      </c>
      <c r="L144" s="5">
        <f>IF(A144="","",IFERROR(XLOOKUP(A144,ATTENDANCE_SUMMARY!A:A,ATTENDANCE_SUMMARY!G:G,""),""))</f>
        <v/>
      </c>
      <c r="M144" s="4">
        <f>IF(A144="","",IF(OR(E144&lt;50,AND(L144&lt;0.75,L144&lt;&gt;"" )),"At Risk","On Track"))</f>
        <v/>
      </c>
    </row>
    <row r="145">
      <c r="A145">
        <f>IF(MASTER_REGISTER!E145="","",MASTER_REGISTER!E145)</f>
        <v/>
      </c>
      <c r="B145">
        <f>IF(A145="","",MASTER_REGISTER!F145)</f>
        <v/>
      </c>
      <c r="C145">
        <f>IF(A145="","",MASTER_REGISTER!C145)</f>
        <v/>
      </c>
      <c r="D145">
        <f>IF(A145="","",COUNTIF(ASSESSMENTS!B:B,A145))</f>
        <v/>
      </c>
      <c r="E145" s="4">
        <f>IF(D145=0,"",ROUND(AVERAGEIF(ASSESSMENTS!B:B,A145,ASSESSMENTS!H:H),1))</f>
        <v/>
      </c>
      <c r="F145" s="4">
        <f>IF(A145="","",IFERROR(ROUND(AVERAGEIFS(ASSESSMENTS!H:H,ASSESSMENTS!B:B,A145,ASSESSMENTS!E:E,"Mathematics"),1),""))</f>
        <v/>
      </c>
      <c r="G145" s="4">
        <f>IF(A145="","",IFERROR(ROUND(AVERAGEIFS(ASSESSMENTS!H:H,ASSESSMENTS!B:B,A145,ASSESSMENTS!E:E,"Mathematical Literacy"),1),""))</f>
        <v/>
      </c>
      <c r="H145" s="4">
        <f>IF(A145="","",IFERROR(ROUND(AVERAGEIFS(ASSESSMENTS!H:H,ASSESSMENTS!B:B,A145,ASSESSMENTS!E:E,"Physical Sciences"),1),""))</f>
        <v/>
      </c>
      <c r="I145" s="4">
        <f>IF(A145="","",IFERROR(ROUND(AVERAGEIFS(ASSESSMENTS!H:H,ASSESSMENTS!B:B,A145,ASSESSMENTS!E:E,"Geography"),1),""))</f>
        <v/>
      </c>
      <c r="J145" s="4">
        <f>IF(A145="","",IFERROR(ROUND(AVERAGEIFS(ASSESSMENTS!H:H,ASSESSMENTS!B:B,A145,ASSESSMENTS!E:E,"Accounting"),1),""))</f>
        <v/>
      </c>
      <c r="K145" s="4">
        <f>IF(A145="","",IFERROR(ROUND(AVERAGEIFS(ASSESSMENTS!H:H,ASSESSMENTS!B:B,A145,ASSESSMENTS!E:E,"English"),1),""))</f>
        <v/>
      </c>
      <c r="L145" s="5">
        <f>IF(A145="","",IFERROR(XLOOKUP(A145,ATTENDANCE_SUMMARY!A:A,ATTENDANCE_SUMMARY!G:G,""),""))</f>
        <v/>
      </c>
      <c r="M145" s="4">
        <f>IF(A145="","",IF(OR(E145&lt;50,AND(L145&lt;0.75,L145&lt;&gt;"" )),"At Risk","On Track"))</f>
        <v/>
      </c>
    </row>
    <row r="146">
      <c r="A146">
        <f>IF(MASTER_REGISTER!E146="","",MASTER_REGISTER!E146)</f>
        <v/>
      </c>
      <c r="B146">
        <f>IF(A146="","",MASTER_REGISTER!F146)</f>
        <v/>
      </c>
      <c r="C146">
        <f>IF(A146="","",MASTER_REGISTER!C146)</f>
        <v/>
      </c>
      <c r="D146">
        <f>IF(A146="","",COUNTIF(ASSESSMENTS!B:B,A146))</f>
        <v/>
      </c>
      <c r="E146" s="4">
        <f>IF(D146=0,"",ROUND(AVERAGEIF(ASSESSMENTS!B:B,A146,ASSESSMENTS!H:H),1))</f>
        <v/>
      </c>
      <c r="F146" s="4">
        <f>IF(A146="","",IFERROR(ROUND(AVERAGEIFS(ASSESSMENTS!H:H,ASSESSMENTS!B:B,A146,ASSESSMENTS!E:E,"Mathematics"),1),""))</f>
        <v/>
      </c>
      <c r="G146" s="4">
        <f>IF(A146="","",IFERROR(ROUND(AVERAGEIFS(ASSESSMENTS!H:H,ASSESSMENTS!B:B,A146,ASSESSMENTS!E:E,"Mathematical Literacy"),1),""))</f>
        <v/>
      </c>
      <c r="H146" s="4">
        <f>IF(A146="","",IFERROR(ROUND(AVERAGEIFS(ASSESSMENTS!H:H,ASSESSMENTS!B:B,A146,ASSESSMENTS!E:E,"Physical Sciences"),1),""))</f>
        <v/>
      </c>
      <c r="I146" s="4">
        <f>IF(A146="","",IFERROR(ROUND(AVERAGEIFS(ASSESSMENTS!H:H,ASSESSMENTS!B:B,A146,ASSESSMENTS!E:E,"Geography"),1),""))</f>
        <v/>
      </c>
      <c r="J146" s="4">
        <f>IF(A146="","",IFERROR(ROUND(AVERAGEIFS(ASSESSMENTS!H:H,ASSESSMENTS!B:B,A146,ASSESSMENTS!E:E,"Accounting"),1),""))</f>
        <v/>
      </c>
      <c r="K146" s="4">
        <f>IF(A146="","",IFERROR(ROUND(AVERAGEIFS(ASSESSMENTS!H:H,ASSESSMENTS!B:B,A146,ASSESSMENTS!E:E,"English"),1),""))</f>
        <v/>
      </c>
      <c r="L146" s="5">
        <f>IF(A146="","",IFERROR(XLOOKUP(A146,ATTENDANCE_SUMMARY!A:A,ATTENDANCE_SUMMARY!G:G,""),""))</f>
        <v/>
      </c>
      <c r="M146" s="4">
        <f>IF(A146="","",IF(OR(E146&lt;50,AND(L146&lt;0.75,L146&lt;&gt;"" )),"At Risk","On Track"))</f>
        <v/>
      </c>
    </row>
    <row r="147">
      <c r="A147">
        <f>IF(MASTER_REGISTER!E147="","",MASTER_REGISTER!E147)</f>
        <v/>
      </c>
      <c r="B147">
        <f>IF(A147="","",MASTER_REGISTER!F147)</f>
        <v/>
      </c>
      <c r="C147">
        <f>IF(A147="","",MASTER_REGISTER!C147)</f>
        <v/>
      </c>
      <c r="D147">
        <f>IF(A147="","",COUNTIF(ASSESSMENTS!B:B,A147))</f>
        <v/>
      </c>
      <c r="E147" s="4">
        <f>IF(D147=0,"",ROUND(AVERAGEIF(ASSESSMENTS!B:B,A147,ASSESSMENTS!H:H),1))</f>
        <v/>
      </c>
      <c r="F147" s="4">
        <f>IF(A147="","",IFERROR(ROUND(AVERAGEIFS(ASSESSMENTS!H:H,ASSESSMENTS!B:B,A147,ASSESSMENTS!E:E,"Mathematics"),1),""))</f>
        <v/>
      </c>
      <c r="G147" s="4">
        <f>IF(A147="","",IFERROR(ROUND(AVERAGEIFS(ASSESSMENTS!H:H,ASSESSMENTS!B:B,A147,ASSESSMENTS!E:E,"Mathematical Literacy"),1),""))</f>
        <v/>
      </c>
      <c r="H147" s="4">
        <f>IF(A147="","",IFERROR(ROUND(AVERAGEIFS(ASSESSMENTS!H:H,ASSESSMENTS!B:B,A147,ASSESSMENTS!E:E,"Physical Sciences"),1),""))</f>
        <v/>
      </c>
      <c r="I147" s="4">
        <f>IF(A147="","",IFERROR(ROUND(AVERAGEIFS(ASSESSMENTS!H:H,ASSESSMENTS!B:B,A147,ASSESSMENTS!E:E,"Geography"),1),""))</f>
        <v/>
      </c>
      <c r="J147" s="4">
        <f>IF(A147="","",IFERROR(ROUND(AVERAGEIFS(ASSESSMENTS!H:H,ASSESSMENTS!B:B,A147,ASSESSMENTS!E:E,"Accounting"),1),""))</f>
        <v/>
      </c>
      <c r="K147" s="4">
        <f>IF(A147="","",IFERROR(ROUND(AVERAGEIFS(ASSESSMENTS!H:H,ASSESSMENTS!B:B,A147,ASSESSMENTS!E:E,"English"),1),""))</f>
        <v/>
      </c>
      <c r="L147" s="5">
        <f>IF(A147="","",IFERROR(XLOOKUP(A147,ATTENDANCE_SUMMARY!A:A,ATTENDANCE_SUMMARY!G:G,""),""))</f>
        <v/>
      </c>
      <c r="M147" s="4">
        <f>IF(A147="","",IF(OR(E147&lt;50,AND(L147&lt;0.75,L147&lt;&gt;"" )),"At Risk","On Track"))</f>
        <v/>
      </c>
    </row>
    <row r="148">
      <c r="A148">
        <f>IF(MASTER_REGISTER!E148="","",MASTER_REGISTER!E148)</f>
        <v/>
      </c>
      <c r="B148">
        <f>IF(A148="","",MASTER_REGISTER!F148)</f>
        <v/>
      </c>
      <c r="C148">
        <f>IF(A148="","",MASTER_REGISTER!C148)</f>
        <v/>
      </c>
      <c r="D148">
        <f>IF(A148="","",COUNTIF(ASSESSMENTS!B:B,A148))</f>
        <v/>
      </c>
      <c r="E148" s="4">
        <f>IF(D148=0,"",ROUND(AVERAGEIF(ASSESSMENTS!B:B,A148,ASSESSMENTS!H:H),1))</f>
        <v/>
      </c>
      <c r="F148" s="4">
        <f>IF(A148="","",IFERROR(ROUND(AVERAGEIFS(ASSESSMENTS!H:H,ASSESSMENTS!B:B,A148,ASSESSMENTS!E:E,"Mathematics"),1),""))</f>
        <v/>
      </c>
      <c r="G148" s="4">
        <f>IF(A148="","",IFERROR(ROUND(AVERAGEIFS(ASSESSMENTS!H:H,ASSESSMENTS!B:B,A148,ASSESSMENTS!E:E,"Mathematical Literacy"),1),""))</f>
        <v/>
      </c>
      <c r="H148" s="4">
        <f>IF(A148="","",IFERROR(ROUND(AVERAGEIFS(ASSESSMENTS!H:H,ASSESSMENTS!B:B,A148,ASSESSMENTS!E:E,"Physical Sciences"),1),""))</f>
        <v/>
      </c>
      <c r="I148" s="4">
        <f>IF(A148="","",IFERROR(ROUND(AVERAGEIFS(ASSESSMENTS!H:H,ASSESSMENTS!B:B,A148,ASSESSMENTS!E:E,"Geography"),1),""))</f>
        <v/>
      </c>
      <c r="J148" s="4">
        <f>IF(A148="","",IFERROR(ROUND(AVERAGEIFS(ASSESSMENTS!H:H,ASSESSMENTS!B:B,A148,ASSESSMENTS!E:E,"Accounting"),1),""))</f>
        <v/>
      </c>
      <c r="K148" s="4">
        <f>IF(A148="","",IFERROR(ROUND(AVERAGEIFS(ASSESSMENTS!H:H,ASSESSMENTS!B:B,A148,ASSESSMENTS!E:E,"English"),1),""))</f>
        <v/>
      </c>
      <c r="L148" s="5">
        <f>IF(A148="","",IFERROR(XLOOKUP(A148,ATTENDANCE_SUMMARY!A:A,ATTENDANCE_SUMMARY!G:G,""),""))</f>
        <v/>
      </c>
      <c r="M148" s="4">
        <f>IF(A148="","",IF(OR(E148&lt;50,AND(L148&lt;0.75,L148&lt;&gt;"" )),"At Risk","On Track"))</f>
        <v/>
      </c>
    </row>
    <row r="149">
      <c r="A149">
        <f>IF(MASTER_REGISTER!E149="","",MASTER_REGISTER!E149)</f>
        <v/>
      </c>
      <c r="B149">
        <f>IF(A149="","",MASTER_REGISTER!F149)</f>
        <v/>
      </c>
      <c r="C149">
        <f>IF(A149="","",MASTER_REGISTER!C149)</f>
        <v/>
      </c>
      <c r="D149">
        <f>IF(A149="","",COUNTIF(ASSESSMENTS!B:B,A149))</f>
        <v/>
      </c>
      <c r="E149" s="4">
        <f>IF(D149=0,"",ROUND(AVERAGEIF(ASSESSMENTS!B:B,A149,ASSESSMENTS!H:H),1))</f>
        <v/>
      </c>
      <c r="F149" s="4">
        <f>IF(A149="","",IFERROR(ROUND(AVERAGEIFS(ASSESSMENTS!H:H,ASSESSMENTS!B:B,A149,ASSESSMENTS!E:E,"Mathematics"),1),""))</f>
        <v/>
      </c>
      <c r="G149" s="4">
        <f>IF(A149="","",IFERROR(ROUND(AVERAGEIFS(ASSESSMENTS!H:H,ASSESSMENTS!B:B,A149,ASSESSMENTS!E:E,"Mathematical Literacy"),1),""))</f>
        <v/>
      </c>
      <c r="H149" s="4">
        <f>IF(A149="","",IFERROR(ROUND(AVERAGEIFS(ASSESSMENTS!H:H,ASSESSMENTS!B:B,A149,ASSESSMENTS!E:E,"Physical Sciences"),1),""))</f>
        <v/>
      </c>
      <c r="I149" s="4">
        <f>IF(A149="","",IFERROR(ROUND(AVERAGEIFS(ASSESSMENTS!H:H,ASSESSMENTS!B:B,A149,ASSESSMENTS!E:E,"Geography"),1),""))</f>
        <v/>
      </c>
      <c r="J149" s="4">
        <f>IF(A149="","",IFERROR(ROUND(AVERAGEIFS(ASSESSMENTS!H:H,ASSESSMENTS!B:B,A149,ASSESSMENTS!E:E,"Accounting"),1),""))</f>
        <v/>
      </c>
      <c r="K149" s="4">
        <f>IF(A149="","",IFERROR(ROUND(AVERAGEIFS(ASSESSMENTS!H:H,ASSESSMENTS!B:B,A149,ASSESSMENTS!E:E,"English"),1),""))</f>
        <v/>
      </c>
      <c r="L149" s="5">
        <f>IF(A149="","",IFERROR(XLOOKUP(A149,ATTENDANCE_SUMMARY!A:A,ATTENDANCE_SUMMARY!G:G,""),""))</f>
        <v/>
      </c>
      <c r="M149" s="4">
        <f>IF(A149="","",IF(OR(E149&lt;50,AND(L149&lt;0.75,L149&lt;&gt;"" )),"At Risk","On Track"))</f>
        <v/>
      </c>
    </row>
    <row r="150">
      <c r="A150">
        <f>IF(MASTER_REGISTER!E150="","",MASTER_REGISTER!E150)</f>
        <v/>
      </c>
      <c r="B150">
        <f>IF(A150="","",MASTER_REGISTER!F150)</f>
        <v/>
      </c>
      <c r="C150">
        <f>IF(A150="","",MASTER_REGISTER!C150)</f>
        <v/>
      </c>
      <c r="D150">
        <f>IF(A150="","",COUNTIF(ASSESSMENTS!B:B,A150))</f>
        <v/>
      </c>
      <c r="E150" s="4">
        <f>IF(D150=0,"",ROUND(AVERAGEIF(ASSESSMENTS!B:B,A150,ASSESSMENTS!H:H),1))</f>
        <v/>
      </c>
      <c r="F150" s="4">
        <f>IF(A150="","",IFERROR(ROUND(AVERAGEIFS(ASSESSMENTS!H:H,ASSESSMENTS!B:B,A150,ASSESSMENTS!E:E,"Mathematics"),1),""))</f>
        <v/>
      </c>
      <c r="G150" s="4">
        <f>IF(A150="","",IFERROR(ROUND(AVERAGEIFS(ASSESSMENTS!H:H,ASSESSMENTS!B:B,A150,ASSESSMENTS!E:E,"Mathematical Literacy"),1),""))</f>
        <v/>
      </c>
      <c r="H150" s="4">
        <f>IF(A150="","",IFERROR(ROUND(AVERAGEIFS(ASSESSMENTS!H:H,ASSESSMENTS!B:B,A150,ASSESSMENTS!E:E,"Physical Sciences"),1),""))</f>
        <v/>
      </c>
      <c r="I150" s="4">
        <f>IF(A150="","",IFERROR(ROUND(AVERAGEIFS(ASSESSMENTS!H:H,ASSESSMENTS!B:B,A150,ASSESSMENTS!E:E,"Geography"),1),""))</f>
        <v/>
      </c>
      <c r="J150" s="4">
        <f>IF(A150="","",IFERROR(ROUND(AVERAGEIFS(ASSESSMENTS!H:H,ASSESSMENTS!B:B,A150,ASSESSMENTS!E:E,"Accounting"),1),""))</f>
        <v/>
      </c>
      <c r="K150" s="4">
        <f>IF(A150="","",IFERROR(ROUND(AVERAGEIFS(ASSESSMENTS!H:H,ASSESSMENTS!B:B,A150,ASSESSMENTS!E:E,"English"),1),""))</f>
        <v/>
      </c>
      <c r="L150" s="5">
        <f>IF(A150="","",IFERROR(XLOOKUP(A150,ATTENDANCE_SUMMARY!A:A,ATTENDANCE_SUMMARY!G:G,""),""))</f>
        <v/>
      </c>
      <c r="M150" s="4">
        <f>IF(A150="","",IF(OR(E150&lt;50,AND(L150&lt;0.75,L150&lt;&gt;"" )),"At Risk","On Track"))</f>
        <v/>
      </c>
    </row>
    <row r="151">
      <c r="A151">
        <f>IF(MASTER_REGISTER!E151="","",MASTER_REGISTER!E151)</f>
        <v/>
      </c>
      <c r="B151">
        <f>IF(A151="","",MASTER_REGISTER!F151)</f>
        <v/>
      </c>
      <c r="C151">
        <f>IF(A151="","",MASTER_REGISTER!C151)</f>
        <v/>
      </c>
      <c r="D151">
        <f>IF(A151="","",COUNTIF(ASSESSMENTS!B:B,A151))</f>
        <v/>
      </c>
      <c r="E151" s="4">
        <f>IF(D151=0,"",ROUND(AVERAGEIF(ASSESSMENTS!B:B,A151,ASSESSMENTS!H:H),1))</f>
        <v/>
      </c>
      <c r="F151" s="4">
        <f>IF(A151="","",IFERROR(ROUND(AVERAGEIFS(ASSESSMENTS!H:H,ASSESSMENTS!B:B,A151,ASSESSMENTS!E:E,"Mathematics"),1),""))</f>
        <v/>
      </c>
      <c r="G151" s="4">
        <f>IF(A151="","",IFERROR(ROUND(AVERAGEIFS(ASSESSMENTS!H:H,ASSESSMENTS!B:B,A151,ASSESSMENTS!E:E,"Mathematical Literacy"),1),""))</f>
        <v/>
      </c>
      <c r="H151" s="4">
        <f>IF(A151="","",IFERROR(ROUND(AVERAGEIFS(ASSESSMENTS!H:H,ASSESSMENTS!B:B,A151,ASSESSMENTS!E:E,"Physical Sciences"),1),""))</f>
        <v/>
      </c>
      <c r="I151" s="4">
        <f>IF(A151="","",IFERROR(ROUND(AVERAGEIFS(ASSESSMENTS!H:H,ASSESSMENTS!B:B,A151,ASSESSMENTS!E:E,"Geography"),1),""))</f>
        <v/>
      </c>
      <c r="J151" s="4">
        <f>IF(A151="","",IFERROR(ROUND(AVERAGEIFS(ASSESSMENTS!H:H,ASSESSMENTS!B:B,A151,ASSESSMENTS!E:E,"Accounting"),1),""))</f>
        <v/>
      </c>
      <c r="K151" s="4">
        <f>IF(A151="","",IFERROR(ROUND(AVERAGEIFS(ASSESSMENTS!H:H,ASSESSMENTS!B:B,A151,ASSESSMENTS!E:E,"English"),1),""))</f>
        <v/>
      </c>
      <c r="L151" s="5">
        <f>IF(A151="","",IFERROR(XLOOKUP(A151,ATTENDANCE_SUMMARY!A:A,ATTENDANCE_SUMMARY!G:G,""),""))</f>
        <v/>
      </c>
      <c r="M151" s="4">
        <f>IF(A151="","",IF(OR(E151&lt;50,AND(L151&lt;0.75,L151&lt;&gt;"" )),"At Risk","On Track"))</f>
        <v/>
      </c>
    </row>
    <row r="152">
      <c r="A152">
        <f>IF(MASTER_REGISTER!E152="","",MASTER_REGISTER!E152)</f>
        <v/>
      </c>
      <c r="B152">
        <f>IF(A152="","",MASTER_REGISTER!F152)</f>
        <v/>
      </c>
      <c r="C152">
        <f>IF(A152="","",MASTER_REGISTER!C152)</f>
        <v/>
      </c>
      <c r="D152">
        <f>IF(A152="","",COUNTIF(ASSESSMENTS!B:B,A152))</f>
        <v/>
      </c>
      <c r="E152" s="4">
        <f>IF(D152=0,"",ROUND(AVERAGEIF(ASSESSMENTS!B:B,A152,ASSESSMENTS!H:H),1))</f>
        <v/>
      </c>
      <c r="F152" s="4">
        <f>IF(A152="","",IFERROR(ROUND(AVERAGEIFS(ASSESSMENTS!H:H,ASSESSMENTS!B:B,A152,ASSESSMENTS!E:E,"Mathematics"),1),""))</f>
        <v/>
      </c>
      <c r="G152" s="4">
        <f>IF(A152="","",IFERROR(ROUND(AVERAGEIFS(ASSESSMENTS!H:H,ASSESSMENTS!B:B,A152,ASSESSMENTS!E:E,"Mathematical Literacy"),1),""))</f>
        <v/>
      </c>
      <c r="H152" s="4">
        <f>IF(A152="","",IFERROR(ROUND(AVERAGEIFS(ASSESSMENTS!H:H,ASSESSMENTS!B:B,A152,ASSESSMENTS!E:E,"Physical Sciences"),1),""))</f>
        <v/>
      </c>
      <c r="I152" s="4">
        <f>IF(A152="","",IFERROR(ROUND(AVERAGEIFS(ASSESSMENTS!H:H,ASSESSMENTS!B:B,A152,ASSESSMENTS!E:E,"Geography"),1),""))</f>
        <v/>
      </c>
      <c r="J152" s="4">
        <f>IF(A152="","",IFERROR(ROUND(AVERAGEIFS(ASSESSMENTS!H:H,ASSESSMENTS!B:B,A152,ASSESSMENTS!E:E,"Accounting"),1),""))</f>
        <v/>
      </c>
      <c r="K152" s="4">
        <f>IF(A152="","",IFERROR(ROUND(AVERAGEIFS(ASSESSMENTS!H:H,ASSESSMENTS!B:B,A152,ASSESSMENTS!E:E,"English"),1),""))</f>
        <v/>
      </c>
      <c r="L152" s="5">
        <f>IF(A152="","",IFERROR(XLOOKUP(A152,ATTENDANCE_SUMMARY!A:A,ATTENDANCE_SUMMARY!G:G,""),""))</f>
        <v/>
      </c>
      <c r="M152" s="4">
        <f>IF(A152="","",IF(OR(E152&lt;50,AND(L152&lt;0.75,L152&lt;&gt;"" )),"At Risk","On Track"))</f>
        <v/>
      </c>
    </row>
    <row r="153">
      <c r="A153">
        <f>IF(MASTER_REGISTER!E153="","",MASTER_REGISTER!E153)</f>
        <v/>
      </c>
      <c r="B153">
        <f>IF(A153="","",MASTER_REGISTER!F153)</f>
        <v/>
      </c>
      <c r="C153">
        <f>IF(A153="","",MASTER_REGISTER!C153)</f>
        <v/>
      </c>
      <c r="D153">
        <f>IF(A153="","",COUNTIF(ASSESSMENTS!B:B,A153))</f>
        <v/>
      </c>
      <c r="E153" s="4">
        <f>IF(D153=0,"",ROUND(AVERAGEIF(ASSESSMENTS!B:B,A153,ASSESSMENTS!H:H),1))</f>
        <v/>
      </c>
      <c r="F153" s="4">
        <f>IF(A153="","",IFERROR(ROUND(AVERAGEIFS(ASSESSMENTS!H:H,ASSESSMENTS!B:B,A153,ASSESSMENTS!E:E,"Mathematics"),1),""))</f>
        <v/>
      </c>
      <c r="G153" s="4">
        <f>IF(A153="","",IFERROR(ROUND(AVERAGEIFS(ASSESSMENTS!H:H,ASSESSMENTS!B:B,A153,ASSESSMENTS!E:E,"Mathematical Literacy"),1),""))</f>
        <v/>
      </c>
      <c r="H153" s="4">
        <f>IF(A153="","",IFERROR(ROUND(AVERAGEIFS(ASSESSMENTS!H:H,ASSESSMENTS!B:B,A153,ASSESSMENTS!E:E,"Physical Sciences"),1),""))</f>
        <v/>
      </c>
      <c r="I153" s="4">
        <f>IF(A153="","",IFERROR(ROUND(AVERAGEIFS(ASSESSMENTS!H:H,ASSESSMENTS!B:B,A153,ASSESSMENTS!E:E,"Geography"),1),""))</f>
        <v/>
      </c>
      <c r="J153" s="4">
        <f>IF(A153="","",IFERROR(ROUND(AVERAGEIFS(ASSESSMENTS!H:H,ASSESSMENTS!B:B,A153,ASSESSMENTS!E:E,"Accounting"),1),""))</f>
        <v/>
      </c>
      <c r="K153" s="4">
        <f>IF(A153="","",IFERROR(ROUND(AVERAGEIFS(ASSESSMENTS!H:H,ASSESSMENTS!B:B,A153,ASSESSMENTS!E:E,"English"),1),""))</f>
        <v/>
      </c>
      <c r="L153" s="5">
        <f>IF(A153="","",IFERROR(XLOOKUP(A153,ATTENDANCE_SUMMARY!A:A,ATTENDANCE_SUMMARY!G:G,""),""))</f>
        <v/>
      </c>
      <c r="M153" s="4">
        <f>IF(A153="","",IF(OR(E153&lt;50,AND(L153&lt;0.75,L153&lt;&gt;"" )),"At Risk","On Track"))</f>
        <v/>
      </c>
    </row>
    <row r="154">
      <c r="A154">
        <f>IF(MASTER_REGISTER!E154="","",MASTER_REGISTER!E154)</f>
        <v/>
      </c>
      <c r="B154">
        <f>IF(A154="","",MASTER_REGISTER!F154)</f>
        <v/>
      </c>
      <c r="C154">
        <f>IF(A154="","",MASTER_REGISTER!C154)</f>
        <v/>
      </c>
      <c r="D154">
        <f>IF(A154="","",COUNTIF(ASSESSMENTS!B:B,A154))</f>
        <v/>
      </c>
      <c r="E154" s="4">
        <f>IF(D154=0,"",ROUND(AVERAGEIF(ASSESSMENTS!B:B,A154,ASSESSMENTS!H:H),1))</f>
        <v/>
      </c>
      <c r="F154" s="4">
        <f>IF(A154="","",IFERROR(ROUND(AVERAGEIFS(ASSESSMENTS!H:H,ASSESSMENTS!B:B,A154,ASSESSMENTS!E:E,"Mathematics"),1),""))</f>
        <v/>
      </c>
      <c r="G154" s="4">
        <f>IF(A154="","",IFERROR(ROUND(AVERAGEIFS(ASSESSMENTS!H:H,ASSESSMENTS!B:B,A154,ASSESSMENTS!E:E,"Mathematical Literacy"),1),""))</f>
        <v/>
      </c>
      <c r="H154" s="4">
        <f>IF(A154="","",IFERROR(ROUND(AVERAGEIFS(ASSESSMENTS!H:H,ASSESSMENTS!B:B,A154,ASSESSMENTS!E:E,"Physical Sciences"),1),""))</f>
        <v/>
      </c>
      <c r="I154" s="4">
        <f>IF(A154="","",IFERROR(ROUND(AVERAGEIFS(ASSESSMENTS!H:H,ASSESSMENTS!B:B,A154,ASSESSMENTS!E:E,"Geography"),1),""))</f>
        <v/>
      </c>
      <c r="J154" s="4">
        <f>IF(A154="","",IFERROR(ROUND(AVERAGEIFS(ASSESSMENTS!H:H,ASSESSMENTS!B:B,A154,ASSESSMENTS!E:E,"Accounting"),1),""))</f>
        <v/>
      </c>
      <c r="K154" s="4">
        <f>IF(A154="","",IFERROR(ROUND(AVERAGEIFS(ASSESSMENTS!H:H,ASSESSMENTS!B:B,A154,ASSESSMENTS!E:E,"English"),1),""))</f>
        <v/>
      </c>
      <c r="L154" s="5">
        <f>IF(A154="","",IFERROR(XLOOKUP(A154,ATTENDANCE_SUMMARY!A:A,ATTENDANCE_SUMMARY!G:G,""),""))</f>
        <v/>
      </c>
      <c r="M154" s="4">
        <f>IF(A154="","",IF(OR(E154&lt;50,AND(L154&lt;0.75,L154&lt;&gt;"" )),"At Risk","On Track"))</f>
        <v/>
      </c>
    </row>
    <row r="155">
      <c r="A155">
        <f>IF(MASTER_REGISTER!E155="","",MASTER_REGISTER!E155)</f>
        <v/>
      </c>
      <c r="B155">
        <f>IF(A155="","",MASTER_REGISTER!F155)</f>
        <v/>
      </c>
      <c r="C155">
        <f>IF(A155="","",MASTER_REGISTER!C155)</f>
        <v/>
      </c>
      <c r="D155">
        <f>IF(A155="","",COUNTIF(ASSESSMENTS!B:B,A155))</f>
        <v/>
      </c>
      <c r="E155" s="4">
        <f>IF(D155=0,"",ROUND(AVERAGEIF(ASSESSMENTS!B:B,A155,ASSESSMENTS!H:H),1))</f>
        <v/>
      </c>
      <c r="F155" s="4">
        <f>IF(A155="","",IFERROR(ROUND(AVERAGEIFS(ASSESSMENTS!H:H,ASSESSMENTS!B:B,A155,ASSESSMENTS!E:E,"Mathematics"),1),""))</f>
        <v/>
      </c>
      <c r="G155" s="4">
        <f>IF(A155="","",IFERROR(ROUND(AVERAGEIFS(ASSESSMENTS!H:H,ASSESSMENTS!B:B,A155,ASSESSMENTS!E:E,"Mathematical Literacy"),1),""))</f>
        <v/>
      </c>
      <c r="H155" s="4">
        <f>IF(A155="","",IFERROR(ROUND(AVERAGEIFS(ASSESSMENTS!H:H,ASSESSMENTS!B:B,A155,ASSESSMENTS!E:E,"Physical Sciences"),1),""))</f>
        <v/>
      </c>
      <c r="I155" s="4">
        <f>IF(A155="","",IFERROR(ROUND(AVERAGEIFS(ASSESSMENTS!H:H,ASSESSMENTS!B:B,A155,ASSESSMENTS!E:E,"Geography"),1),""))</f>
        <v/>
      </c>
      <c r="J155" s="4">
        <f>IF(A155="","",IFERROR(ROUND(AVERAGEIFS(ASSESSMENTS!H:H,ASSESSMENTS!B:B,A155,ASSESSMENTS!E:E,"Accounting"),1),""))</f>
        <v/>
      </c>
      <c r="K155" s="4">
        <f>IF(A155="","",IFERROR(ROUND(AVERAGEIFS(ASSESSMENTS!H:H,ASSESSMENTS!B:B,A155,ASSESSMENTS!E:E,"English"),1),""))</f>
        <v/>
      </c>
      <c r="L155" s="5">
        <f>IF(A155="","",IFERROR(XLOOKUP(A155,ATTENDANCE_SUMMARY!A:A,ATTENDANCE_SUMMARY!G:G,""),""))</f>
        <v/>
      </c>
      <c r="M155" s="4">
        <f>IF(A155="","",IF(OR(E155&lt;50,AND(L155&lt;0.75,L155&lt;&gt;"" )),"At Risk","On Track"))</f>
        <v/>
      </c>
    </row>
    <row r="156">
      <c r="A156">
        <f>IF(MASTER_REGISTER!E156="","",MASTER_REGISTER!E156)</f>
        <v/>
      </c>
      <c r="B156">
        <f>IF(A156="","",MASTER_REGISTER!F156)</f>
        <v/>
      </c>
      <c r="C156">
        <f>IF(A156="","",MASTER_REGISTER!C156)</f>
        <v/>
      </c>
      <c r="D156">
        <f>IF(A156="","",COUNTIF(ASSESSMENTS!B:B,A156))</f>
        <v/>
      </c>
      <c r="E156" s="4">
        <f>IF(D156=0,"",ROUND(AVERAGEIF(ASSESSMENTS!B:B,A156,ASSESSMENTS!H:H),1))</f>
        <v/>
      </c>
      <c r="F156" s="4">
        <f>IF(A156="","",IFERROR(ROUND(AVERAGEIFS(ASSESSMENTS!H:H,ASSESSMENTS!B:B,A156,ASSESSMENTS!E:E,"Mathematics"),1),""))</f>
        <v/>
      </c>
      <c r="G156" s="4">
        <f>IF(A156="","",IFERROR(ROUND(AVERAGEIFS(ASSESSMENTS!H:H,ASSESSMENTS!B:B,A156,ASSESSMENTS!E:E,"Mathematical Literacy"),1),""))</f>
        <v/>
      </c>
      <c r="H156" s="4">
        <f>IF(A156="","",IFERROR(ROUND(AVERAGEIFS(ASSESSMENTS!H:H,ASSESSMENTS!B:B,A156,ASSESSMENTS!E:E,"Physical Sciences"),1),""))</f>
        <v/>
      </c>
      <c r="I156" s="4">
        <f>IF(A156="","",IFERROR(ROUND(AVERAGEIFS(ASSESSMENTS!H:H,ASSESSMENTS!B:B,A156,ASSESSMENTS!E:E,"Geography"),1),""))</f>
        <v/>
      </c>
      <c r="J156" s="4">
        <f>IF(A156="","",IFERROR(ROUND(AVERAGEIFS(ASSESSMENTS!H:H,ASSESSMENTS!B:B,A156,ASSESSMENTS!E:E,"Accounting"),1),""))</f>
        <v/>
      </c>
      <c r="K156" s="4">
        <f>IF(A156="","",IFERROR(ROUND(AVERAGEIFS(ASSESSMENTS!H:H,ASSESSMENTS!B:B,A156,ASSESSMENTS!E:E,"English"),1),""))</f>
        <v/>
      </c>
      <c r="L156" s="5">
        <f>IF(A156="","",IFERROR(XLOOKUP(A156,ATTENDANCE_SUMMARY!A:A,ATTENDANCE_SUMMARY!G:G,""),""))</f>
        <v/>
      </c>
      <c r="M156" s="4">
        <f>IF(A156="","",IF(OR(E156&lt;50,AND(L156&lt;0.75,L156&lt;&gt;"" )),"At Risk","On Track"))</f>
        <v/>
      </c>
    </row>
    <row r="157">
      <c r="A157">
        <f>IF(MASTER_REGISTER!E157="","",MASTER_REGISTER!E157)</f>
        <v/>
      </c>
      <c r="B157">
        <f>IF(A157="","",MASTER_REGISTER!F157)</f>
        <v/>
      </c>
      <c r="C157">
        <f>IF(A157="","",MASTER_REGISTER!C157)</f>
        <v/>
      </c>
      <c r="D157">
        <f>IF(A157="","",COUNTIF(ASSESSMENTS!B:B,A157))</f>
        <v/>
      </c>
      <c r="E157" s="4">
        <f>IF(D157=0,"",ROUND(AVERAGEIF(ASSESSMENTS!B:B,A157,ASSESSMENTS!H:H),1))</f>
        <v/>
      </c>
      <c r="F157" s="4">
        <f>IF(A157="","",IFERROR(ROUND(AVERAGEIFS(ASSESSMENTS!H:H,ASSESSMENTS!B:B,A157,ASSESSMENTS!E:E,"Mathematics"),1),""))</f>
        <v/>
      </c>
      <c r="G157" s="4">
        <f>IF(A157="","",IFERROR(ROUND(AVERAGEIFS(ASSESSMENTS!H:H,ASSESSMENTS!B:B,A157,ASSESSMENTS!E:E,"Mathematical Literacy"),1),""))</f>
        <v/>
      </c>
      <c r="H157" s="4">
        <f>IF(A157="","",IFERROR(ROUND(AVERAGEIFS(ASSESSMENTS!H:H,ASSESSMENTS!B:B,A157,ASSESSMENTS!E:E,"Physical Sciences"),1),""))</f>
        <v/>
      </c>
      <c r="I157" s="4">
        <f>IF(A157="","",IFERROR(ROUND(AVERAGEIFS(ASSESSMENTS!H:H,ASSESSMENTS!B:B,A157,ASSESSMENTS!E:E,"Geography"),1),""))</f>
        <v/>
      </c>
      <c r="J157" s="4">
        <f>IF(A157="","",IFERROR(ROUND(AVERAGEIFS(ASSESSMENTS!H:H,ASSESSMENTS!B:B,A157,ASSESSMENTS!E:E,"Accounting"),1),""))</f>
        <v/>
      </c>
      <c r="K157" s="4">
        <f>IF(A157="","",IFERROR(ROUND(AVERAGEIFS(ASSESSMENTS!H:H,ASSESSMENTS!B:B,A157,ASSESSMENTS!E:E,"English"),1),""))</f>
        <v/>
      </c>
      <c r="L157" s="5">
        <f>IF(A157="","",IFERROR(XLOOKUP(A157,ATTENDANCE_SUMMARY!A:A,ATTENDANCE_SUMMARY!G:G,""),""))</f>
        <v/>
      </c>
      <c r="M157" s="4">
        <f>IF(A157="","",IF(OR(E157&lt;50,AND(L157&lt;0.75,L157&lt;&gt;"" )),"At Risk","On Track"))</f>
        <v/>
      </c>
    </row>
    <row r="158">
      <c r="A158">
        <f>IF(MASTER_REGISTER!E158="","",MASTER_REGISTER!E158)</f>
        <v/>
      </c>
      <c r="B158">
        <f>IF(A158="","",MASTER_REGISTER!F158)</f>
        <v/>
      </c>
      <c r="C158">
        <f>IF(A158="","",MASTER_REGISTER!C158)</f>
        <v/>
      </c>
      <c r="D158">
        <f>IF(A158="","",COUNTIF(ASSESSMENTS!B:B,A158))</f>
        <v/>
      </c>
      <c r="E158" s="4">
        <f>IF(D158=0,"",ROUND(AVERAGEIF(ASSESSMENTS!B:B,A158,ASSESSMENTS!H:H),1))</f>
        <v/>
      </c>
      <c r="F158" s="4">
        <f>IF(A158="","",IFERROR(ROUND(AVERAGEIFS(ASSESSMENTS!H:H,ASSESSMENTS!B:B,A158,ASSESSMENTS!E:E,"Mathematics"),1),""))</f>
        <v/>
      </c>
      <c r="G158" s="4">
        <f>IF(A158="","",IFERROR(ROUND(AVERAGEIFS(ASSESSMENTS!H:H,ASSESSMENTS!B:B,A158,ASSESSMENTS!E:E,"Mathematical Literacy"),1),""))</f>
        <v/>
      </c>
      <c r="H158" s="4">
        <f>IF(A158="","",IFERROR(ROUND(AVERAGEIFS(ASSESSMENTS!H:H,ASSESSMENTS!B:B,A158,ASSESSMENTS!E:E,"Physical Sciences"),1),""))</f>
        <v/>
      </c>
      <c r="I158" s="4">
        <f>IF(A158="","",IFERROR(ROUND(AVERAGEIFS(ASSESSMENTS!H:H,ASSESSMENTS!B:B,A158,ASSESSMENTS!E:E,"Geography"),1),""))</f>
        <v/>
      </c>
      <c r="J158" s="4">
        <f>IF(A158="","",IFERROR(ROUND(AVERAGEIFS(ASSESSMENTS!H:H,ASSESSMENTS!B:B,A158,ASSESSMENTS!E:E,"Accounting"),1),""))</f>
        <v/>
      </c>
      <c r="K158" s="4">
        <f>IF(A158="","",IFERROR(ROUND(AVERAGEIFS(ASSESSMENTS!H:H,ASSESSMENTS!B:B,A158,ASSESSMENTS!E:E,"English"),1),""))</f>
        <v/>
      </c>
      <c r="L158" s="5">
        <f>IF(A158="","",IFERROR(XLOOKUP(A158,ATTENDANCE_SUMMARY!A:A,ATTENDANCE_SUMMARY!G:G,""),""))</f>
        <v/>
      </c>
      <c r="M158" s="4">
        <f>IF(A158="","",IF(OR(E158&lt;50,AND(L158&lt;0.75,L158&lt;&gt;"" )),"At Risk","On Track"))</f>
        <v/>
      </c>
    </row>
    <row r="159">
      <c r="A159">
        <f>IF(MASTER_REGISTER!E159="","",MASTER_REGISTER!E159)</f>
        <v/>
      </c>
      <c r="B159">
        <f>IF(A159="","",MASTER_REGISTER!F159)</f>
        <v/>
      </c>
      <c r="C159">
        <f>IF(A159="","",MASTER_REGISTER!C159)</f>
        <v/>
      </c>
      <c r="D159">
        <f>IF(A159="","",COUNTIF(ASSESSMENTS!B:B,A159))</f>
        <v/>
      </c>
      <c r="E159" s="4">
        <f>IF(D159=0,"",ROUND(AVERAGEIF(ASSESSMENTS!B:B,A159,ASSESSMENTS!H:H),1))</f>
        <v/>
      </c>
      <c r="F159" s="4">
        <f>IF(A159="","",IFERROR(ROUND(AVERAGEIFS(ASSESSMENTS!H:H,ASSESSMENTS!B:B,A159,ASSESSMENTS!E:E,"Mathematics"),1),""))</f>
        <v/>
      </c>
      <c r="G159" s="4">
        <f>IF(A159="","",IFERROR(ROUND(AVERAGEIFS(ASSESSMENTS!H:H,ASSESSMENTS!B:B,A159,ASSESSMENTS!E:E,"Mathematical Literacy"),1),""))</f>
        <v/>
      </c>
      <c r="H159" s="4">
        <f>IF(A159="","",IFERROR(ROUND(AVERAGEIFS(ASSESSMENTS!H:H,ASSESSMENTS!B:B,A159,ASSESSMENTS!E:E,"Physical Sciences"),1),""))</f>
        <v/>
      </c>
      <c r="I159" s="4">
        <f>IF(A159="","",IFERROR(ROUND(AVERAGEIFS(ASSESSMENTS!H:H,ASSESSMENTS!B:B,A159,ASSESSMENTS!E:E,"Geography"),1),""))</f>
        <v/>
      </c>
      <c r="J159" s="4">
        <f>IF(A159="","",IFERROR(ROUND(AVERAGEIFS(ASSESSMENTS!H:H,ASSESSMENTS!B:B,A159,ASSESSMENTS!E:E,"Accounting"),1),""))</f>
        <v/>
      </c>
      <c r="K159" s="4">
        <f>IF(A159="","",IFERROR(ROUND(AVERAGEIFS(ASSESSMENTS!H:H,ASSESSMENTS!B:B,A159,ASSESSMENTS!E:E,"English"),1),""))</f>
        <v/>
      </c>
      <c r="L159" s="5">
        <f>IF(A159="","",IFERROR(XLOOKUP(A159,ATTENDANCE_SUMMARY!A:A,ATTENDANCE_SUMMARY!G:G,""),""))</f>
        <v/>
      </c>
      <c r="M159" s="4">
        <f>IF(A159="","",IF(OR(E159&lt;50,AND(L159&lt;0.75,L159&lt;&gt;"" )),"At Risk","On Track"))</f>
        <v/>
      </c>
    </row>
    <row r="160">
      <c r="A160">
        <f>IF(MASTER_REGISTER!E160="","",MASTER_REGISTER!E160)</f>
        <v/>
      </c>
      <c r="B160">
        <f>IF(A160="","",MASTER_REGISTER!F160)</f>
        <v/>
      </c>
      <c r="C160">
        <f>IF(A160="","",MASTER_REGISTER!C160)</f>
        <v/>
      </c>
      <c r="D160">
        <f>IF(A160="","",COUNTIF(ASSESSMENTS!B:B,A160))</f>
        <v/>
      </c>
      <c r="E160" s="4">
        <f>IF(D160=0,"",ROUND(AVERAGEIF(ASSESSMENTS!B:B,A160,ASSESSMENTS!H:H),1))</f>
        <v/>
      </c>
      <c r="F160" s="4">
        <f>IF(A160="","",IFERROR(ROUND(AVERAGEIFS(ASSESSMENTS!H:H,ASSESSMENTS!B:B,A160,ASSESSMENTS!E:E,"Mathematics"),1),""))</f>
        <v/>
      </c>
      <c r="G160" s="4">
        <f>IF(A160="","",IFERROR(ROUND(AVERAGEIFS(ASSESSMENTS!H:H,ASSESSMENTS!B:B,A160,ASSESSMENTS!E:E,"Mathematical Literacy"),1),""))</f>
        <v/>
      </c>
      <c r="H160" s="4">
        <f>IF(A160="","",IFERROR(ROUND(AVERAGEIFS(ASSESSMENTS!H:H,ASSESSMENTS!B:B,A160,ASSESSMENTS!E:E,"Physical Sciences"),1),""))</f>
        <v/>
      </c>
      <c r="I160" s="4">
        <f>IF(A160="","",IFERROR(ROUND(AVERAGEIFS(ASSESSMENTS!H:H,ASSESSMENTS!B:B,A160,ASSESSMENTS!E:E,"Geography"),1),""))</f>
        <v/>
      </c>
      <c r="J160" s="4">
        <f>IF(A160="","",IFERROR(ROUND(AVERAGEIFS(ASSESSMENTS!H:H,ASSESSMENTS!B:B,A160,ASSESSMENTS!E:E,"Accounting"),1),""))</f>
        <v/>
      </c>
      <c r="K160" s="4">
        <f>IF(A160="","",IFERROR(ROUND(AVERAGEIFS(ASSESSMENTS!H:H,ASSESSMENTS!B:B,A160,ASSESSMENTS!E:E,"English"),1),""))</f>
        <v/>
      </c>
      <c r="L160" s="5">
        <f>IF(A160="","",IFERROR(XLOOKUP(A160,ATTENDANCE_SUMMARY!A:A,ATTENDANCE_SUMMARY!G:G,""),""))</f>
        <v/>
      </c>
      <c r="M160" s="4">
        <f>IF(A160="","",IF(OR(E160&lt;50,AND(L160&lt;0.75,L160&lt;&gt;"" )),"At Risk","On Track"))</f>
        <v/>
      </c>
    </row>
    <row r="161">
      <c r="A161">
        <f>IF(MASTER_REGISTER!E161="","",MASTER_REGISTER!E161)</f>
        <v/>
      </c>
      <c r="B161">
        <f>IF(A161="","",MASTER_REGISTER!F161)</f>
        <v/>
      </c>
      <c r="C161">
        <f>IF(A161="","",MASTER_REGISTER!C161)</f>
        <v/>
      </c>
      <c r="D161">
        <f>IF(A161="","",COUNTIF(ASSESSMENTS!B:B,A161))</f>
        <v/>
      </c>
      <c r="E161" s="4">
        <f>IF(D161=0,"",ROUND(AVERAGEIF(ASSESSMENTS!B:B,A161,ASSESSMENTS!H:H),1))</f>
        <v/>
      </c>
      <c r="F161" s="4">
        <f>IF(A161="","",IFERROR(ROUND(AVERAGEIFS(ASSESSMENTS!H:H,ASSESSMENTS!B:B,A161,ASSESSMENTS!E:E,"Mathematics"),1),""))</f>
        <v/>
      </c>
      <c r="G161" s="4">
        <f>IF(A161="","",IFERROR(ROUND(AVERAGEIFS(ASSESSMENTS!H:H,ASSESSMENTS!B:B,A161,ASSESSMENTS!E:E,"Mathematical Literacy"),1),""))</f>
        <v/>
      </c>
      <c r="H161" s="4">
        <f>IF(A161="","",IFERROR(ROUND(AVERAGEIFS(ASSESSMENTS!H:H,ASSESSMENTS!B:B,A161,ASSESSMENTS!E:E,"Physical Sciences"),1),""))</f>
        <v/>
      </c>
      <c r="I161" s="4">
        <f>IF(A161="","",IFERROR(ROUND(AVERAGEIFS(ASSESSMENTS!H:H,ASSESSMENTS!B:B,A161,ASSESSMENTS!E:E,"Geography"),1),""))</f>
        <v/>
      </c>
      <c r="J161" s="4">
        <f>IF(A161="","",IFERROR(ROUND(AVERAGEIFS(ASSESSMENTS!H:H,ASSESSMENTS!B:B,A161,ASSESSMENTS!E:E,"Accounting"),1),""))</f>
        <v/>
      </c>
      <c r="K161" s="4">
        <f>IF(A161="","",IFERROR(ROUND(AVERAGEIFS(ASSESSMENTS!H:H,ASSESSMENTS!B:B,A161,ASSESSMENTS!E:E,"English"),1),""))</f>
        <v/>
      </c>
      <c r="L161" s="5">
        <f>IF(A161="","",IFERROR(XLOOKUP(A161,ATTENDANCE_SUMMARY!A:A,ATTENDANCE_SUMMARY!G:G,""),""))</f>
        <v/>
      </c>
      <c r="M161" s="4">
        <f>IF(A161="","",IF(OR(E161&lt;50,AND(L161&lt;0.75,L161&lt;&gt;"" )),"At Risk","On Track"))</f>
        <v/>
      </c>
    </row>
    <row r="162">
      <c r="A162">
        <f>IF(MASTER_REGISTER!E162="","",MASTER_REGISTER!E162)</f>
        <v/>
      </c>
      <c r="B162">
        <f>IF(A162="","",MASTER_REGISTER!F162)</f>
        <v/>
      </c>
      <c r="C162">
        <f>IF(A162="","",MASTER_REGISTER!C162)</f>
        <v/>
      </c>
      <c r="D162">
        <f>IF(A162="","",COUNTIF(ASSESSMENTS!B:B,A162))</f>
        <v/>
      </c>
      <c r="E162" s="4">
        <f>IF(D162=0,"",ROUND(AVERAGEIF(ASSESSMENTS!B:B,A162,ASSESSMENTS!H:H),1))</f>
        <v/>
      </c>
      <c r="F162" s="4">
        <f>IF(A162="","",IFERROR(ROUND(AVERAGEIFS(ASSESSMENTS!H:H,ASSESSMENTS!B:B,A162,ASSESSMENTS!E:E,"Mathematics"),1),""))</f>
        <v/>
      </c>
      <c r="G162" s="4">
        <f>IF(A162="","",IFERROR(ROUND(AVERAGEIFS(ASSESSMENTS!H:H,ASSESSMENTS!B:B,A162,ASSESSMENTS!E:E,"Mathematical Literacy"),1),""))</f>
        <v/>
      </c>
      <c r="H162" s="4">
        <f>IF(A162="","",IFERROR(ROUND(AVERAGEIFS(ASSESSMENTS!H:H,ASSESSMENTS!B:B,A162,ASSESSMENTS!E:E,"Physical Sciences"),1),""))</f>
        <v/>
      </c>
      <c r="I162" s="4">
        <f>IF(A162="","",IFERROR(ROUND(AVERAGEIFS(ASSESSMENTS!H:H,ASSESSMENTS!B:B,A162,ASSESSMENTS!E:E,"Geography"),1),""))</f>
        <v/>
      </c>
      <c r="J162" s="4">
        <f>IF(A162="","",IFERROR(ROUND(AVERAGEIFS(ASSESSMENTS!H:H,ASSESSMENTS!B:B,A162,ASSESSMENTS!E:E,"Accounting"),1),""))</f>
        <v/>
      </c>
      <c r="K162" s="4">
        <f>IF(A162="","",IFERROR(ROUND(AVERAGEIFS(ASSESSMENTS!H:H,ASSESSMENTS!B:B,A162,ASSESSMENTS!E:E,"English"),1),""))</f>
        <v/>
      </c>
      <c r="L162" s="5">
        <f>IF(A162="","",IFERROR(XLOOKUP(A162,ATTENDANCE_SUMMARY!A:A,ATTENDANCE_SUMMARY!G:G,""),""))</f>
        <v/>
      </c>
      <c r="M162" s="4">
        <f>IF(A162="","",IF(OR(E162&lt;50,AND(L162&lt;0.75,L162&lt;&gt;"" )),"At Risk","On Track"))</f>
        <v/>
      </c>
    </row>
    <row r="163">
      <c r="A163">
        <f>IF(MASTER_REGISTER!E163="","",MASTER_REGISTER!E163)</f>
        <v/>
      </c>
      <c r="B163">
        <f>IF(A163="","",MASTER_REGISTER!F163)</f>
        <v/>
      </c>
      <c r="C163">
        <f>IF(A163="","",MASTER_REGISTER!C163)</f>
        <v/>
      </c>
      <c r="D163">
        <f>IF(A163="","",COUNTIF(ASSESSMENTS!B:B,A163))</f>
        <v/>
      </c>
      <c r="E163" s="4">
        <f>IF(D163=0,"",ROUND(AVERAGEIF(ASSESSMENTS!B:B,A163,ASSESSMENTS!H:H),1))</f>
        <v/>
      </c>
      <c r="F163" s="4">
        <f>IF(A163="","",IFERROR(ROUND(AVERAGEIFS(ASSESSMENTS!H:H,ASSESSMENTS!B:B,A163,ASSESSMENTS!E:E,"Mathematics"),1),""))</f>
        <v/>
      </c>
      <c r="G163" s="4">
        <f>IF(A163="","",IFERROR(ROUND(AVERAGEIFS(ASSESSMENTS!H:H,ASSESSMENTS!B:B,A163,ASSESSMENTS!E:E,"Mathematical Literacy"),1),""))</f>
        <v/>
      </c>
      <c r="H163" s="4">
        <f>IF(A163="","",IFERROR(ROUND(AVERAGEIFS(ASSESSMENTS!H:H,ASSESSMENTS!B:B,A163,ASSESSMENTS!E:E,"Physical Sciences"),1),""))</f>
        <v/>
      </c>
      <c r="I163" s="4">
        <f>IF(A163="","",IFERROR(ROUND(AVERAGEIFS(ASSESSMENTS!H:H,ASSESSMENTS!B:B,A163,ASSESSMENTS!E:E,"Geography"),1),""))</f>
        <v/>
      </c>
      <c r="J163" s="4">
        <f>IF(A163="","",IFERROR(ROUND(AVERAGEIFS(ASSESSMENTS!H:H,ASSESSMENTS!B:B,A163,ASSESSMENTS!E:E,"Accounting"),1),""))</f>
        <v/>
      </c>
      <c r="K163" s="4">
        <f>IF(A163="","",IFERROR(ROUND(AVERAGEIFS(ASSESSMENTS!H:H,ASSESSMENTS!B:B,A163,ASSESSMENTS!E:E,"English"),1),""))</f>
        <v/>
      </c>
      <c r="L163" s="5">
        <f>IF(A163="","",IFERROR(XLOOKUP(A163,ATTENDANCE_SUMMARY!A:A,ATTENDANCE_SUMMARY!G:G,""),""))</f>
        <v/>
      </c>
      <c r="M163" s="4">
        <f>IF(A163="","",IF(OR(E163&lt;50,AND(L163&lt;0.75,L163&lt;&gt;"" )),"At Risk","On Track"))</f>
        <v/>
      </c>
    </row>
    <row r="164">
      <c r="A164">
        <f>IF(MASTER_REGISTER!E164="","",MASTER_REGISTER!E164)</f>
        <v/>
      </c>
      <c r="B164">
        <f>IF(A164="","",MASTER_REGISTER!F164)</f>
        <v/>
      </c>
      <c r="C164">
        <f>IF(A164="","",MASTER_REGISTER!C164)</f>
        <v/>
      </c>
      <c r="D164">
        <f>IF(A164="","",COUNTIF(ASSESSMENTS!B:B,A164))</f>
        <v/>
      </c>
      <c r="E164" s="4">
        <f>IF(D164=0,"",ROUND(AVERAGEIF(ASSESSMENTS!B:B,A164,ASSESSMENTS!H:H),1))</f>
        <v/>
      </c>
      <c r="F164" s="4">
        <f>IF(A164="","",IFERROR(ROUND(AVERAGEIFS(ASSESSMENTS!H:H,ASSESSMENTS!B:B,A164,ASSESSMENTS!E:E,"Mathematics"),1),""))</f>
        <v/>
      </c>
      <c r="G164" s="4">
        <f>IF(A164="","",IFERROR(ROUND(AVERAGEIFS(ASSESSMENTS!H:H,ASSESSMENTS!B:B,A164,ASSESSMENTS!E:E,"Mathematical Literacy"),1),""))</f>
        <v/>
      </c>
      <c r="H164" s="4">
        <f>IF(A164="","",IFERROR(ROUND(AVERAGEIFS(ASSESSMENTS!H:H,ASSESSMENTS!B:B,A164,ASSESSMENTS!E:E,"Physical Sciences"),1),""))</f>
        <v/>
      </c>
      <c r="I164" s="4">
        <f>IF(A164="","",IFERROR(ROUND(AVERAGEIFS(ASSESSMENTS!H:H,ASSESSMENTS!B:B,A164,ASSESSMENTS!E:E,"Geography"),1),""))</f>
        <v/>
      </c>
      <c r="J164" s="4">
        <f>IF(A164="","",IFERROR(ROUND(AVERAGEIFS(ASSESSMENTS!H:H,ASSESSMENTS!B:B,A164,ASSESSMENTS!E:E,"Accounting"),1),""))</f>
        <v/>
      </c>
      <c r="K164" s="4">
        <f>IF(A164="","",IFERROR(ROUND(AVERAGEIFS(ASSESSMENTS!H:H,ASSESSMENTS!B:B,A164,ASSESSMENTS!E:E,"English"),1),""))</f>
        <v/>
      </c>
      <c r="L164" s="5">
        <f>IF(A164="","",IFERROR(XLOOKUP(A164,ATTENDANCE_SUMMARY!A:A,ATTENDANCE_SUMMARY!G:G,""),""))</f>
        <v/>
      </c>
      <c r="M164" s="4">
        <f>IF(A164="","",IF(OR(E164&lt;50,AND(L164&lt;0.75,L164&lt;&gt;"" )),"At Risk","On Track"))</f>
        <v/>
      </c>
    </row>
    <row r="165">
      <c r="A165">
        <f>IF(MASTER_REGISTER!E165="","",MASTER_REGISTER!E165)</f>
        <v/>
      </c>
      <c r="B165">
        <f>IF(A165="","",MASTER_REGISTER!F165)</f>
        <v/>
      </c>
      <c r="C165">
        <f>IF(A165="","",MASTER_REGISTER!C165)</f>
        <v/>
      </c>
      <c r="D165">
        <f>IF(A165="","",COUNTIF(ASSESSMENTS!B:B,A165))</f>
        <v/>
      </c>
      <c r="E165" s="4">
        <f>IF(D165=0,"",ROUND(AVERAGEIF(ASSESSMENTS!B:B,A165,ASSESSMENTS!H:H),1))</f>
        <v/>
      </c>
      <c r="F165" s="4">
        <f>IF(A165="","",IFERROR(ROUND(AVERAGEIFS(ASSESSMENTS!H:H,ASSESSMENTS!B:B,A165,ASSESSMENTS!E:E,"Mathematics"),1),""))</f>
        <v/>
      </c>
      <c r="G165" s="4">
        <f>IF(A165="","",IFERROR(ROUND(AVERAGEIFS(ASSESSMENTS!H:H,ASSESSMENTS!B:B,A165,ASSESSMENTS!E:E,"Mathematical Literacy"),1),""))</f>
        <v/>
      </c>
      <c r="H165" s="4">
        <f>IF(A165="","",IFERROR(ROUND(AVERAGEIFS(ASSESSMENTS!H:H,ASSESSMENTS!B:B,A165,ASSESSMENTS!E:E,"Physical Sciences"),1),""))</f>
        <v/>
      </c>
      <c r="I165" s="4">
        <f>IF(A165="","",IFERROR(ROUND(AVERAGEIFS(ASSESSMENTS!H:H,ASSESSMENTS!B:B,A165,ASSESSMENTS!E:E,"Geography"),1),""))</f>
        <v/>
      </c>
      <c r="J165" s="4">
        <f>IF(A165="","",IFERROR(ROUND(AVERAGEIFS(ASSESSMENTS!H:H,ASSESSMENTS!B:B,A165,ASSESSMENTS!E:E,"Accounting"),1),""))</f>
        <v/>
      </c>
      <c r="K165" s="4">
        <f>IF(A165="","",IFERROR(ROUND(AVERAGEIFS(ASSESSMENTS!H:H,ASSESSMENTS!B:B,A165,ASSESSMENTS!E:E,"English"),1),""))</f>
        <v/>
      </c>
      <c r="L165" s="5">
        <f>IF(A165="","",IFERROR(XLOOKUP(A165,ATTENDANCE_SUMMARY!A:A,ATTENDANCE_SUMMARY!G:G,""),""))</f>
        <v/>
      </c>
      <c r="M165" s="4">
        <f>IF(A165="","",IF(OR(E165&lt;50,AND(L165&lt;0.75,L165&lt;&gt;"" )),"At Risk","On Track"))</f>
        <v/>
      </c>
    </row>
    <row r="166">
      <c r="A166">
        <f>IF(MASTER_REGISTER!E166="","",MASTER_REGISTER!E166)</f>
        <v/>
      </c>
      <c r="B166">
        <f>IF(A166="","",MASTER_REGISTER!F166)</f>
        <v/>
      </c>
      <c r="C166">
        <f>IF(A166="","",MASTER_REGISTER!C166)</f>
        <v/>
      </c>
      <c r="D166">
        <f>IF(A166="","",COUNTIF(ASSESSMENTS!B:B,A166))</f>
        <v/>
      </c>
      <c r="E166" s="4">
        <f>IF(D166=0,"",ROUND(AVERAGEIF(ASSESSMENTS!B:B,A166,ASSESSMENTS!H:H),1))</f>
        <v/>
      </c>
      <c r="F166" s="4">
        <f>IF(A166="","",IFERROR(ROUND(AVERAGEIFS(ASSESSMENTS!H:H,ASSESSMENTS!B:B,A166,ASSESSMENTS!E:E,"Mathematics"),1),""))</f>
        <v/>
      </c>
      <c r="G166" s="4">
        <f>IF(A166="","",IFERROR(ROUND(AVERAGEIFS(ASSESSMENTS!H:H,ASSESSMENTS!B:B,A166,ASSESSMENTS!E:E,"Mathematical Literacy"),1),""))</f>
        <v/>
      </c>
      <c r="H166" s="4">
        <f>IF(A166="","",IFERROR(ROUND(AVERAGEIFS(ASSESSMENTS!H:H,ASSESSMENTS!B:B,A166,ASSESSMENTS!E:E,"Physical Sciences"),1),""))</f>
        <v/>
      </c>
      <c r="I166" s="4">
        <f>IF(A166="","",IFERROR(ROUND(AVERAGEIFS(ASSESSMENTS!H:H,ASSESSMENTS!B:B,A166,ASSESSMENTS!E:E,"Geography"),1),""))</f>
        <v/>
      </c>
      <c r="J166" s="4">
        <f>IF(A166="","",IFERROR(ROUND(AVERAGEIFS(ASSESSMENTS!H:H,ASSESSMENTS!B:B,A166,ASSESSMENTS!E:E,"Accounting"),1),""))</f>
        <v/>
      </c>
      <c r="K166" s="4">
        <f>IF(A166="","",IFERROR(ROUND(AVERAGEIFS(ASSESSMENTS!H:H,ASSESSMENTS!B:B,A166,ASSESSMENTS!E:E,"English"),1),""))</f>
        <v/>
      </c>
      <c r="L166" s="5">
        <f>IF(A166="","",IFERROR(XLOOKUP(A166,ATTENDANCE_SUMMARY!A:A,ATTENDANCE_SUMMARY!G:G,""),""))</f>
        <v/>
      </c>
      <c r="M166" s="4">
        <f>IF(A166="","",IF(OR(E166&lt;50,AND(L166&lt;0.75,L166&lt;&gt;"" )),"At Risk","On Track"))</f>
        <v/>
      </c>
    </row>
    <row r="167">
      <c r="A167">
        <f>IF(MASTER_REGISTER!E167="","",MASTER_REGISTER!E167)</f>
        <v/>
      </c>
      <c r="B167">
        <f>IF(A167="","",MASTER_REGISTER!F167)</f>
        <v/>
      </c>
      <c r="C167">
        <f>IF(A167="","",MASTER_REGISTER!C167)</f>
        <v/>
      </c>
      <c r="D167">
        <f>IF(A167="","",COUNTIF(ASSESSMENTS!B:B,A167))</f>
        <v/>
      </c>
      <c r="E167" s="4">
        <f>IF(D167=0,"",ROUND(AVERAGEIF(ASSESSMENTS!B:B,A167,ASSESSMENTS!H:H),1))</f>
        <v/>
      </c>
      <c r="F167" s="4">
        <f>IF(A167="","",IFERROR(ROUND(AVERAGEIFS(ASSESSMENTS!H:H,ASSESSMENTS!B:B,A167,ASSESSMENTS!E:E,"Mathematics"),1),""))</f>
        <v/>
      </c>
      <c r="G167" s="4">
        <f>IF(A167="","",IFERROR(ROUND(AVERAGEIFS(ASSESSMENTS!H:H,ASSESSMENTS!B:B,A167,ASSESSMENTS!E:E,"Mathematical Literacy"),1),""))</f>
        <v/>
      </c>
      <c r="H167" s="4">
        <f>IF(A167="","",IFERROR(ROUND(AVERAGEIFS(ASSESSMENTS!H:H,ASSESSMENTS!B:B,A167,ASSESSMENTS!E:E,"Physical Sciences"),1),""))</f>
        <v/>
      </c>
      <c r="I167" s="4">
        <f>IF(A167="","",IFERROR(ROUND(AVERAGEIFS(ASSESSMENTS!H:H,ASSESSMENTS!B:B,A167,ASSESSMENTS!E:E,"Geography"),1),""))</f>
        <v/>
      </c>
      <c r="J167" s="4">
        <f>IF(A167="","",IFERROR(ROUND(AVERAGEIFS(ASSESSMENTS!H:H,ASSESSMENTS!B:B,A167,ASSESSMENTS!E:E,"Accounting"),1),""))</f>
        <v/>
      </c>
      <c r="K167" s="4">
        <f>IF(A167="","",IFERROR(ROUND(AVERAGEIFS(ASSESSMENTS!H:H,ASSESSMENTS!B:B,A167,ASSESSMENTS!E:E,"English"),1),""))</f>
        <v/>
      </c>
      <c r="L167" s="5">
        <f>IF(A167="","",IFERROR(XLOOKUP(A167,ATTENDANCE_SUMMARY!A:A,ATTENDANCE_SUMMARY!G:G,""),""))</f>
        <v/>
      </c>
      <c r="M167" s="4">
        <f>IF(A167="","",IF(OR(E167&lt;50,AND(L167&lt;0.75,L167&lt;&gt;"" )),"At Risk","On Track"))</f>
        <v/>
      </c>
    </row>
    <row r="168">
      <c r="A168">
        <f>IF(MASTER_REGISTER!E168="","",MASTER_REGISTER!E168)</f>
        <v/>
      </c>
      <c r="B168">
        <f>IF(A168="","",MASTER_REGISTER!F168)</f>
        <v/>
      </c>
      <c r="C168">
        <f>IF(A168="","",MASTER_REGISTER!C168)</f>
        <v/>
      </c>
      <c r="D168">
        <f>IF(A168="","",COUNTIF(ASSESSMENTS!B:B,A168))</f>
        <v/>
      </c>
      <c r="E168" s="4">
        <f>IF(D168=0,"",ROUND(AVERAGEIF(ASSESSMENTS!B:B,A168,ASSESSMENTS!H:H),1))</f>
        <v/>
      </c>
      <c r="F168" s="4">
        <f>IF(A168="","",IFERROR(ROUND(AVERAGEIFS(ASSESSMENTS!H:H,ASSESSMENTS!B:B,A168,ASSESSMENTS!E:E,"Mathematics"),1),""))</f>
        <v/>
      </c>
      <c r="G168" s="4">
        <f>IF(A168="","",IFERROR(ROUND(AVERAGEIFS(ASSESSMENTS!H:H,ASSESSMENTS!B:B,A168,ASSESSMENTS!E:E,"Mathematical Literacy"),1),""))</f>
        <v/>
      </c>
      <c r="H168" s="4">
        <f>IF(A168="","",IFERROR(ROUND(AVERAGEIFS(ASSESSMENTS!H:H,ASSESSMENTS!B:B,A168,ASSESSMENTS!E:E,"Physical Sciences"),1),""))</f>
        <v/>
      </c>
      <c r="I168" s="4">
        <f>IF(A168="","",IFERROR(ROUND(AVERAGEIFS(ASSESSMENTS!H:H,ASSESSMENTS!B:B,A168,ASSESSMENTS!E:E,"Geography"),1),""))</f>
        <v/>
      </c>
      <c r="J168" s="4">
        <f>IF(A168="","",IFERROR(ROUND(AVERAGEIFS(ASSESSMENTS!H:H,ASSESSMENTS!B:B,A168,ASSESSMENTS!E:E,"Accounting"),1),""))</f>
        <v/>
      </c>
      <c r="K168" s="4">
        <f>IF(A168="","",IFERROR(ROUND(AVERAGEIFS(ASSESSMENTS!H:H,ASSESSMENTS!B:B,A168,ASSESSMENTS!E:E,"English"),1),""))</f>
        <v/>
      </c>
      <c r="L168" s="5">
        <f>IF(A168="","",IFERROR(XLOOKUP(A168,ATTENDANCE_SUMMARY!A:A,ATTENDANCE_SUMMARY!G:G,""),""))</f>
        <v/>
      </c>
      <c r="M168" s="4">
        <f>IF(A168="","",IF(OR(E168&lt;50,AND(L168&lt;0.75,L168&lt;&gt;"" )),"At Risk","On Track"))</f>
        <v/>
      </c>
    </row>
    <row r="169">
      <c r="A169">
        <f>IF(MASTER_REGISTER!E169="","",MASTER_REGISTER!E169)</f>
        <v/>
      </c>
      <c r="B169">
        <f>IF(A169="","",MASTER_REGISTER!F169)</f>
        <v/>
      </c>
      <c r="C169">
        <f>IF(A169="","",MASTER_REGISTER!C169)</f>
        <v/>
      </c>
      <c r="D169">
        <f>IF(A169="","",COUNTIF(ASSESSMENTS!B:B,A169))</f>
        <v/>
      </c>
      <c r="E169" s="4">
        <f>IF(D169=0,"",ROUND(AVERAGEIF(ASSESSMENTS!B:B,A169,ASSESSMENTS!H:H),1))</f>
        <v/>
      </c>
      <c r="F169" s="4">
        <f>IF(A169="","",IFERROR(ROUND(AVERAGEIFS(ASSESSMENTS!H:H,ASSESSMENTS!B:B,A169,ASSESSMENTS!E:E,"Mathematics"),1),""))</f>
        <v/>
      </c>
      <c r="G169" s="4">
        <f>IF(A169="","",IFERROR(ROUND(AVERAGEIFS(ASSESSMENTS!H:H,ASSESSMENTS!B:B,A169,ASSESSMENTS!E:E,"Mathematical Literacy"),1),""))</f>
        <v/>
      </c>
      <c r="H169" s="4">
        <f>IF(A169="","",IFERROR(ROUND(AVERAGEIFS(ASSESSMENTS!H:H,ASSESSMENTS!B:B,A169,ASSESSMENTS!E:E,"Physical Sciences"),1),""))</f>
        <v/>
      </c>
      <c r="I169" s="4">
        <f>IF(A169="","",IFERROR(ROUND(AVERAGEIFS(ASSESSMENTS!H:H,ASSESSMENTS!B:B,A169,ASSESSMENTS!E:E,"Geography"),1),""))</f>
        <v/>
      </c>
      <c r="J169" s="4">
        <f>IF(A169="","",IFERROR(ROUND(AVERAGEIFS(ASSESSMENTS!H:H,ASSESSMENTS!B:B,A169,ASSESSMENTS!E:E,"Accounting"),1),""))</f>
        <v/>
      </c>
      <c r="K169" s="4">
        <f>IF(A169="","",IFERROR(ROUND(AVERAGEIFS(ASSESSMENTS!H:H,ASSESSMENTS!B:B,A169,ASSESSMENTS!E:E,"English"),1),""))</f>
        <v/>
      </c>
      <c r="L169" s="5">
        <f>IF(A169="","",IFERROR(XLOOKUP(A169,ATTENDANCE_SUMMARY!A:A,ATTENDANCE_SUMMARY!G:G,""),""))</f>
        <v/>
      </c>
      <c r="M169" s="4">
        <f>IF(A169="","",IF(OR(E169&lt;50,AND(L169&lt;0.75,L169&lt;&gt;"" )),"At Risk","On Track"))</f>
        <v/>
      </c>
    </row>
    <row r="170">
      <c r="A170">
        <f>IF(MASTER_REGISTER!E170="","",MASTER_REGISTER!E170)</f>
        <v/>
      </c>
      <c r="B170">
        <f>IF(A170="","",MASTER_REGISTER!F170)</f>
        <v/>
      </c>
      <c r="C170">
        <f>IF(A170="","",MASTER_REGISTER!C170)</f>
        <v/>
      </c>
      <c r="D170">
        <f>IF(A170="","",COUNTIF(ASSESSMENTS!B:B,A170))</f>
        <v/>
      </c>
      <c r="E170" s="4">
        <f>IF(D170=0,"",ROUND(AVERAGEIF(ASSESSMENTS!B:B,A170,ASSESSMENTS!H:H),1))</f>
        <v/>
      </c>
      <c r="F170" s="4">
        <f>IF(A170="","",IFERROR(ROUND(AVERAGEIFS(ASSESSMENTS!H:H,ASSESSMENTS!B:B,A170,ASSESSMENTS!E:E,"Mathematics"),1),""))</f>
        <v/>
      </c>
      <c r="G170" s="4">
        <f>IF(A170="","",IFERROR(ROUND(AVERAGEIFS(ASSESSMENTS!H:H,ASSESSMENTS!B:B,A170,ASSESSMENTS!E:E,"Mathematical Literacy"),1),""))</f>
        <v/>
      </c>
      <c r="H170" s="4">
        <f>IF(A170="","",IFERROR(ROUND(AVERAGEIFS(ASSESSMENTS!H:H,ASSESSMENTS!B:B,A170,ASSESSMENTS!E:E,"Physical Sciences"),1),""))</f>
        <v/>
      </c>
      <c r="I170" s="4">
        <f>IF(A170="","",IFERROR(ROUND(AVERAGEIFS(ASSESSMENTS!H:H,ASSESSMENTS!B:B,A170,ASSESSMENTS!E:E,"Geography"),1),""))</f>
        <v/>
      </c>
      <c r="J170" s="4">
        <f>IF(A170="","",IFERROR(ROUND(AVERAGEIFS(ASSESSMENTS!H:H,ASSESSMENTS!B:B,A170,ASSESSMENTS!E:E,"Accounting"),1),""))</f>
        <v/>
      </c>
      <c r="K170" s="4">
        <f>IF(A170="","",IFERROR(ROUND(AVERAGEIFS(ASSESSMENTS!H:H,ASSESSMENTS!B:B,A170,ASSESSMENTS!E:E,"English"),1),""))</f>
        <v/>
      </c>
      <c r="L170" s="5">
        <f>IF(A170="","",IFERROR(XLOOKUP(A170,ATTENDANCE_SUMMARY!A:A,ATTENDANCE_SUMMARY!G:G,""),""))</f>
        <v/>
      </c>
      <c r="M170" s="4">
        <f>IF(A170="","",IF(OR(E170&lt;50,AND(L170&lt;0.75,L170&lt;&gt;"" )),"At Risk","On Track"))</f>
        <v/>
      </c>
    </row>
    <row r="171">
      <c r="A171">
        <f>IF(MASTER_REGISTER!E171="","",MASTER_REGISTER!E171)</f>
        <v/>
      </c>
      <c r="B171">
        <f>IF(A171="","",MASTER_REGISTER!F171)</f>
        <v/>
      </c>
      <c r="C171">
        <f>IF(A171="","",MASTER_REGISTER!C171)</f>
        <v/>
      </c>
      <c r="D171">
        <f>IF(A171="","",COUNTIF(ASSESSMENTS!B:B,A171))</f>
        <v/>
      </c>
      <c r="E171" s="4">
        <f>IF(D171=0,"",ROUND(AVERAGEIF(ASSESSMENTS!B:B,A171,ASSESSMENTS!H:H),1))</f>
        <v/>
      </c>
      <c r="F171" s="4">
        <f>IF(A171="","",IFERROR(ROUND(AVERAGEIFS(ASSESSMENTS!H:H,ASSESSMENTS!B:B,A171,ASSESSMENTS!E:E,"Mathematics"),1),""))</f>
        <v/>
      </c>
      <c r="G171" s="4">
        <f>IF(A171="","",IFERROR(ROUND(AVERAGEIFS(ASSESSMENTS!H:H,ASSESSMENTS!B:B,A171,ASSESSMENTS!E:E,"Mathematical Literacy"),1),""))</f>
        <v/>
      </c>
      <c r="H171" s="4">
        <f>IF(A171="","",IFERROR(ROUND(AVERAGEIFS(ASSESSMENTS!H:H,ASSESSMENTS!B:B,A171,ASSESSMENTS!E:E,"Physical Sciences"),1),""))</f>
        <v/>
      </c>
      <c r="I171" s="4">
        <f>IF(A171="","",IFERROR(ROUND(AVERAGEIFS(ASSESSMENTS!H:H,ASSESSMENTS!B:B,A171,ASSESSMENTS!E:E,"Geography"),1),""))</f>
        <v/>
      </c>
      <c r="J171" s="4">
        <f>IF(A171="","",IFERROR(ROUND(AVERAGEIFS(ASSESSMENTS!H:H,ASSESSMENTS!B:B,A171,ASSESSMENTS!E:E,"Accounting"),1),""))</f>
        <v/>
      </c>
      <c r="K171" s="4">
        <f>IF(A171="","",IFERROR(ROUND(AVERAGEIFS(ASSESSMENTS!H:H,ASSESSMENTS!B:B,A171,ASSESSMENTS!E:E,"English"),1),""))</f>
        <v/>
      </c>
      <c r="L171" s="5">
        <f>IF(A171="","",IFERROR(XLOOKUP(A171,ATTENDANCE_SUMMARY!A:A,ATTENDANCE_SUMMARY!G:G,""),""))</f>
        <v/>
      </c>
      <c r="M171" s="4">
        <f>IF(A171="","",IF(OR(E171&lt;50,AND(L171&lt;0.75,L171&lt;&gt;"" )),"At Risk","On Track"))</f>
        <v/>
      </c>
    </row>
    <row r="172">
      <c r="A172">
        <f>IF(MASTER_REGISTER!E172="","",MASTER_REGISTER!E172)</f>
        <v/>
      </c>
      <c r="B172">
        <f>IF(A172="","",MASTER_REGISTER!F172)</f>
        <v/>
      </c>
      <c r="C172">
        <f>IF(A172="","",MASTER_REGISTER!C172)</f>
        <v/>
      </c>
      <c r="D172">
        <f>IF(A172="","",COUNTIF(ASSESSMENTS!B:B,A172))</f>
        <v/>
      </c>
      <c r="E172" s="4">
        <f>IF(D172=0,"",ROUND(AVERAGEIF(ASSESSMENTS!B:B,A172,ASSESSMENTS!H:H),1))</f>
        <v/>
      </c>
      <c r="F172" s="4">
        <f>IF(A172="","",IFERROR(ROUND(AVERAGEIFS(ASSESSMENTS!H:H,ASSESSMENTS!B:B,A172,ASSESSMENTS!E:E,"Mathematics"),1),""))</f>
        <v/>
      </c>
      <c r="G172" s="4">
        <f>IF(A172="","",IFERROR(ROUND(AVERAGEIFS(ASSESSMENTS!H:H,ASSESSMENTS!B:B,A172,ASSESSMENTS!E:E,"Mathematical Literacy"),1),""))</f>
        <v/>
      </c>
      <c r="H172" s="4">
        <f>IF(A172="","",IFERROR(ROUND(AVERAGEIFS(ASSESSMENTS!H:H,ASSESSMENTS!B:B,A172,ASSESSMENTS!E:E,"Physical Sciences"),1),""))</f>
        <v/>
      </c>
      <c r="I172" s="4">
        <f>IF(A172="","",IFERROR(ROUND(AVERAGEIFS(ASSESSMENTS!H:H,ASSESSMENTS!B:B,A172,ASSESSMENTS!E:E,"Geography"),1),""))</f>
        <v/>
      </c>
      <c r="J172" s="4">
        <f>IF(A172="","",IFERROR(ROUND(AVERAGEIFS(ASSESSMENTS!H:H,ASSESSMENTS!B:B,A172,ASSESSMENTS!E:E,"Accounting"),1),""))</f>
        <v/>
      </c>
      <c r="K172" s="4">
        <f>IF(A172="","",IFERROR(ROUND(AVERAGEIFS(ASSESSMENTS!H:H,ASSESSMENTS!B:B,A172,ASSESSMENTS!E:E,"English"),1),""))</f>
        <v/>
      </c>
      <c r="L172" s="5">
        <f>IF(A172="","",IFERROR(XLOOKUP(A172,ATTENDANCE_SUMMARY!A:A,ATTENDANCE_SUMMARY!G:G,""),""))</f>
        <v/>
      </c>
      <c r="M172" s="4">
        <f>IF(A172="","",IF(OR(E172&lt;50,AND(L172&lt;0.75,L172&lt;&gt;"" )),"At Risk","On Track"))</f>
        <v/>
      </c>
    </row>
    <row r="173">
      <c r="A173">
        <f>IF(MASTER_REGISTER!E173="","",MASTER_REGISTER!E173)</f>
        <v/>
      </c>
      <c r="B173">
        <f>IF(A173="","",MASTER_REGISTER!F173)</f>
        <v/>
      </c>
      <c r="C173">
        <f>IF(A173="","",MASTER_REGISTER!C173)</f>
        <v/>
      </c>
      <c r="D173">
        <f>IF(A173="","",COUNTIF(ASSESSMENTS!B:B,A173))</f>
        <v/>
      </c>
      <c r="E173" s="4">
        <f>IF(D173=0,"",ROUND(AVERAGEIF(ASSESSMENTS!B:B,A173,ASSESSMENTS!H:H),1))</f>
        <v/>
      </c>
      <c r="F173" s="4">
        <f>IF(A173="","",IFERROR(ROUND(AVERAGEIFS(ASSESSMENTS!H:H,ASSESSMENTS!B:B,A173,ASSESSMENTS!E:E,"Mathematics"),1),""))</f>
        <v/>
      </c>
      <c r="G173" s="4">
        <f>IF(A173="","",IFERROR(ROUND(AVERAGEIFS(ASSESSMENTS!H:H,ASSESSMENTS!B:B,A173,ASSESSMENTS!E:E,"Mathematical Literacy"),1),""))</f>
        <v/>
      </c>
      <c r="H173" s="4">
        <f>IF(A173="","",IFERROR(ROUND(AVERAGEIFS(ASSESSMENTS!H:H,ASSESSMENTS!B:B,A173,ASSESSMENTS!E:E,"Physical Sciences"),1),""))</f>
        <v/>
      </c>
      <c r="I173" s="4">
        <f>IF(A173="","",IFERROR(ROUND(AVERAGEIFS(ASSESSMENTS!H:H,ASSESSMENTS!B:B,A173,ASSESSMENTS!E:E,"Geography"),1),""))</f>
        <v/>
      </c>
      <c r="J173" s="4">
        <f>IF(A173="","",IFERROR(ROUND(AVERAGEIFS(ASSESSMENTS!H:H,ASSESSMENTS!B:B,A173,ASSESSMENTS!E:E,"Accounting"),1),""))</f>
        <v/>
      </c>
      <c r="K173" s="4">
        <f>IF(A173="","",IFERROR(ROUND(AVERAGEIFS(ASSESSMENTS!H:H,ASSESSMENTS!B:B,A173,ASSESSMENTS!E:E,"English"),1),""))</f>
        <v/>
      </c>
      <c r="L173" s="5">
        <f>IF(A173="","",IFERROR(XLOOKUP(A173,ATTENDANCE_SUMMARY!A:A,ATTENDANCE_SUMMARY!G:G,""),""))</f>
        <v/>
      </c>
      <c r="M173" s="4">
        <f>IF(A173="","",IF(OR(E173&lt;50,AND(L173&lt;0.75,L173&lt;&gt;"" )),"At Risk","On Track"))</f>
        <v/>
      </c>
    </row>
    <row r="174">
      <c r="A174">
        <f>IF(MASTER_REGISTER!E174="","",MASTER_REGISTER!E174)</f>
        <v/>
      </c>
      <c r="B174">
        <f>IF(A174="","",MASTER_REGISTER!F174)</f>
        <v/>
      </c>
      <c r="C174">
        <f>IF(A174="","",MASTER_REGISTER!C174)</f>
        <v/>
      </c>
      <c r="D174">
        <f>IF(A174="","",COUNTIF(ASSESSMENTS!B:B,A174))</f>
        <v/>
      </c>
      <c r="E174" s="4">
        <f>IF(D174=0,"",ROUND(AVERAGEIF(ASSESSMENTS!B:B,A174,ASSESSMENTS!H:H),1))</f>
        <v/>
      </c>
      <c r="F174" s="4">
        <f>IF(A174="","",IFERROR(ROUND(AVERAGEIFS(ASSESSMENTS!H:H,ASSESSMENTS!B:B,A174,ASSESSMENTS!E:E,"Mathematics"),1),""))</f>
        <v/>
      </c>
      <c r="G174" s="4">
        <f>IF(A174="","",IFERROR(ROUND(AVERAGEIFS(ASSESSMENTS!H:H,ASSESSMENTS!B:B,A174,ASSESSMENTS!E:E,"Mathematical Literacy"),1),""))</f>
        <v/>
      </c>
      <c r="H174" s="4">
        <f>IF(A174="","",IFERROR(ROUND(AVERAGEIFS(ASSESSMENTS!H:H,ASSESSMENTS!B:B,A174,ASSESSMENTS!E:E,"Physical Sciences"),1),""))</f>
        <v/>
      </c>
      <c r="I174" s="4">
        <f>IF(A174="","",IFERROR(ROUND(AVERAGEIFS(ASSESSMENTS!H:H,ASSESSMENTS!B:B,A174,ASSESSMENTS!E:E,"Geography"),1),""))</f>
        <v/>
      </c>
      <c r="J174" s="4">
        <f>IF(A174="","",IFERROR(ROUND(AVERAGEIFS(ASSESSMENTS!H:H,ASSESSMENTS!B:B,A174,ASSESSMENTS!E:E,"Accounting"),1),""))</f>
        <v/>
      </c>
      <c r="K174" s="4">
        <f>IF(A174="","",IFERROR(ROUND(AVERAGEIFS(ASSESSMENTS!H:H,ASSESSMENTS!B:B,A174,ASSESSMENTS!E:E,"English"),1),""))</f>
        <v/>
      </c>
      <c r="L174" s="5">
        <f>IF(A174="","",IFERROR(XLOOKUP(A174,ATTENDANCE_SUMMARY!A:A,ATTENDANCE_SUMMARY!G:G,""),""))</f>
        <v/>
      </c>
      <c r="M174" s="4">
        <f>IF(A174="","",IF(OR(E174&lt;50,AND(L174&lt;0.75,L174&lt;&gt;"" )),"At Risk","On Track"))</f>
        <v/>
      </c>
    </row>
    <row r="175">
      <c r="A175">
        <f>IF(MASTER_REGISTER!E175="","",MASTER_REGISTER!E175)</f>
        <v/>
      </c>
      <c r="B175">
        <f>IF(A175="","",MASTER_REGISTER!F175)</f>
        <v/>
      </c>
      <c r="C175">
        <f>IF(A175="","",MASTER_REGISTER!C175)</f>
        <v/>
      </c>
      <c r="D175">
        <f>IF(A175="","",COUNTIF(ASSESSMENTS!B:B,A175))</f>
        <v/>
      </c>
      <c r="E175" s="4">
        <f>IF(D175=0,"",ROUND(AVERAGEIF(ASSESSMENTS!B:B,A175,ASSESSMENTS!H:H),1))</f>
        <v/>
      </c>
      <c r="F175" s="4">
        <f>IF(A175="","",IFERROR(ROUND(AVERAGEIFS(ASSESSMENTS!H:H,ASSESSMENTS!B:B,A175,ASSESSMENTS!E:E,"Mathematics"),1),""))</f>
        <v/>
      </c>
      <c r="G175" s="4">
        <f>IF(A175="","",IFERROR(ROUND(AVERAGEIFS(ASSESSMENTS!H:H,ASSESSMENTS!B:B,A175,ASSESSMENTS!E:E,"Mathematical Literacy"),1),""))</f>
        <v/>
      </c>
      <c r="H175" s="4">
        <f>IF(A175="","",IFERROR(ROUND(AVERAGEIFS(ASSESSMENTS!H:H,ASSESSMENTS!B:B,A175,ASSESSMENTS!E:E,"Physical Sciences"),1),""))</f>
        <v/>
      </c>
      <c r="I175" s="4">
        <f>IF(A175="","",IFERROR(ROUND(AVERAGEIFS(ASSESSMENTS!H:H,ASSESSMENTS!B:B,A175,ASSESSMENTS!E:E,"Geography"),1),""))</f>
        <v/>
      </c>
      <c r="J175" s="4">
        <f>IF(A175="","",IFERROR(ROUND(AVERAGEIFS(ASSESSMENTS!H:H,ASSESSMENTS!B:B,A175,ASSESSMENTS!E:E,"Accounting"),1),""))</f>
        <v/>
      </c>
      <c r="K175" s="4">
        <f>IF(A175="","",IFERROR(ROUND(AVERAGEIFS(ASSESSMENTS!H:H,ASSESSMENTS!B:B,A175,ASSESSMENTS!E:E,"English"),1),""))</f>
        <v/>
      </c>
      <c r="L175" s="5">
        <f>IF(A175="","",IFERROR(XLOOKUP(A175,ATTENDANCE_SUMMARY!A:A,ATTENDANCE_SUMMARY!G:G,""),""))</f>
        <v/>
      </c>
      <c r="M175" s="4">
        <f>IF(A175="","",IF(OR(E175&lt;50,AND(L175&lt;0.75,L175&lt;&gt;"" )),"At Risk","On Track"))</f>
        <v/>
      </c>
    </row>
    <row r="176">
      <c r="A176">
        <f>IF(MASTER_REGISTER!E176="","",MASTER_REGISTER!E176)</f>
        <v/>
      </c>
      <c r="B176">
        <f>IF(A176="","",MASTER_REGISTER!F176)</f>
        <v/>
      </c>
      <c r="C176">
        <f>IF(A176="","",MASTER_REGISTER!C176)</f>
        <v/>
      </c>
      <c r="D176">
        <f>IF(A176="","",COUNTIF(ASSESSMENTS!B:B,A176))</f>
        <v/>
      </c>
      <c r="E176" s="4">
        <f>IF(D176=0,"",ROUND(AVERAGEIF(ASSESSMENTS!B:B,A176,ASSESSMENTS!H:H),1))</f>
        <v/>
      </c>
      <c r="F176" s="4">
        <f>IF(A176="","",IFERROR(ROUND(AVERAGEIFS(ASSESSMENTS!H:H,ASSESSMENTS!B:B,A176,ASSESSMENTS!E:E,"Mathematics"),1),""))</f>
        <v/>
      </c>
      <c r="G176" s="4">
        <f>IF(A176="","",IFERROR(ROUND(AVERAGEIFS(ASSESSMENTS!H:H,ASSESSMENTS!B:B,A176,ASSESSMENTS!E:E,"Mathematical Literacy"),1),""))</f>
        <v/>
      </c>
      <c r="H176" s="4">
        <f>IF(A176="","",IFERROR(ROUND(AVERAGEIFS(ASSESSMENTS!H:H,ASSESSMENTS!B:B,A176,ASSESSMENTS!E:E,"Physical Sciences"),1),""))</f>
        <v/>
      </c>
      <c r="I176" s="4">
        <f>IF(A176="","",IFERROR(ROUND(AVERAGEIFS(ASSESSMENTS!H:H,ASSESSMENTS!B:B,A176,ASSESSMENTS!E:E,"Geography"),1),""))</f>
        <v/>
      </c>
      <c r="J176" s="4">
        <f>IF(A176="","",IFERROR(ROUND(AVERAGEIFS(ASSESSMENTS!H:H,ASSESSMENTS!B:B,A176,ASSESSMENTS!E:E,"Accounting"),1),""))</f>
        <v/>
      </c>
      <c r="K176" s="4">
        <f>IF(A176="","",IFERROR(ROUND(AVERAGEIFS(ASSESSMENTS!H:H,ASSESSMENTS!B:B,A176,ASSESSMENTS!E:E,"English"),1),""))</f>
        <v/>
      </c>
      <c r="L176" s="5">
        <f>IF(A176="","",IFERROR(XLOOKUP(A176,ATTENDANCE_SUMMARY!A:A,ATTENDANCE_SUMMARY!G:G,""),""))</f>
        <v/>
      </c>
      <c r="M176" s="4">
        <f>IF(A176="","",IF(OR(E176&lt;50,AND(L176&lt;0.75,L176&lt;&gt;"" )),"At Risk","On Track"))</f>
        <v/>
      </c>
    </row>
    <row r="177">
      <c r="A177">
        <f>IF(MASTER_REGISTER!E177="","",MASTER_REGISTER!E177)</f>
        <v/>
      </c>
      <c r="B177">
        <f>IF(A177="","",MASTER_REGISTER!F177)</f>
        <v/>
      </c>
      <c r="C177">
        <f>IF(A177="","",MASTER_REGISTER!C177)</f>
        <v/>
      </c>
      <c r="D177">
        <f>IF(A177="","",COUNTIF(ASSESSMENTS!B:B,A177))</f>
        <v/>
      </c>
      <c r="E177" s="4">
        <f>IF(D177=0,"",ROUND(AVERAGEIF(ASSESSMENTS!B:B,A177,ASSESSMENTS!H:H),1))</f>
        <v/>
      </c>
      <c r="F177" s="4">
        <f>IF(A177="","",IFERROR(ROUND(AVERAGEIFS(ASSESSMENTS!H:H,ASSESSMENTS!B:B,A177,ASSESSMENTS!E:E,"Mathematics"),1),""))</f>
        <v/>
      </c>
      <c r="G177" s="4">
        <f>IF(A177="","",IFERROR(ROUND(AVERAGEIFS(ASSESSMENTS!H:H,ASSESSMENTS!B:B,A177,ASSESSMENTS!E:E,"Mathematical Literacy"),1),""))</f>
        <v/>
      </c>
      <c r="H177" s="4">
        <f>IF(A177="","",IFERROR(ROUND(AVERAGEIFS(ASSESSMENTS!H:H,ASSESSMENTS!B:B,A177,ASSESSMENTS!E:E,"Physical Sciences"),1),""))</f>
        <v/>
      </c>
      <c r="I177" s="4">
        <f>IF(A177="","",IFERROR(ROUND(AVERAGEIFS(ASSESSMENTS!H:H,ASSESSMENTS!B:B,A177,ASSESSMENTS!E:E,"Geography"),1),""))</f>
        <v/>
      </c>
      <c r="J177" s="4">
        <f>IF(A177="","",IFERROR(ROUND(AVERAGEIFS(ASSESSMENTS!H:H,ASSESSMENTS!B:B,A177,ASSESSMENTS!E:E,"Accounting"),1),""))</f>
        <v/>
      </c>
      <c r="K177" s="4">
        <f>IF(A177="","",IFERROR(ROUND(AVERAGEIFS(ASSESSMENTS!H:H,ASSESSMENTS!B:B,A177,ASSESSMENTS!E:E,"English"),1),""))</f>
        <v/>
      </c>
      <c r="L177" s="5">
        <f>IF(A177="","",IFERROR(XLOOKUP(A177,ATTENDANCE_SUMMARY!A:A,ATTENDANCE_SUMMARY!G:G,""),""))</f>
        <v/>
      </c>
      <c r="M177" s="4">
        <f>IF(A177="","",IF(OR(E177&lt;50,AND(L177&lt;0.75,L177&lt;&gt;"" )),"At Risk","On Track"))</f>
        <v/>
      </c>
    </row>
    <row r="178">
      <c r="A178">
        <f>IF(MASTER_REGISTER!E178="","",MASTER_REGISTER!E178)</f>
        <v/>
      </c>
      <c r="B178">
        <f>IF(A178="","",MASTER_REGISTER!F178)</f>
        <v/>
      </c>
      <c r="C178">
        <f>IF(A178="","",MASTER_REGISTER!C178)</f>
        <v/>
      </c>
      <c r="D178">
        <f>IF(A178="","",COUNTIF(ASSESSMENTS!B:B,A178))</f>
        <v/>
      </c>
      <c r="E178" s="4">
        <f>IF(D178=0,"",ROUND(AVERAGEIF(ASSESSMENTS!B:B,A178,ASSESSMENTS!H:H),1))</f>
        <v/>
      </c>
      <c r="F178" s="4">
        <f>IF(A178="","",IFERROR(ROUND(AVERAGEIFS(ASSESSMENTS!H:H,ASSESSMENTS!B:B,A178,ASSESSMENTS!E:E,"Mathematics"),1),""))</f>
        <v/>
      </c>
      <c r="G178" s="4">
        <f>IF(A178="","",IFERROR(ROUND(AVERAGEIFS(ASSESSMENTS!H:H,ASSESSMENTS!B:B,A178,ASSESSMENTS!E:E,"Mathematical Literacy"),1),""))</f>
        <v/>
      </c>
      <c r="H178" s="4">
        <f>IF(A178="","",IFERROR(ROUND(AVERAGEIFS(ASSESSMENTS!H:H,ASSESSMENTS!B:B,A178,ASSESSMENTS!E:E,"Physical Sciences"),1),""))</f>
        <v/>
      </c>
      <c r="I178" s="4">
        <f>IF(A178="","",IFERROR(ROUND(AVERAGEIFS(ASSESSMENTS!H:H,ASSESSMENTS!B:B,A178,ASSESSMENTS!E:E,"Geography"),1),""))</f>
        <v/>
      </c>
      <c r="J178" s="4">
        <f>IF(A178="","",IFERROR(ROUND(AVERAGEIFS(ASSESSMENTS!H:H,ASSESSMENTS!B:B,A178,ASSESSMENTS!E:E,"Accounting"),1),""))</f>
        <v/>
      </c>
      <c r="K178" s="4">
        <f>IF(A178="","",IFERROR(ROUND(AVERAGEIFS(ASSESSMENTS!H:H,ASSESSMENTS!B:B,A178,ASSESSMENTS!E:E,"English"),1),""))</f>
        <v/>
      </c>
      <c r="L178" s="5">
        <f>IF(A178="","",IFERROR(XLOOKUP(A178,ATTENDANCE_SUMMARY!A:A,ATTENDANCE_SUMMARY!G:G,""),""))</f>
        <v/>
      </c>
      <c r="M178" s="4">
        <f>IF(A178="","",IF(OR(E178&lt;50,AND(L178&lt;0.75,L178&lt;&gt;"" )),"At Risk","On Track"))</f>
        <v/>
      </c>
    </row>
    <row r="179">
      <c r="A179">
        <f>IF(MASTER_REGISTER!E179="","",MASTER_REGISTER!E179)</f>
        <v/>
      </c>
      <c r="B179">
        <f>IF(A179="","",MASTER_REGISTER!F179)</f>
        <v/>
      </c>
      <c r="C179">
        <f>IF(A179="","",MASTER_REGISTER!C179)</f>
        <v/>
      </c>
      <c r="D179">
        <f>IF(A179="","",COUNTIF(ASSESSMENTS!B:B,A179))</f>
        <v/>
      </c>
      <c r="E179" s="4">
        <f>IF(D179=0,"",ROUND(AVERAGEIF(ASSESSMENTS!B:B,A179,ASSESSMENTS!H:H),1))</f>
        <v/>
      </c>
      <c r="F179" s="4">
        <f>IF(A179="","",IFERROR(ROUND(AVERAGEIFS(ASSESSMENTS!H:H,ASSESSMENTS!B:B,A179,ASSESSMENTS!E:E,"Mathematics"),1),""))</f>
        <v/>
      </c>
      <c r="G179" s="4">
        <f>IF(A179="","",IFERROR(ROUND(AVERAGEIFS(ASSESSMENTS!H:H,ASSESSMENTS!B:B,A179,ASSESSMENTS!E:E,"Mathematical Literacy"),1),""))</f>
        <v/>
      </c>
      <c r="H179" s="4">
        <f>IF(A179="","",IFERROR(ROUND(AVERAGEIFS(ASSESSMENTS!H:H,ASSESSMENTS!B:B,A179,ASSESSMENTS!E:E,"Physical Sciences"),1),""))</f>
        <v/>
      </c>
      <c r="I179" s="4">
        <f>IF(A179="","",IFERROR(ROUND(AVERAGEIFS(ASSESSMENTS!H:H,ASSESSMENTS!B:B,A179,ASSESSMENTS!E:E,"Geography"),1),""))</f>
        <v/>
      </c>
      <c r="J179" s="4">
        <f>IF(A179="","",IFERROR(ROUND(AVERAGEIFS(ASSESSMENTS!H:H,ASSESSMENTS!B:B,A179,ASSESSMENTS!E:E,"Accounting"),1),""))</f>
        <v/>
      </c>
      <c r="K179" s="4">
        <f>IF(A179="","",IFERROR(ROUND(AVERAGEIFS(ASSESSMENTS!H:H,ASSESSMENTS!B:B,A179,ASSESSMENTS!E:E,"English"),1),""))</f>
        <v/>
      </c>
      <c r="L179" s="5">
        <f>IF(A179="","",IFERROR(XLOOKUP(A179,ATTENDANCE_SUMMARY!A:A,ATTENDANCE_SUMMARY!G:G,""),""))</f>
        <v/>
      </c>
      <c r="M179" s="4">
        <f>IF(A179="","",IF(OR(E179&lt;50,AND(L179&lt;0.75,L179&lt;&gt;"" )),"At Risk","On Track"))</f>
        <v/>
      </c>
    </row>
    <row r="180">
      <c r="A180">
        <f>IF(MASTER_REGISTER!E180="","",MASTER_REGISTER!E180)</f>
        <v/>
      </c>
      <c r="B180">
        <f>IF(A180="","",MASTER_REGISTER!F180)</f>
        <v/>
      </c>
      <c r="C180">
        <f>IF(A180="","",MASTER_REGISTER!C180)</f>
        <v/>
      </c>
      <c r="D180">
        <f>IF(A180="","",COUNTIF(ASSESSMENTS!B:B,A180))</f>
        <v/>
      </c>
      <c r="E180" s="4">
        <f>IF(D180=0,"",ROUND(AVERAGEIF(ASSESSMENTS!B:B,A180,ASSESSMENTS!H:H),1))</f>
        <v/>
      </c>
      <c r="F180" s="4">
        <f>IF(A180="","",IFERROR(ROUND(AVERAGEIFS(ASSESSMENTS!H:H,ASSESSMENTS!B:B,A180,ASSESSMENTS!E:E,"Mathematics"),1),""))</f>
        <v/>
      </c>
      <c r="G180" s="4">
        <f>IF(A180="","",IFERROR(ROUND(AVERAGEIFS(ASSESSMENTS!H:H,ASSESSMENTS!B:B,A180,ASSESSMENTS!E:E,"Mathematical Literacy"),1),""))</f>
        <v/>
      </c>
      <c r="H180" s="4">
        <f>IF(A180="","",IFERROR(ROUND(AVERAGEIFS(ASSESSMENTS!H:H,ASSESSMENTS!B:B,A180,ASSESSMENTS!E:E,"Physical Sciences"),1),""))</f>
        <v/>
      </c>
      <c r="I180" s="4">
        <f>IF(A180="","",IFERROR(ROUND(AVERAGEIFS(ASSESSMENTS!H:H,ASSESSMENTS!B:B,A180,ASSESSMENTS!E:E,"Geography"),1),""))</f>
        <v/>
      </c>
      <c r="J180" s="4">
        <f>IF(A180="","",IFERROR(ROUND(AVERAGEIFS(ASSESSMENTS!H:H,ASSESSMENTS!B:B,A180,ASSESSMENTS!E:E,"Accounting"),1),""))</f>
        <v/>
      </c>
      <c r="K180" s="4">
        <f>IF(A180="","",IFERROR(ROUND(AVERAGEIFS(ASSESSMENTS!H:H,ASSESSMENTS!B:B,A180,ASSESSMENTS!E:E,"English"),1),""))</f>
        <v/>
      </c>
      <c r="L180" s="5">
        <f>IF(A180="","",IFERROR(XLOOKUP(A180,ATTENDANCE_SUMMARY!A:A,ATTENDANCE_SUMMARY!G:G,""),""))</f>
        <v/>
      </c>
      <c r="M180" s="4">
        <f>IF(A180="","",IF(OR(E180&lt;50,AND(L180&lt;0.75,L180&lt;&gt;"" )),"At Risk","On Track"))</f>
        <v/>
      </c>
    </row>
    <row r="181">
      <c r="A181">
        <f>IF(MASTER_REGISTER!E181="","",MASTER_REGISTER!E181)</f>
        <v/>
      </c>
      <c r="B181">
        <f>IF(A181="","",MASTER_REGISTER!F181)</f>
        <v/>
      </c>
      <c r="C181">
        <f>IF(A181="","",MASTER_REGISTER!C181)</f>
        <v/>
      </c>
      <c r="D181">
        <f>IF(A181="","",COUNTIF(ASSESSMENTS!B:B,A181))</f>
        <v/>
      </c>
      <c r="E181" s="4">
        <f>IF(D181=0,"",ROUND(AVERAGEIF(ASSESSMENTS!B:B,A181,ASSESSMENTS!H:H),1))</f>
        <v/>
      </c>
      <c r="F181" s="4">
        <f>IF(A181="","",IFERROR(ROUND(AVERAGEIFS(ASSESSMENTS!H:H,ASSESSMENTS!B:B,A181,ASSESSMENTS!E:E,"Mathematics"),1),""))</f>
        <v/>
      </c>
      <c r="G181" s="4">
        <f>IF(A181="","",IFERROR(ROUND(AVERAGEIFS(ASSESSMENTS!H:H,ASSESSMENTS!B:B,A181,ASSESSMENTS!E:E,"Mathematical Literacy"),1),""))</f>
        <v/>
      </c>
      <c r="H181" s="4">
        <f>IF(A181="","",IFERROR(ROUND(AVERAGEIFS(ASSESSMENTS!H:H,ASSESSMENTS!B:B,A181,ASSESSMENTS!E:E,"Physical Sciences"),1),""))</f>
        <v/>
      </c>
      <c r="I181" s="4">
        <f>IF(A181="","",IFERROR(ROUND(AVERAGEIFS(ASSESSMENTS!H:H,ASSESSMENTS!B:B,A181,ASSESSMENTS!E:E,"Geography"),1),""))</f>
        <v/>
      </c>
      <c r="J181" s="4">
        <f>IF(A181="","",IFERROR(ROUND(AVERAGEIFS(ASSESSMENTS!H:H,ASSESSMENTS!B:B,A181,ASSESSMENTS!E:E,"Accounting"),1),""))</f>
        <v/>
      </c>
      <c r="K181" s="4">
        <f>IF(A181="","",IFERROR(ROUND(AVERAGEIFS(ASSESSMENTS!H:H,ASSESSMENTS!B:B,A181,ASSESSMENTS!E:E,"English"),1),""))</f>
        <v/>
      </c>
      <c r="L181" s="5">
        <f>IF(A181="","",IFERROR(XLOOKUP(A181,ATTENDANCE_SUMMARY!A:A,ATTENDANCE_SUMMARY!G:G,""),""))</f>
        <v/>
      </c>
      <c r="M181" s="4">
        <f>IF(A181="","",IF(OR(E181&lt;50,AND(L181&lt;0.75,L181&lt;&gt;"" )),"At Risk","On Track"))</f>
        <v/>
      </c>
    </row>
    <row r="182">
      <c r="A182">
        <f>IF(MASTER_REGISTER!E182="","",MASTER_REGISTER!E182)</f>
        <v/>
      </c>
      <c r="B182">
        <f>IF(A182="","",MASTER_REGISTER!F182)</f>
        <v/>
      </c>
      <c r="C182">
        <f>IF(A182="","",MASTER_REGISTER!C182)</f>
        <v/>
      </c>
      <c r="D182">
        <f>IF(A182="","",COUNTIF(ASSESSMENTS!B:B,A182))</f>
        <v/>
      </c>
      <c r="E182" s="4">
        <f>IF(D182=0,"",ROUND(AVERAGEIF(ASSESSMENTS!B:B,A182,ASSESSMENTS!H:H),1))</f>
        <v/>
      </c>
      <c r="F182" s="4">
        <f>IF(A182="","",IFERROR(ROUND(AVERAGEIFS(ASSESSMENTS!H:H,ASSESSMENTS!B:B,A182,ASSESSMENTS!E:E,"Mathematics"),1),""))</f>
        <v/>
      </c>
      <c r="G182" s="4">
        <f>IF(A182="","",IFERROR(ROUND(AVERAGEIFS(ASSESSMENTS!H:H,ASSESSMENTS!B:B,A182,ASSESSMENTS!E:E,"Mathematical Literacy"),1),""))</f>
        <v/>
      </c>
      <c r="H182" s="4">
        <f>IF(A182="","",IFERROR(ROUND(AVERAGEIFS(ASSESSMENTS!H:H,ASSESSMENTS!B:B,A182,ASSESSMENTS!E:E,"Physical Sciences"),1),""))</f>
        <v/>
      </c>
      <c r="I182" s="4">
        <f>IF(A182="","",IFERROR(ROUND(AVERAGEIFS(ASSESSMENTS!H:H,ASSESSMENTS!B:B,A182,ASSESSMENTS!E:E,"Geography"),1),""))</f>
        <v/>
      </c>
      <c r="J182" s="4">
        <f>IF(A182="","",IFERROR(ROUND(AVERAGEIFS(ASSESSMENTS!H:H,ASSESSMENTS!B:B,A182,ASSESSMENTS!E:E,"Accounting"),1),""))</f>
        <v/>
      </c>
      <c r="K182" s="4">
        <f>IF(A182="","",IFERROR(ROUND(AVERAGEIFS(ASSESSMENTS!H:H,ASSESSMENTS!B:B,A182,ASSESSMENTS!E:E,"English"),1),""))</f>
        <v/>
      </c>
      <c r="L182" s="5">
        <f>IF(A182="","",IFERROR(XLOOKUP(A182,ATTENDANCE_SUMMARY!A:A,ATTENDANCE_SUMMARY!G:G,""),""))</f>
        <v/>
      </c>
      <c r="M182" s="4">
        <f>IF(A182="","",IF(OR(E182&lt;50,AND(L182&lt;0.75,L182&lt;&gt;"" )),"At Risk","On Track"))</f>
        <v/>
      </c>
    </row>
    <row r="183">
      <c r="A183">
        <f>IF(MASTER_REGISTER!E183="","",MASTER_REGISTER!E183)</f>
        <v/>
      </c>
      <c r="B183">
        <f>IF(A183="","",MASTER_REGISTER!F183)</f>
        <v/>
      </c>
      <c r="C183">
        <f>IF(A183="","",MASTER_REGISTER!C183)</f>
        <v/>
      </c>
      <c r="D183">
        <f>IF(A183="","",COUNTIF(ASSESSMENTS!B:B,A183))</f>
        <v/>
      </c>
      <c r="E183" s="4">
        <f>IF(D183=0,"",ROUND(AVERAGEIF(ASSESSMENTS!B:B,A183,ASSESSMENTS!H:H),1))</f>
        <v/>
      </c>
      <c r="F183" s="4">
        <f>IF(A183="","",IFERROR(ROUND(AVERAGEIFS(ASSESSMENTS!H:H,ASSESSMENTS!B:B,A183,ASSESSMENTS!E:E,"Mathematics"),1),""))</f>
        <v/>
      </c>
      <c r="G183" s="4">
        <f>IF(A183="","",IFERROR(ROUND(AVERAGEIFS(ASSESSMENTS!H:H,ASSESSMENTS!B:B,A183,ASSESSMENTS!E:E,"Mathematical Literacy"),1),""))</f>
        <v/>
      </c>
      <c r="H183" s="4">
        <f>IF(A183="","",IFERROR(ROUND(AVERAGEIFS(ASSESSMENTS!H:H,ASSESSMENTS!B:B,A183,ASSESSMENTS!E:E,"Physical Sciences"),1),""))</f>
        <v/>
      </c>
      <c r="I183" s="4">
        <f>IF(A183="","",IFERROR(ROUND(AVERAGEIFS(ASSESSMENTS!H:H,ASSESSMENTS!B:B,A183,ASSESSMENTS!E:E,"Geography"),1),""))</f>
        <v/>
      </c>
      <c r="J183" s="4">
        <f>IF(A183="","",IFERROR(ROUND(AVERAGEIFS(ASSESSMENTS!H:H,ASSESSMENTS!B:B,A183,ASSESSMENTS!E:E,"Accounting"),1),""))</f>
        <v/>
      </c>
      <c r="K183" s="4">
        <f>IF(A183="","",IFERROR(ROUND(AVERAGEIFS(ASSESSMENTS!H:H,ASSESSMENTS!B:B,A183,ASSESSMENTS!E:E,"English"),1),""))</f>
        <v/>
      </c>
      <c r="L183" s="5">
        <f>IF(A183="","",IFERROR(XLOOKUP(A183,ATTENDANCE_SUMMARY!A:A,ATTENDANCE_SUMMARY!G:G,""),""))</f>
        <v/>
      </c>
      <c r="M183" s="4">
        <f>IF(A183="","",IF(OR(E183&lt;50,AND(L183&lt;0.75,L183&lt;&gt;"" )),"At Risk","On Track"))</f>
        <v/>
      </c>
    </row>
    <row r="184">
      <c r="A184">
        <f>IF(MASTER_REGISTER!E184="","",MASTER_REGISTER!E184)</f>
        <v/>
      </c>
      <c r="B184">
        <f>IF(A184="","",MASTER_REGISTER!F184)</f>
        <v/>
      </c>
      <c r="C184">
        <f>IF(A184="","",MASTER_REGISTER!C184)</f>
        <v/>
      </c>
      <c r="D184">
        <f>IF(A184="","",COUNTIF(ASSESSMENTS!B:B,A184))</f>
        <v/>
      </c>
      <c r="E184" s="4">
        <f>IF(D184=0,"",ROUND(AVERAGEIF(ASSESSMENTS!B:B,A184,ASSESSMENTS!H:H),1))</f>
        <v/>
      </c>
      <c r="F184" s="4">
        <f>IF(A184="","",IFERROR(ROUND(AVERAGEIFS(ASSESSMENTS!H:H,ASSESSMENTS!B:B,A184,ASSESSMENTS!E:E,"Mathematics"),1),""))</f>
        <v/>
      </c>
      <c r="G184" s="4">
        <f>IF(A184="","",IFERROR(ROUND(AVERAGEIFS(ASSESSMENTS!H:H,ASSESSMENTS!B:B,A184,ASSESSMENTS!E:E,"Mathematical Literacy"),1),""))</f>
        <v/>
      </c>
      <c r="H184" s="4">
        <f>IF(A184="","",IFERROR(ROUND(AVERAGEIFS(ASSESSMENTS!H:H,ASSESSMENTS!B:B,A184,ASSESSMENTS!E:E,"Physical Sciences"),1),""))</f>
        <v/>
      </c>
      <c r="I184" s="4">
        <f>IF(A184="","",IFERROR(ROUND(AVERAGEIFS(ASSESSMENTS!H:H,ASSESSMENTS!B:B,A184,ASSESSMENTS!E:E,"Geography"),1),""))</f>
        <v/>
      </c>
      <c r="J184" s="4">
        <f>IF(A184="","",IFERROR(ROUND(AVERAGEIFS(ASSESSMENTS!H:H,ASSESSMENTS!B:B,A184,ASSESSMENTS!E:E,"Accounting"),1),""))</f>
        <v/>
      </c>
      <c r="K184" s="4">
        <f>IF(A184="","",IFERROR(ROUND(AVERAGEIFS(ASSESSMENTS!H:H,ASSESSMENTS!B:B,A184,ASSESSMENTS!E:E,"English"),1),""))</f>
        <v/>
      </c>
      <c r="L184" s="5">
        <f>IF(A184="","",IFERROR(XLOOKUP(A184,ATTENDANCE_SUMMARY!A:A,ATTENDANCE_SUMMARY!G:G,""),""))</f>
        <v/>
      </c>
      <c r="M184" s="4">
        <f>IF(A184="","",IF(OR(E184&lt;50,AND(L184&lt;0.75,L184&lt;&gt;"" )),"At Risk","On Track"))</f>
        <v/>
      </c>
    </row>
    <row r="185">
      <c r="A185">
        <f>IF(MASTER_REGISTER!E185="","",MASTER_REGISTER!E185)</f>
        <v/>
      </c>
      <c r="B185">
        <f>IF(A185="","",MASTER_REGISTER!F185)</f>
        <v/>
      </c>
      <c r="C185">
        <f>IF(A185="","",MASTER_REGISTER!C185)</f>
        <v/>
      </c>
      <c r="D185">
        <f>IF(A185="","",COUNTIF(ASSESSMENTS!B:B,A185))</f>
        <v/>
      </c>
      <c r="E185" s="4">
        <f>IF(D185=0,"",ROUND(AVERAGEIF(ASSESSMENTS!B:B,A185,ASSESSMENTS!H:H),1))</f>
        <v/>
      </c>
      <c r="F185" s="4">
        <f>IF(A185="","",IFERROR(ROUND(AVERAGEIFS(ASSESSMENTS!H:H,ASSESSMENTS!B:B,A185,ASSESSMENTS!E:E,"Mathematics"),1),""))</f>
        <v/>
      </c>
      <c r="G185" s="4">
        <f>IF(A185="","",IFERROR(ROUND(AVERAGEIFS(ASSESSMENTS!H:H,ASSESSMENTS!B:B,A185,ASSESSMENTS!E:E,"Mathematical Literacy"),1),""))</f>
        <v/>
      </c>
      <c r="H185" s="4">
        <f>IF(A185="","",IFERROR(ROUND(AVERAGEIFS(ASSESSMENTS!H:H,ASSESSMENTS!B:B,A185,ASSESSMENTS!E:E,"Physical Sciences"),1),""))</f>
        <v/>
      </c>
      <c r="I185" s="4">
        <f>IF(A185="","",IFERROR(ROUND(AVERAGEIFS(ASSESSMENTS!H:H,ASSESSMENTS!B:B,A185,ASSESSMENTS!E:E,"Geography"),1),""))</f>
        <v/>
      </c>
      <c r="J185" s="4">
        <f>IF(A185="","",IFERROR(ROUND(AVERAGEIFS(ASSESSMENTS!H:H,ASSESSMENTS!B:B,A185,ASSESSMENTS!E:E,"Accounting"),1),""))</f>
        <v/>
      </c>
      <c r="K185" s="4">
        <f>IF(A185="","",IFERROR(ROUND(AVERAGEIFS(ASSESSMENTS!H:H,ASSESSMENTS!B:B,A185,ASSESSMENTS!E:E,"English"),1),""))</f>
        <v/>
      </c>
      <c r="L185" s="5">
        <f>IF(A185="","",IFERROR(XLOOKUP(A185,ATTENDANCE_SUMMARY!A:A,ATTENDANCE_SUMMARY!G:G,""),""))</f>
        <v/>
      </c>
      <c r="M185" s="4">
        <f>IF(A185="","",IF(OR(E185&lt;50,AND(L185&lt;0.75,L185&lt;&gt;"" )),"At Risk","On Track"))</f>
        <v/>
      </c>
    </row>
    <row r="186">
      <c r="A186">
        <f>IF(MASTER_REGISTER!E186="","",MASTER_REGISTER!E186)</f>
        <v/>
      </c>
      <c r="B186">
        <f>IF(A186="","",MASTER_REGISTER!F186)</f>
        <v/>
      </c>
      <c r="C186">
        <f>IF(A186="","",MASTER_REGISTER!C186)</f>
        <v/>
      </c>
      <c r="D186">
        <f>IF(A186="","",COUNTIF(ASSESSMENTS!B:B,A186))</f>
        <v/>
      </c>
      <c r="E186" s="4">
        <f>IF(D186=0,"",ROUND(AVERAGEIF(ASSESSMENTS!B:B,A186,ASSESSMENTS!H:H),1))</f>
        <v/>
      </c>
      <c r="F186" s="4">
        <f>IF(A186="","",IFERROR(ROUND(AVERAGEIFS(ASSESSMENTS!H:H,ASSESSMENTS!B:B,A186,ASSESSMENTS!E:E,"Mathematics"),1),""))</f>
        <v/>
      </c>
      <c r="G186" s="4">
        <f>IF(A186="","",IFERROR(ROUND(AVERAGEIFS(ASSESSMENTS!H:H,ASSESSMENTS!B:B,A186,ASSESSMENTS!E:E,"Mathematical Literacy"),1),""))</f>
        <v/>
      </c>
      <c r="H186" s="4">
        <f>IF(A186="","",IFERROR(ROUND(AVERAGEIFS(ASSESSMENTS!H:H,ASSESSMENTS!B:B,A186,ASSESSMENTS!E:E,"Physical Sciences"),1),""))</f>
        <v/>
      </c>
      <c r="I186" s="4">
        <f>IF(A186="","",IFERROR(ROUND(AVERAGEIFS(ASSESSMENTS!H:H,ASSESSMENTS!B:B,A186,ASSESSMENTS!E:E,"Geography"),1),""))</f>
        <v/>
      </c>
      <c r="J186" s="4">
        <f>IF(A186="","",IFERROR(ROUND(AVERAGEIFS(ASSESSMENTS!H:H,ASSESSMENTS!B:B,A186,ASSESSMENTS!E:E,"Accounting"),1),""))</f>
        <v/>
      </c>
      <c r="K186" s="4">
        <f>IF(A186="","",IFERROR(ROUND(AVERAGEIFS(ASSESSMENTS!H:H,ASSESSMENTS!B:B,A186,ASSESSMENTS!E:E,"English"),1),""))</f>
        <v/>
      </c>
      <c r="L186" s="5">
        <f>IF(A186="","",IFERROR(XLOOKUP(A186,ATTENDANCE_SUMMARY!A:A,ATTENDANCE_SUMMARY!G:G,""),""))</f>
        <v/>
      </c>
      <c r="M186" s="4">
        <f>IF(A186="","",IF(OR(E186&lt;50,AND(L186&lt;0.75,L186&lt;&gt;"" )),"At Risk","On Track"))</f>
        <v/>
      </c>
    </row>
    <row r="187">
      <c r="A187">
        <f>IF(MASTER_REGISTER!E187="","",MASTER_REGISTER!E187)</f>
        <v/>
      </c>
      <c r="B187">
        <f>IF(A187="","",MASTER_REGISTER!F187)</f>
        <v/>
      </c>
      <c r="C187">
        <f>IF(A187="","",MASTER_REGISTER!C187)</f>
        <v/>
      </c>
      <c r="D187">
        <f>IF(A187="","",COUNTIF(ASSESSMENTS!B:B,A187))</f>
        <v/>
      </c>
      <c r="E187" s="4">
        <f>IF(D187=0,"",ROUND(AVERAGEIF(ASSESSMENTS!B:B,A187,ASSESSMENTS!H:H),1))</f>
        <v/>
      </c>
      <c r="F187" s="4">
        <f>IF(A187="","",IFERROR(ROUND(AVERAGEIFS(ASSESSMENTS!H:H,ASSESSMENTS!B:B,A187,ASSESSMENTS!E:E,"Mathematics"),1),""))</f>
        <v/>
      </c>
      <c r="G187" s="4">
        <f>IF(A187="","",IFERROR(ROUND(AVERAGEIFS(ASSESSMENTS!H:H,ASSESSMENTS!B:B,A187,ASSESSMENTS!E:E,"Mathematical Literacy"),1),""))</f>
        <v/>
      </c>
      <c r="H187" s="4">
        <f>IF(A187="","",IFERROR(ROUND(AVERAGEIFS(ASSESSMENTS!H:H,ASSESSMENTS!B:B,A187,ASSESSMENTS!E:E,"Physical Sciences"),1),""))</f>
        <v/>
      </c>
      <c r="I187" s="4">
        <f>IF(A187="","",IFERROR(ROUND(AVERAGEIFS(ASSESSMENTS!H:H,ASSESSMENTS!B:B,A187,ASSESSMENTS!E:E,"Geography"),1),""))</f>
        <v/>
      </c>
      <c r="J187" s="4">
        <f>IF(A187="","",IFERROR(ROUND(AVERAGEIFS(ASSESSMENTS!H:H,ASSESSMENTS!B:B,A187,ASSESSMENTS!E:E,"Accounting"),1),""))</f>
        <v/>
      </c>
      <c r="K187" s="4">
        <f>IF(A187="","",IFERROR(ROUND(AVERAGEIFS(ASSESSMENTS!H:H,ASSESSMENTS!B:B,A187,ASSESSMENTS!E:E,"English"),1),""))</f>
        <v/>
      </c>
      <c r="L187" s="5">
        <f>IF(A187="","",IFERROR(XLOOKUP(A187,ATTENDANCE_SUMMARY!A:A,ATTENDANCE_SUMMARY!G:G,""),""))</f>
        <v/>
      </c>
      <c r="M187" s="4">
        <f>IF(A187="","",IF(OR(E187&lt;50,AND(L187&lt;0.75,L187&lt;&gt;"" )),"At Risk","On Track"))</f>
        <v/>
      </c>
    </row>
    <row r="188">
      <c r="A188">
        <f>IF(MASTER_REGISTER!E188="","",MASTER_REGISTER!E188)</f>
        <v/>
      </c>
      <c r="B188">
        <f>IF(A188="","",MASTER_REGISTER!F188)</f>
        <v/>
      </c>
      <c r="C188">
        <f>IF(A188="","",MASTER_REGISTER!C188)</f>
        <v/>
      </c>
      <c r="D188">
        <f>IF(A188="","",COUNTIF(ASSESSMENTS!B:B,A188))</f>
        <v/>
      </c>
      <c r="E188" s="4">
        <f>IF(D188=0,"",ROUND(AVERAGEIF(ASSESSMENTS!B:B,A188,ASSESSMENTS!H:H),1))</f>
        <v/>
      </c>
      <c r="F188" s="4">
        <f>IF(A188="","",IFERROR(ROUND(AVERAGEIFS(ASSESSMENTS!H:H,ASSESSMENTS!B:B,A188,ASSESSMENTS!E:E,"Mathematics"),1),""))</f>
        <v/>
      </c>
      <c r="G188" s="4">
        <f>IF(A188="","",IFERROR(ROUND(AVERAGEIFS(ASSESSMENTS!H:H,ASSESSMENTS!B:B,A188,ASSESSMENTS!E:E,"Mathematical Literacy"),1),""))</f>
        <v/>
      </c>
      <c r="H188" s="4">
        <f>IF(A188="","",IFERROR(ROUND(AVERAGEIFS(ASSESSMENTS!H:H,ASSESSMENTS!B:B,A188,ASSESSMENTS!E:E,"Physical Sciences"),1),""))</f>
        <v/>
      </c>
      <c r="I188" s="4">
        <f>IF(A188="","",IFERROR(ROUND(AVERAGEIFS(ASSESSMENTS!H:H,ASSESSMENTS!B:B,A188,ASSESSMENTS!E:E,"Geography"),1),""))</f>
        <v/>
      </c>
      <c r="J188" s="4">
        <f>IF(A188="","",IFERROR(ROUND(AVERAGEIFS(ASSESSMENTS!H:H,ASSESSMENTS!B:B,A188,ASSESSMENTS!E:E,"Accounting"),1),""))</f>
        <v/>
      </c>
      <c r="K188" s="4">
        <f>IF(A188="","",IFERROR(ROUND(AVERAGEIFS(ASSESSMENTS!H:H,ASSESSMENTS!B:B,A188,ASSESSMENTS!E:E,"English"),1),""))</f>
        <v/>
      </c>
      <c r="L188" s="5">
        <f>IF(A188="","",IFERROR(XLOOKUP(A188,ATTENDANCE_SUMMARY!A:A,ATTENDANCE_SUMMARY!G:G,""),""))</f>
        <v/>
      </c>
      <c r="M188" s="4">
        <f>IF(A188="","",IF(OR(E188&lt;50,AND(L188&lt;0.75,L188&lt;&gt;"" )),"At Risk","On Track"))</f>
        <v/>
      </c>
    </row>
    <row r="189">
      <c r="A189">
        <f>IF(MASTER_REGISTER!E189="","",MASTER_REGISTER!E189)</f>
        <v/>
      </c>
      <c r="B189">
        <f>IF(A189="","",MASTER_REGISTER!F189)</f>
        <v/>
      </c>
      <c r="C189">
        <f>IF(A189="","",MASTER_REGISTER!C189)</f>
        <v/>
      </c>
      <c r="D189">
        <f>IF(A189="","",COUNTIF(ASSESSMENTS!B:B,A189))</f>
        <v/>
      </c>
      <c r="E189" s="4">
        <f>IF(D189=0,"",ROUND(AVERAGEIF(ASSESSMENTS!B:B,A189,ASSESSMENTS!H:H),1))</f>
        <v/>
      </c>
      <c r="F189" s="4">
        <f>IF(A189="","",IFERROR(ROUND(AVERAGEIFS(ASSESSMENTS!H:H,ASSESSMENTS!B:B,A189,ASSESSMENTS!E:E,"Mathematics"),1),""))</f>
        <v/>
      </c>
      <c r="G189" s="4">
        <f>IF(A189="","",IFERROR(ROUND(AVERAGEIFS(ASSESSMENTS!H:H,ASSESSMENTS!B:B,A189,ASSESSMENTS!E:E,"Mathematical Literacy"),1),""))</f>
        <v/>
      </c>
      <c r="H189" s="4">
        <f>IF(A189="","",IFERROR(ROUND(AVERAGEIFS(ASSESSMENTS!H:H,ASSESSMENTS!B:B,A189,ASSESSMENTS!E:E,"Physical Sciences"),1),""))</f>
        <v/>
      </c>
      <c r="I189" s="4">
        <f>IF(A189="","",IFERROR(ROUND(AVERAGEIFS(ASSESSMENTS!H:H,ASSESSMENTS!B:B,A189,ASSESSMENTS!E:E,"Geography"),1),""))</f>
        <v/>
      </c>
      <c r="J189" s="4">
        <f>IF(A189="","",IFERROR(ROUND(AVERAGEIFS(ASSESSMENTS!H:H,ASSESSMENTS!B:B,A189,ASSESSMENTS!E:E,"Accounting"),1),""))</f>
        <v/>
      </c>
      <c r="K189" s="4">
        <f>IF(A189="","",IFERROR(ROUND(AVERAGEIFS(ASSESSMENTS!H:H,ASSESSMENTS!B:B,A189,ASSESSMENTS!E:E,"English"),1),""))</f>
        <v/>
      </c>
      <c r="L189" s="5">
        <f>IF(A189="","",IFERROR(XLOOKUP(A189,ATTENDANCE_SUMMARY!A:A,ATTENDANCE_SUMMARY!G:G,""),""))</f>
        <v/>
      </c>
      <c r="M189" s="4">
        <f>IF(A189="","",IF(OR(E189&lt;50,AND(L189&lt;0.75,L189&lt;&gt;"" )),"At Risk","On Track"))</f>
        <v/>
      </c>
    </row>
    <row r="190">
      <c r="A190">
        <f>IF(MASTER_REGISTER!E190="","",MASTER_REGISTER!E190)</f>
        <v/>
      </c>
      <c r="B190">
        <f>IF(A190="","",MASTER_REGISTER!F190)</f>
        <v/>
      </c>
      <c r="C190">
        <f>IF(A190="","",MASTER_REGISTER!C190)</f>
        <v/>
      </c>
      <c r="D190">
        <f>IF(A190="","",COUNTIF(ASSESSMENTS!B:B,A190))</f>
        <v/>
      </c>
      <c r="E190" s="4">
        <f>IF(D190=0,"",ROUND(AVERAGEIF(ASSESSMENTS!B:B,A190,ASSESSMENTS!H:H),1))</f>
        <v/>
      </c>
      <c r="F190" s="4">
        <f>IF(A190="","",IFERROR(ROUND(AVERAGEIFS(ASSESSMENTS!H:H,ASSESSMENTS!B:B,A190,ASSESSMENTS!E:E,"Mathematics"),1),""))</f>
        <v/>
      </c>
      <c r="G190" s="4">
        <f>IF(A190="","",IFERROR(ROUND(AVERAGEIFS(ASSESSMENTS!H:H,ASSESSMENTS!B:B,A190,ASSESSMENTS!E:E,"Mathematical Literacy"),1),""))</f>
        <v/>
      </c>
      <c r="H190" s="4">
        <f>IF(A190="","",IFERROR(ROUND(AVERAGEIFS(ASSESSMENTS!H:H,ASSESSMENTS!B:B,A190,ASSESSMENTS!E:E,"Physical Sciences"),1),""))</f>
        <v/>
      </c>
      <c r="I190" s="4">
        <f>IF(A190="","",IFERROR(ROUND(AVERAGEIFS(ASSESSMENTS!H:H,ASSESSMENTS!B:B,A190,ASSESSMENTS!E:E,"Geography"),1),""))</f>
        <v/>
      </c>
      <c r="J190" s="4">
        <f>IF(A190="","",IFERROR(ROUND(AVERAGEIFS(ASSESSMENTS!H:H,ASSESSMENTS!B:B,A190,ASSESSMENTS!E:E,"Accounting"),1),""))</f>
        <v/>
      </c>
      <c r="K190" s="4">
        <f>IF(A190="","",IFERROR(ROUND(AVERAGEIFS(ASSESSMENTS!H:H,ASSESSMENTS!B:B,A190,ASSESSMENTS!E:E,"English"),1),""))</f>
        <v/>
      </c>
      <c r="L190" s="5">
        <f>IF(A190="","",IFERROR(XLOOKUP(A190,ATTENDANCE_SUMMARY!A:A,ATTENDANCE_SUMMARY!G:G,""),""))</f>
        <v/>
      </c>
      <c r="M190" s="4">
        <f>IF(A190="","",IF(OR(E190&lt;50,AND(L190&lt;0.75,L190&lt;&gt;"" )),"At Risk","On Track"))</f>
        <v/>
      </c>
    </row>
    <row r="191">
      <c r="A191">
        <f>IF(MASTER_REGISTER!E191="","",MASTER_REGISTER!E191)</f>
        <v/>
      </c>
      <c r="B191">
        <f>IF(A191="","",MASTER_REGISTER!F191)</f>
        <v/>
      </c>
      <c r="C191">
        <f>IF(A191="","",MASTER_REGISTER!C191)</f>
        <v/>
      </c>
      <c r="D191">
        <f>IF(A191="","",COUNTIF(ASSESSMENTS!B:B,A191))</f>
        <v/>
      </c>
      <c r="E191" s="4">
        <f>IF(D191=0,"",ROUND(AVERAGEIF(ASSESSMENTS!B:B,A191,ASSESSMENTS!H:H),1))</f>
        <v/>
      </c>
      <c r="F191" s="4">
        <f>IF(A191="","",IFERROR(ROUND(AVERAGEIFS(ASSESSMENTS!H:H,ASSESSMENTS!B:B,A191,ASSESSMENTS!E:E,"Mathematics"),1),""))</f>
        <v/>
      </c>
      <c r="G191" s="4">
        <f>IF(A191="","",IFERROR(ROUND(AVERAGEIFS(ASSESSMENTS!H:H,ASSESSMENTS!B:B,A191,ASSESSMENTS!E:E,"Mathematical Literacy"),1),""))</f>
        <v/>
      </c>
      <c r="H191" s="4">
        <f>IF(A191="","",IFERROR(ROUND(AVERAGEIFS(ASSESSMENTS!H:H,ASSESSMENTS!B:B,A191,ASSESSMENTS!E:E,"Physical Sciences"),1),""))</f>
        <v/>
      </c>
      <c r="I191" s="4">
        <f>IF(A191="","",IFERROR(ROUND(AVERAGEIFS(ASSESSMENTS!H:H,ASSESSMENTS!B:B,A191,ASSESSMENTS!E:E,"Geography"),1),""))</f>
        <v/>
      </c>
      <c r="J191" s="4">
        <f>IF(A191="","",IFERROR(ROUND(AVERAGEIFS(ASSESSMENTS!H:H,ASSESSMENTS!B:B,A191,ASSESSMENTS!E:E,"Accounting"),1),""))</f>
        <v/>
      </c>
      <c r="K191" s="4">
        <f>IF(A191="","",IFERROR(ROUND(AVERAGEIFS(ASSESSMENTS!H:H,ASSESSMENTS!B:B,A191,ASSESSMENTS!E:E,"English"),1),""))</f>
        <v/>
      </c>
      <c r="L191" s="5">
        <f>IF(A191="","",IFERROR(XLOOKUP(A191,ATTENDANCE_SUMMARY!A:A,ATTENDANCE_SUMMARY!G:G,""),""))</f>
        <v/>
      </c>
      <c r="M191" s="4">
        <f>IF(A191="","",IF(OR(E191&lt;50,AND(L191&lt;0.75,L191&lt;&gt;"" )),"At Risk","On Track"))</f>
        <v/>
      </c>
    </row>
    <row r="192">
      <c r="A192">
        <f>IF(MASTER_REGISTER!E192="","",MASTER_REGISTER!E192)</f>
        <v/>
      </c>
      <c r="B192">
        <f>IF(A192="","",MASTER_REGISTER!F192)</f>
        <v/>
      </c>
      <c r="C192">
        <f>IF(A192="","",MASTER_REGISTER!C192)</f>
        <v/>
      </c>
      <c r="D192">
        <f>IF(A192="","",COUNTIF(ASSESSMENTS!B:B,A192))</f>
        <v/>
      </c>
      <c r="E192" s="4">
        <f>IF(D192=0,"",ROUND(AVERAGEIF(ASSESSMENTS!B:B,A192,ASSESSMENTS!H:H),1))</f>
        <v/>
      </c>
      <c r="F192" s="4">
        <f>IF(A192="","",IFERROR(ROUND(AVERAGEIFS(ASSESSMENTS!H:H,ASSESSMENTS!B:B,A192,ASSESSMENTS!E:E,"Mathematics"),1),""))</f>
        <v/>
      </c>
      <c r="G192" s="4">
        <f>IF(A192="","",IFERROR(ROUND(AVERAGEIFS(ASSESSMENTS!H:H,ASSESSMENTS!B:B,A192,ASSESSMENTS!E:E,"Mathematical Literacy"),1),""))</f>
        <v/>
      </c>
      <c r="H192" s="4">
        <f>IF(A192="","",IFERROR(ROUND(AVERAGEIFS(ASSESSMENTS!H:H,ASSESSMENTS!B:B,A192,ASSESSMENTS!E:E,"Physical Sciences"),1),""))</f>
        <v/>
      </c>
      <c r="I192" s="4">
        <f>IF(A192="","",IFERROR(ROUND(AVERAGEIFS(ASSESSMENTS!H:H,ASSESSMENTS!B:B,A192,ASSESSMENTS!E:E,"Geography"),1),""))</f>
        <v/>
      </c>
      <c r="J192" s="4">
        <f>IF(A192="","",IFERROR(ROUND(AVERAGEIFS(ASSESSMENTS!H:H,ASSESSMENTS!B:B,A192,ASSESSMENTS!E:E,"Accounting"),1),""))</f>
        <v/>
      </c>
      <c r="K192" s="4">
        <f>IF(A192="","",IFERROR(ROUND(AVERAGEIFS(ASSESSMENTS!H:H,ASSESSMENTS!B:B,A192,ASSESSMENTS!E:E,"English"),1),""))</f>
        <v/>
      </c>
      <c r="L192" s="5">
        <f>IF(A192="","",IFERROR(XLOOKUP(A192,ATTENDANCE_SUMMARY!A:A,ATTENDANCE_SUMMARY!G:G,""),""))</f>
        <v/>
      </c>
      <c r="M192" s="4">
        <f>IF(A192="","",IF(OR(E192&lt;50,AND(L192&lt;0.75,L192&lt;&gt;"" )),"At Risk","On Track"))</f>
        <v/>
      </c>
    </row>
    <row r="193">
      <c r="A193">
        <f>IF(MASTER_REGISTER!E193="","",MASTER_REGISTER!E193)</f>
        <v/>
      </c>
      <c r="B193">
        <f>IF(A193="","",MASTER_REGISTER!F193)</f>
        <v/>
      </c>
      <c r="C193">
        <f>IF(A193="","",MASTER_REGISTER!C193)</f>
        <v/>
      </c>
      <c r="D193">
        <f>IF(A193="","",COUNTIF(ASSESSMENTS!B:B,A193))</f>
        <v/>
      </c>
      <c r="E193" s="4">
        <f>IF(D193=0,"",ROUND(AVERAGEIF(ASSESSMENTS!B:B,A193,ASSESSMENTS!H:H),1))</f>
        <v/>
      </c>
      <c r="F193" s="4">
        <f>IF(A193="","",IFERROR(ROUND(AVERAGEIFS(ASSESSMENTS!H:H,ASSESSMENTS!B:B,A193,ASSESSMENTS!E:E,"Mathematics"),1),""))</f>
        <v/>
      </c>
      <c r="G193" s="4">
        <f>IF(A193="","",IFERROR(ROUND(AVERAGEIFS(ASSESSMENTS!H:H,ASSESSMENTS!B:B,A193,ASSESSMENTS!E:E,"Mathematical Literacy"),1),""))</f>
        <v/>
      </c>
      <c r="H193" s="4">
        <f>IF(A193="","",IFERROR(ROUND(AVERAGEIFS(ASSESSMENTS!H:H,ASSESSMENTS!B:B,A193,ASSESSMENTS!E:E,"Physical Sciences"),1),""))</f>
        <v/>
      </c>
      <c r="I193" s="4">
        <f>IF(A193="","",IFERROR(ROUND(AVERAGEIFS(ASSESSMENTS!H:H,ASSESSMENTS!B:B,A193,ASSESSMENTS!E:E,"Geography"),1),""))</f>
        <v/>
      </c>
      <c r="J193" s="4">
        <f>IF(A193="","",IFERROR(ROUND(AVERAGEIFS(ASSESSMENTS!H:H,ASSESSMENTS!B:B,A193,ASSESSMENTS!E:E,"Accounting"),1),""))</f>
        <v/>
      </c>
      <c r="K193" s="4">
        <f>IF(A193="","",IFERROR(ROUND(AVERAGEIFS(ASSESSMENTS!H:H,ASSESSMENTS!B:B,A193,ASSESSMENTS!E:E,"English"),1),""))</f>
        <v/>
      </c>
      <c r="L193" s="5">
        <f>IF(A193="","",IFERROR(XLOOKUP(A193,ATTENDANCE_SUMMARY!A:A,ATTENDANCE_SUMMARY!G:G,""),""))</f>
        <v/>
      </c>
      <c r="M193" s="4">
        <f>IF(A193="","",IF(OR(E193&lt;50,AND(L193&lt;0.75,L193&lt;&gt;"" )),"At Risk","On Track"))</f>
        <v/>
      </c>
    </row>
    <row r="194">
      <c r="A194">
        <f>IF(MASTER_REGISTER!E194="","",MASTER_REGISTER!E194)</f>
        <v/>
      </c>
      <c r="B194">
        <f>IF(A194="","",MASTER_REGISTER!F194)</f>
        <v/>
      </c>
      <c r="C194">
        <f>IF(A194="","",MASTER_REGISTER!C194)</f>
        <v/>
      </c>
      <c r="D194">
        <f>IF(A194="","",COUNTIF(ASSESSMENTS!B:B,A194))</f>
        <v/>
      </c>
      <c r="E194" s="4">
        <f>IF(D194=0,"",ROUND(AVERAGEIF(ASSESSMENTS!B:B,A194,ASSESSMENTS!H:H),1))</f>
        <v/>
      </c>
      <c r="F194" s="4">
        <f>IF(A194="","",IFERROR(ROUND(AVERAGEIFS(ASSESSMENTS!H:H,ASSESSMENTS!B:B,A194,ASSESSMENTS!E:E,"Mathematics"),1),""))</f>
        <v/>
      </c>
      <c r="G194" s="4">
        <f>IF(A194="","",IFERROR(ROUND(AVERAGEIFS(ASSESSMENTS!H:H,ASSESSMENTS!B:B,A194,ASSESSMENTS!E:E,"Mathematical Literacy"),1),""))</f>
        <v/>
      </c>
      <c r="H194" s="4">
        <f>IF(A194="","",IFERROR(ROUND(AVERAGEIFS(ASSESSMENTS!H:H,ASSESSMENTS!B:B,A194,ASSESSMENTS!E:E,"Physical Sciences"),1),""))</f>
        <v/>
      </c>
      <c r="I194" s="4">
        <f>IF(A194="","",IFERROR(ROUND(AVERAGEIFS(ASSESSMENTS!H:H,ASSESSMENTS!B:B,A194,ASSESSMENTS!E:E,"Geography"),1),""))</f>
        <v/>
      </c>
      <c r="J194" s="4">
        <f>IF(A194="","",IFERROR(ROUND(AVERAGEIFS(ASSESSMENTS!H:H,ASSESSMENTS!B:B,A194,ASSESSMENTS!E:E,"Accounting"),1),""))</f>
        <v/>
      </c>
      <c r="K194" s="4">
        <f>IF(A194="","",IFERROR(ROUND(AVERAGEIFS(ASSESSMENTS!H:H,ASSESSMENTS!B:B,A194,ASSESSMENTS!E:E,"English"),1),""))</f>
        <v/>
      </c>
      <c r="L194" s="5">
        <f>IF(A194="","",IFERROR(XLOOKUP(A194,ATTENDANCE_SUMMARY!A:A,ATTENDANCE_SUMMARY!G:G,""),""))</f>
        <v/>
      </c>
      <c r="M194" s="4">
        <f>IF(A194="","",IF(OR(E194&lt;50,AND(L194&lt;0.75,L194&lt;&gt;"" )),"At Risk","On Track"))</f>
        <v/>
      </c>
    </row>
    <row r="195">
      <c r="A195">
        <f>IF(MASTER_REGISTER!E195="","",MASTER_REGISTER!E195)</f>
        <v/>
      </c>
      <c r="B195">
        <f>IF(A195="","",MASTER_REGISTER!F195)</f>
        <v/>
      </c>
      <c r="C195">
        <f>IF(A195="","",MASTER_REGISTER!C195)</f>
        <v/>
      </c>
      <c r="D195">
        <f>IF(A195="","",COUNTIF(ASSESSMENTS!B:B,A195))</f>
        <v/>
      </c>
      <c r="E195" s="4">
        <f>IF(D195=0,"",ROUND(AVERAGEIF(ASSESSMENTS!B:B,A195,ASSESSMENTS!H:H),1))</f>
        <v/>
      </c>
      <c r="F195" s="4">
        <f>IF(A195="","",IFERROR(ROUND(AVERAGEIFS(ASSESSMENTS!H:H,ASSESSMENTS!B:B,A195,ASSESSMENTS!E:E,"Mathematics"),1),""))</f>
        <v/>
      </c>
      <c r="G195" s="4">
        <f>IF(A195="","",IFERROR(ROUND(AVERAGEIFS(ASSESSMENTS!H:H,ASSESSMENTS!B:B,A195,ASSESSMENTS!E:E,"Mathematical Literacy"),1),""))</f>
        <v/>
      </c>
      <c r="H195" s="4">
        <f>IF(A195="","",IFERROR(ROUND(AVERAGEIFS(ASSESSMENTS!H:H,ASSESSMENTS!B:B,A195,ASSESSMENTS!E:E,"Physical Sciences"),1),""))</f>
        <v/>
      </c>
      <c r="I195" s="4">
        <f>IF(A195="","",IFERROR(ROUND(AVERAGEIFS(ASSESSMENTS!H:H,ASSESSMENTS!B:B,A195,ASSESSMENTS!E:E,"Geography"),1),""))</f>
        <v/>
      </c>
      <c r="J195" s="4">
        <f>IF(A195="","",IFERROR(ROUND(AVERAGEIFS(ASSESSMENTS!H:H,ASSESSMENTS!B:B,A195,ASSESSMENTS!E:E,"Accounting"),1),""))</f>
        <v/>
      </c>
      <c r="K195" s="4">
        <f>IF(A195="","",IFERROR(ROUND(AVERAGEIFS(ASSESSMENTS!H:H,ASSESSMENTS!B:B,A195,ASSESSMENTS!E:E,"English"),1),""))</f>
        <v/>
      </c>
      <c r="L195" s="5">
        <f>IF(A195="","",IFERROR(XLOOKUP(A195,ATTENDANCE_SUMMARY!A:A,ATTENDANCE_SUMMARY!G:G,""),""))</f>
        <v/>
      </c>
      <c r="M195" s="4">
        <f>IF(A195="","",IF(OR(E195&lt;50,AND(L195&lt;0.75,L195&lt;&gt;"" )),"At Risk","On Track"))</f>
        <v/>
      </c>
    </row>
    <row r="196">
      <c r="A196">
        <f>IF(MASTER_REGISTER!E196="","",MASTER_REGISTER!E196)</f>
        <v/>
      </c>
      <c r="B196">
        <f>IF(A196="","",MASTER_REGISTER!F196)</f>
        <v/>
      </c>
      <c r="C196">
        <f>IF(A196="","",MASTER_REGISTER!C196)</f>
        <v/>
      </c>
      <c r="D196">
        <f>IF(A196="","",COUNTIF(ASSESSMENTS!B:B,A196))</f>
        <v/>
      </c>
      <c r="E196" s="4">
        <f>IF(D196=0,"",ROUND(AVERAGEIF(ASSESSMENTS!B:B,A196,ASSESSMENTS!H:H),1))</f>
        <v/>
      </c>
      <c r="F196" s="4">
        <f>IF(A196="","",IFERROR(ROUND(AVERAGEIFS(ASSESSMENTS!H:H,ASSESSMENTS!B:B,A196,ASSESSMENTS!E:E,"Mathematics"),1),""))</f>
        <v/>
      </c>
      <c r="G196" s="4">
        <f>IF(A196="","",IFERROR(ROUND(AVERAGEIFS(ASSESSMENTS!H:H,ASSESSMENTS!B:B,A196,ASSESSMENTS!E:E,"Mathematical Literacy"),1),""))</f>
        <v/>
      </c>
      <c r="H196" s="4">
        <f>IF(A196="","",IFERROR(ROUND(AVERAGEIFS(ASSESSMENTS!H:H,ASSESSMENTS!B:B,A196,ASSESSMENTS!E:E,"Physical Sciences"),1),""))</f>
        <v/>
      </c>
      <c r="I196" s="4">
        <f>IF(A196="","",IFERROR(ROUND(AVERAGEIFS(ASSESSMENTS!H:H,ASSESSMENTS!B:B,A196,ASSESSMENTS!E:E,"Geography"),1),""))</f>
        <v/>
      </c>
      <c r="J196" s="4">
        <f>IF(A196="","",IFERROR(ROUND(AVERAGEIFS(ASSESSMENTS!H:H,ASSESSMENTS!B:B,A196,ASSESSMENTS!E:E,"Accounting"),1),""))</f>
        <v/>
      </c>
      <c r="K196" s="4">
        <f>IF(A196="","",IFERROR(ROUND(AVERAGEIFS(ASSESSMENTS!H:H,ASSESSMENTS!B:B,A196,ASSESSMENTS!E:E,"English"),1),""))</f>
        <v/>
      </c>
      <c r="L196" s="5">
        <f>IF(A196="","",IFERROR(XLOOKUP(A196,ATTENDANCE_SUMMARY!A:A,ATTENDANCE_SUMMARY!G:G,""),""))</f>
        <v/>
      </c>
      <c r="M196" s="4">
        <f>IF(A196="","",IF(OR(E196&lt;50,AND(L196&lt;0.75,L196&lt;&gt;"" )),"At Risk","On Track"))</f>
        <v/>
      </c>
    </row>
    <row r="197">
      <c r="A197">
        <f>IF(MASTER_REGISTER!E197="","",MASTER_REGISTER!E197)</f>
        <v/>
      </c>
      <c r="B197">
        <f>IF(A197="","",MASTER_REGISTER!F197)</f>
        <v/>
      </c>
      <c r="C197">
        <f>IF(A197="","",MASTER_REGISTER!C197)</f>
        <v/>
      </c>
      <c r="D197">
        <f>IF(A197="","",COUNTIF(ASSESSMENTS!B:B,A197))</f>
        <v/>
      </c>
      <c r="E197" s="4">
        <f>IF(D197=0,"",ROUND(AVERAGEIF(ASSESSMENTS!B:B,A197,ASSESSMENTS!H:H),1))</f>
        <v/>
      </c>
      <c r="F197" s="4">
        <f>IF(A197="","",IFERROR(ROUND(AVERAGEIFS(ASSESSMENTS!H:H,ASSESSMENTS!B:B,A197,ASSESSMENTS!E:E,"Mathematics"),1),""))</f>
        <v/>
      </c>
      <c r="G197" s="4">
        <f>IF(A197="","",IFERROR(ROUND(AVERAGEIFS(ASSESSMENTS!H:H,ASSESSMENTS!B:B,A197,ASSESSMENTS!E:E,"Mathematical Literacy"),1),""))</f>
        <v/>
      </c>
      <c r="H197" s="4">
        <f>IF(A197="","",IFERROR(ROUND(AVERAGEIFS(ASSESSMENTS!H:H,ASSESSMENTS!B:B,A197,ASSESSMENTS!E:E,"Physical Sciences"),1),""))</f>
        <v/>
      </c>
      <c r="I197" s="4">
        <f>IF(A197="","",IFERROR(ROUND(AVERAGEIFS(ASSESSMENTS!H:H,ASSESSMENTS!B:B,A197,ASSESSMENTS!E:E,"Geography"),1),""))</f>
        <v/>
      </c>
      <c r="J197" s="4">
        <f>IF(A197="","",IFERROR(ROUND(AVERAGEIFS(ASSESSMENTS!H:H,ASSESSMENTS!B:B,A197,ASSESSMENTS!E:E,"Accounting"),1),""))</f>
        <v/>
      </c>
      <c r="K197" s="4">
        <f>IF(A197="","",IFERROR(ROUND(AVERAGEIFS(ASSESSMENTS!H:H,ASSESSMENTS!B:B,A197,ASSESSMENTS!E:E,"English"),1),""))</f>
        <v/>
      </c>
      <c r="L197" s="5">
        <f>IF(A197="","",IFERROR(XLOOKUP(A197,ATTENDANCE_SUMMARY!A:A,ATTENDANCE_SUMMARY!G:G,""),""))</f>
        <v/>
      </c>
      <c r="M197" s="4">
        <f>IF(A197="","",IF(OR(E197&lt;50,AND(L197&lt;0.75,L197&lt;&gt;"" )),"At Risk","On Track"))</f>
        <v/>
      </c>
    </row>
    <row r="198">
      <c r="A198">
        <f>IF(MASTER_REGISTER!E198="","",MASTER_REGISTER!E198)</f>
        <v/>
      </c>
      <c r="B198">
        <f>IF(A198="","",MASTER_REGISTER!F198)</f>
        <v/>
      </c>
      <c r="C198">
        <f>IF(A198="","",MASTER_REGISTER!C198)</f>
        <v/>
      </c>
      <c r="D198">
        <f>IF(A198="","",COUNTIF(ASSESSMENTS!B:B,A198))</f>
        <v/>
      </c>
      <c r="E198" s="4">
        <f>IF(D198=0,"",ROUND(AVERAGEIF(ASSESSMENTS!B:B,A198,ASSESSMENTS!H:H),1))</f>
        <v/>
      </c>
      <c r="F198" s="4">
        <f>IF(A198="","",IFERROR(ROUND(AVERAGEIFS(ASSESSMENTS!H:H,ASSESSMENTS!B:B,A198,ASSESSMENTS!E:E,"Mathematics"),1),""))</f>
        <v/>
      </c>
      <c r="G198" s="4">
        <f>IF(A198="","",IFERROR(ROUND(AVERAGEIFS(ASSESSMENTS!H:H,ASSESSMENTS!B:B,A198,ASSESSMENTS!E:E,"Mathematical Literacy"),1),""))</f>
        <v/>
      </c>
      <c r="H198" s="4">
        <f>IF(A198="","",IFERROR(ROUND(AVERAGEIFS(ASSESSMENTS!H:H,ASSESSMENTS!B:B,A198,ASSESSMENTS!E:E,"Physical Sciences"),1),""))</f>
        <v/>
      </c>
      <c r="I198" s="4">
        <f>IF(A198="","",IFERROR(ROUND(AVERAGEIFS(ASSESSMENTS!H:H,ASSESSMENTS!B:B,A198,ASSESSMENTS!E:E,"Geography"),1),""))</f>
        <v/>
      </c>
      <c r="J198" s="4">
        <f>IF(A198="","",IFERROR(ROUND(AVERAGEIFS(ASSESSMENTS!H:H,ASSESSMENTS!B:B,A198,ASSESSMENTS!E:E,"Accounting"),1),""))</f>
        <v/>
      </c>
      <c r="K198" s="4">
        <f>IF(A198="","",IFERROR(ROUND(AVERAGEIFS(ASSESSMENTS!H:H,ASSESSMENTS!B:B,A198,ASSESSMENTS!E:E,"English"),1),""))</f>
        <v/>
      </c>
      <c r="L198" s="5">
        <f>IF(A198="","",IFERROR(XLOOKUP(A198,ATTENDANCE_SUMMARY!A:A,ATTENDANCE_SUMMARY!G:G,""),""))</f>
        <v/>
      </c>
      <c r="M198" s="4">
        <f>IF(A198="","",IF(OR(E198&lt;50,AND(L198&lt;0.75,L198&lt;&gt;"" )),"At Risk","On Track"))</f>
        <v/>
      </c>
    </row>
    <row r="199">
      <c r="A199">
        <f>IF(MASTER_REGISTER!E199="","",MASTER_REGISTER!E199)</f>
        <v/>
      </c>
      <c r="B199">
        <f>IF(A199="","",MASTER_REGISTER!F199)</f>
        <v/>
      </c>
      <c r="C199">
        <f>IF(A199="","",MASTER_REGISTER!C199)</f>
        <v/>
      </c>
      <c r="D199">
        <f>IF(A199="","",COUNTIF(ASSESSMENTS!B:B,A199))</f>
        <v/>
      </c>
      <c r="E199" s="4">
        <f>IF(D199=0,"",ROUND(AVERAGEIF(ASSESSMENTS!B:B,A199,ASSESSMENTS!H:H),1))</f>
        <v/>
      </c>
      <c r="F199" s="4">
        <f>IF(A199="","",IFERROR(ROUND(AVERAGEIFS(ASSESSMENTS!H:H,ASSESSMENTS!B:B,A199,ASSESSMENTS!E:E,"Mathematics"),1),""))</f>
        <v/>
      </c>
      <c r="G199" s="4">
        <f>IF(A199="","",IFERROR(ROUND(AVERAGEIFS(ASSESSMENTS!H:H,ASSESSMENTS!B:B,A199,ASSESSMENTS!E:E,"Mathematical Literacy"),1),""))</f>
        <v/>
      </c>
      <c r="H199" s="4">
        <f>IF(A199="","",IFERROR(ROUND(AVERAGEIFS(ASSESSMENTS!H:H,ASSESSMENTS!B:B,A199,ASSESSMENTS!E:E,"Physical Sciences"),1),""))</f>
        <v/>
      </c>
      <c r="I199" s="4">
        <f>IF(A199="","",IFERROR(ROUND(AVERAGEIFS(ASSESSMENTS!H:H,ASSESSMENTS!B:B,A199,ASSESSMENTS!E:E,"Geography"),1),""))</f>
        <v/>
      </c>
      <c r="J199" s="4">
        <f>IF(A199="","",IFERROR(ROUND(AVERAGEIFS(ASSESSMENTS!H:H,ASSESSMENTS!B:B,A199,ASSESSMENTS!E:E,"Accounting"),1),""))</f>
        <v/>
      </c>
      <c r="K199" s="4">
        <f>IF(A199="","",IFERROR(ROUND(AVERAGEIFS(ASSESSMENTS!H:H,ASSESSMENTS!B:B,A199,ASSESSMENTS!E:E,"English"),1),""))</f>
        <v/>
      </c>
      <c r="L199" s="5">
        <f>IF(A199="","",IFERROR(XLOOKUP(A199,ATTENDANCE_SUMMARY!A:A,ATTENDANCE_SUMMARY!G:G,""),""))</f>
        <v/>
      </c>
      <c r="M199" s="4">
        <f>IF(A199="","",IF(OR(E199&lt;50,AND(L199&lt;0.75,L199&lt;&gt;"" )),"At Risk","On Track"))</f>
        <v/>
      </c>
    </row>
    <row r="200">
      <c r="A200">
        <f>IF(MASTER_REGISTER!E200="","",MASTER_REGISTER!E200)</f>
        <v/>
      </c>
      <c r="B200">
        <f>IF(A200="","",MASTER_REGISTER!F200)</f>
        <v/>
      </c>
      <c r="C200">
        <f>IF(A200="","",MASTER_REGISTER!C200)</f>
        <v/>
      </c>
      <c r="D200">
        <f>IF(A200="","",COUNTIF(ASSESSMENTS!B:B,A200))</f>
        <v/>
      </c>
      <c r="E200" s="4">
        <f>IF(D200=0,"",ROUND(AVERAGEIF(ASSESSMENTS!B:B,A200,ASSESSMENTS!H:H),1))</f>
        <v/>
      </c>
      <c r="F200" s="4">
        <f>IF(A200="","",IFERROR(ROUND(AVERAGEIFS(ASSESSMENTS!H:H,ASSESSMENTS!B:B,A200,ASSESSMENTS!E:E,"Mathematics"),1),""))</f>
        <v/>
      </c>
      <c r="G200" s="4">
        <f>IF(A200="","",IFERROR(ROUND(AVERAGEIFS(ASSESSMENTS!H:H,ASSESSMENTS!B:B,A200,ASSESSMENTS!E:E,"Mathematical Literacy"),1),""))</f>
        <v/>
      </c>
      <c r="H200" s="4">
        <f>IF(A200="","",IFERROR(ROUND(AVERAGEIFS(ASSESSMENTS!H:H,ASSESSMENTS!B:B,A200,ASSESSMENTS!E:E,"Physical Sciences"),1),""))</f>
        <v/>
      </c>
      <c r="I200" s="4">
        <f>IF(A200="","",IFERROR(ROUND(AVERAGEIFS(ASSESSMENTS!H:H,ASSESSMENTS!B:B,A200,ASSESSMENTS!E:E,"Geography"),1),""))</f>
        <v/>
      </c>
      <c r="J200" s="4">
        <f>IF(A200="","",IFERROR(ROUND(AVERAGEIFS(ASSESSMENTS!H:H,ASSESSMENTS!B:B,A200,ASSESSMENTS!E:E,"Accounting"),1),""))</f>
        <v/>
      </c>
      <c r="K200" s="4">
        <f>IF(A200="","",IFERROR(ROUND(AVERAGEIFS(ASSESSMENTS!H:H,ASSESSMENTS!B:B,A200,ASSESSMENTS!E:E,"English"),1),""))</f>
        <v/>
      </c>
      <c r="L200" s="5">
        <f>IF(A200="","",IFERROR(XLOOKUP(A200,ATTENDANCE_SUMMARY!A:A,ATTENDANCE_SUMMARY!G:G,""),""))</f>
        <v/>
      </c>
      <c r="M200" s="4">
        <f>IF(A200="","",IF(OR(E200&lt;50,AND(L200&lt;0.75,L200&lt;&gt;"" )),"At Risk","On Track"))</f>
        <v/>
      </c>
    </row>
    <row r="201">
      <c r="A201">
        <f>IF(MASTER_REGISTER!E201="","",MASTER_REGISTER!E201)</f>
        <v/>
      </c>
      <c r="B201">
        <f>IF(A201="","",MASTER_REGISTER!F201)</f>
        <v/>
      </c>
      <c r="C201">
        <f>IF(A201="","",MASTER_REGISTER!C201)</f>
        <v/>
      </c>
      <c r="D201">
        <f>IF(A201="","",COUNTIF(ASSESSMENTS!B:B,A201))</f>
        <v/>
      </c>
      <c r="E201" s="4">
        <f>IF(D201=0,"",ROUND(AVERAGEIF(ASSESSMENTS!B:B,A201,ASSESSMENTS!H:H),1))</f>
        <v/>
      </c>
      <c r="F201" s="4">
        <f>IF(A201="","",IFERROR(ROUND(AVERAGEIFS(ASSESSMENTS!H:H,ASSESSMENTS!B:B,A201,ASSESSMENTS!E:E,"Mathematics"),1),""))</f>
        <v/>
      </c>
      <c r="G201" s="4">
        <f>IF(A201="","",IFERROR(ROUND(AVERAGEIFS(ASSESSMENTS!H:H,ASSESSMENTS!B:B,A201,ASSESSMENTS!E:E,"Mathematical Literacy"),1),""))</f>
        <v/>
      </c>
      <c r="H201" s="4">
        <f>IF(A201="","",IFERROR(ROUND(AVERAGEIFS(ASSESSMENTS!H:H,ASSESSMENTS!B:B,A201,ASSESSMENTS!E:E,"Physical Sciences"),1),""))</f>
        <v/>
      </c>
      <c r="I201" s="4">
        <f>IF(A201="","",IFERROR(ROUND(AVERAGEIFS(ASSESSMENTS!H:H,ASSESSMENTS!B:B,A201,ASSESSMENTS!E:E,"Geography"),1),""))</f>
        <v/>
      </c>
      <c r="J201" s="4">
        <f>IF(A201="","",IFERROR(ROUND(AVERAGEIFS(ASSESSMENTS!H:H,ASSESSMENTS!B:B,A201,ASSESSMENTS!E:E,"Accounting"),1),""))</f>
        <v/>
      </c>
      <c r="K201" s="4">
        <f>IF(A201="","",IFERROR(ROUND(AVERAGEIFS(ASSESSMENTS!H:H,ASSESSMENTS!B:B,A201,ASSESSMENTS!E:E,"English"),1),""))</f>
        <v/>
      </c>
      <c r="L201" s="5">
        <f>IF(A201="","",IFERROR(XLOOKUP(A201,ATTENDANCE_SUMMARY!A:A,ATTENDANCE_SUMMARY!G:G,""),""))</f>
        <v/>
      </c>
      <c r="M201" s="4">
        <f>IF(A201="","",IF(OR(E201&lt;50,AND(L201&lt;0.75,L201&lt;&gt;"" )),"At Risk","On Track"))</f>
        <v/>
      </c>
    </row>
    <row r="202">
      <c r="A202">
        <f>IF(MASTER_REGISTER!E202="","",MASTER_REGISTER!E202)</f>
        <v/>
      </c>
      <c r="B202">
        <f>IF(A202="","",MASTER_REGISTER!F202)</f>
        <v/>
      </c>
      <c r="C202">
        <f>IF(A202="","",MASTER_REGISTER!C202)</f>
        <v/>
      </c>
      <c r="D202">
        <f>IF(A202="","",COUNTIF(ASSESSMENTS!B:B,A202))</f>
        <v/>
      </c>
      <c r="E202" s="4">
        <f>IF(D202=0,"",ROUND(AVERAGEIF(ASSESSMENTS!B:B,A202,ASSESSMENTS!H:H),1))</f>
        <v/>
      </c>
      <c r="F202" s="4">
        <f>IF(A202="","",IFERROR(ROUND(AVERAGEIFS(ASSESSMENTS!H:H,ASSESSMENTS!B:B,A202,ASSESSMENTS!E:E,"Mathematics"),1),""))</f>
        <v/>
      </c>
      <c r="G202" s="4">
        <f>IF(A202="","",IFERROR(ROUND(AVERAGEIFS(ASSESSMENTS!H:H,ASSESSMENTS!B:B,A202,ASSESSMENTS!E:E,"Mathematical Literacy"),1),""))</f>
        <v/>
      </c>
      <c r="H202" s="4">
        <f>IF(A202="","",IFERROR(ROUND(AVERAGEIFS(ASSESSMENTS!H:H,ASSESSMENTS!B:B,A202,ASSESSMENTS!E:E,"Physical Sciences"),1),""))</f>
        <v/>
      </c>
      <c r="I202" s="4">
        <f>IF(A202="","",IFERROR(ROUND(AVERAGEIFS(ASSESSMENTS!H:H,ASSESSMENTS!B:B,A202,ASSESSMENTS!E:E,"Geography"),1),""))</f>
        <v/>
      </c>
      <c r="J202" s="4">
        <f>IF(A202="","",IFERROR(ROUND(AVERAGEIFS(ASSESSMENTS!H:H,ASSESSMENTS!B:B,A202,ASSESSMENTS!E:E,"Accounting"),1),""))</f>
        <v/>
      </c>
      <c r="K202" s="4">
        <f>IF(A202="","",IFERROR(ROUND(AVERAGEIFS(ASSESSMENTS!H:H,ASSESSMENTS!B:B,A202,ASSESSMENTS!E:E,"English"),1),""))</f>
        <v/>
      </c>
      <c r="L202" s="5">
        <f>IF(A202="","",IFERROR(XLOOKUP(A202,ATTENDANCE_SUMMARY!A:A,ATTENDANCE_SUMMARY!G:G,""),""))</f>
        <v/>
      </c>
      <c r="M202" s="4">
        <f>IF(A202="","",IF(OR(E202&lt;50,AND(L202&lt;0.75,L202&lt;&gt;"" )),"At Risk","On Track"))</f>
        <v/>
      </c>
    </row>
    <row r="203">
      <c r="A203">
        <f>IF(MASTER_REGISTER!E203="","",MASTER_REGISTER!E203)</f>
        <v/>
      </c>
      <c r="B203">
        <f>IF(A203="","",MASTER_REGISTER!F203)</f>
        <v/>
      </c>
      <c r="C203">
        <f>IF(A203="","",MASTER_REGISTER!C203)</f>
        <v/>
      </c>
      <c r="D203">
        <f>IF(A203="","",COUNTIF(ASSESSMENTS!B:B,A203))</f>
        <v/>
      </c>
      <c r="E203" s="4">
        <f>IF(D203=0,"",ROUND(AVERAGEIF(ASSESSMENTS!B:B,A203,ASSESSMENTS!H:H),1))</f>
        <v/>
      </c>
      <c r="F203" s="4">
        <f>IF(A203="","",IFERROR(ROUND(AVERAGEIFS(ASSESSMENTS!H:H,ASSESSMENTS!B:B,A203,ASSESSMENTS!E:E,"Mathematics"),1),""))</f>
        <v/>
      </c>
      <c r="G203" s="4">
        <f>IF(A203="","",IFERROR(ROUND(AVERAGEIFS(ASSESSMENTS!H:H,ASSESSMENTS!B:B,A203,ASSESSMENTS!E:E,"Mathematical Literacy"),1),""))</f>
        <v/>
      </c>
      <c r="H203" s="4">
        <f>IF(A203="","",IFERROR(ROUND(AVERAGEIFS(ASSESSMENTS!H:H,ASSESSMENTS!B:B,A203,ASSESSMENTS!E:E,"Physical Sciences"),1),""))</f>
        <v/>
      </c>
      <c r="I203" s="4">
        <f>IF(A203="","",IFERROR(ROUND(AVERAGEIFS(ASSESSMENTS!H:H,ASSESSMENTS!B:B,A203,ASSESSMENTS!E:E,"Geography"),1),""))</f>
        <v/>
      </c>
      <c r="J203" s="4">
        <f>IF(A203="","",IFERROR(ROUND(AVERAGEIFS(ASSESSMENTS!H:H,ASSESSMENTS!B:B,A203,ASSESSMENTS!E:E,"Accounting"),1),""))</f>
        <v/>
      </c>
      <c r="K203" s="4">
        <f>IF(A203="","",IFERROR(ROUND(AVERAGEIFS(ASSESSMENTS!H:H,ASSESSMENTS!B:B,A203,ASSESSMENTS!E:E,"English"),1),""))</f>
        <v/>
      </c>
      <c r="L203" s="5">
        <f>IF(A203="","",IFERROR(XLOOKUP(A203,ATTENDANCE_SUMMARY!A:A,ATTENDANCE_SUMMARY!G:G,""),""))</f>
        <v/>
      </c>
      <c r="M203" s="4">
        <f>IF(A203="","",IF(OR(E203&lt;50,AND(L203&lt;0.75,L203&lt;&gt;"" )),"At Risk","On Track"))</f>
        <v/>
      </c>
    </row>
    <row r="204">
      <c r="A204">
        <f>IF(MASTER_REGISTER!E204="","",MASTER_REGISTER!E204)</f>
        <v/>
      </c>
      <c r="B204">
        <f>IF(A204="","",MASTER_REGISTER!F204)</f>
        <v/>
      </c>
      <c r="C204">
        <f>IF(A204="","",MASTER_REGISTER!C204)</f>
        <v/>
      </c>
      <c r="D204">
        <f>IF(A204="","",COUNTIF(ASSESSMENTS!B:B,A204))</f>
        <v/>
      </c>
      <c r="E204" s="4">
        <f>IF(D204=0,"",ROUND(AVERAGEIF(ASSESSMENTS!B:B,A204,ASSESSMENTS!H:H),1))</f>
        <v/>
      </c>
      <c r="F204" s="4">
        <f>IF(A204="","",IFERROR(ROUND(AVERAGEIFS(ASSESSMENTS!H:H,ASSESSMENTS!B:B,A204,ASSESSMENTS!E:E,"Mathematics"),1),""))</f>
        <v/>
      </c>
      <c r="G204" s="4">
        <f>IF(A204="","",IFERROR(ROUND(AVERAGEIFS(ASSESSMENTS!H:H,ASSESSMENTS!B:B,A204,ASSESSMENTS!E:E,"Mathematical Literacy"),1),""))</f>
        <v/>
      </c>
      <c r="H204" s="4">
        <f>IF(A204="","",IFERROR(ROUND(AVERAGEIFS(ASSESSMENTS!H:H,ASSESSMENTS!B:B,A204,ASSESSMENTS!E:E,"Physical Sciences"),1),""))</f>
        <v/>
      </c>
      <c r="I204" s="4">
        <f>IF(A204="","",IFERROR(ROUND(AVERAGEIFS(ASSESSMENTS!H:H,ASSESSMENTS!B:B,A204,ASSESSMENTS!E:E,"Geography"),1),""))</f>
        <v/>
      </c>
      <c r="J204" s="4">
        <f>IF(A204="","",IFERROR(ROUND(AVERAGEIFS(ASSESSMENTS!H:H,ASSESSMENTS!B:B,A204,ASSESSMENTS!E:E,"Accounting"),1),""))</f>
        <v/>
      </c>
      <c r="K204" s="4">
        <f>IF(A204="","",IFERROR(ROUND(AVERAGEIFS(ASSESSMENTS!H:H,ASSESSMENTS!B:B,A204,ASSESSMENTS!E:E,"English"),1),""))</f>
        <v/>
      </c>
      <c r="L204" s="5">
        <f>IF(A204="","",IFERROR(XLOOKUP(A204,ATTENDANCE_SUMMARY!A:A,ATTENDANCE_SUMMARY!G:G,""),""))</f>
        <v/>
      </c>
      <c r="M204" s="4">
        <f>IF(A204="","",IF(OR(E204&lt;50,AND(L204&lt;0.75,L204&lt;&gt;"" )),"At Risk","On Track"))</f>
        <v/>
      </c>
    </row>
    <row r="205">
      <c r="A205">
        <f>IF(MASTER_REGISTER!E205="","",MASTER_REGISTER!E205)</f>
        <v/>
      </c>
      <c r="B205">
        <f>IF(A205="","",MASTER_REGISTER!F205)</f>
        <v/>
      </c>
      <c r="C205">
        <f>IF(A205="","",MASTER_REGISTER!C205)</f>
        <v/>
      </c>
      <c r="D205">
        <f>IF(A205="","",COUNTIF(ASSESSMENTS!B:B,A205))</f>
        <v/>
      </c>
      <c r="E205" s="4">
        <f>IF(D205=0,"",ROUND(AVERAGEIF(ASSESSMENTS!B:B,A205,ASSESSMENTS!H:H),1))</f>
        <v/>
      </c>
      <c r="F205" s="4">
        <f>IF(A205="","",IFERROR(ROUND(AVERAGEIFS(ASSESSMENTS!H:H,ASSESSMENTS!B:B,A205,ASSESSMENTS!E:E,"Mathematics"),1),""))</f>
        <v/>
      </c>
      <c r="G205" s="4">
        <f>IF(A205="","",IFERROR(ROUND(AVERAGEIFS(ASSESSMENTS!H:H,ASSESSMENTS!B:B,A205,ASSESSMENTS!E:E,"Mathematical Literacy"),1),""))</f>
        <v/>
      </c>
      <c r="H205" s="4">
        <f>IF(A205="","",IFERROR(ROUND(AVERAGEIFS(ASSESSMENTS!H:H,ASSESSMENTS!B:B,A205,ASSESSMENTS!E:E,"Physical Sciences"),1),""))</f>
        <v/>
      </c>
      <c r="I205" s="4">
        <f>IF(A205="","",IFERROR(ROUND(AVERAGEIFS(ASSESSMENTS!H:H,ASSESSMENTS!B:B,A205,ASSESSMENTS!E:E,"Geography"),1),""))</f>
        <v/>
      </c>
      <c r="J205" s="4">
        <f>IF(A205="","",IFERROR(ROUND(AVERAGEIFS(ASSESSMENTS!H:H,ASSESSMENTS!B:B,A205,ASSESSMENTS!E:E,"Accounting"),1),""))</f>
        <v/>
      </c>
      <c r="K205" s="4">
        <f>IF(A205="","",IFERROR(ROUND(AVERAGEIFS(ASSESSMENTS!H:H,ASSESSMENTS!B:B,A205,ASSESSMENTS!E:E,"English"),1),""))</f>
        <v/>
      </c>
      <c r="L205" s="5">
        <f>IF(A205="","",IFERROR(XLOOKUP(A205,ATTENDANCE_SUMMARY!A:A,ATTENDANCE_SUMMARY!G:G,""),""))</f>
        <v/>
      </c>
      <c r="M205" s="4">
        <f>IF(A205="","",IF(OR(E205&lt;50,AND(L205&lt;0.75,L205&lt;&gt;"" )),"At Risk","On Track"))</f>
        <v/>
      </c>
    </row>
    <row r="206">
      <c r="A206">
        <f>IF(MASTER_REGISTER!E206="","",MASTER_REGISTER!E206)</f>
        <v/>
      </c>
      <c r="B206">
        <f>IF(A206="","",MASTER_REGISTER!F206)</f>
        <v/>
      </c>
      <c r="C206">
        <f>IF(A206="","",MASTER_REGISTER!C206)</f>
        <v/>
      </c>
      <c r="D206">
        <f>IF(A206="","",COUNTIF(ASSESSMENTS!B:B,A206))</f>
        <v/>
      </c>
      <c r="E206" s="4">
        <f>IF(D206=0,"",ROUND(AVERAGEIF(ASSESSMENTS!B:B,A206,ASSESSMENTS!H:H),1))</f>
        <v/>
      </c>
      <c r="F206" s="4">
        <f>IF(A206="","",IFERROR(ROUND(AVERAGEIFS(ASSESSMENTS!H:H,ASSESSMENTS!B:B,A206,ASSESSMENTS!E:E,"Mathematics"),1),""))</f>
        <v/>
      </c>
      <c r="G206" s="4">
        <f>IF(A206="","",IFERROR(ROUND(AVERAGEIFS(ASSESSMENTS!H:H,ASSESSMENTS!B:B,A206,ASSESSMENTS!E:E,"Mathematical Literacy"),1),""))</f>
        <v/>
      </c>
      <c r="H206" s="4">
        <f>IF(A206="","",IFERROR(ROUND(AVERAGEIFS(ASSESSMENTS!H:H,ASSESSMENTS!B:B,A206,ASSESSMENTS!E:E,"Physical Sciences"),1),""))</f>
        <v/>
      </c>
      <c r="I206" s="4">
        <f>IF(A206="","",IFERROR(ROUND(AVERAGEIFS(ASSESSMENTS!H:H,ASSESSMENTS!B:B,A206,ASSESSMENTS!E:E,"Geography"),1),""))</f>
        <v/>
      </c>
      <c r="J206" s="4">
        <f>IF(A206="","",IFERROR(ROUND(AVERAGEIFS(ASSESSMENTS!H:H,ASSESSMENTS!B:B,A206,ASSESSMENTS!E:E,"Accounting"),1),""))</f>
        <v/>
      </c>
      <c r="K206" s="4">
        <f>IF(A206="","",IFERROR(ROUND(AVERAGEIFS(ASSESSMENTS!H:H,ASSESSMENTS!B:B,A206,ASSESSMENTS!E:E,"English"),1),""))</f>
        <v/>
      </c>
      <c r="L206" s="5">
        <f>IF(A206="","",IFERROR(XLOOKUP(A206,ATTENDANCE_SUMMARY!A:A,ATTENDANCE_SUMMARY!G:G,""),""))</f>
        <v/>
      </c>
      <c r="M206" s="4">
        <f>IF(A206="","",IF(OR(E206&lt;50,AND(L206&lt;0.75,L206&lt;&gt;"" )),"At Risk","On Track"))</f>
        <v/>
      </c>
    </row>
    <row r="207">
      <c r="A207">
        <f>IF(MASTER_REGISTER!E207="","",MASTER_REGISTER!E207)</f>
        <v/>
      </c>
      <c r="B207">
        <f>IF(A207="","",MASTER_REGISTER!F207)</f>
        <v/>
      </c>
      <c r="C207">
        <f>IF(A207="","",MASTER_REGISTER!C207)</f>
        <v/>
      </c>
      <c r="D207">
        <f>IF(A207="","",COUNTIF(ASSESSMENTS!B:B,A207))</f>
        <v/>
      </c>
      <c r="E207" s="4">
        <f>IF(D207=0,"",ROUND(AVERAGEIF(ASSESSMENTS!B:B,A207,ASSESSMENTS!H:H),1))</f>
        <v/>
      </c>
      <c r="F207" s="4">
        <f>IF(A207="","",IFERROR(ROUND(AVERAGEIFS(ASSESSMENTS!H:H,ASSESSMENTS!B:B,A207,ASSESSMENTS!E:E,"Mathematics"),1),""))</f>
        <v/>
      </c>
      <c r="G207" s="4">
        <f>IF(A207="","",IFERROR(ROUND(AVERAGEIFS(ASSESSMENTS!H:H,ASSESSMENTS!B:B,A207,ASSESSMENTS!E:E,"Mathematical Literacy"),1),""))</f>
        <v/>
      </c>
      <c r="H207" s="4">
        <f>IF(A207="","",IFERROR(ROUND(AVERAGEIFS(ASSESSMENTS!H:H,ASSESSMENTS!B:B,A207,ASSESSMENTS!E:E,"Physical Sciences"),1),""))</f>
        <v/>
      </c>
      <c r="I207" s="4">
        <f>IF(A207="","",IFERROR(ROUND(AVERAGEIFS(ASSESSMENTS!H:H,ASSESSMENTS!B:B,A207,ASSESSMENTS!E:E,"Geography"),1),""))</f>
        <v/>
      </c>
      <c r="J207" s="4">
        <f>IF(A207="","",IFERROR(ROUND(AVERAGEIFS(ASSESSMENTS!H:H,ASSESSMENTS!B:B,A207,ASSESSMENTS!E:E,"Accounting"),1),""))</f>
        <v/>
      </c>
      <c r="K207" s="4">
        <f>IF(A207="","",IFERROR(ROUND(AVERAGEIFS(ASSESSMENTS!H:H,ASSESSMENTS!B:B,A207,ASSESSMENTS!E:E,"English"),1),""))</f>
        <v/>
      </c>
      <c r="L207" s="5">
        <f>IF(A207="","",IFERROR(XLOOKUP(A207,ATTENDANCE_SUMMARY!A:A,ATTENDANCE_SUMMARY!G:G,""),""))</f>
        <v/>
      </c>
      <c r="M207" s="4">
        <f>IF(A207="","",IF(OR(E207&lt;50,AND(L207&lt;0.75,L207&lt;&gt;"" )),"At Risk","On Track"))</f>
        <v/>
      </c>
    </row>
    <row r="208">
      <c r="A208">
        <f>IF(MASTER_REGISTER!E208="","",MASTER_REGISTER!E208)</f>
        <v/>
      </c>
      <c r="B208">
        <f>IF(A208="","",MASTER_REGISTER!F208)</f>
        <v/>
      </c>
      <c r="C208">
        <f>IF(A208="","",MASTER_REGISTER!C208)</f>
        <v/>
      </c>
      <c r="D208">
        <f>IF(A208="","",COUNTIF(ASSESSMENTS!B:B,A208))</f>
        <v/>
      </c>
      <c r="E208" s="4">
        <f>IF(D208=0,"",ROUND(AVERAGEIF(ASSESSMENTS!B:B,A208,ASSESSMENTS!H:H),1))</f>
        <v/>
      </c>
      <c r="F208" s="4">
        <f>IF(A208="","",IFERROR(ROUND(AVERAGEIFS(ASSESSMENTS!H:H,ASSESSMENTS!B:B,A208,ASSESSMENTS!E:E,"Mathematics"),1),""))</f>
        <v/>
      </c>
      <c r="G208" s="4">
        <f>IF(A208="","",IFERROR(ROUND(AVERAGEIFS(ASSESSMENTS!H:H,ASSESSMENTS!B:B,A208,ASSESSMENTS!E:E,"Mathematical Literacy"),1),""))</f>
        <v/>
      </c>
      <c r="H208" s="4">
        <f>IF(A208="","",IFERROR(ROUND(AVERAGEIFS(ASSESSMENTS!H:H,ASSESSMENTS!B:B,A208,ASSESSMENTS!E:E,"Physical Sciences"),1),""))</f>
        <v/>
      </c>
      <c r="I208" s="4">
        <f>IF(A208="","",IFERROR(ROUND(AVERAGEIFS(ASSESSMENTS!H:H,ASSESSMENTS!B:B,A208,ASSESSMENTS!E:E,"Geography"),1),""))</f>
        <v/>
      </c>
      <c r="J208" s="4">
        <f>IF(A208="","",IFERROR(ROUND(AVERAGEIFS(ASSESSMENTS!H:H,ASSESSMENTS!B:B,A208,ASSESSMENTS!E:E,"Accounting"),1),""))</f>
        <v/>
      </c>
      <c r="K208" s="4">
        <f>IF(A208="","",IFERROR(ROUND(AVERAGEIFS(ASSESSMENTS!H:H,ASSESSMENTS!B:B,A208,ASSESSMENTS!E:E,"English"),1),""))</f>
        <v/>
      </c>
      <c r="L208" s="5">
        <f>IF(A208="","",IFERROR(XLOOKUP(A208,ATTENDANCE_SUMMARY!A:A,ATTENDANCE_SUMMARY!G:G,""),""))</f>
        <v/>
      </c>
      <c r="M208" s="4">
        <f>IF(A208="","",IF(OR(E208&lt;50,AND(L208&lt;0.75,L208&lt;&gt;"" )),"At Risk","On Track"))</f>
        <v/>
      </c>
    </row>
    <row r="209">
      <c r="A209">
        <f>IF(MASTER_REGISTER!E209="","",MASTER_REGISTER!E209)</f>
        <v/>
      </c>
      <c r="B209">
        <f>IF(A209="","",MASTER_REGISTER!F209)</f>
        <v/>
      </c>
      <c r="C209">
        <f>IF(A209="","",MASTER_REGISTER!C209)</f>
        <v/>
      </c>
      <c r="D209">
        <f>IF(A209="","",COUNTIF(ASSESSMENTS!B:B,A209))</f>
        <v/>
      </c>
      <c r="E209" s="4">
        <f>IF(D209=0,"",ROUND(AVERAGEIF(ASSESSMENTS!B:B,A209,ASSESSMENTS!H:H),1))</f>
        <v/>
      </c>
      <c r="F209" s="4">
        <f>IF(A209="","",IFERROR(ROUND(AVERAGEIFS(ASSESSMENTS!H:H,ASSESSMENTS!B:B,A209,ASSESSMENTS!E:E,"Mathematics"),1),""))</f>
        <v/>
      </c>
      <c r="G209" s="4">
        <f>IF(A209="","",IFERROR(ROUND(AVERAGEIFS(ASSESSMENTS!H:H,ASSESSMENTS!B:B,A209,ASSESSMENTS!E:E,"Mathematical Literacy"),1),""))</f>
        <v/>
      </c>
      <c r="H209" s="4">
        <f>IF(A209="","",IFERROR(ROUND(AVERAGEIFS(ASSESSMENTS!H:H,ASSESSMENTS!B:B,A209,ASSESSMENTS!E:E,"Physical Sciences"),1),""))</f>
        <v/>
      </c>
      <c r="I209" s="4">
        <f>IF(A209="","",IFERROR(ROUND(AVERAGEIFS(ASSESSMENTS!H:H,ASSESSMENTS!B:B,A209,ASSESSMENTS!E:E,"Geography"),1),""))</f>
        <v/>
      </c>
      <c r="J209" s="4">
        <f>IF(A209="","",IFERROR(ROUND(AVERAGEIFS(ASSESSMENTS!H:H,ASSESSMENTS!B:B,A209,ASSESSMENTS!E:E,"Accounting"),1),""))</f>
        <v/>
      </c>
      <c r="K209" s="4">
        <f>IF(A209="","",IFERROR(ROUND(AVERAGEIFS(ASSESSMENTS!H:H,ASSESSMENTS!B:B,A209,ASSESSMENTS!E:E,"English"),1),""))</f>
        <v/>
      </c>
      <c r="L209" s="5">
        <f>IF(A209="","",IFERROR(XLOOKUP(A209,ATTENDANCE_SUMMARY!A:A,ATTENDANCE_SUMMARY!G:G,""),""))</f>
        <v/>
      </c>
      <c r="M209" s="4">
        <f>IF(A209="","",IF(OR(E209&lt;50,AND(L209&lt;0.75,L209&lt;&gt;"" )),"At Risk","On Track"))</f>
        <v/>
      </c>
    </row>
    <row r="210">
      <c r="A210">
        <f>IF(MASTER_REGISTER!E210="","",MASTER_REGISTER!E210)</f>
        <v/>
      </c>
      <c r="B210">
        <f>IF(A210="","",MASTER_REGISTER!F210)</f>
        <v/>
      </c>
      <c r="C210">
        <f>IF(A210="","",MASTER_REGISTER!C210)</f>
        <v/>
      </c>
      <c r="D210">
        <f>IF(A210="","",COUNTIF(ASSESSMENTS!B:B,A210))</f>
        <v/>
      </c>
      <c r="E210" s="4">
        <f>IF(D210=0,"",ROUND(AVERAGEIF(ASSESSMENTS!B:B,A210,ASSESSMENTS!H:H),1))</f>
        <v/>
      </c>
      <c r="F210" s="4">
        <f>IF(A210="","",IFERROR(ROUND(AVERAGEIFS(ASSESSMENTS!H:H,ASSESSMENTS!B:B,A210,ASSESSMENTS!E:E,"Mathematics"),1),""))</f>
        <v/>
      </c>
      <c r="G210" s="4">
        <f>IF(A210="","",IFERROR(ROUND(AVERAGEIFS(ASSESSMENTS!H:H,ASSESSMENTS!B:B,A210,ASSESSMENTS!E:E,"Mathematical Literacy"),1),""))</f>
        <v/>
      </c>
      <c r="H210" s="4">
        <f>IF(A210="","",IFERROR(ROUND(AVERAGEIFS(ASSESSMENTS!H:H,ASSESSMENTS!B:B,A210,ASSESSMENTS!E:E,"Physical Sciences"),1),""))</f>
        <v/>
      </c>
      <c r="I210" s="4">
        <f>IF(A210="","",IFERROR(ROUND(AVERAGEIFS(ASSESSMENTS!H:H,ASSESSMENTS!B:B,A210,ASSESSMENTS!E:E,"Geography"),1),""))</f>
        <v/>
      </c>
      <c r="J210" s="4">
        <f>IF(A210="","",IFERROR(ROUND(AVERAGEIFS(ASSESSMENTS!H:H,ASSESSMENTS!B:B,A210,ASSESSMENTS!E:E,"Accounting"),1),""))</f>
        <v/>
      </c>
      <c r="K210" s="4">
        <f>IF(A210="","",IFERROR(ROUND(AVERAGEIFS(ASSESSMENTS!H:H,ASSESSMENTS!B:B,A210,ASSESSMENTS!E:E,"English"),1),""))</f>
        <v/>
      </c>
      <c r="L210" s="5">
        <f>IF(A210="","",IFERROR(XLOOKUP(A210,ATTENDANCE_SUMMARY!A:A,ATTENDANCE_SUMMARY!G:G,""),""))</f>
        <v/>
      </c>
      <c r="M210" s="4">
        <f>IF(A210="","",IF(OR(E210&lt;50,AND(L210&lt;0.75,L210&lt;&gt;"" )),"At Risk","On Track"))</f>
        <v/>
      </c>
    </row>
    <row r="211">
      <c r="A211">
        <f>IF(MASTER_REGISTER!E211="","",MASTER_REGISTER!E211)</f>
        <v/>
      </c>
      <c r="B211">
        <f>IF(A211="","",MASTER_REGISTER!F211)</f>
        <v/>
      </c>
      <c r="C211">
        <f>IF(A211="","",MASTER_REGISTER!C211)</f>
        <v/>
      </c>
      <c r="D211">
        <f>IF(A211="","",COUNTIF(ASSESSMENTS!B:B,A211))</f>
        <v/>
      </c>
      <c r="E211" s="4">
        <f>IF(D211=0,"",ROUND(AVERAGEIF(ASSESSMENTS!B:B,A211,ASSESSMENTS!H:H),1))</f>
        <v/>
      </c>
      <c r="F211" s="4">
        <f>IF(A211="","",IFERROR(ROUND(AVERAGEIFS(ASSESSMENTS!H:H,ASSESSMENTS!B:B,A211,ASSESSMENTS!E:E,"Mathematics"),1),""))</f>
        <v/>
      </c>
      <c r="G211" s="4">
        <f>IF(A211="","",IFERROR(ROUND(AVERAGEIFS(ASSESSMENTS!H:H,ASSESSMENTS!B:B,A211,ASSESSMENTS!E:E,"Mathematical Literacy"),1),""))</f>
        <v/>
      </c>
      <c r="H211" s="4">
        <f>IF(A211="","",IFERROR(ROUND(AVERAGEIFS(ASSESSMENTS!H:H,ASSESSMENTS!B:B,A211,ASSESSMENTS!E:E,"Physical Sciences"),1),""))</f>
        <v/>
      </c>
      <c r="I211" s="4">
        <f>IF(A211="","",IFERROR(ROUND(AVERAGEIFS(ASSESSMENTS!H:H,ASSESSMENTS!B:B,A211,ASSESSMENTS!E:E,"Geography"),1),""))</f>
        <v/>
      </c>
      <c r="J211" s="4">
        <f>IF(A211="","",IFERROR(ROUND(AVERAGEIFS(ASSESSMENTS!H:H,ASSESSMENTS!B:B,A211,ASSESSMENTS!E:E,"Accounting"),1),""))</f>
        <v/>
      </c>
      <c r="K211" s="4">
        <f>IF(A211="","",IFERROR(ROUND(AVERAGEIFS(ASSESSMENTS!H:H,ASSESSMENTS!B:B,A211,ASSESSMENTS!E:E,"English"),1),""))</f>
        <v/>
      </c>
      <c r="L211" s="5">
        <f>IF(A211="","",IFERROR(XLOOKUP(A211,ATTENDANCE_SUMMARY!A:A,ATTENDANCE_SUMMARY!G:G,""),""))</f>
        <v/>
      </c>
      <c r="M211" s="4">
        <f>IF(A211="","",IF(OR(E211&lt;50,AND(L211&lt;0.75,L211&lt;&gt;"" )),"At Risk","On Track"))</f>
        <v/>
      </c>
    </row>
    <row r="212">
      <c r="A212">
        <f>IF(MASTER_REGISTER!E212="","",MASTER_REGISTER!E212)</f>
        <v/>
      </c>
      <c r="B212">
        <f>IF(A212="","",MASTER_REGISTER!F212)</f>
        <v/>
      </c>
      <c r="C212">
        <f>IF(A212="","",MASTER_REGISTER!C212)</f>
        <v/>
      </c>
      <c r="D212">
        <f>IF(A212="","",COUNTIF(ASSESSMENTS!B:B,A212))</f>
        <v/>
      </c>
      <c r="E212" s="4">
        <f>IF(D212=0,"",ROUND(AVERAGEIF(ASSESSMENTS!B:B,A212,ASSESSMENTS!H:H),1))</f>
        <v/>
      </c>
      <c r="F212" s="4">
        <f>IF(A212="","",IFERROR(ROUND(AVERAGEIFS(ASSESSMENTS!H:H,ASSESSMENTS!B:B,A212,ASSESSMENTS!E:E,"Mathematics"),1),""))</f>
        <v/>
      </c>
      <c r="G212" s="4">
        <f>IF(A212="","",IFERROR(ROUND(AVERAGEIFS(ASSESSMENTS!H:H,ASSESSMENTS!B:B,A212,ASSESSMENTS!E:E,"Mathematical Literacy"),1),""))</f>
        <v/>
      </c>
      <c r="H212" s="4">
        <f>IF(A212="","",IFERROR(ROUND(AVERAGEIFS(ASSESSMENTS!H:H,ASSESSMENTS!B:B,A212,ASSESSMENTS!E:E,"Physical Sciences"),1),""))</f>
        <v/>
      </c>
      <c r="I212" s="4">
        <f>IF(A212="","",IFERROR(ROUND(AVERAGEIFS(ASSESSMENTS!H:H,ASSESSMENTS!B:B,A212,ASSESSMENTS!E:E,"Geography"),1),""))</f>
        <v/>
      </c>
      <c r="J212" s="4">
        <f>IF(A212="","",IFERROR(ROUND(AVERAGEIFS(ASSESSMENTS!H:H,ASSESSMENTS!B:B,A212,ASSESSMENTS!E:E,"Accounting"),1),""))</f>
        <v/>
      </c>
      <c r="K212" s="4">
        <f>IF(A212="","",IFERROR(ROUND(AVERAGEIFS(ASSESSMENTS!H:H,ASSESSMENTS!B:B,A212,ASSESSMENTS!E:E,"English"),1),""))</f>
        <v/>
      </c>
      <c r="L212" s="5">
        <f>IF(A212="","",IFERROR(XLOOKUP(A212,ATTENDANCE_SUMMARY!A:A,ATTENDANCE_SUMMARY!G:G,""),""))</f>
        <v/>
      </c>
      <c r="M212" s="4">
        <f>IF(A212="","",IF(OR(E212&lt;50,AND(L212&lt;0.75,L212&lt;&gt;"" )),"At Risk","On Track"))</f>
        <v/>
      </c>
    </row>
    <row r="213">
      <c r="A213">
        <f>IF(MASTER_REGISTER!E213="","",MASTER_REGISTER!E213)</f>
        <v/>
      </c>
      <c r="B213">
        <f>IF(A213="","",MASTER_REGISTER!F213)</f>
        <v/>
      </c>
      <c r="C213">
        <f>IF(A213="","",MASTER_REGISTER!C213)</f>
        <v/>
      </c>
      <c r="D213">
        <f>IF(A213="","",COUNTIF(ASSESSMENTS!B:B,A213))</f>
        <v/>
      </c>
      <c r="E213" s="4">
        <f>IF(D213=0,"",ROUND(AVERAGEIF(ASSESSMENTS!B:B,A213,ASSESSMENTS!H:H),1))</f>
        <v/>
      </c>
      <c r="F213" s="4">
        <f>IF(A213="","",IFERROR(ROUND(AVERAGEIFS(ASSESSMENTS!H:H,ASSESSMENTS!B:B,A213,ASSESSMENTS!E:E,"Mathematics"),1),""))</f>
        <v/>
      </c>
      <c r="G213" s="4">
        <f>IF(A213="","",IFERROR(ROUND(AVERAGEIFS(ASSESSMENTS!H:H,ASSESSMENTS!B:B,A213,ASSESSMENTS!E:E,"Mathematical Literacy"),1),""))</f>
        <v/>
      </c>
      <c r="H213" s="4">
        <f>IF(A213="","",IFERROR(ROUND(AVERAGEIFS(ASSESSMENTS!H:H,ASSESSMENTS!B:B,A213,ASSESSMENTS!E:E,"Physical Sciences"),1),""))</f>
        <v/>
      </c>
      <c r="I213" s="4">
        <f>IF(A213="","",IFERROR(ROUND(AVERAGEIFS(ASSESSMENTS!H:H,ASSESSMENTS!B:B,A213,ASSESSMENTS!E:E,"Geography"),1),""))</f>
        <v/>
      </c>
      <c r="J213" s="4">
        <f>IF(A213="","",IFERROR(ROUND(AVERAGEIFS(ASSESSMENTS!H:H,ASSESSMENTS!B:B,A213,ASSESSMENTS!E:E,"Accounting"),1),""))</f>
        <v/>
      </c>
      <c r="K213" s="4">
        <f>IF(A213="","",IFERROR(ROUND(AVERAGEIFS(ASSESSMENTS!H:H,ASSESSMENTS!B:B,A213,ASSESSMENTS!E:E,"English"),1),""))</f>
        <v/>
      </c>
      <c r="L213" s="5">
        <f>IF(A213="","",IFERROR(XLOOKUP(A213,ATTENDANCE_SUMMARY!A:A,ATTENDANCE_SUMMARY!G:G,""),""))</f>
        <v/>
      </c>
      <c r="M213" s="4">
        <f>IF(A213="","",IF(OR(E213&lt;50,AND(L213&lt;0.75,L213&lt;&gt;"" )),"At Risk","On Track"))</f>
        <v/>
      </c>
    </row>
    <row r="214">
      <c r="A214">
        <f>IF(MASTER_REGISTER!E214="","",MASTER_REGISTER!E214)</f>
        <v/>
      </c>
      <c r="B214">
        <f>IF(A214="","",MASTER_REGISTER!F214)</f>
        <v/>
      </c>
      <c r="C214">
        <f>IF(A214="","",MASTER_REGISTER!C214)</f>
        <v/>
      </c>
      <c r="D214">
        <f>IF(A214="","",COUNTIF(ASSESSMENTS!B:B,A214))</f>
        <v/>
      </c>
      <c r="E214" s="4">
        <f>IF(D214=0,"",ROUND(AVERAGEIF(ASSESSMENTS!B:B,A214,ASSESSMENTS!H:H),1))</f>
        <v/>
      </c>
      <c r="F214" s="4">
        <f>IF(A214="","",IFERROR(ROUND(AVERAGEIFS(ASSESSMENTS!H:H,ASSESSMENTS!B:B,A214,ASSESSMENTS!E:E,"Mathematics"),1),""))</f>
        <v/>
      </c>
      <c r="G214" s="4">
        <f>IF(A214="","",IFERROR(ROUND(AVERAGEIFS(ASSESSMENTS!H:H,ASSESSMENTS!B:B,A214,ASSESSMENTS!E:E,"Mathematical Literacy"),1),""))</f>
        <v/>
      </c>
      <c r="H214" s="4">
        <f>IF(A214="","",IFERROR(ROUND(AVERAGEIFS(ASSESSMENTS!H:H,ASSESSMENTS!B:B,A214,ASSESSMENTS!E:E,"Physical Sciences"),1),""))</f>
        <v/>
      </c>
      <c r="I214" s="4">
        <f>IF(A214="","",IFERROR(ROUND(AVERAGEIFS(ASSESSMENTS!H:H,ASSESSMENTS!B:B,A214,ASSESSMENTS!E:E,"Geography"),1),""))</f>
        <v/>
      </c>
      <c r="J214" s="4">
        <f>IF(A214="","",IFERROR(ROUND(AVERAGEIFS(ASSESSMENTS!H:H,ASSESSMENTS!B:B,A214,ASSESSMENTS!E:E,"Accounting"),1),""))</f>
        <v/>
      </c>
      <c r="K214" s="4">
        <f>IF(A214="","",IFERROR(ROUND(AVERAGEIFS(ASSESSMENTS!H:H,ASSESSMENTS!B:B,A214,ASSESSMENTS!E:E,"English"),1),""))</f>
        <v/>
      </c>
      <c r="L214" s="5">
        <f>IF(A214="","",IFERROR(XLOOKUP(A214,ATTENDANCE_SUMMARY!A:A,ATTENDANCE_SUMMARY!G:G,""),""))</f>
        <v/>
      </c>
      <c r="M214" s="4">
        <f>IF(A214="","",IF(OR(E214&lt;50,AND(L214&lt;0.75,L214&lt;&gt;"" )),"At Risk","On Track"))</f>
        <v/>
      </c>
    </row>
    <row r="215">
      <c r="A215">
        <f>IF(MASTER_REGISTER!E215="","",MASTER_REGISTER!E215)</f>
        <v/>
      </c>
      <c r="B215">
        <f>IF(A215="","",MASTER_REGISTER!F215)</f>
        <v/>
      </c>
      <c r="C215">
        <f>IF(A215="","",MASTER_REGISTER!C215)</f>
        <v/>
      </c>
      <c r="D215">
        <f>IF(A215="","",COUNTIF(ASSESSMENTS!B:B,A215))</f>
        <v/>
      </c>
      <c r="E215" s="4">
        <f>IF(D215=0,"",ROUND(AVERAGEIF(ASSESSMENTS!B:B,A215,ASSESSMENTS!H:H),1))</f>
        <v/>
      </c>
      <c r="F215" s="4">
        <f>IF(A215="","",IFERROR(ROUND(AVERAGEIFS(ASSESSMENTS!H:H,ASSESSMENTS!B:B,A215,ASSESSMENTS!E:E,"Mathematics"),1),""))</f>
        <v/>
      </c>
      <c r="G215" s="4">
        <f>IF(A215="","",IFERROR(ROUND(AVERAGEIFS(ASSESSMENTS!H:H,ASSESSMENTS!B:B,A215,ASSESSMENTS!E:E,"Mathematical Literacy"),1),""))</f>
        <v/>
      </c>
      <c r="H215" s="4">
        <f>IF(A215="","",IFERROR(ROUND(AVERAGEIFS(ASSESSMENTS!H:H,ASSESSMENTS!B:B,A215,ASSESSMENTS!E:E,"Physical Sciences"),1),""))</f>
        <v/>
      </c>
      <c r="I215" s="4">
        <f>IF(A215="","",IFERROR(ROUND(AVERAGEIFS(ASSESSMENTS!H:H,ASSESSMENTS!B:B,A215,ASSESSMENTS!E:E,"Geography"),1),""))</f>
        <v/>
      </c>
      <c r="J215" s="4">
        <f>IF(A215="","",IFERROR(ROUND(AVERAGEIFS(ASSESSMENTS!H:H,ASSESSMENTS!B:B,A215,ASSESSMENTS!E:E,"Accounting"),1),""))</f>
        <v/>
      </c>
      <c r="K215" s="4">
        <f>IF(A215="","",IFERROR(ROUND(AVERAGEIFS(ASSESSMENTS!H:H,ASSESSMENTS!B:B,A215,ASSESSMENTS!E:E,"English"),1),""))</f>
        <v/>
      </c>
      <c r="L215" s="5">
        <f>IF(A215="","",IFERROR(XLOOKUP(A215,ATTENDANCE_SUMMARY!A:A,ATTENDANCE_SUMMARY!G:G,""),""))</f>
        <v/>
      </c>
      <c r="M215" s="4">
        <f>IF(A215="","",IF(OR(E215&lt;50,AND(L215&lt;0.75,L215&lt;&gt;"" )),"At Risk","On Track"))</f>
        <v/>
      </c>
    </row>
    <row r="216">
      <c r="A216">
        <f>IF(MASTER_REGISTER!E216="","",MASTER_REGISTER!E216)</f>
        <v/>
      </c>
      <c r="B216">
        <f>IF(A216="","",MASTER_REGISTER!F216)</f>
        <v/>
      </c>
      <c r="C216">
        <f>IF(A216="","",MASTER_REGISTER!C216)</f>
        <v/>
      </c>
      <c r="D216">
        <f>IF(A216="","",COUNTIF(ASSESSMENTS!B:B,A216))</f>
        <v/>
      </c>
      <c r="E216" s="4">
        <f>IF(D216=0,"",ROUND(AVERAGEIF(ASSESSMENTS!B:B,A216,ASSESSMENTS!H:H),1))</f>
        <v/>
      </c>
      <c r="F216" s="4">
        <f>IF(A216="","",IFERROR(ROUND(AVERAGEIFS(ASSESSMENTS!H:H,ASSESSMENTS!B:B,A216,ASSESSMENTS!E:E,"Mathematics"),1),""))</f>
        <v/>
      </c>
      <c r="G216" s="4">
        <f>IF(A216="","",IFERROR(ROUND(AVERAGEIFS(ASSESSMENTS!H:H,ASSESSMENTS!B:B,A216,ASSESSMENTS!E:E,"Mathematical Literacy"),1),""))</f>
        <v/>
      </c>
      <c r="H216" s="4">
        <f>IF(A216="","",IFERROR(ROUND(AVERAGEIFS(ASSESSMENTS!H:H,ASSESSMENTS!B:B,A216,ASSESSMENTS!E:E,"Physical Sciences"),1),""))</f>
        <v/>
      </c>
      <c r="I216" s="4">
        <f>IF(A216="","",IFERROR(ROUND(AVERAGEIFS(ASSESSMENTS!H:H,ASSESSMENTS!B:B,A216,ASSESSMENTS!E:E,"Geography"),1),""))</f>
        <v/>
      </c>
      <c r="J216" s="4">
        <f>IF(A216="","",IFERROR(ROUND(AVERAGEIFS(ASSESSMENTS!H:H,ASSESSMENTS!B:B,A216,ASSESSMENTS!E:E,"Accounting"),1),""))</f>
        <v/>
      </c>
      <c r="K216" s="4">
        <f>IF(A216="","",IFERROR(ROUND(AVERAGEIFS(ASSESSMENTS!H:H,ASSESSMENTS!B:B,A216,ASSESSMENTS!E:E,"English"),1),""))</f>
        <v/>
      </c>
      <c r="L216" s="5">
        <f>IF(A216="","",IFERROR(XLOOKUP(A216,ATTENDANCE_SUMMARY!A:A,ATTENDANCE_SUMMARY!G:G,""),""))</f>
        <v/>
      </c>
      <c r="M216" s="4">
        <f>IF(A216="","",IF(OR(E216&lt;50,AND(L216&lt;0.75,L216&lt;&gt;"" )),"At Risk","On Track"))</f>
        <v/>
      </c>
    </row>
    <row r="217">
      <c r="A217">
        <f>IF(MASTER_REGISTER!E217="","",MASTER_REGISTER!E217)</f>
        <v/>
      </c>
      <c r="B217">
        <f>IF(A217="","",MASTER_REGISTER!F217)</f>
        <v/>
      </c>
      <c r="C217">
        <f>IF(A217="","",MASTER_REGISTER!C217)</f>
        <v/>
      </c>
      <c r="D217">
        <f>IF(A217="","",COUNTIF(ASSESSMENTS!B:B,A217))</f>
        <v/>
      </c>
      <c r="E217" s="4">
        <f>IF(D217=0,"",ROUND(AVERAGEIF(ASSESSMENTS!B:B,A217,ASSESSMENTS!H:H),1))</f>
        <v/>
      </c>
      <c r="F217" s="4">
        <f>IF(A217="","",IFERROR(ROUND(AVERAGEIFS(ASSESSMENTS!H:H,ASSESSMENTS!B:B,A217,ASSESSMENTS!E:E,"Mathematics"),1),""))</f>
        <v/>
      </c>
      <c r="G217" s="4">
        <f>IF(A217="","",IFERROR(ROUND(AVERAGEIFS(ASSESSMENTS!H:H,ASSESSMENTS!B:B,A217,ASSESSMENTS!E:E,"Mathematical Literacy"),1),""))</f>
        <v/>
      </c>
      <c r="H217" s="4">
        <f>IF(A217="","",IFERROR(ROUND(AVERAGEIFS(ASSESSMENTS!H:H,ASSESSMENTS!B:B,A217,ASSESSMENTS!E:E,"Physical Sciences"),1),""))</f>
        <v/>
      </c>
      <c r="I217" s="4">
        <f>IF(A217="","",IFERROR(ROUND(AVERAGEIFS(ASSESSMENTS!H:H,ASSESSMENTS!B:B,A217,ASSESSMENTS!E:E,"Geography"),1),""))</f>
        <v/>
      </c>
      <c r="J217" s="4">
        <f>IF(A217="","",IFERROR(ROUND(AVERAGEIFS(ASSESSMENTS!H:H,ASSESSMENTS!B:B,A217,ASSESSMENTS!E:E,"Accounting"),1),""))</f>
        <v/>
      </c>
      <c r="K217" s="4">
        <f>IF(A217="","",IFERROR(ROUND(AVERAGEIFS(ASSESSMENTS!H:H,ASSESSMENTS!B:B,A217,ASSESSMENTS!E:E,"English"),1),""))</f>
        <v/>
      </c>
      <c r="L217" s="5">
        <f>IF(A217="","",IFERROR(XLOOKUP(A217,ATTENDANCE_SUMMARY!A:A,ATTENDANCE_SUMMARY!G:G,""),""))</f>
        <v/>
      </c>
      <c r="M217" s="4">
        <f>IF(A217="","",IF(OR(E217&lt;50,AND(L217&lt;0.75,L217&lt;&gt;"" )),"At Risk","On Track"))</f>
        <v/>
      </c>
    </row>
    <row r="218">
      <c r="A218">
        <f>IF(MASTER_REGISTER!E218="","",MASTER_REGISTER!E218)</f>
        <v/>
      </c>
      <c r="B218">
        <f>IF(A218="","",MASTER_REGISTER!F218)</f>
        <v/>
      </c>
      <c r="C218">
        <f>IF(A218="","",MASTER_REGISTER!C218)</f>
        <v/>
      </c>
      <c r="D218">
        <f>IF(A218="","",COUNTIF(ASSESSMENTS!B:B,A218))</f>
        <v/>
      </c>
      <c r="E218" s="4">
        <f>IF(D218=0,"",ROUND(AVERAGEIF(ASSESSMENTS!B:B,A218,ASSESSMENTS!H:H),1))</f>
        <v/>
      </c>
      <c r="F218" s="4">
        <f>IF(A218="","",IFERROR(ROUND(AVERAGEIFS(ASSESSMENTS!H:H,ASSESSMENTS!B:B,A218,ASSESSMENTS!E:E,"Mathematics"),1),""))</f>
        <v/>
      </c>
      <c r="G218" s="4">
        <f>IF(A218="","",IFERROR(ROUND(AVERAGEIFS(ASSESSMENTS!H:H,ASSESSMENTS!B:B,A218,ASSESSMENTS!E:E,"Mathematical Literacy"),1),""))</f>
        <v/>
      </c>
      <c r="H218" s="4">
        <f>IF(A218="","",IFERROR(ROUND(AVERAGEIFS(ASSESSMENTS!H:H,ASSESSMENTS!B:B,A218,ASSESSMENTS!E:E,"Physical Sciences"),1),""))</f>
        <v/>
      </c>
      <c r="I218" s="4">
        <f>IF(A218="","",IFERROR(ROUND(AVERAGEIFS(ASSESSMENTS!H:H,ASSESSMENTS!B:B,A218,ASSESSMENTS!E:E,"Geography"),1),""))</f>
        <v/>
      </c>
      <c r="J218" s="4">
        <f>IF(A218="","",IFERROR(ROUND(AVERAGEIFS(ASSESSMENTS!H:H,ASSESSMENTS!B:B,A218,ASSESSMENTS!E:E,"Accounting"),1),""))</f>
        <v/>
      </c>
      <c r="K218" s="4">
        <f>IF(A218="","",IFERROR(ROUND(AVERAGEIFS(ASSESSMENTS!H:H,ASSESSMENTS!B:B,A218,ASSESSMENTS!E:E,"English"),1),""))</f>
        <v/>
      </c>
      <c r="L218" s="5">
        <f>IF(A218="","",IFERROR(XLOOKUP(A218,ATTENDANCE_SUMMARY!A:A,ATTENDANCE_SUMMARY!G:G,""),""))</f>
        <v/>
      </c>
      <c r="M218" s="4">
        <f>IF(A218="","",IF(OR(E218&lt;50,AND(L218&lt;0.75,L218&lt;&gt;"" )),"At Risk","On Track"))</f>
        <v/>
      </c>
    </row>
    <row r="219">
      <c r="A219">
        <f>IF(MASTER_REGISTER!E219="","",MASTER_REGISTER!E219)</f>
        <v/>
      </c>
      <c r="B219">
        <f>IF(A219="","",MASTER_REGISTER!F219)</f>
        <v/>
      </c>
      <c r="C219">
        <f>IF(A219="","",MASTER_REGISTER!C219)</f>
        <v/>
      </c>
      <c r="D219">
        <f>IF(A219="","",COUNTIF(ASSESSMENTS!B:B,A219))</f>
        <v/>
      </c>
      <c r="E219" s="4">
        <f>IF(D219=0,"",ROUND(AVERAGEIF(ASSESSMENTS!B:B,A219,ASSESSMENTS!H:H),1))</f>
        <v/>
      </c>
      <c r="F219" s="4">
        <f>IF(A219="","",IFERROR(ROUND(AVERAGEIFS(ASSESSMENTS!H:H,ASSESSMENTS!B:B,A219,ASSESSMENTS!E:E,"Mathematics"),1),""))</f>
        <v/>
      </c>
      <c r="G219" s="4">
        <f>IF(A219="","",IFERROR(ROUND(AVERAGEIFS(ASSESSMENTS!H:H,ASSESSMENTS!B:B,A219,ASSESSMENTS!E:E,"Mathematical Literacy"),1),""))</f>
        <v/>
      </c>
      <c r="H219" s="4">
        <f>IF(A219="","",IFERROR(ROUND(AVERAGEIFS(ASSESSMENTS!H:H,ASSESSMENTS!B:B,A219,ASSESSMENTS!E:E,"Physical Sciences"),1),""))</f>
        <v/>
      </c>
      <c r="I219" s="4">
        <f>IF(A219="","",IFERROR(ROUND(AVERAGEIFS(ASSESSMENTS!H:H,ASSESSMENTS!B:B,A219,ASSESSMENTS!E:E,"Geography"),1),""))</f>
        <v/>
      </c>
      <c r="J219" s="4">
        <f>IF(A219="","",IFERROR(ROUND(AVERAGEIFS(ASSESSMENTS!H:H,ASSESSMENTS!B:B,A219,ASSESSMENTS!E:E,"Accounting"),1),""))</f>
        <v/>
      </c>
      <c r="K219" s="4">
        <f>IF(A219="","",IFERROR(ROUND(AVERAGEIFS(ASSESSMENTS!H:H,ASSESSMENTS!B:B,A219,ASSESSMENTS!E:E,"English"),1),""))</f>
        <v/>
      </c>
      <c r="L219" s="5">
        <f>IF(A219="","",IFERROR(XLOOKUP(A219,ATTENDANCE_SUMMARY!A:A,ATTENDANCE_SUMMARY!G:G,""),""))</f>
        <v/>
      </c>
      <c r="M219" s="4">
        <f>IF(A219="","",IF(OR(E219&lt;50,AND(L219&lt;0.75,L219&lt;&gt;"" )),"At Risk","On Track"))</f>
        <v/>
      </c>
    </row>
    <row r="220">
      <c r="A220">
        <f>IF(MASTER_REGISTER!E220="","",MASTER_REGISTER!E220)</f>
        <v/>
      </c>
      <c r="B220">
        <f>IF(A220="","",MASTER_REGISTER!F220)</f>
        <v/>
      </c>
      <c r="C220">
        <f>IF(A220="","",MASTER_REGISTER!C220)</f>
        <v/>
      </c>
      <c r="D220">
        <f>IF(A220="","",COUNTIF(ASSESSMENTS!B:B,A220))</f>
        <v/>
      </c>
      <c r="E220" s="4">
        <f>IF(D220=0,"",ROUND(AVERAGEIF(ASSESSMENTS!B:B,A220,ASSESSMENTS!H:H),1))</f>
        <v/>
      </c>
      <c r="F220" s="4">
        <f>IF(A220="","",IFERROR(ROUND(AVERAGEIFS(ASSESSMENTS!H:H,ASSESSMENTS!B:B,A220,ASSESSMENTS!E:E,"Mathematics"),1),""))</f>
        <v/>
      </c>
      <c r="G220" s="4">
        <f>IF(A220="","",IFERROR(ROUND(AVERAGEIFS(ASSESSMENTS!H:H,ASSESSMENTS!B:B,A220,ASSESSMENTS!E:E,"Mathematical Literacy"),1),""))</f>
        <v/>
      </c>
      <c r="H220" s="4">
        <f>IF(A220="","",IFERROR(ROUND(AVERAGEIFS(ASSESSMENTS!H:H,ASSESSMENTS!B:B,A220,ASSESSMENTS!E:E,"Physical Sciences"),1),""))</f>
        <v/>
      </c>
      <c r="I220" s="4">
        <f>IF(A220="","",IFERROR(ROUND(AVERAGEIFS(ASSESSMENTS!H:H,ASSESSMENTS!B:B,A220,ASSESSMENTS!E:E,"Geography"),1),""))</f>
        <v/>
      </c>
      <c r="J220" s="4">
        <f>IF(A220="","",IFERROR(ROUND(AVERAGEIFS(ASSESSMENTS!H:H,ASSESSMENTS!B:B,A220,ASSESSMENTS!E:E,"Accounting"),1),""))</f>
        <v/>
      </c>
      <c r="K220" s="4">
        <f>IF(A220="","",IFERROR(ROUND(AVERAGEIFS(ASSESSMENTS!H:H,ASSESSMENTS!B:B,A220,ASSESSMENTS!E:E,"English"),1),""))</f>
        <v/>
      </c>
      <c r="L220" s="5">
        <f>IF(A220="","",IFERROR(XLOOKUP(A220,ATTENDANCE_SUMMARY!A:A,ATTENDANCE_SUMMARY!G:G,""),""))</f>
        <v/>
      </c>
      <c r="M220" s="4">
        <f>IF(A220="","",IF(OR(E220&lt;50,AND(L220&lt;0.75,L220&lt;&gt;"" )),"At Risk","On Track"))</f>
        <v/>
      </c>
    </row>
    <row r="221">
      <c r="A221">
        <f>IF(MASTER_REGISTER!E221="","",MASTER_REGISTER!E221)</f>
        <v/>
      </c>
      <c r="B221">
        <f>IF(A221="","",MASTER_REGISTER!F221)</f>
        <v/>
      </c>
      <c r="C221">
        <f>IF(A221="","",MASTER_REGISTER!C221)</f>
        <v/>
      </c>
      <c r="D221">
        <f>IF(A221="","",COUNTIF(ASSESSMENTS!B:B,A221))</f>
        <v/>
      </c>
      <c r="E221" s="4">
        <f>IF(D221=0,"",ROUND(AVERAGEIF(ASSESSMENTS!B:B,A221,ASSESSMENTS!H:H),1))</f>
        <v/>
      </c>
      <c r="F221" s="4">
        <f>IF(A221="","",IFERROR(ROUND(AVERAGEIFS(ASSESSMENTS!H:H,ASSESSMENTS!B:B,A221,ASSESSMENTS!E:E,"Mathematics"),1),""))</f>
        <v/>
      </c>
      <c r="G221" s="4">
        <f>IF(A221="","",IFERROR(ROUND(AVERAGEIFS(ASSESSMENTS!H:H,ASSESSMENTS!B:B,A221,ASSESSMENTS!E:E,"Mathematical Literacy"),1),""))</f>
        <v/>
      </c>
      <c r="H221" s="4">
        <f>IF(A221="","",IFERROR(ROUND(AVERAGEIFS(ASSESSMENTS!H:H,ASSESSMENTS!B:B,A221,ASSESSMENTS!E:E,"Physical Sciences"),1),""))</f>
        <v/>
      </c>
      <c r="I221" s="4">
        <f>IF(A221="","",IFERROR(ROUND(AVERAGEIFS(ASSESSMENTS!H:H,ASSESSMENTS!B:B,A221,ASSESSMENTS!E:E,"Geography"),1),""))</f>
        <v/>
      </c>
      <c r="J221" s="4">
        <f>IF(A221="","",IFERROR(ROUND(AVERAGEIFS(ASSESSMENTS!H:H,ASSESSMENTS!B:B,A221,ASSESSMENTS!E:E,"Accounting"),1),""))</f>
        <v/>
      </c>
      <c r="K221" s="4">
        <f>IF(A221="","",IFERROR(ROUND(AVERAGEIFS(ASSESSMENTS!H:H,ASSESSMENTS!B:B,A221,ASSESSMENTS!E:E,"English"),1),""))</f>
        <v/>
      </c>
      <c r="L221" s="5">
        <f>IF(A221="","",IFERROR(XLOOKUP(A221,ATTENDANCE_SUMMARY!A:A,ATTENDANCE_SUMMARY!G:G,""),""))</f>
        <v/>
      </c>
      <c r="M221" s="4">
        <f>IF(A221="","",IF(OR(E221&lt;50,AND(L221&lt;0.75,L221&lt;&gt;"" )),"At Risk","On Track"))</f>
        <v/>
      </c>
    </row>
    <row r="222">
      <c r="A222">
        <f>IF(MASTER_REGISTER!E222="","",MASTER_REGISTER!E222)</f>
        <v/>
      </c>
      <c r="B222">
        <f>IF(A222="","",MASTER_REGISTER!F222)</f>
        <v/>
      </c>
      <c r="C222">
        <f>IF(A222="","",MASTER_REGISTER!C222)</f>
        <v/>
      </c>
      <c r="D222">
        <f>IF(A222="","",COUNTIF(ASSESSMENTS!B:B,A222))</f>
        <v/>
      </c>
      <c r="E222" s="4">
        <f>IF(D222=0,"",ROUND(AVERAGEIF(ASSESSMENTS!B:B,A222,ASSESSMENTS!H:H),1))</f>
        <v/>
      </c>
      <c r="F222" s="4">
        <f>IF(A222="","",IFERROR(ROUND(AVERAGEIFS(ASSESSMENTS!H:H,ASSESSMENTS!B:B,A222,ASSESSMENTS!E:E,"Mathematics"),1),""))</f>
        <v/>
      </c>
      <c r="G222" s="4">
        <f>IF(A222="","",IFERROR(ROUND(AVERAGEIFS(ASSESSMENTS!H:H,ASSESSMENTS!B:B,A222,ASSESSMENTS!E:E,"Mathematical Literacy"),1),""))</f>
        <v/>
      </c>
      <c r="H222" s="4">
        <f>IF(A222="","",IFERROR(ROUND(AVERAGEIFS(ASSESSMENTS!H:H,ASSESSMENTS!B:B,A222,ASSESSMENTS!E:E,"Physical Sciences"),1),""))</f>
        <v/>
      </c>
      <c r="I222" s="4">
        <f>IF(A222="","",IFERROR(ROUND(AVERAGEIFS(ASSESSMENTS!H:H,ASSESSMENTS!B:B,A222,ASSESSMENTS!E:E,"Geography"),1),""))</f>
        <v/>
      </c>
      <c r="J222" s="4">
        <f>IF(A222="","",IFERROR(ROUND(AVERAGEIFS(ASSESSMENTS!H:H,ASSESSMENTS!B:B,A222,ASSESSMENTS!E:E,"Accounting"),1),""))</f>
        <v/>
      </c>
      <c r="K222" s="4">
        <f>IF(A222="","",IFERROR(ROUND(AVERAGEIFS(ASSESSMENTS!H:H,ASSESSMENTS!B:B,A222,ASSESSMENTS!E:E,"English"),1),""))</f>
        <v/>
      </c>
      <c r="L222" s="5">
        <f>IF(A222="","",IFERROR(XLOOKUP(A222,ATTENDANCE_SUMMARY!A:A,ATTENDANCE_SUMMARY!G:G,""),""))</f>
        <v/>
      </c>
      <c r="M222" s="4">
        <f>IF(A222="","",IF(OR(E222&lt;50,AND(L222&lt;0.75,L222&lt;&gt;"" )),"At Risk","On Track"))</f>
        <v/>
      </c>
    </row>
    <row r="223">
      <c r="A223">
        <f>IF(MASTER_REGISTER!E223="","",MASTER_REGISTER!E223)</f>
        <v/>
      </c>
      <c r="B223">
        <f>IF(A223="","",MASTER_REGISTER!F223)</f>
        <v/>
      </c>
      <c r="C223">
        <f>IF(A223="","",MASTER_REGISTER!C223)</f>
        <v/>
      </c>
      <c r="D223">
        <f>IF(A223="","",COUNTIF(ASSESSMENTS!B:B,A223))</f>
        <v/>
      </c>
      <c r="E223" s="4">
        <f>IF(D223=0,"",ROUND(AVERAGEIF(ASSESSMENTS!B:B,A223,ASSESSMENTS!H:H),1))</f>
        <v/>
      </c>
      <c r="F223" s="4">
        <f>IF(A223="","",IFERROR(ROUND(AVERAGEIFS(ASSESSMENTS!H:H,ASSESSMENTS!B:B,A223,ASSESSMENTS!E:E,"Mathematics"),1),""))</f>
        <v/>
      </c>
      <c r="G223" s="4">
        <f>IF(A223="","",IFERROR(ROUND(AVERAGEIFS(ASSESSMENTS!H:H,ASSESSMENTS!B:B,A223,ASSESSMENTS!E:E,"Mathematical Literacy"),1),""))</f>
        <v/>
      </c>
      <c r="H223" s="4">
        <f>IF(A223="","",IFERROR(ROUND(AVERAGEIFS(ASSESSMENTS!H:H,ASSESSMENTS!B:B,A223,ASSESSMENTS!E:E,"Physical Sciences"),1),""))</f>
        <v/>
      </c>
      <c r="I223" s="4">
        <f>IF(A223="","",IFERROR(ROUND(AVERAGEIFS(ASSESSMENTS!H:H,ASSESSMENTS!B:B,A223,ASSESSMENTS!E:E,"Geography"),1),""))</f>
        <v/>
      </c>
      <c r="J223" s="4">
        <f>IF(A223="","",IFERROR(ROUND(AVERAGEIFS(ASSESSMENTS!H:H,ASSESSMENTS!B:B,A223,ASSESSMENTS!E:E,"Accounting"),1),""))</f>
        <v/>
      </c>
      <c r="K223" s="4">
        <f>IF(A223="","",IFERROR(ROUND(AVERAGEIFS(ASSESSMENTS!H:H,ASSESSMENTS!B:B,A223,ASSESSMENTS!E:E,"English"),1),""))</f>
        <v/>
      </c>
      <c r="L223" s="5">
        <f>IF(A223="","",IFERROR(XLOOKUP(A223,ATTENDANCE_SUMMARY!A:A,ATTENDANCE_SUMMARY!G:G,""),""))</f>
        <v/>
      </c>
      <c r="M223" s="4">
        <f>IF(A223="","",IF(OR(E223&lt;50,AND(L223&lt;0.75,L223&lt;&gt;"" )),"At Risk","On Track"))</f>
        <v/>
      </c>
    </row>
    <row r="224">
      <c r="A224">
        <f>IF(MASTER_REGISTER!E224="","",MASTER_REGISTER!E224)</f>
        <v/>
      </c>
      <c r="B224">
        <f>IF(A224="","",MASTER_REGISTER!F224)</f>
        <v/>
      </c>
      <c r="C224">
        <f>IF(A224="","",MASTER_REGISTER!C224)</f>
        <v/>
      </c>
      <c r="D224">
        <f>IF(A224="","",COUNTIF(ASSESSMENTS!B:B,A224))</f>
        <v/>
      </c>
      <c r="E224" s="4">
        <f>IF(D224=0,"",ROUND(AVERAGEIF(ASSESSMENTS!B:B,A224,ASSESSMENTS!H:H),1))</f>
        <v/>
      </c>
      <c r="F224" s="4">
        <f>IF(A224="","",IFERROR(ROUND(AVERAGEIFS(ASSESSMENTS!H:H,ASSESSMENTS!B:B,A224,ASSESSMENTS!E:E,"Mathematics"),1),""))</f>
        <v/>
      </c>
      <c r="G224" s="4">
        <f>IF(A224="","",IFERROR(ROUND(AVERAGEIFS(ASSESSMENTS!H:H,ASSESSMENTS!B:B,A224,ASSESSMENTS!E:E,"Mathematical Literacy"),1),""))</f>
        <v/>
      </c>
      <c r="H224" s="4">
        <f>IF(A224="","",IFERROR(ROUND(AVERAGEIFS(ASSESSMENTS!H:H,ASSESSMENTS!B:B,A224,ASSESSMENTS!E:E,"Physical Sciences"),1),""))</f>
        <v/>
      </c>
      <c r="I224" s="4">
        <f>IF(A224="","",IFERROR(ROUND(AVERAGEIFS(ASSESSMENTS!H:H,ASSESSMENTS!B:B,A224,ASSESSMENTS!E:E,"Geography"),1),""))</f>
        <v/>
      </c>
      <c r="J224" s="4">
        <f>IF(A224="","",IFERROR(ROUND(AVERAGEIFS(ASSESSMENTS!H:H,ASSESSMENTS!B:B,A224,ASSESSMENTS!E:E,"Accounting"),1),""))</f>
        <v/>
      </c>
      <c r="K224" s="4">
        <f>IF(A224="","",IFERROR(ROUND(AVERAGEIFS(ASSESSMENTS!H:H,ASSESSMENTS!B:B,A224,ASSESSMENTS!E:E,"English"),1),""))</f>
        <v/>
      </c>
      <c r="L224" s="5">
        <f>IF(A224="","",IFERROR(XLOOKUP(A224,ATTENDANCE_SUMMARY!A:A,ATTENDANCE_SUMMARY!G:G,""),""))</f>
        <v/>
      </c>
      <c r="M224" s="4">
        <f>IF(A224="","",IF(OR(E224&lt;50,AND(L224&lt;0.75,L224&lt;&gt;"" )),"At Risk","On Track"))</f>
        <v/>
      </c>
    </row>
    <row r="225">
      <c r="A225">
        <f>IF(MASTER_REGISTER!E225="","",MASTER_REGISTER!E225)</f>
        <v/>
      </c>
      <c r="B225">
        <f>IF(A225="","",MASTER_REGISTER!F225)</f>
        <v/>
      </c>
      <c r="C225">
        <f>IF(A225="","",MASTER_REGISTER!C225)</f>
        <v/>
      </c>
      <c r="D225">
        <f>IF(A225="","",COUNTIF(ASSESSMENTS!B:B,A225))</f>
        <v/>
      </c>
      <c r="E225" s="4">
        <f>IF(D225=0,"",ROUND(AVERAGEIF(ASSESSMENTS!B:B,A225,ASSESSMENTS!H:H),1))</f>
        <v/>
      </c>
      <c r="F225" s="4">
        <f>IF(A225="","",IFERROR(ROUND(AVERAGEIFS(ASSESSMENTS!H:H,ASSESSMENTS!B:B,A225,ASSESSMENTS!E:E,"Mathematics"),1),""))</f>
        <v/>
      </c>
      <c r="G225" s="4">
        <f>IF(A225="","",IFERROR(ROUND(AVERAGEIFS(ASSESSMENTS!H:H,ASSESSMENTS!B:B,A225,ASSESSMENTS!E:E,"Mathematical Literacy"),1),""))</f>
        <v/>
      </c>
      <c r="H225" s="4">
        <f>IF(A225="","",IFERROR(ROUND(AVERAGEIFS(ASSESSMENTS!H:H,ASSESSMENTS!B:B,A225,ASSESSMENTS!E:E,"Physical Sciences"),1),""))</f>
        <v/>
      </c>
      <c r="I225" s="4">
        <f>IF(A225="","",IFERROR(ROUND(AVERAGEIFS(ASSESSMENTS!H:H,ASSESSMENTS!B:B,A225,ASSESSMENTS!E:E,"Geography"),1),""))</f>
        <v/>
      </c>
      <c r="J225" s="4">
        <f>IF(A225="","",IFERROR(ROUND(AVERAGEIFS(ASSESSMENTS!H:H,ASSESSMENTS!B:B,A225,ASSESSMENTS!E:E,"Accounting"),1),""))</f>
        <v/>
      </c>
      <c r="K225" s="4">
        <f>IF(A225="","",IFERROR(ROUND(AVERAGEIFS(ASSESSMENTS!H:H,ASSESSMENTS!B:B,A225,ASSESSMENTS!E:E,"English"),1),""))</f>
        <v/>
      </c>
      <c r="L225" s="5">
        <f>IF(A225="","",IFERROR(XLOOKUP(A225,ATTENDANCE_SUMMARY!A:A,ATTENDANCE_SUMMARY!G:G,""),""))</f>
        <v/>
      </c>
      <c r="M225" s="4">
        <f>IF(A225="","",IF(OR(E225&lt;50,AND(L225&lt;0.75,L225&lt;&gt;"" )),"At Risk","On Track"))</f>
        <v/>
      </c>
    </row>
    <row r="226">
      <c r="A226">
        <f>IF(MASTER_REGISTER!E226="","",MASTER_REGISTER!E226)</f>
        <v/>
      </c>
      <c r="B226">
        <f>IF(A226="","",MASTER_REGISTER!F226)</f>
        <v/>
      </c>
      <c r="C226">
        <f>IF(A226="","",MASTER_REGISTER!C226)</f>
        <v/>
      </c>
      <c r="D226">
        <f>IF(A226="","",COUNTIF(ASSESSMENTS!B:B,A226))</f>
        <v/>
      </c>
      <c r="E226" s="4">
        <f>IF(D226=0,"",ROUND(AVERAGEIF(ASSESSMENTS!B:B,A226,ASSESSMENTS!H:H),1))</f>
        <v/>
      </c>
      <c r="F226" s="4">
        <f>IF(A226="","",IFERROR(ROUND(AVERAGEIFS(ASSESSMENTS!H:H,ASSESSMENTS!B:B,A226,ASSESSMENTS!E:E,"Mathematics"),1),""))</f>
        <v/>
      </c>
      <c r="G226" s="4">
        <f>IF(A226="","",IFERROR(ROUND(AVERAGEIFS(ASSESSMENTS!H:H,ASSESSMENTS!B:B,A226,ASSESSMENTS!E:E,"Mathematical Literacy"),1),""))</f>
        <v/>
      </c>
      <c r="H226" s="4">
        <f>IF(A226="","",IFERROR(ROUND(AVERAGEIFS(ASSESSMENTS!H:H,ASSESSMENTS!B:B,A226,ASSESSMENTS!E:E,"Physical Sciences"),1),""))</f>
        <v/>
      </c>
      <c r="I226" s="4">
        <f>IF(A226="","",IFERROR(ROUND(AVERAGEIFS(ASSESSMENTS!H:H,ASSESSMENTS!B:B,A226,ASSESSMENTS!E:E,"Geography"),1),""))</f>
        <v/>
      </c>
      <c r="J226" s="4">
        <f>IF(A226="","",IFERROR(ROUND(AVERAGEIFS(ASSESSMENTS!H:H,ASSESSMENTS!B:B,A226,ASSESSMENTS!E:E,"Accounting"),1),""))</f>
        <v/>
      </c>
      <c r="K226" s="4">
        <f>IF(A226="","",IFERROR(ROUND(AVERAGEIFS(ASSESSMENTS!H:H,ASSESSMENTS!B:B,A226,ASSESSMENTS!E:E,"English"),1),""))</f>
        <v/>
      </c>
      <c r="L226" s="5">
        <f>IF(A226="","",IFERROR(XLOOKUP(A226,ATTENDANCE_SUMMARY!A:A,ATTENDANCE_SUMMARY!G:G,""),""))</f>
        <v/>
      </c>
      <c r="M226" s="4">
        <f>IF(A226="","",IF(OR(E226&lt;50,AND(L226&lt;0.75,L226&lt;&gt;"" )),"At Risk","On Track"))</f>
        <v/>
      </c>
    </row>
    <row r="227">
      <c r="A227">
        <f>IF(MASTER_REGISTER!E227="","",MASTER_REGISTER!E227)</f>
        <v/>
      </c>
      <c r="B227">
        <f>IF(A227="","",MASTER_REGISTER!F227)</f>
        <v/>
      </c>
      <c r="C227">
        <f>IF(A227="","",MASTER_REGISTER!C227)</f>
        <v/>
      </c>
      <c r="D227">
        <f>IF(A227="","",COUNTIF(ASSESSMENTS!B:B,A227))</f>
        <v/>
      </c>
      <c r="E227" s="4">
        <f>IF(D227=0,"",ROUND(AVERAGEIF(ASSESSMENTS!B:B,A227,ASSESSMENTS!H:H),1))</f>
        <v/>
      </c>
      <c r="F227" s="4">
        <f>IF(A227="","",IFERROR(ROUND(AVERAGEIFS(ASSESSMENTS!H:H,ASSESSMENTS!B:B,A227,ASSESSMENTS!E:E,"Mathematics"),1),""))</f>
        <v/>
      </c>
      <c r="G227" s="4">
        <f>IF(A227="","",IFERROR(ROUND(AVERAGEIFS(ASSESSMENTS!H:H,ASSESSMENTS!B:B,A227,ASSESSMENTS!E:E,"Mathematical Literacy"),1),""))</f>
        <v/>
      </c>
      <c r="H227" s="4">
        <f>IF(A227="","",IFERROR(ROUND(AVERAGEIFS(ASSESSMENTS!H:H,ASSESSMENTS!B:B,A227,ASSESSMENTS!E:E,"Physical Sciences"),1),""))</f>
        <v/>
      </c>
      <c r="I227" s="4">
        <f>IF(A227="","",IFERROR(ROUND(AVERAGEIFS(ASSESSMENTS!H:H,ASSESSMENTS!B:B,A227,ASSESSMENTS!E:E,"Geography"),1),""))</f>
        <v/>
      </c>
      <c r="J227" s="4">
        <f>IF(A227="","",IFERROR(ROUND(AVERAGEIFS(ASSESSMENTS!H:H,ASSESSMENTS!B:B,A227,ASSESSMENTS!E:E,"Accounting"),1),""))</f>
        <v/>
      </c>
      <c r="K227" s="4">
        <f>IF(A227="","",IFERROR(ROUND(AVERAGEIFS(ASSESSMENTS!H:H,ASSESSMENTS!B:B,A227,ASSESSMENTS!E:E,"English"),1),""))</f>
        <v/>
      </c>
      <c r="L227" s="5">
        <f>IF(A227="","",IFERROR(XLOOKUP(A227,ATTENDANCE_SUMMARY!A:A,ATTENDANCE_SUMMARY!G:G,""),""))</f>
        <v/>
      </c>
      <c r="M227" s="4">
        <f>IF(A227="","",IF(OR(E227&lt;50,AND(L227&lt;0.75,L227&lt;&gt;"" )),"At Risk","On Track"))</f>
        <v/>
      </c>
    </row>
    <row r="228">
      <c r="A228">
        <f>IF(MASTER_REGISTER!E228="","",MASTER_REGISTER!E228)</f>
        <v/>
      </c>
      <c r="B228">
        <f>IF(A228="","",MASTER_REGISTER!F228)</f>
        <v/>
      </c>
      <c r="C228">
        <f>IF(A228="","",MASTER_REGISTER!C228)</f>
        <v/>
      </c>
      <c r="D228">
        <f>IF(A228="","",COUNTIF(ASSESSMENTS!B:B,A228))</f>
        <v/>
      </c>
      <c r="E228" s="4">
        <f>IF(D228=0,"",ROUND(AVERAGEIF(ASSESSMENTS!B:B,A228,ASSESSMENTS!H:H),1))</f>
        <v/>
      </c>
      <c r="F228" s="4">
        <f>IF(A228="","",IFERROR(ROUND(AVERAGEIFS(ASSESSMENTS!H:H,ASSESSMENTS!B:B,A228,ASSESSMENTS!E:E,"Mathematics"),1),""))</f>
        <v/>
      </c>
      <c r="G228" s="4">
        <f>IF(A228="","",IFERROR(ROUND(AVERAGEIFS(ASSESSMENTS!H:H,ASSESSMENTS!B:B,A228,ASSESSMENTS!E:E,"Mathematical Literacy"),1),""))</f>
        <v/>
      </c>
      <c r="H228" s="4">
        <f>IF(A228="","",IFERROR(ROUND(AVERAGEIFS(ASSESSMENTS!H:H,ASSESSMENTS!B:B,A228,ASSESSMENTS!E:E,"Physical Sciences"),1),""))</f>
        <v/>
      </c>
      <c r="I228" s="4">
        <f>IF(A228="","",IFERROR(ROUND(AVERAGEIFS(ASSESSMENTS!H:H,ASSESSMENTS!B:B,A228,ASSESSMENTS!E:E,"Geography"),1),""))</f>
        <v/>
      </c>
      <c r="J228" s="4">
        <f>IF(A228="","",IFERROR(ROUND(AVERAGEIFS(ASSESSMENTS!H:H,ASSESSMENTS!B:B,A228,ASSESSMENTS!E:E,"Accounting"),1),""))</f>
        <v/>
      </c>
      <c r="K228" s="4">
        <f>IF(A228="","",IFERROR(ROUND(AVERAGEIFS(ASSESSMENTS!H:H,ASSESSMENTS!B:B,A228,ASSESSMENTS!E:E,"English"),1),""))</f>
        <v/>
      </c>
      <c r="L228" s="5">
        <f>IF(A228="","",IFERROR(XLOOKUP(A228,ATTENDANCE_SUMMARY!A:A,ATTENDANCE_SUMMARY!G:G,""),""))</f>
        <v/>
      </c>
      <c r="M228" s="4">
        <f>IF(A228="","",IF(OR(E228&lt;50,AND(L228&lt;0.75,L228&lt;&gt;"" )),"At Risk","On Track"))</f>
        <v/>
      </c>
    </row>
    <row r="229">
      <c r="A229">
        <f>IF(MASTER_REGISTER!E229="","",MASTER_REGISTER!E229)</f>
        <v/>
      </c>
      <c r="B229">
        <f>IF(A229="","",MASTER_REGISTER!F229)</f>
        <v/>
      </c>
      <c r="C229">
        <f>IF(A229="","",MASTER_REGISTER!C229)</f>
        <v/>
      </c>
      <c r="D229">
        <f>IF(A229="","",COUNTIF(ASSESSMENTS!B:B,A229))</f>
        <v/>
      </c>
      <c r="E229" s="4">
        <f>IF(D229=0,"",ROUND(AVERAGEIF(ASSESSMENTS!B:B,A229,ASSESSMENTS!H:H),1))</f>
        <v/>
      </c>
      <c r="F229" s="4">
        <f>IF(A229="","",IFERROR(ROUND(AVERAGEIFS(ASSESSMENTS!H:H,ASSESSMENTS!B:B,A229,ASSESSMENTS!E:E,"Mathematics"),1),""))</f>
        <v/>
      </c>
      <c r="G229" s="4">
        <f>IF(A229="","",IFERROR(ROUND(AVERAGEIFS(ASSESSMENTS!H:H,ASSESSMENTS!B:B,A229,ASSESSMENTS!E:E,"Mathematical Literacy"),1),""))</f>
        <v/>
      </c>
      <c r="H229" s="4">
        <f>IF(A229="","",IFERROR(ROUND(AVERAGEIFS(ASSESSMENTS!H:H,ASSESSMENTS!B:B,A229,ASSESSMENTS!E:E,"Physical Sciences"),1),""))</f>
        <v/>
      </c>
      <c r="I229" s="4">
        <f>IF(A229="","",IFERROR(ROUND(AVERAGEIFS(ASSESSMENTS!H:H,ASSESSMENTS!B:B,A229,ASSESSMENTS!E:E,"Geography"),1),""))</f>
        <v/>
      </c>
      <c r="J229" s="4">
        <f>IF(A229="","",IFERROR(ROUND(AVERAGEIFS(ASSESSMENTS!H:H,ASSESSMENTS!B:B,A229,ASSESSMENTS!E:E,"Accounting"),1),""))</f>
        <v/>
      </c>
      <c r="K229" s="4">
        <f>IF(A229="","",IFERROR(ROUND(AVERAGEIFS(ASSESSMENTS!H:H,ASSESSMENTS!B:B,A229,ASSESSMENTS!E:E,"English"),1),""))</f>
        <v/>
      </c>
      <c r="L229" s="5">
        <f>IF(A229="","",IFERROR(XLOOKUP(A229,ATTENDANCE_SUMMARY!A:A,ATTENDANCE_SUMMARY!G:G,""),""))</f>
        <v/>
      </c>
      <c r="M229" s="4">
        <f>IF(A229="","",IF(OR(E229&lt;50,AND(L229&lt;0.75,L229&lt;&gt;"" )),"At Risk","On Track"))</f>
        <v/>
      </c>
    </row>
    <row r="230">
      <c r="A230">
        <f>IF(MASTER_REGISTER!E230="","",MASTER_REGISTER!E230)</f>
        <v/>
      </c>
      <c r="B230">
        <f>IF(A230="","",MASTER_REGISTER!F230)</f>
        <v/>
      </c>
      <c r="C230">
        <f>IF(A230="","",MASTER_REGISTER!C230)</f>
        <v/>
      </c>
      <c r="D230">
        <f>IF(A230="","",COUNTIF(ASSESSMENTS!B:B,A230))</f>
        <v/>
      </c>
      <c r="E230" s="4">
        <f>IF(D230=0,"",ROUND(AVERAGEIF(ASSESSMENTS!B:B,A230,ASSESSMENTS!H:H),1))</f>
        <v/>
      </c>
      <c r="F230" s="4">
        <f>IF(A230="","",IFERROR(ROUND(AVERAGEIFS(ASSESSMENTS!H:H,ASSESSMENTS!B:B,A230,ASSESSMENTS!E:E,"Mathematics"),1),""))</f>
        <v/>
      </c>
      <c r="G230" s="4">
        <f>IF(A230="","",IFERROR(ROUND(AVERAGEIFS(ASSESSMENTS!H:H,ASSESSMENTS!B:B,A230,ASSESSMENTS!E:E,"Mathematical Literacy"),1),""))</f>
        <v/>
      </c>
      <c r="H230" s="4">
        <f>IF(A230="","",IFERROR(ROUND(AVERAGEIFS(ASSESSMENTS!H:H,ASSESSMENTS!B:B,A230,ASSESSMENTS!E:E,"Physical Sciences"),1),""))</f>
        <v/>
      </c>
      <c r="I230" s="4">
        <f>IF(A230="","",IFERROR(ROUND(AVERAGEIFS(ASSESSMENTS!H:H,ASSESSMENTS!B:B,A230,ASSESSMENTS!E:E,"Geography"),1),""))</f>
        <v/>
      </c>
      <c r="J230" s="4">
        <f>IF(A230="","",IFERROR(ROUND(AVERAGEIFS(ASSESSMENTS!H:H,ASSESSMENTS!B:B,A230,ASSESSMENTS!E:E,"Accounting"),1),""))</f>
        <v/>
      </c>
      <c r="K230" s="4">
        <f>IF(A230="","",IFERROR(ROUND(AVERAGEIFS(ASSESSMENTS!H:H,ASSESSMENTS!B:B,A230,ASSESSMENTS!E:E,"English"),1),""))</f>
        <v/>
      </c>
      <c r="L230" s="5">
        <f>IF(A230="","",IFERROR(XLOOKUP(A230,ATTENDANCE_SUMMARY!A:A,ATTENDANCE_SUMMARY!G:G,""),""))</f>
        <v/>
      </c>
      <c r="M230" s="4">
        <f>IF(A230="","",IF(OR(E230&lt;50,AND(L230&lt;0.75,L230&lt;&gt;"" )),"At Risk","On Track"))</f>
        <v/>
      </c>
    </row>
    <row r="231">
      <c r="A231">
        <f>IF(MASTER_REGISTER!E231="","",MASTER_REGISTER!E231)</f>
        <v/>
      </c>
      <c r="B231">
        <f>IF(A231="","",MASTER_REGISTER!F231)</f>
        <v/>
      </c>
      <c r="C231">
        <f>IF(A231="","",MASTER_REGISTER!C231)</f>
        <v/>
      </c>
      <c r="D231">
        <f>IF(A231="","",COUNTIF(ASSESSMENTS!B:B,A231))</f>
        <v/>
      </c>
      <c r="E231" s="4">
        <f>IF(D231=0,"",ROUND(AVERAGEIF(ASSESSMENTS!B:B,A231,ASSESSMENTS!H:H),1))</f>
        <v/>
      </c>
      <c r="F231" s="4">
        <f>IF(A231="","",IFERROR(ROUND(AVERAGEIFS(ASSESSMENTS!H:H,ASSESSMENTS!B:B,A231,ASSESSMENTS!E:E,"Mathematics"),1),""))</f>
        <v/>
      </c>
      <c r="G231" s="4">
        <f>IF(A231="","",IFERROR(ROUND(AVERAGEIFS(ASSESSMENTS!H:H,ASSESSMENTS!B:B,A231,ASSESSMENTS!E:E,"Mathematical Literacy"),1),""))</f>
        <v/>
      </c>
      <c r="H231" s="4">
        <f>IF(A231="","",IFERROR(ROUND(AVERAGEIFS(ASSESSMENTS!H:H,ASSESSMENTS!B:B,A231,ASSESSMENTS!E:E,"Physical Sciences"),1),""))</f>
        <v/>
      </c>
      <c r="I231" s="4">
        <f>IF(A231="","",IFERROR(ROUND(AVERAGEIFS(ASSESSMENTS!H:H,ASSESSMENTS!B:B,A231,ASSESSMENTS!E:E,"Geography"),1),""))</f>
        <v/>
      </c>
      <c r="J231" s="4">
        <f>IF(A231="","",IFERROR(ROUND(AVERAGEIFS(ASSESSMENTS!H:H,ASSESSMENTS!B:B,A231,ASSESSMENTS!E:E,"Accounting"),1),""))</f>
        <v/>
      </c>
      <c r="K231" s="4">
        <f>IF(A231="","",IFERROR(ROUND(AVERAGEIFS(ASSESSMENTS!H:H,ASSESSMENTS!B:B,A231,ASSESSMENTS!E:E,"English"),1),""))</f>
        <v/>
      </c>
      <c r="L231" s="5">
        <f>IF(A231="","",IFERROR(XLOOKUP(A231,ATTENDANCE_SUMMARY!A:A,ATTENDANCE_SUMMARY!G:G,""),""))</f>
        <v/>
      </c>
      <c r="M231" s="4">
        <f>IF(A231="","",IF(OR(E231&lt;50,AND(L231&lt;0.75,L231&lt;&gt;"" )),"At Risk","On Track"))</f>
        <v/>
      </c>
    </row>
    <row r="232">
      <c r="A232">
        <f>IF(MASTER_REGISTER!E232="","",MASTER_REGISTER!E232)</f>
        <v/>
      </c>
      <c r="B232">
        <f>IF(A232="","",MASTER_REGISTER!F232)</f>
        <v/>
      </c>
      <c r="C232">
        <f>IF(A232="","",MASTER_REGISTER!C232)</f>
        <v/>
      </c>
      <c r="D232">
        <f>IF(A232="","",COUNTIF(ASSESSMENTS!B:B,A232))</f>
        <v/>
      </c>
      <c r="E232" s="4">
        <f>IF(D232=0,"",ROUND(AVERAGEIF(ASSESSMENTS!B:B,A232,ASSESSMENTS!H:H),1))</f>
        <v/>
      </c>
      <c r="F232" s="4">
        <f>IF(A232="","",IFERROR(ROUND(AVERAGEIFS(ASSESSMENTS!H:H,ASSESSMENTS!B:B,A232,ASSESSMENTS!E:E,"Mathematics"),1),""))</f>
        <v/>
      </c>
      <c r="G232" s="4">
        <f>IF(A232="","",IFERROR(ROUND(AVERAGEIFS(ASSESSMENTS!H:H,ASSESSMENTS!B:B,A232,ASSESSMENTS!E:E,"Mathematical Literacy"),1),""))</f>
        <v/>
      </c>
      <c r="H232" s="4">
        <f>IF(A232="","",IFERROR(ROUND(AVERAGEIFS(ASSESSMENTS!H:H,ASSESSMENTS!B:B,A232,ASSESSMENTS!E:E,"Physical Sciences"),1),""))</f>
        <v/>
      </c>
      <c r="I232" s="4">
        <f>IF(A232="","",IFERROR(ROUND(AVERAGEIFS(ASSESSMENTS!H:H,ASSESSMENTS!B:B,A232,ASSESSMENTS!E:E,"Geography"),1),""))</f>
        <v/>
      </c>
      <c r="J232" s="4">
        <f>IF(A232="","",IFERROR(ROUND(AVERAGEIFS(ASSESSMENTS!H:H,ASSESSMENTS!B:B,A232,ASSESSMENTS!E:E,"Accounting"),1),""))</f>
        <v/>
      </c>
      <c r="K232" s="4">
        <f>IF(A232="","",IFERROR(ROUND(AVERAGEIFS(ASSESSMENTS!H:H,ASSESSMENTS!B:B,A232,ASSESSMENTS!E:E,"English"),1),""))</f>
        <v/>
      </c>
      <c r="L232" s="5">
        <f>IF(A232="","",IFERROR(XLOOKUP(A232,ATTENDANCE_SUMMARY!A:A,ATTENDANCE_SUMMARY!G:G,""),""))</f>
        <v/>
      </c>
      <c r="M232" s="4">
        <f>IF(A232="","",IF(OR(E232&lt;50,AND(L232&lt;0.75,L232&lt;&gt;"" )),"At Risk","On Track"))</f>
        <v/>
      </c>
    </row>
    <row r="233">
      <c r="A233">
        <f>IF(MASTER_REGISTER!E233="","",MASTER_REGISTER!E233)</f>
        <v/>
      </c>
      <c r="B233">
        <f>IF(A233="","",MASTER_REGISTER!F233)</f>
        <v/>
      </c>
      <c r="C233">
        <f>IF(A233="","",MASTER_REGISTER!C233)</f>
        <v/>
      </c>
      <c r="D233">
        <f>IF(A233="","",COUNTIF(ASSESSMENTS!B:B,A233))</f>
        <v/>
      </c>
      <c r="E233" s="4">
        <f>IF(D233=0,"",ROUND(AVERAGEIF(ASSESSMENTS!B:B,A233,ASSESSMENTS!H:H),1))</f>
        <v/>
      </c>
      <c r="F233" s="4">
        <f>IF(A233="","",IFERROR(ROUND(AVERAGEIFS(ASSESSMENTS!H:H,ASSESSMENTS!B:B,A233,ASSESSMENTS!E:E,"Mathematics"),1),""))</f>
        <v/>
      </c>
      <c r="G233" s="4">
        <f>IF(A233="","",IFERROR(ROUND(AVERAGEIFS(ASSESSMENTS!H:H,ASSESSMENTS!B:B,A233,ASSESSMENTS!E:E,"Mathematical Literacy"),1),""))</f>
        <v/>
      </c>
      <c r="H233" s="4">
        <f>IF(A233="","",IFERROR(ROUND(AVERAGEIFS(ASSESSMENTS!H:H,ASSESSMENTS!B:B,A233,ASSESSMENTS!E:E,"Physical Sciences"),1),""))</f>
        <v/>
      </c>
      <c r="I233" s="4">
        <f>IF(A233="","",IFERROR(ROUND(AVERAGEIFS(ASSESSMENTS!H:H,ASSESSMENTS!B:B,A233,ASSESSMENTS!E:E,"Geography"),1),""))</f>
        <v/>
      </c>
      <c r="J233" s="4">
        <f>IF(A233="","",IFERROR(ROUND(AVERAGEIFS(ASSESSMENTS!H:H,ASSESSMENTS!B:B,A233,ASSESSMENTS!E:E,"Accounting"),1),""))</f>
        <v/>
      </c>
      <c r="K233" s="4">
        <f>IF(A233="","",IFERROR(ROUND(AVERAGEIFS(ASSESSMENTS!H:H,ASSESSMENTS!B:B,A233,ASSESSMENTS!E:E,"English"),1),""))</f>
        <v/>
      </c>
      <c r="L233" s="5">
        <f>IF(A233="","",IFERROR(XLOOKUP(A233,ATTENDANCE_SUMMARY!A:A,ATTENDANCE_SUMMARY!G:G,""),""))</f>
        <v/>
      </c>
      <c r="M233" s="4">
        <f>IF(A233="","",IF(OR(E233&lt;50,AND(L233&lt;0.75,L233&lt;&gt;"" )),"At Risk","On Track"))</f>
        <v/>
      </c>
    </row>
    <row r="234">
      <c r="A234">
        <f>IF(MASTER_REGISTER!E234="","",MASTER_REGISTER!E234)</f>
        <v/>
      </c>
      <c r="B234">
        <f>IF(A234="","",MASTER_REGISTER!F234)</f>
        <v/>
      </c>
      <c r="C234">
        <f>IF(A234="","",MASTER_REGISTER!C234)</f>
        <v/>
      </c>
      <c r="D234">
        <f>IF(A234="","",COUNTIF(ASSESSMENTS!B:B,A234))</f>
        <v/>
      </c>
      <c r="E234" s="4">
        <f>IF(D234=0,"",ROUND(AVERAGEIF(ASSESSMENTS!B:B,A234,ASSESSMENTS!H:H),1))</f>
        <v/>
      </c>
      <c r="F234" s="4">
        <f>IF(A234="","",IFERROR(ROUND(AVERAGEIFS(ASSESSMENTS!H:H,ASSESSMENTS!B:B,A234,ASSESSMENTS!E:E,"Mathematics"),1),""))</f>
        <v/>
      </c>
      <c r="G234" s="4">
        <f>IF(A234="","",IFERROR(ROUND(AVERAGEIFS(ASSESSMENTS!H:H,ASSESSMENTS!B:B,A234,ASSESSMENTS!E:E,"Mathematical Literacy"),1),""))</f>
        <v/>
      </c>
      <c r="H234" s="4">
        <f>IF(A234="","",IFERROR(ROUND(AVERAGEIFS(ASSESSMENTS!H:H,ASSESSMENTS!B:B,A234,ASSESSMENTS!E:E,"Physical Sciences"),1),""))</f>
        <v/>
      </c>
      <c r="I234" s="4">
        <f>IF(A234="","",IFERROR(ROUND(AVERAGEIFS(ASSESSMENTS!H:H,ASSESSMENTS!B:B,A234,ASSESSMENTS!E:E,"Geography"),1),""))</f>
        <v/>
      </c>
      <c r="J234" s="4">
        <f>IF(A234="","",IFERROR(ROUND(AVERAGEIFS(ASSESSMENTS!H:H,ASSESSMENTS!B:B,A234,ASSESSMENTS!E:E,"Accounting"),1),""))</f>
        <v/>
      </c>
      <c r="K234" s="4">
        <f>IF(A234="","",IFERROR(ROUND(AVERAGEIFS(ASSESSMENTS!H:H,ASSESSMENTS!B:B,A234,ASSESSMENTS!E:E,"English"),1),""))</f>
        <v/>
      </c>
      <c r="L234" s="5">
        <f>IF(A234="","",IFERROR(XLOOKUP(A234,ATTENDANCE_SUMMARY!A:A,ATTENDANCE_SUMMARY!G:G,""),""))</f>
        <v/>
      </c>
      <c r="M234" s="4">
        <f>IF(A234="","",IF(OR(E234&lt;50,AND(L234&lt;0.75,L234&lt;&gt;"" )),"At Risk","On Track"))</f>
        <v/>
      </c>
    </row>
    <row r="235">
      <c r="A235">
        <f>IF(MASTER_REGISTER!E235="","",MASTER_REGISTER!E235)</f>
        <v/>
      </c>
      <c r="B235">
        <f>IF(A235="","",MASTER_REGISTER!F235)</f>
        <v/>
      </c>
      <c r="C235">
        <f>IF(A235="","",MASTER_REGISTER!C235)</f>
        <v/>
      </c>
      <c r="D235">
        <f>IF(A235="","",COUNTIF(ASSESSMENTS!B:B,A235))</f>
        <v/>
      </c>
      <c r="E235" s="4">
        <f>IF(D235=0,"",ROUND(AVERAGEIF(ASSESSMENTS!B:B,A235,ASSESSMENTS!H:H),1))</f>
        <v/>
      </c>
      <c r="F235" s="4">
        <f>IF(A235="","",IFERROR(ROUND(AVERAGEIFS(ASSESSMENTS!H:H,ASSESSMENTS!B:B,A235,ASSESSMENTS!E:E,"Mathematics"),1),""))</f>
        <v/>
      </c>
      <c r="G235" s="4">
        <f>IF(A235="","",IFERROR(ROUND(AVERAGEIFS(ASSESSMENTS!H:H,ASSESSMENTS!B:B,A235,ASSESSMENTS!E:E,"Mathematical Literacy"),1),""))</f>
        <v/>
      </c>
      <c r="H235" s="4">
        <f>IF(A235="","",IFERROR(ROUND(AVERAGEIFS(ASSESSMENTS!H:H,ASSESSMENTS!B:B,A235,ASSESSMENTS!E:E,"Physical Sciences"),1),""))</f>
        <v/>
      </c>
      <c r="I235" s="4">
        <f>IF(A235="","",IFERROR(ROUND(AVERAGEIFS(ASSESSMENTS!H:H,ASSESSMENTS!B:B,A235,ASSESSMENTS!E:E,"Geography"),1),""))</f>
        <v/>
      </c>
      <c r="J235" s="4">
        <f>IF(A235="","",IFERROR(ROUND(AVERAGEIFS(ASSESSMENTS!H:H,ASSESSMENTS!B:B,A235,ASSESSMENTS!E:E,"Accounting"),1),""))</f>
        <v/>
      </c>
      <c r="K235" s="4">
        <f>IF(A235="","",IFERROR(ROUND(AVERAGEIFS(ASSESSMENTS!H:H,ASSESSMENTS!B:B,A235,ASSESSMENTS!E:E,"English"),1),""))</f>
        <v/>
      </c>
      <c r="L235" s="5">
        <f>IF(A235="","",IFERROR(XLOOKUP(A235,ATTENDANCE_SUMMARY!A:A,ATTENDANCE_SUMMARY!G:G,""),""))</f>
        <v/>
      </c>
      <c r="M235" s="4">
        <f>IF(A235="","",IF(OR(E235&lt;50,AND(L235&lt;0.75,L235&lt;&gt;"" )),"At Risk","On Track"))</f>
        <v/>
      </c>
    </row>
    <row r="236">
      <c r="A236">
        <f>IF(MASTER_REGISTER!E236="","",MASTER_REGISTER!E236)</f>
        <v/>
      </c>
      <c r="B236">
        <f>IF(A236="","",MASTER_REGISTER!F236)</f>
        <v/>
      </c>
      <c r="C236">
        <f>IF(A236="","",MASTER_REGISTER!C236)</f>
        <v/>
      </c>
      <c r="D236">
        <f>IF(A236="","",COUNTIF(ASSESSMENTS!B:B,A236))</f>
        <v/>
      </c>
      <c r="E236" s="4">
        <f>IF(D236=0,"",ROUND(AVERAGEIF(ASSESSMENTS!B:B,A236,ASSESSMENTS!H:H),1))</f>
        <v/>
      </c>
      <c r="F236" s="4">
        <f>IF(A236="","",IFERROR(ROUND(AVERAGEIFS(ASSESSMENTS!H:H,ASSESSMENTS!B:B,A236,ASSESSMENTS!E:E,"Mathematics"),1),""))</f>
        <v/>
      </c>
      <c r="G236" s="4">
        <f>IF(A236="","",IFERROR(ROUND(AVERAGEIFS(ASSESSMENTS!H:H,ASSESSMENTS!B:B,A236,ASSESSMENTS!E:E,"Mathematical Literacy"),1),""))</f>
        <v/>
      </c>
      <c r="H236" s="4">
        <f>IF(A236="","",IFERROR(ROUND(AVERAGEIFS(ASSESSMENTS!H:H,ASSESSMENTS!B:B,A236,ASSESSMENTS!E:E,"Physical Sciences"),1),""))</f>
        <v/>
      </c>
      <c r="I236" s="4">
        <f>IF(A236="","",IFERROR(ROUND(AVERAGEIFS(ASSESSMENTS!H:H,ASSESSMENTS!B:B,A236,ASSESSMENTS!E:E,"Geography"),1),""))</f>
        <v/>
      </c>
      <c r="J236" s="4">
        <f>IF(A236="","",IFERROR(ROUND(AVERAGEIFS(ASSESSMENTS!H:H,ASSESSMENTS!B:B,A236,ASSESSMENTS!E:E,"Accounting"),1),""))</f>
        <v/>
      </c>
      <c r="K236" s="4">
        <f>IF(A236="","",IFERROR(ROUND(AVERAGEIFS(ASSESSMENTS!H:H,ASSESSMENTS!B:B,A236,ASSESSMENTS!E:E,"English"),1),""))</f>
        <v/>
      </c>
      <c r="L236" s="5">
        <f>IF(A236="","",IFERROR(XLOOKUP(A236,ATTENDANCE_SUMMARY!A:A,ATTENDANCE_SUMMARY!G:G,""),""))</f>
        <v/>
      </c>
      <c r="M236" s="4">
        <f>IF(A236="","",IF(OR(E236&lt;50,AND(L236&lt;0.75,L236&lt;&gt;"" )),"At Risk","On Track"))</f>
        <v/>
      </c>
    </row>
    <row r="237">
      <c r="A237">
        <f>IF(MASTER_REGISTER!E237="","",MASTER_REGISTER!E237)</f>
        <v/>
      </c>
      <c r="B237">
        <f>IF(A237="","",MASTER_REGISTER!F237)</f>
        <v/>
      </c>
      <c r="C237">
        <f>IF(A237="","",MASTER_REGISTER!C237)</f>
        <v/>
      </c>
      <c r="D237">
        <f>IF(A237="","",COUNTIF(ASSESSMENTS!B:B,A237))</f>
        <v/>
      </c>
      <c r="E237" s="4">
        <f>IF(D237=0,"",ROUND(AVERAGEIF(ASSESSMENTS!B:B,A237,ASSESSMENTS!H:H),1))</f>
        <v/>
      </c>
      <c r="F237" s="4">
        <f>IF(A237="","",IFERROR(ROUND(AVERAGEIFS(ASSESSMENTS!H:H,ASSESSMENTS!B:B,A237,ASSESSMENTS!E:E,"Mathematics"),1),""))</f>
        <v/>
      </c>
      <c r="G237" s="4">
        <f>IF(A237="","",IFERROR(ROUND(AVERAGEIFS(ASSESSMENTS!H:H,ASSESSMENTS!B:B,A237,ASSESSMENTS!E:E,"Mathematical Literacy"),1),""))</f>
        <v/>
      </c>
      <c r="H237" s="4">
        <f>IF(A237="","",IFERROR(ROUND(AVERAGEIFS(ASSESSMENTS!H:H,ASSESSMENTS!B:B,A237,ASSESSMENTS!E:E,"Physical Sciences"),1),""))</f>
        <v/>
      </c>
      <c r="I237" s="4">
        <f>IF(A237="","",IFERROR(ROUND(AVERAGEIFS(ASSESSMENTS!H:H,ASSESSMENTS!B:B,A237,ASSESSMENTS!E:E,"Geography"),1),""))</f>
        <v/>
      </c>
      <c r="J237" s="4">
        <f>IF(A237="","",IFERROR(ROUND(AVERAGEIFS(ASSESSMENTS!H:H,ASSESSMENTS!B:B,A237,ASSESSMENTS!E:E,"Accounting"),1),""))</f>
        <v/>
      </c>
      <c r="K237" s="4">
        <f>IF(A237="","",IFERROR(ROUND(AVERAGEIFS(ASSESSMENTS!H:H,ASSESSMENTS!B:B,A237,ASSESSMENTS!E:E,"English"),1),""))</f>
        <v/>
      </c>
      <c r="L237" s="5">
        <f>IF(A237="","",IFERROR(XLOOKUP(A237,ATTENDANCE_SUMMARY!A:A,ATTENDANCE_SUMMARY!G:G,""),""))</f>
        <v/>
      </c>
      <c r="M237" s="4">
        <f>IF(A237="","",IF(OR(E237&lt;50,AND(L237&lt;0.75,L237&lt;&gt;"" )),"At Risk","On Track"))</f>
        <v/>
      </c>
    </row>
    <row r="238">
      <c r="A238">
        <f>IF(MASTER_REGISTER!E238="","",MASTER_REGISTER!E238)</f>
        <v/>
      </c>
      <c r="B238">
        <f>IF(A238="","",MASTER_REGISTER!F238)</f>
        <v/>
      </c>
      <c r="C238">
        <f>IF(A238="","",MASTER_REGISTER!C238)</f>
        <v/>
      </c>
      <c r="D238">
        <f>IF(A238="","",COUNTIF(ASSESSMENTS!B:B,A238))</f>
        <v/>
      </c>
      <c r="E238" s="4">
        <f>IF(D238=0,"",ROUND(AVERAGEIF(ASSESSMENTS!B:B,A238,ASSESSMENTS!H:H),1))</f>
        <v/>
      </c>
      <c r="F238" s="4">
        <f>IF(A238="","",IFERROR(ROUND(AVERAGEIFS(ASSESSMENTS!H:H,ASSESSMENTS!B:B,A238,ASSESSMENTS!E:E,"Mathematics"),1),""))</f>
        <v/>
      </c>
      <c r="G238" s="4">
        <f>IF(A238="","",IFERROR(ROUND(AVERAGEIFS(ASSESSMENTS!H:H,ASSESSMENTS!B:B,A238,ASSESSMENTS!E:E,"Mathematical Literacy"),1),""))</f>
        <v/>
      </c>
      <c r="H238" s="4">
        <f>IF(A238="","",IFERROR(ROUND(AVERAGEIFS(ASSESSMENTS!H:H,ASSESSMENTS!B:B,A238,ASSESSMENTS!E:E,"Physical Sciences"),1),""))</f>
        <v/>
      </c>
      <c r="I238" s="4">
        <f>IF(A238="","",IFERROR(ROUND(AVERAGEIFS(ASSESSMENTS!H:H,ASSESSMENTS!B:B,A238,ASSESSMENTS!E:E,"Geography"),1),""))</f>
        <v/>
      </c>
      <c r="J238" s="4">
        <f>IF(A238="","",IFERROR(ROUND(AVERAGEIFS(ASSESSMENTS!H:H,ASSESSMENTS!B:B,A238,ASSESSMENTS!E:E,"Accounting"),1),""))</f>
        <v/>
      </c>
      <c r="K238" s="4">
        <f>IF(A238="","",IFERROR(ROUND(AVERAGEIFS(ASSESSMENTS!H:H,ASSESSMENTS!B:B,A238,ASSESSMENTS!E:E,"English"),1),""))</f>
        <v/>
      </c>
      <c r="L238" s="5">
        <f>IF(A238="","",IFERROR(XLOOKUP(A238,ATTENDANCE_SUMMARY!A:A,ATTENDANCE_SUMMARY!G:G,""),""))</f>
        <v/>
      </c>
      <c r="M238" s="4">
        <f>IF(A238="","",IF(OR(E238&lt;50,AND(L238&lt;0.75,L238&lt;&gt;"" )),"At Risk","On Track"))</f>
        <v/>
      </c>
    </row>
    <row r="239">
      <c r="A239">
        <f>IF(MASTER_REGISTER!E239="","",MASTER_REGISTER!E239)</f>
        <v/>
      </c>
      <c r="B239">
        <f>IF(A239="","",MASTER_REGISTER!F239)</f>
        <v/>
      </c>
      <c r="C239">
        <f>IF(A239="","",MASTER_REGISTER!C239)</f>
        <v/>
      </c>
      <c r="D239">
        <f>IF(A239="","",COUNTIF(ASSESSMENTS!B:B,A239))</f>
        <v/>
      </c>
      <c r="E239" s="4">
        <f>IF(D239=0,"",ROUND(AVERAGEIF(ASSESSMENTS!B:B,A239,ASSESSMENTS!H:H),1))</f>
        <v/>
      </c>
      <c r="F239" s="4">
        <f>IF(A239="","",IFERROR(ROUND(AVERAGEIFS(ASSESSMENTS!H:H,ASSESSMENTS!B:B,A239,ASSESSMENTS!E:E,"Mathematics"),1),""))</f>
        <v/>
      </c>
      <c r="G239" s="4">
        <f>IF(A239="","",IFERROR(ROUND(AVERAGEIFS(ASSESSMENTS!H:H,ASSESSMENTS!B:B,A239,ASSESSMENTS!E:E,"Mathematical Literacy"),1),""))</f>
        <v/>
      </c>
      <c r="H239" s="4">
        <f>IF(A239="","",IFERROR(ROUND(AVERAGEIFS(ASSESSMENTS!H:H,ASSESSMENTS!B:B,A239,ASSESSMENTS!E:E,"Physical Sciences"),1),""))</f>
        <v/>
      </c>
      <c r="I239" s="4">
        <f>IF(A239="","",IFERROR(ROUND(AVERAGEIFS(ASSESSMENTS!H:H,ASSESSMENTS!B:B,A239,ASSESSMENTS!E:E,"Geography"),1),""))</f>
        <v/>
      </c>
      <c r="J239" s="4">
        <f>IF(A239="","",IFERROR(ROUND(AVERAGEIFS(ASSESSMENTS!H:H,ASSESSMENTS!B:B,A239,ASSESSMENTS!E:E,"Accounting"),1),""))</f>
        <v/>
      </c>
      <c r="K239" s="4">
        <f>IF(A239="","",IFERROR(ROUND(AVERAGEIFS(ASSESSMENTS!H:H,ASSESSMENTS!B:B,A239,ASSESSMENTS!E:E,"English"),1),""))</f>
        <v/>
      </c>
      <c r="L239" s="5">
        <f>IF(A239="","",IFERROR(XLOOKUP(A239,ATTENDANCE_SUMMARY!A:A,ATTENDANCE_SUMMARY!G:G,""),""))</f>
        <v/>
      </c>
      <c r="M239" s="4">
        <f>IF(A239="","",IF(OR(E239&lt;50,AND(L239&lt;0.75,L239&lt;&gt;"" )),"At Risk","On Track"))</f>
        <v/>
      </c>
    </row>
    <row r="240">
      <c r="A240">
        <f>IF(MASTER_REGISTER!E240="","",MASTER_REGISTER!E240)</f>
        <v/>
      </c>
      <c r="B240">
        <f>IF(A240="","",MASTER_REGISTER!F240)</f>
        <v/>
      </c>
      <c r="C240">
        <f>IF(A240="","",MASTER_REGISTER!C240)</f>
        <v/>
      </c>
      <c r="D240">
        <f>IF(A240="","",COUNTIF(ASSESSMENTS!B:B,A240))</f>
        <v/>
      </c>
      <c r="E240" s="4">
        <f>IF(D240=0,"",ROUND(AVERAGEIF(ASSESSMENTS!B:B,A240,ASSESSMENTS!H:H),1))</f>
        <v/>
      </c>
      <c r="F240" s="4">
        <f>IF(A240="","",IFERROR(ROUND(AVERAGEIFS(ASSESSMENTS!H:H,ASSESSMENTS!B:B,A240,ASSESSMENTS!E:E,"Mathematics"),1),""))</f>
        <v/>
      </c>
      <c r="G240" s="4">
        <f>IF(A240="","",IFERROR(ROUND(AVERAGEIFS(ASSESSMENTS!H:H,ASSESSMENTS!B:B,A240,ASSESSMENTS!E:E,"Mathematical Literacy"),1),""))</f>
        <v/>
      </c>
      <c r="H240" s="4">
        <f>IF(A240="","",IFERROR(ROUND(AVERAGEIFS(ASSESSMENTS!H:H,ASSESSMENTS!B:B,A240,ASSESSMENTS!E:E,"Physical Sciences"),1),""))</f>
        <v/>
      </c>
      <c r="I240" s="4">
        <f>IF(A240="","",IFERROR(ROUND(AVERAGEIFS(ASSESSMENTS!H:H,ASSESSMENTS!B:B,A240,ASSESSMENTS!E:E,"Geography"),1),""))</f>
        <v/>
      </c>
      <c r="J240" s="4">
        <f>IF(A240="","",IFERROR(ROUND(AVERAGEIFS(ASSESSMENTS!H:H,ASSESSMENTS!B:B,A240,ASSESSMENTS!E:E,"Accounting"),1),""))</f>
        <v/>
      </c>
      <c r="K240" s="4">
        <f>IF(A240="","",IFERROR(ROUND(AVERAGEIFS(ASSESSMENTS!H:H,ASSESSMENTS!B:B,A240,ASSESSMENTS!E:E,"English"),1),""))</f>
        <v/>
      </c>
      <c r="L240" s="5">
        <f>IF(A240="","",IFERROR(XLOOKUP(A240,ATTENDANCE_SUMMARY!A:A,ATTENDANCE_SUMMARY!G:G,""),""))</f>
        <v/>
      </c>
      <c r="M240" s="4">
        <f>IF(A240="","",IF(OR(E240&lt;50,AND(L240&lt;0.75,L240&lt;&gt;"" )),"At Risk","On Track"))</f>
        <v/>
      </c>
    </row>
    <row r="241">
      <c r="A241">
        <f>IF(MASTER_REGISTER!E241="","",MASTER_REGISTER!E241)</f>
        <v/>
      </c>
      <c r="B241">
        <f>IF(A241="","",MASTER_REGISTER!F241)</f>
        <v/>
      </c>
      <c r="C241">
        <f>IF(A241="","",MASTER_REGISTER!C241)</f>
        <v/>
      </c>
      <c r="D241">
        <f>IF(A241="","",COUNTIF(ASSESSMENTS!B:B,A241))</f>
        <v/>
      </c>
      <c r="E241" s="4">
        <f>IF(D241=0,"",ROUND(AVERAGEIF(ASSESSMENTS!B:B,A241,ASSESSMENTS!H:H),1))</f>
        <v/>
      </c>
      <c r="F241" s="4">
        <f>IF(A241="","",IFERROR(ROUND(AVERAGEIFS(ASSESSMENTS!H:H,ASSESSMENTS!B:B,A241,ASSESSMENTS!E:E,"Mathematics"),1),""))</f>
        <v/>
      </c>
      <c r="G241" s="4">
        <f>IF(A241="","",IFERROR(ROUND(AVERAGEIFS(ASSESSMENTS!H:H,ASSESSMENTS!B:B,A241,ASSESSMENTS!E:E,"Mathematical Literacy"),1),""))</f>
        <v/>
      </c>
      <c r="H241" s="4">
        <f>IF(A241="","",IFERROR(ROUND(AVERAGEIFS(ASSESSMENTS!H:H,ASSESSMENTS!B:B,A241,ASSESSMENTS!E:E,"Physical Sciences"),1),""))</f>
        <v/>
      </c>
      <c r="I241" s="4">
        <f>IF(A241="","",IFERROR(ROUND(AVERAGEIFS(ASSESSMENTS!H:H,ASSESSMENTS!B:B,A241,ASSESSMENTS!E:E,"Geography"),1),""))</f>
        <v/>
      </c>
      <c r="J241" s="4">
        <f>IF(A241="","",IFERROR(ROUND(AVERAGEIFS(ASSESSMENTS!H:H,ASSESSMENTS!B:B,A241,ASSESSMENTS!E:E,"Accounting"),1),""))</f>
        <v/>
      </c>
      <c r="K241" s="4">
        <f>IF(A241="","",IFERROR(ROUND(AVERAGEIFS(ASSESSMENTS!H:H,ASSESSMENTS!B:B,A241,ASSESSMENTS!E:E,"English"),1),""))</f>
        <v/>
      </c>
      <c r="L241" s="5">
        <f>IF(A241="","",IFERROR(XLOOKUP(A241,ATTENDANCE_SUMMARY!A:A,ATTENDANCE_SUMMARY!G:G,""),""))</f>
        <v/>
      </c>
      <c r="M241" s="4">
        <f>IF(A241="","",IF(OR(E241&lt;50,AND(L241&lt;0.75,L241&lt;&gt;"" )),"At Risk","On Track"))</f>
        <v/>
      </c>
    </row>
    <row r="242">
      <c r="A242">
        <f>IF(MASTER_REGISTER!E242="","",MASTER_REGISTER!E242)</f>
        <v/>
      </c>
      <c r="B242">
        <f>IF(A242="","",MASTER_REGISTER!F242)</f>
        <v/>
      </c>
      <c r="C242">
        <f>IF(A242="","",MASTER_REGISTER!C242)</f>
        <v/>
      </c>
      <c r="D242">
        <f>IF(A242="","",COUNTIF(ASSESSMENTS!B:B,A242))</f>
        <v/>
      </c>
      <c r="E242" s="4">
        <f>IF(D242=0,"",ROUND(AVERAGEIF(ASSESSMENTS!B:B,A242,ASSESSMENTS!H:H),1))</f>
        <v/>
      </c>
      <c r="F242" s="4">
        <f>IF(A242="","",IFERROR(ROUND(AVERAGEIFS(ASSESSMENTS!H:H,ASSESSMENTS!B:B,A242,ASSESSMENTS!E:E,"Mathematics"),1),""))</f>
        <v/>
      </c>
      <c r="G242" s="4">
        <f>IF(A242="","",IFERROR(ROUND(AVERAGEIFS(ASSESSMENTS!H:H,ASSESSMENTS!B:B,A242,ASSESSMENTS!E:E,"Mathematical Literacy"),1),""))</f>
        <v/>
      </c>
      <c r="H242" s="4">
        <f>IF(A242="","",IFERROR(ROUND(AVERAGEIFS(ASSESSMENTS!H:H,ASSESSMENTS!B:B,A242,ASSESSMENTS!E:E,"Physical Sciences"),1),""))</f>
        <v/>
      </c>
      <c r="I242" s="4">
        <f>IF(A242="","",IFERROR(ROUND(AVERAGEIFS(ASSESSMENTS!H:H,ASSESSMENTS!B:B,A242,ASSESSMENTS!E:E,"Geography"),1),""))</f>
        <v/>
      </c>
      <c r="J242" s="4">
        <f>IF(A242="","",IFERROR(ROUND(AVERAGEIFS(ASSESSMENTS!H:H,ASSESSMENTS!B:B,A242,ASSESSMENTS!E:E,"Accounting"),1),""))</f>
        <v/>
      </c>
      <c r="K242" s="4">
        <f>IF(A242="","",IFERROR(ROUND(AVERAGEIFS(ASSESSMENTS!H:H,ASSESSMENTS!B:B,A242,ASSESSMENTS!E:E,"English"),1),""))</f>
        <v/>
      </c>
      <c r="L242" s="5">
        <f>IF(A242="","",IFERROR(XLOOKUP(A242,ATTENDANCE_SUMMARY!A:A,ATTENDANCE_SUMMARY!G:G,""),""))</f>
        <v/>
      </c>
      <c r="M242" s="4">
        <f>IF(A242="","",IF(OR(E242&lt;50,AND(L242&lt;0.75,L242&lt;&gt;"" )),"At Risk","On Track"))</f>
        <v/>
      </c>
    </row>
    <row r="243">
      <c r="A243">
        <f>IF(MASTER_REGISTER!E243="","",MASTER_REGISTER!E243)</f>
        <v/>
      </c>
      <c r="B243">
        <f>IF(A243="","",MASTER_REGISTER!F243)</f>
        <v/>
      </c>
      <c r="C243">
        <f>IF(A243="","",MASTER_REGISTER!C243)</f>
        <v/>
      </c>
      <c r="D243">
        <f>IF(A243="","",COUNTIF(ASSESSMENTS!B:B,A243))</f>
        <v/>
      </c>
      <c r="E243" s="4">
        <f>IF(D243=0,"",ROUND(AVERAGEIF(ASSESSMENTS!B:B,A243,ASSESSMENTS!H:H),1))</f>
        <v/>
      </c>
      <c r="F243" s="4">
        <f>IF(A243="","",IFERROR(ROUND(AVERAGEIFS(ASSESSMENTS!H:H,ASSESSMENTS!B:B,A243,ASSESSMENTS!E:E,"Mathematics"),1),""))</f>
        <v/>
      </c>
      <c r="G243" s="4">
        <f>IF(A243="","",IFERROR(ROUND(AVERAGEIFS(ASSESSMENTS!H:H,ASSESSMENTS!B:B,A243,ASSESSMENTS!E:E,"Mathematical Literacy"),1),""))</f>
        <v/>
      </c>
      <c r="H243" s="4">
        <f>IF(A243="","",IFERROR(ROUND(AVERAGEIFS(ASSESSMENTS!H:H,ASSESSMENTS!B:B,A243,ASSESSMENTS!E:E,"Physical Sciences"),1),""))</f>
        <v/>
      </c>
      <c r="I243" s="4">
        <f>IF(A243="","",IFERROR(ROUND(AVERAGEIFS(ASSESSMENTS!H:H,ASSESSMENTS!B:B,A243,ASSESSMENTS!E:E,"Geography"),1),""))</f>
        <v/>
      </c>
      <c r="J243" s="4">
        <f>IF(A243="","",IFERROR(ROUND(AVERAGEIFS(ASSESSMENTS!H:H,ASSESSMENTS!B:B,A243,ASSESSMENTS!E:E,"Accounting"),1),""))</f>
        <v/>
      </c>
      <c r="K243" s="4">
        <f>IF(A243="","",IFERROR(ROUND(AVERAGEIFS(ASSESSMENTS!H:H,ASSESSMENTS!B:B,A243,ASSESSMENTS!E:E,"English"),1),""))</f>
        <v/>
      </c>
      <c r="L243" s="5">
        <f>IF(A243="","",IFERROR(XLOOKUP(A243,ATTENDANCE_SUMMARY!A:A,ATTENDANCE_SUMMARY!G:G,""),""))</f>
        <v/>
      </c>
      <c r="M243" s="4">
        <f>IF(A243="","",IF(OR(E243&lt;50,AND(L243&lt;0.75,L243&lt;&gt;"" )),"At Risk","On Track"))</f>
        <v/>
      </c>
    </row>
    <row r="244">
      <c r="A244">
        <f>IF(MASTER_REGISTER!E244="","",MASTER_REGISTER!E244)</f>
        <v/>
      </c>
      <c r="B244">
        <f>IF(A244="","",MASTER_REGISTER!F244)</f>
        <v/>
      </c>
      <c r="C244">
        <f>IF(A244="","",MASTER_REGISTER!C244)</f>
        <v/>
      </c>
      <c r="D244">
        <f>IF(A244="","",COUNTIF(ASSESSMENTS!B:B,A244))</f>
        <v/>
      </c>
      <c r="E244" s="4">
        <f>IF(D244=0,"",ROUND(AVERAGEIF(ASSESSMENTS!B:B,A244,ASSESSMENTS!H:H),1))</f>
        <v/>
      </c>
      <c r="F244" s="4">
        <f>IF(A244="","",IFERROR(ROUND(AVERAGEIFS(ASSESSMENTS!H:H,ASSESSMENTS!B:B,A244,ASSESSMENTS!E:E,"Mathematics"),1),""))</f>
        <v/>
      </c>
      <c r="G244" s="4">
        <f>IF(A244="","",IFERROR(ROUND(AVERAGEIFS(ASSESSMENTS!H:H,ASSESSMENTS!B:B,A244,ASSESSMENTS!E:E,"Mathematical Literacy"),1),""))</f>
        <v/>
      </c>
      <c r="H244" s="4">
        <f>IF(A244="","",IFERROR(ROUND(AVERAGEIFS(ASSESSMENTS!H:H,ASSESSMENTS!B:B,A244,ASSESSMENTS!E:E,"Physical Sciences"),1),""))</f>
        <v/>
      </c>
      <c r="I244" s="4">
        <f>IF(A244="","",IFERROR(ROUND(AVERAGEIFS(ASSESSMENTS!H:H,ASSESSMENTS!B:B,A244,ASSESSMENTS!E:E,"Geography"),1),""))</f>
        <v/>
      </c>
      <c r="J244" s="4">
        <f>IF(A244="","",IFERROR(ROUND(AVERAGEIFS(ASSESSMENTS!H:H,ASSESSMENTS!B:B,A244,ASSESSMENTS!E:E,"Accounting"),1),""))</f>
        <v/>
      </c>
      <c r="K244" s="4">
        <f>IF(A244="","",IFERROR(ROUND(AVERAGEIFS(ASSESSMENTS!H:H,ASSESSMENTS!B:B,A244,ASSESSMENTS!E:E,"English"),1),""))</f>
        <v/>
      </c>
      <c r="L244" s="5">
        <f>IF(A244="","",IFERROR(XLOOKUP(A244,ATTENDANCE_SUMMARY!A:A,ATTENDANCE_SUMMARY!G:G,""),""))</f>
        <v/>
      </c>
      <c r="M244" s="4">
        <f>IF(A244="","",IF(OR(E244&lt;50,AND(L244&lt;0.75,L244&lt;&gt;"" )),"At Risk","On Track"))</f>
        <v/>
      </c>
    </row>
    <row r="245">
      <c r="A245">
        <f>IF(MASTER_REGISTER!E245="","",MASTER_REGISTER!E245)</f>
        <v/>
      </c>
      <c r="B245">
        <f>IF(A245="","",MASTER_REGISTER!F245)</f>
        <v/>
      </c>
      <c r="C245">
        <f>IF(A245="","",MASTER_REGISTER!C245)</f>
        <v/>
      </c>
      <c r="D245">
        <f>IF(A245="","",COUNTIF(ASSESSMENTS!B:B,A245))</f>
        <v/>
      </c>
      <c r="E245" s="4">
        <f>IF(D245=0,"",ROUND(AVERAGEIF(ASSESSMENTS!B:B,A245,ASSESSMENTS!H:H),1))</f>
        <v/>
      </c>
      <c r="F245" s="4">
        <f>IF(A245="","",IFERROR(ROUND(AVERAGEIFS(ASSESSMENTS!H:H,ASSESSMENTS!B:B,A245,ASSESSMENTS!E:E,"Mathematics"),1),""))</f>
        <v/>
      </c>
      <c r="G245" s="4">
        <f>IF(A245="","",IFERROR(ROUND(AVERAGEIFS(ASSESSMENTS!H:H,ASSESSMENTS!B:B,A245,ASSESSMENTS!E:E,"Mathematical Literacy"),1),""))</f>
        <v/>
      </c>
      <c r="H245" s="4">
        <f>IF(A245="","",IFERROR(ROUND(AVERAGEIFS(ASSESSMENTS!H:H,ASSESSMENTS!B:B,A245,ASSESSMENTS!E:E,"Physical Sciences"),1),""))</f>
        <v/>
      </c>
      <c r="I245" s="4">
        <f>IF(A245="","",IFERROR(ROUND(AVERAGEIFS(ASSESSMENTS!H:H,ASSESSMENTS!B:B,A245,ASSESSMENTS!E:E,"Geography"),1),""))</f>
        <v/>
      </c>
      <c r="J245" s="4">
        <f>IF(A245="","",IFERROR(ROUND(AVERAGEIFS(ASSESSMENTS!H:H,ASSESSMENTS!B:B,A245,ASSESSMENTS!E:E,"Accounting"),1),""))</f>
        <v/>
      </c>
      <c r="K245" s="4">
        <f>IF(A245="","",IFERROR(ROUND(AVERAGEIFS(ASSESSMENTS!H:H,ASSESSMENTS!B:B,A245,ASSESSMENTS!E:E,"English"),1),""))</f>
        <v/>
      </c>
      <c r="L245" s="5">
        <f>IF(A245="","",IFERROR(XLOOKUP(A245,ATTENDANCE_SUMMARY!A:A,ATTENDANCE_SUMMARY!G:G,""),""))</f>
        <v/>
      </c>
      <c r="M245" s="4">
        <f>IF(A245="","",IF(OR(E245&lt;50,AND(L245&lt;0.75,L245&lt;&gt;"" )),"At Risk","On Track"))</f>
        <v/>
      </c>
    </row>
    <row r="246">
      <c r="A246">
        <f>IF(MASTER_REGISTER!E246="","",MASTER_REGISTER!E246)</f>
        <v/>
      </c>
      <c r="B246">
        <f>IF(A246="","",MASTER_REGISTER!F246)</f>
        <v/>
      </c>
      <c r="C246">
        <f>IF(A246="","",MASTER_REGISTER!C246)</f>
        <v/>
      </c>
      <c r="D246">
        <f>IF(A246="","",COUNTIF(ASSESSMENTS!B:B,A246))</f>
        <v/>
      </c>
      <c r="E246" s="4">
        <f>IF(D246=0,"",ROUND(AVERAGEIF(ASSESSMENTS!B:B,A246,ASSESSMENTS!H:H),1))</f>
        <v/>
      </c>
      <c r="F246" s="4">
        <f>IF(A246="","",IFERROR(ROUND(AVERAGEIFS(ASSESSMENTS!H:H,ASSESSMENTS!B:B,A246,ASSESSMENTS!E:E,"Mathematics"),1),""))</f>
        <v/>
      </c>
      <c r="G246" s="4">
        <f>IF(A246="","",IFERROR(ROUND(AVERAGEIFS(ASSESSMENTS!H:H,ASSESSMENTS!B:B,A246,ASSESSMENTS!E:E,"Mathematical Literacy"),1),""))</f>
        <v/>
      </c>
      <c r="H246" s="4">
        <f>IF(A246="","",IFERROR(ROUND(AVERAGEIFS(ASSESSMENTS!H:H,ASSESSMENTS!B:B,A246,ASSESSMENTS!E:E,"Physical Sciences"),1),""))</f>
        <v/>
      </c>
      <c r="I246" s="4">
        <f>IF(A246="","",IFERROR(ROUND(AVERAGEIFS(ASSESSMENTS!H:H,ASSESSMENTS!B:B,A246,ASSESSMENTS!E:E,"Geography"),1),""))</f>
        <v/>
      </c>
      <c r="J246" s="4">
        <f>IF(A246="","",IFERROR(ROUND(AVERAGEIFS(ASSESSMENTS!H:H,ASSESSMENTS!B:B,A246,ASSESSMENTS!E:E,"Accounting"),1),""))</f>
        <v/>
      </c>
      <c r="K246" s="4">
        <f>IF(A246="","",IFERROR(ROUND(AVERAGEIFS(ASSESSMENTS!H:H,ASSESSMENTS!B:B,A246,ASSESSMENTS!E:E,"English"),1),""))</f>
        <v/>
      </c>
      <c r="L246" s="5">
        <f>IF(A246="","",IFERROR(XLOOKUP(A246,ATTENDANCE_SUMMARY!A:A,ATTENDANCE_SUMMARY!G:G,""),""))</f>
        <v/>
      </c>
      <c r="M246" s="4">
        <f>IF(A246="","",IF(OR(E246&lt;50,AND(L246&lt;0.75,L246&lt;&gt;"" )),"At Risk","On Track"))</f>
        <v/>
      </c>
    </row>
    <row r="247">
      <c r="A247">
        <f>IF(MASTER_REGISTER!E247="","",MASTER_REGISTER!E247)</f>
        <v/>
      </c>
      <c r="B247">
        <f>IF(A247="","",MASTER_REGISTER!F247)</f>
        <v/>
      </c>
      <c r="C247">
        <f>IF(A247="","",MASTER_REGISTER!C247)</f>
        <v/>
      </c>
      <c r="D247">
        <f>IF(A247="","",COUNTIF(ASSESSMENTS!B:B,A247))</f>
        <v/>
      </c>
      <c r="E247" s="4">
        <f>IF(D247=0,"",ROUND(AVERAGEIF(ASSESSMENTS!B:B,A247,ASSESSMENTS!H:H),1))</f>
        <v/>
      </c>
      <c r="F247" s="4">
        <f>IF(A247="","",IFERROR(ROUND(AVERAGEIFS(ASSESSMENTS!H:H,ASSESSMENTS!B:B,A247,ASSESSMENTS!E:E,"Mathematics"),1),""))</f>
        <v/>
      </c>
      <c r="G247" s="4">
        <f>IF(A247="","",IFERROR(ROUND(AVERAGEIFS(ASSESSMENTS!H:H,ASSESSMENTS!B:B,A247,ASSESSMENTS!E:E,"Mathematical Literacy"),1),""))</f>
        <v/>
      </c>
      <c r="H247" s="4">
        <f>IF(A247="","",IFERROR(ROUND(AVERAGEIFS(ASSESSMENTS!H:H,ASSESSMENTS!B:B,A247,ASSESSMENTS!E:E,"Physical Sciences"),1),""))</f>
        <v/>
      </c>
      <c r="I247" s="4">
        <f>IF(A247="","",IFERROR(ROUND(AVERAGEIFS(ASSESSMENTS!H:H,ASSESSMENTS!B:B,A247,ASSESSMENTS!E:E,"Geography"),1),""))</f>
        <v/>
      </c>
      <c r="J247" s="4">
        <f>IF(A247="","",IFERROR(ROUND(AVERAGEIFS(ASSESSMENTS!H:H,ASSESSMENTS!B:B,A247,ASSESSMENTS!E:E,"Accounting"),1),""))</f>
        <v/>
      </c>
      <c r="K247" s="4">
        <f>IF(A247="","",IFERROR(ROUND(AVERAGEIFS(ASSESSMENTS!H:H,ASSESSMENTS!B:B,A247,ASSESSMENTS!E:E,"English"),1),""))</f>
        <v/>
      </c>
      <c r="L247" s="5">
        <f>IF(A247="","",IFERROR(XLOOKUP(A247,ATTENDANCE_SUMMARY!A:A,ATTENDANCE_SUMMARY!G:G,""),""))</f>
        <v/>
      </c>
      <c r="M247" s="4">
        <f>IF(A247="","",IF(OR(E247&lt;50,AND(L247&lt;0.75,L247&lt;&gt;"" )),"At Risk","On Track"))</f>
        <v/>
      </c>
    </row>
    <row r="248">
      <c r="A248">
        <f>IF(MASTER_REGISTER!E248="","",MASTER_REGISTER!E248)</f>
        <v/>
      </c>
      <c r="B248">
        <f>IF(A248="","",MASTER_REGISTER!F248)</f>
        <v/>
      </c>
      <c r="C248">
        <f>IF(A248="","",MASTER_REGISTER!C248)</f>
        <v/>
      </c>
      <c r="D248">
        <f>IF(A248="","",COUNTIF(ASSESSMENTS!B:B,A248))</f>
        <v/>
      </c>
      <c r="E248" s="4">
        <f>IF(D248=0,"",ROUND(AVERAGEIF(ASSESSMENTS!B:B,A248,ASSESSMENTS!H:H),1))</f>
        <v/>
      </c>
      <c r="F248" s="4">
        <f>IF(A248="","",IFERROR(ROUND(AVERAGEIFS(ASSESSMENTS!H:H,ASSESSMENTS!B:B,A248,ASSESSMENTS!E:E,"Mathematics"),1),""))</f>
        <v/>
      </c>
      <c r="G248" s="4">
        <f>IF(A248="","",IFERROR(ROUND(AVERAGEIFS(ASSESSMENTS!H:H,ASSESSMENTS!B:B,A248,ASSESSMENTS!E:E,"Mathematical Literacy"),1),""))</f>
        <v/>
      </c>
      <c r="H248" s="4">
        <f>IF(A248="","",IFERROR(ROUND(AVERAGEIFS(ASSESSMENTS!H:H,ASSESSMENTS!B:B,A248,ASSESSMENTS!E:E,"Physical Sciences"),1),""))</f>
        <v/>
      </c>
      <c r="I248" s="4">
        <f>IF(A248="","",IFERROR(ROUND(AVERAGEIFS(ASSESSMENTS!H:H,ASSESSMENTS!B:B,A248,ASSESSMENTS!E:E,"Geography"),1),""))</f>
        <v/>
      </c>
      <c r="J248" s="4">
        <f>IF(A248="","",IFERROR(ROUND(AVERAGEIFS(ASSESSMENTS!H:H,ASSESSMENTS!B:B,A248,ASSESSMENTS!E:E,"Accounting"),1),""))</f>
        <v/>
      </c>
      <c r="K248" s="4">
        <f>IF(A248="","",IFERROR(ROUND(AVERAGEIFS(ASSESSMENTS!H:H,ASSESSMENTS!B:B,A248,ASSESSMENTS!E:E,"English"),1),""))</f>
        <v/>
      </c>
      <c r="L248" s="5">
        <f>IF(A248="","",IFERROR(XLOOKUP(A248,ATTENDANCE_SUMMARY!A:A,ATTENDANCE_SUMMARY!G:G,""),""))</f>
        <v/>
      </c>
      <c r="M248" s="4">
        <f>IF(A248="","",IF(OR(E248&lt;50,AND(L248&lt;0.75,L248&lt;&gt;"" )),"At Risk","On Track"))</f>
        <v/>
      </c>
    </row>
    <row r="249">
      <c r="A249">
        <f>IF(MASTER_REGISTER!E249="","",MASTER_REGISTER!E249)</f>
        <v/>
      </c>
      <c r="B249">
        <f>IF(A249="","",MASTER_REGISTER!F249)</f>
        <v/>
      </c>
      <c r="C249">
        <f>IF(A249="","",MASTER_REGISTER!C249)</f>
        <v/>
      </c>
      <c r="D249">
        <f>IF(A249="","",COUNTIF(ASSESSMENTS!B:B,A249))</f>
        <v/>
      </c>
      <c r="E249" s="4">
        <f>IF(D249=0,"",ROUND(AVERAGEIF(ASSESSMENTS!B:B,A249,ASSESSMENTS!H:H),1))</f>
        <v/>
      </c>
      <c r="F249" s="4">
        <f>IF(A249="","",IFERROR(ROUND(AVERAGEIFS(ASSESSMENTS!H:H,ASSESSMENTS!B:B,A249,ASSESSMENTS!E:E,"Mathematics"),1),""))</f>
        <v/>
      </c>
      <c r="G249" s="4">
        <f>IF(A249="","",IFERROR(ROUND(AVERAGEIFS(ASSESSMENTS!H:H,ASSESSMENTS!B:B,A249,ASSESSMENTS!E:E,"Mathematical Literacy"),1),""))</f>
        <v/>
      </c>
      <c r="H249" s="4">
        <f>IF(A249="","",IFERROR(ROUND(AVERAGEIFS(ASSESSMENTS!H:H,ASSESSMENTS!B:B,A249,ASSESSMENTS!E:E,"Physical Sciences"),1),""))</f>
        <v/>
      </c>
      <c r="I249" s="4">
        <f>IF(A249="","",IFERROR(ROUND(AVERAGEIFS(ASSESSMENTS!H:H,ASSESSMENTS!B:B,A249,ASSESSMENTS!E:E,"Geography"),1),""))</f>
        <v/>
      </c>
      <c r="J249" s="4">
        <f>IF(A249="","",IFERROR(ROUND(AVERAGEIFS(ASSESSMENTS!H:H,ASSESSMENTS!B:B,A249,ASSESSMENTS!E:E,"Accounting"),1),""))</f>
        <v/>
      </c>
      <c r="K249" s="4">
        <f>IF(A249="","",IFERROR(ROUND(AVERAGEIFS(ASSESSMENTS!H:H,ASSESSMENTS!B:B,A249,ASSESSMENTS!E:E,"English"),1),""))</f>
        <v/>
      </c>
      <c r="L249" s="5">
        <f>IF(A249="","",IFERROR(XLOOKUP(A249,ATTENDANCE_SUMMARY!A:A,ATTENDANCE_SUMMARY!G:G,""),""))</f>
        <v/>
      </c>
      <c r="M249" s="4">
        <f>IF(A249="","",IF(OR(E249&lt;50,AND(L249&lt;0.75,L249&lt;&gt;"" )),"At Risk","On Track"))</f>
        <v/>
      </c>
    </row>
    <row r="250">
      <c r="A250">
        <f>IF(MASTER_REGISTER!E250="","",MASTER_REGISTER!E250)</f>
        <v/>
      </c>
      <c r="B250">
        <f>IF(A250="","",MASTER_REGISTER!F250)</f>
        <v/>
      </c>
      <c r="C250">
        <f>IF(A250="","",MASTER_REGISTER!C250)</f>
        <v/>
      </c>
      <c r="D250">
        <f>IF(A250="","",COUNTIF(ASSESSMENTS!B:B,A250))</f>
        <v/>
      </c>
      <c r="E250" s="4">
        <f>IF(D250=0,"",ROUND(AVERAGEIF(ASSESSMENTS!B:B,A250,ASSESSMENTS!H:H),1))</f>
        <v/>
      </c>
      <c r="F250" s="4">
        <f>IF(A250="","",IFERROR(ROUND(AVERAGEIFS(ASSESSMENTS!H:H,ASSESSMENTS!B:B,A250,ASSESSMENTS!E:E,"Mathematics"),1),""))</f>
        <v/>
      </c>
      <c r="G250" s="4">
        <f>IF(A250="","",IFERROR(ROUND(AVERAGEIFS(ASSESSMENTS!H:H,ASSESSMENTS!B:B,A250,ASSESSMENTS!E:E,"Mathematical Literacy"),1),""))</f>
        <v/>
      </c>
      <c r="H250" s="4">
        <f>IF(A250="","",IFERROR(ROUND(AVERAGEIFS(ASSESSMENTS!H:H,ASSESSMENTS!B:B,A250,ASSESSMENTS!E:E,"Physical Sciences"),1),""))</f>
        <v/>
      </c>
      <c r="I250" s="4">
        <f>IF(A250="","",IFERROR(ROUND(AVERAGEIFS(ASSESSMENTS!H:H,ASSESSMENTS!B:B,A250,ASSESSMENTS!E:E,"Geography"),1),""))</f>
        <v/>
      </c>
      <c r="J250" s="4">
        <f>IF(A250="","",IFERROR(ROUND(AVERAGEIFS(ASSESSMENTS!H:H,ASSESSMENTS!B:B,A250,ASSESSMENTS!E:E,"Accounting"),1),""))</f>
        <v/>
      </c>
      <c r="K250" s="4">
        <f>IF(A250="","",IFERROR(ROUND(AVERAGEIFS(ASSESSMENTS!H:H,ASSESSMENTS!B:B,A250,ASSESSMENTS!E:E,"English"),1),""))</f>
        <v/>
      </c>
      <c r="L250" s="5">
        <f>IF(A250="","",IFERROR(XLOOKUP(A250,ATTENDANCE_SUMMARY!A:A,ATTENDANCE_SUMMARY!G:G,""),""))</f>
        <v/>
      </c>
      <c r="M250" s="4">
        <f>IF(A250="","",IF(OR(E250&lt;50,AND(L250&lt;0.75,L250&lt;&gt;"" )),"At Risk","On Track"))</f>
        <v/>
      </c>
    </row>
    <row r="251">
      <c r="A251">
        <f>IF(MASTER_REGISTER!E251="","",MASTER_REGISTER!E251)</f>
        <v/>
      </c>
      <c r="B251">
        <f>IF(A251="","",MASTER_REGISTER!F251)</f>
        <v/>
      </c>
      <c r="C251">
        <f>IF(A251="","",MASTER_REGISTER!C251)</f>
        <v/>
      </c>
      <c r="D251">
        <f>IF(A251="","",COUNTIF(ASSESSMENTS!B:B,A251))</f>
        <v/>
      </c>
      <c r="E251" s="4">
        <f>IF(D251=0,"",ROUND(AVERAGEIF(ASSESSMENTS!B:B,A251,ASSESSMENTS!H:H),1))</f>
        <v/>
      </c>
      <c r="F251" s="4">
        <f>IF(A251="","",IFERROR(ROUND(AVERAGEIFS(ASSESSMENTS!H:H,ASSESSMENTS!B:B,A251,ASSESSMENTS!E:E,"Mathematics"),1),""))</f>
        <v/>
      </c>
      <c r="G251" s="4">
        <f>IF(A251="","",IFERROR(ROUND(AVERAGEIFS(ASSESSMENTS!H:H,ASSESSMENTS!B:B,A251,ASSESSMENTS!E:E,"Mathematical Literacy"),1),""))</f>
        <v/>
      </c>
      <c r="H251" s="4">
        <f>IF(A251="","",IFERROR(ROUND(AVERAGEIFS(ASSESSMENTS!H:H,ASSESSMENTS!B:B,A251,ASSESSMENTS!E:E,"Physical Sciences"),1),""))</f>
        <v/>
      </c>
      <c r="I251" s="4">
        <f>IF(A251="","",IFERROR(ROUND(AVERAGEIFS(ASSESSMENTS!H:H,ASSESSMENTS!B:B,A251,ASSESSMENTS!E:E,"Geography"),1),""))</f>
        <v/>
      </c>
      <c r="J251" s="4">
        <f>IF(A251="","",IFERROR(ROUND(AVERAGEIFS(ASSESSMENTS!H:H,ASSESSMENTS!B:B,A251,ASSESSMENTS!E:E,"Accounting"),1),""))</f>
        <v/>
      </c>
      <c r="K251" s="4">
        <f>IF(A251="","",IFERROR(ROUND(AVERAGEIFS(ASSESSMENTS!H:H,ASSESSMENTS!B:B,A251,ASSESSMENTS!E:E,"English"),1),""))</f>
        <v/>
      </c>
      <c r="L251" s="5">
        <f>IF(A251="","",IFERROR(XLOOKUP(A251,ATTENDANCE_SUMMARY!A:A,ATTENDANCE_SUMMARY!G:G,""),""))</f>
        <v/>
      </c>
      <c r="M251" s="4">
        <f>IF(A251="","",IF(OR(E251&lt;50,AND(L251&lt;0.75,L251&lt;&gt;"" )),"At Risk","On Track"))</f>
        <v/>
      </c>
    </row>
    <row r="252">
      <c r="A252">
        <f>IF(MASTER_REGISTER!E252="","",MASTER_REGISTER!E252)</f>
        <v/>
      </c>
      <c r="B252">
        <f>IF(A252="","",MASTER_REGISTER!F252)</f>
        <v/>
      </c>
      <c r="C252">
        <f>IF(A252="","",MASTER_REGISTER!C252)</f>
        <v/>
      </c>
      <c r="D252">
        <f>IF(A252="","",COUNTIF(ASSESSMENTS!B:B,A252))</f>
        <v/>
      </c>
      <c r="E252" s="4">
        <f>IF(D252=0,"",ROUND(AVERAGEIF(ASSESSMENTS!B:B,A252,ASSESSMENTS!H:H),1))</f>
        <v/>
      </c>
      <c r="F252" s="4">
        <f>IF(A252="","",IFERROR(ROUND(AVERAGEIFS(ASSESSMENTS!H:H,ASSESSMENTS!B:B,A252,ASSESSMENTS!E:E,"Mathematics"),1),""))</f>
        <v/>
      </c>
      <c r="G252" s="4">
        <f>IF(A252="","",IFERROR(ROUND(AVERAGEIFS(ASSESSMENTS!H:H,ASSESSMENTS!B:B,A252,ASSESSMENTS!E:E,"Mathematical Literacy"),1),""))</f>
        <v/>
      </c>
      <c r="H252" s="4">
        <f>IF(A252="","",IFERROR(ROUND(AVERAGEIFS(ASSESSMENTS!H:H,ASSESSMENTS!B:B,A252,ASSESSMENTS!E:E,"Physical Sciences"),1),""))</f>
        <v/>
      </c>
      <c r="I252" s="4">
        <f>IF(A252="","",IFERROR(ROUND(AVERAGEIFS(ASSESSMENTS!H:H,ASSESSMENTS!B:B,A252,ASSESSMENTS!E:E,"Geography"),1),""))</f>
        <v/>
      </c>
      <c r="J252" s="4">
        <f>IF(A252="","",IFERROR(ROUND(AVERAGEIFS(ASSESSMENTS!H:H,ASSESSMENTS!B:B,A252,ASSESSMENTS!E:E,"Accounting"),1),""))</f>
        <v/>
      </c>
      <c r="K252" s="4">
        <f>IF(A252="","",IFERROR(ROUND(AVERAGEIFS(ASSESSMENTS!H:H,ASSESSMENTS!B:B,A252,ASSESSMENTS!E:E,"English"),1),""))</f>
        <v/>
      </c>
      <c r="L252" s="5">
        <f>IF(A252="","",IFERROR(XLOOKUP(A252,ATTENDANCE_SUMMARY!A:A,ATTENDANCE_SUMMARY!G:G,""),""))</f>
        <v/>
      </c>
      <c r="M252" s="4">
        <f>IF(A252="","",IF(OR(E252&lt;50,AND(L252&lt;0.75,L252&lt;&gt;"" )),"At Risk","On Track"))</f>
        <v/>
      </c>
    </row>
    <row r="253">
      <c r="A253">
        <f>IF(MASTER_REGISTER!E253="","",MASTER_REGISTER!E253)</f>
        <v/>
      </c>
      <c r="B253">
        <f>IF(A253="","",MASTER_REGISTER!F253)</f>
        <v/>
      </c>
      <c r="C253">
        <f>IF(A253="","",MASTER_REGISTER!C253)</f>
        <v/>
      </c>
      <c r="D253">
        <f>IF(A253="","",COUNTIF(ASSESSMENTS!B:B,A253))</f>
        <v/>
      </c>
      <c r="E253" s="4">
        <f>IF(D253=0,"",ROUND(AVERAGEIF(ASSESSMENTS!B:B,A253,ASSESSMENTS!H:H),1))</f>
        <v/>
      </c>
      <c r="F253" s="4">
        <f>IF(A253="","",IFERROR(ROUND(AVERAGEIFS(ASSESSMENTS!H:H,ASSESSMENTS!B:B,A253,ASSESSMENTS!E:E,"Mathematics"),1),""))</f>
        <v/>
      </c>
      <c r="G253" s="4">
        <f>IF(A253="","",IFERROR(ROUND(AVERAGEIFS(ASSESSMENTS!H:H,ASSESSMENTS!B:B,A253,ASSESSMENTS!E:E,"Mathematical Literacy"),1),""))</f>
        <v/>
      </c>
      <c r="H253" s="4">
        <f>IF(A253="","",IFERROR(ROUND(AVERAGEIFS(ASSESSMENTS!H:H,ASSESSMENTS!B:B,A253,ASSESSMENTS!E:E,"Physical Sciences"),1),""))</f>
        <v/>
      </c>
      <c r="I253" s="4">
        <f>IF(A253="","",IFERROR(ROUND(AVERAGEIFS(ASSESSMENTS!H:H,ASSESSMENTS!B:B,A253,ASSESSMENTS!E:E,"Geography"),1),""))</f>
        <v/>
      </c>
      <c r="J253" s="4">
        <f>IF(A253="","",IFERROR(ROUND(AVERAGEIFS(ASSESSMENTS!H:H,ASSESSMENTS!B:B,A253,ASSESSMENTS!E:E,"Accounting"),1),""))</f>
        <v/>
      </c>
      <c r="K253" s="4">
        <f>IF(A253="","",IFERROR(ROUND(AVERAGEIFS(ASSESSMENTS!H:H,ASSESSMENTS!B:B,A253,ASSESSMENTS!E:E,"English"),1),""))</f>
        <v/>
      </c>
      <c r="L253" s="5">
        <f>IF(A253="","",IFERROR(XLOOKUP(A253,ATTENDANCE_SUMMARY!A:A,ATTENDANCE_SUMMARY!G:G,""),""))</f>
        <v/>
      </c>
      <c r="M253" s="4">
        <f>IF(A253="","",IF(OR(E253&lt;50,AND(L253&lt;0.75,L253&lt;&gt;"" )),"At Risk","On Track"))</f>
        <v/>
      </c>
    </row>
    <row r="254">
      <c r="A254">
        <f>IF(MASTER_REGISTER!E254="","",MASTER_REGISTER!E254)</f>
        <v/>
      </c>
      <c r="B254">
        <f>IF(A254="","",MASTER_REGISTER!F254)</f>
        <v/>
      </c>
      <c r="C254">
        <f>IF(A254="","",MASTER_REGISTER!C254)</f>
        <v/>
      </c>
      <c r="D254">
        <f>IF(A254="","",COUNTIF(ASSESSMENTS!B:B,A254))</f>
        <v/>
      </c>
      <c r="E254" s="4">
        <f>IF(D254=0,"",ROUND(AVERAGEIF(ASSESSMENTS!B:B,A254,ASSESSMENTS!H:H),1))</f>
        <v/>
      </c>
      <c r="F254" s="4">
        <f>IF(A254="","",IFERROR(ROUND(AVERAGEIFS(ASSESSMENTS!H:H,ASSESSMENTS!B:B,A254,ASSESSMENTS!E:E,"Mathematics"),1),""))</f>
        <v/>
      </c>
      <c r="G254" s="4">
        <f>IF(A254="","",IFERROR(ROUND(AVERAGEIFS(ASSESSMENTS!H:H,ASSESSMENTS!B:B,A254,ASSESSMENTS!E:E,"Mathematical Literacy"),1),""))</f>
        <v/>
      </c>
      <c r="H254" s="4">
        <f>IF(A254="","",IFERROR(ROUND(AVERAGEIFS(ASSESSMENTS!H:H,ASSESSMENTS!B:B,A254,ASSESSMENTS!E:E,"Physical Sciences"),1),""))</f>
        <v/>
      </c>
      <c r="I254" s="4">
        <f>IF(A254="","",IFERROR(ROUND(AVERAGEIFS(ASSESSMENTS!H:H,ASSESSMENTS!B:B,A254,ASSESSMENTS!E:E,"Geography"),1),""))</f>
        <v/>
      </c>
      <c r="J254" s="4">
        <f>IF(A254="","",IFERROR(ROUND(AVERAGEIFS(ASSESSMENTS!H:H,ASSESSMENTS!B:B,A254,ASSESSMENTS!E:E,"Accounting"),1),""))</f>
        <v/>
      </c>
      <c r="K254" s="4">
        <f>IF(A254="","",IFERROR(ROUND(AVERAGEIFS(ASSESSMENTS!H:H,ASSESSMENTS!B:B,A254,ASSESSMENTS!E:E,"English"),1),""))</f>
        <v/>
      </c>
      <c r="L254" s="5">
        <f>IF(A254="","",IFERROR(XLOOKUP(A254,ATTENDANCE_SUMMARY!A:A,ATTENDANCE_SUMMARY!G:G,""),""))</f>
        <v/>
      </c>
      <c r="M254" s="4">
        <f>IF(A254="","",IF(OR(E254&lt;50,AND(L254&lt;0.75,L254&lt;&gt;"" )),"At Risk","On Track"))</f>
        <v/>
      </c>
    </row>
    <row r="255">
      <c r="A255">
        <f>IF(MASTER_REGISTER!E255="","",MASTER_REGISTER!E255)</f>
        <v/>
      </c>
      <c r="B255">
        <f>IF(A255="","",MASTER_REGISTER!F255)</f>
        <v/>
      </c>
      <c r="C255">
        <f>IF(A255="","",MASTER_REGISTER!C255)</f>
        <v/>
      </c>
      <c r="D255">
        <f>IF(A255="","",COUNTIF(ASSESSMENTS!B:B,A255))</f>
        <v/>
      </c>
      <c r="E255" s="4">
        <f>IF(D255=0,"",ROUND(AVERAGEIF(ASSESSMENTS!B:B,A255,ASSESSMENTS!H:H),1))</f>
        <v/>
      </c>
      <c r="F255" s="4">
        <f>IF(A255="","",IFERROR(ROUND(AVERAGEIFS(ASSESSMENTS!H:H,ASSESSMENTS!B:B,A255,ASSESSMENTS!E:E,"Mathematics"),1),""))</f>
        <v/>
      </c>
      <c r="G255" s="4">
        <f>IF(A255="","",IFERROR(ROUND(AVERAGEIFS(ASSESSMENTS!H:H,ASSESSMENTS!B:B,A255,ASSESSMENTS!E:E,"Mathematical Literacy"),1),""))</f>
        <v/>
      </c>
      <c r="H255" s="4">
        <f>IF(A255="","",IFERROR(ROUND(AVERAGEIFS(ASSESSMENTS!H:H,ASSESSMENTS!B:B,A255,ASSESSMENTS!E:E,"Physical Sciences"),1),""))</f>
        <v/>
      </c>
      <c r="I255" s="4">
        <f>IF(A255="","",IFERROR(ROUND(AVERAGEIFS(ASSESSMENTS!H:H,ASSESSMENTS!B:B,A255,ASSESSMENTS!E:E,"Geography"),1),""))</f>
        <v/>
      </c>
      <c r="J255" s="4">
        <f>IF(A255="","",IFERROR(ROUND(AVERAGEIFS(ASSESSMENTS!H:H,ASSESSMENTS!B:B,A255,ASSESSMENTS!E:E,"Accounting"),1),""))</f>
        <v/>
      </c>
      <c r="K255" s="4">
        <f>IF(A255="","",IFERROR(ROUND(AVERAGEIFS(ASSESSMENTS!H:H,ASSESSMENTS!B:B,A255,ASSESSMENTS!E:E,"English"),1),""))</f>
        <v/>
      </c>
      <c r="L255" s="5">
        <f>IF(A255="","",IFERROR(XLOOKUP(A255,ATTENDANCE_SUMMARY!A:A,ATTENDANCE_SUMMARY!G:G,""),""))</f>
        <v/>
      </c>
      <c r="M255" s="4">
        <f>IF(A255="","",IF(OR(E255&lt;50,AND(L255&lt;0.75,L255&lt;&gt;"" )),"At Risk","On Track"))</f>
        <v/>
      </c>
    </row>
    <row r="256">
      <c r="A256">
        <f>IF(MASTER_REGISTER!E256="","",MASTER_REGISTER!E256)</f>
        <v/>
      </c>
      <c r="B256">
        <f>IF(A256="","",MASTER_REGISTER!F256)</f>
        <v/>
      </c>
      <c r="C256">
        <f>IF(A256="","",MASTER_REGISTER!C256)</f>
        <v/>
      </c>
      <c r="D256">
        <f>IF(A256="","",COUNTIF(ASSESSMENTS!B:B,A256))</f>
        <v/>
      </c>
      <c r="E256" s="4">
        <f>IF(D256=0,"",ROUND(AVERAGEIF(ASSESSMENTS!B:B,A256,ASSESSMENTS!H:H),1))</f>
        <v/>
      </c>
      <c r="F256" s="4">
        <f>IF(A256="","",IFERROR(ROUND(AVERAGEIFS(ASSESSMENTS!H:H,ASSESSMENTS!B:B,A256,ASSESSMENTS!E:E,"Mathematics"),1),""))</f>
        <v/>
      </c>
      <c r="G256" s="4">
        <f>IF(A256="","",IFERROR(ROUND(AVERAGEIFS(ASSESSMENTS!H:H,ASSESSMENTS!B:B,A256,ASSESSMENTS!E:E,"Mathematical Literacy"),1),""))</f>
        <v/>
      </c>
      <c r="H256" s="4">
        <f>IF(A256="","",IFERROR(ROUND(AVERAGEIFS(ASSESSMENTS!H:H,ASSESSMENTS!B:B,A256,ASSESSMENTS!E:E,"Physical Sciences"),1),""))</f>
        <v/>
      </c>
      <c r="I256" s="4">
        <f>IF(A256="","",IFERROR(ROUND(AVERAGEIFS(ASSESSMENTS!H:H,ASSESSMENTS!B:B,A256,ASSESSMENTS!E:E,"Geography"),1),""))</f>
        <v/>
      </c>
      <c r="J256" s="4">
        <f>IF(A256="","",IFERROR(ROUND(AVERAGEIFS(ASSESSMENTS!H:H,ASSESSMENTS!B:B,A256,ASSESSMENTS!E:E,"Accounting"),1),""))</f>
        <v/>
      </c>
      <c r="K256" s="4">
        <f>IF(A256="","",IFERROR(ROUND(AVERAGEIFS(ASSESSMENTS!H:H,ASSESSMENTS!B:B,A256,ASSESSMENTS!E:E,"English"),1),""))</f>
        <v/>
      </c>
      <c r="L256" s="5">
        <f>IF(A256="","",IFERROR(XLOOKUP(A256,ATTENDANCE_SUMMARY!A:A,ATTENDANCE_SUMMARY!G:G,""),""))</f>
        <v/>
      </c>
      <c r="M256" s="4">
        <f>IF(A256="","",IF(OR(E256&lt;50,AND(L256&lt;0.75,L256&lt;&gt;"" )),"At Risk","On Track"))</f>
        <v/>
      </c>
    </row>
    <row r="257">
      <c r="A257">
        <f>IF(MASTER_REGISTER!E257="","",MASTER_REGISTER!E257)</f>
        <v/>
      </c>
      <c r="B257">
        <f>IF(A257="","",MASTER_REGISTER!F257)</f>
        <v/>
      </c>
      <c r="C257">
        <f>IF(A257="","",MASTER_REGISTER!C257)</f>
        <v/>
      </c>
      <c r="D257">
        <f>IF(A257="","",COUNTIF(ASSESSMENTS!B:B,A257))</f>
        <v/>
      </c>
      <c r="E257" s="4">
        <f>IF(D257=0,"",ROUND(AVERAGEIF(ASSESSMENTS!B:B,A257,ASSESSMENTS!H:H),1))</f>
        <v/>
      </c>
      <c r="F257" s="4">
        <f>IF(A257="","",IFERROR(ROUND(AVERAGEIFS(ASSESSMENTS!H:H,ASSESSMENTS!B:B,A257,ASSESSMENTS!E:E,"Mathematics"),1),""))</f>
        <v/>
      </c>
      <c r="G257" s="4">
        <f>IF(A257="","",IFERROR(ROUND(AVERAGEIFS(ASSESSMENTS!H:H,ASSESSMENTS!B:B,A257,ASSESSMENTS!E:E,"Mathematical Literacy"),1),""))</f>
        <v/>
      </c>
      <c r="H257" s="4">
        <f>IF(A257="","",IFERROR(ROUND(AVERAGEIFS(ASSESSMENTS!H:H,ASSESSMENTS!B:B,A257,ASSESSMENTS!E:E,"Physical Sciences"),1),""))</f>
        <v/>
      </c>
      <c r="I257" s="4">
        <f>IF(A257="","",IFERROR(ROUND(AVERAGEIFS(ASSESSMENTS!H:H,ASSESSMENTS!B:B,A257,ASSESSMENTS!E:E,"Geography"),1),""))</f>
        <v/>
      </c>
      <c r="J257" s="4">
        <f>IF(A257="","",IFERROR(ROUND(AVERAGEIFS(ASSESSMENTS!H:H,ASSESSMENTS!B:B,A257,ASSESSMENTS!E:E,"Accounting"),1),""))</f>
        <v/>
      </c>
      <c r="K257" s="4">
        <f>IF(A257="","",IFERROR(ROUND(AVERAGEIFS(ASSESSMENTS!H:H,ASSESSMENTS!B:B,A257,ASSESSMENTS!E:E,"English"),1),""))</f>
        <v/>
      </c>
      <c r="L257" s="5">
        <f>IF(A257="","",IFERROR(XLOOKUP(A257,ATTENDANCE_SUMMARY!A:A,ATTENDANCE_SUMMARY!G:G,""),""))</f>
        <v/>
      </c>
      <c r="M257" s="4">
        <f>IF(A257="","",IF(OR(E257&lt;50,AND(L257&lt;0.75,L257&lt;&gt;"" )),"At Risk","On Track"))</f>
        <v/>
      </c>
    </row>
    <row r="258">
      <c r="A258">
        <f>IF(MASTER_REGISTER!E258="","",MASTER_REGISTER!E258)</f>
        <v/>
      </c>
      <c r="B258">
        <f>IF(A258="","",MASTER_REGISTER!F258)</f>
        <v/>
      </c>
      <c r="C258">
        <f>IF(A258="","",MASTER_REGISTER!C258)</f>
        <v/>
      </c>
      <c r="D258">
        <f>IF(A258="","",COUNTIF(ASSESSMENTS!B:B,A258))</f>
        <v/>
      </c>
      <c r="E258" s="4">
        <f>IF(D258=0,"",ROUND(AVERAGEIF(ASSESSMENTS!B:B,A258,ASSESSMENTS!H:H),1))</f>
        <v/>
      </c>
      <c r="F258" s="4">
        <f>IF(A258="","",IFERROR(ROUND(AVERAGEIFS(ASSESSMENTS!H:H,ASSESSMENTS!B:B,A258,ASSESSMENTS!E:E,"Mathematics"),1),""))</f>
        <v/>
      </c>
      <c r="G258" s="4">
        <f>IF(A258="","",IFERROR(ROUND(AVERAGEIFS(ASSESSMENTS!H:H,ASSESSMENTS!B:B,A258,ASSESSMENTS!E:E,"Mathematical Literacy"),1),""))</f>
        <v/>
      </c>
      <c r="H258" s="4">
        <f>IF(A258="","",IFERROR(ROUND(AVERAGEIFS(ASSESSMENTS!H:H,ASSESSMENTS!B:B,A258,ASSESSMENTS!E:E,"Physical Sciences"),1),""))</f>
        <v/>
      </c>
      <c r="I258" s="4">
        <f>IF(A258="","",IFERROR(ROUND(AVERAGEIFS(ASSESSMENTS!H:H,ASSESSMENTS!B:B,A258,ASSESSMENTS!E:E,"Geography"),1),""))</f>
        <v/>
      </c>
      <c r="J258" s="4">
        <f>IF(A258="","",IFERROR(ROUND(AVERAGEIFS(ASSESSMENTS!H:H,ASSESSMENTS!B:B,A258,ASSESSMENTS!E:E,"Accounting"),1),""))</f>
        <v/>
      </c>
      <c r="K258" s="4">
        <f>IF(A258="","",IFERROR(ROUND(AVERAGEIFS(ASSESSMENTS!H:H,ASSESSMENTS!B:B,A258,ASSESSMENTS!E:E,"English"),1),""))</f>
        <v/>
      </c>
      <c r="L258" s="5">
        <f>IF(A258="","",IFERROR(XLOOKUP(A258,ATTENDANCE_SUMMARY!A:A,ATTENDANCE_SUMMARY!G:G,""),""))</f>
        <v/>
      </c>
      <c r="M258" s="4">
        <f>IF(A258="","",IF(OR(E258&lt;50,AND(L258&lt;0.75,L258&lt;&gt;"" )),"At Risk","On Track"))</f>
        <v/>
      </c>
    </row>
    <row r="259">
      <c r="A259">
        <f>IF(MASTER_REGISTER!E259="","",MASTER_REGISTER!E259)</f>
        <v/>
      </c>
      <c r="B259">
        <f>IF(A259="","",MASTER_REGISTER!F259)</f>
        <v/>
      </c>
      <c r="C259">
        <f>IF(A259="","",MASTER_REGISTER!C259)</f>
        <v/>
      </c>
      <c r="D259">
        <f>IF(A259="","",COUNTIF(ASSESSMENTS!B:B,A259))</f>
        <v/>
      </c>
      <c r="E259" s="4">
        <f>IF(D259=0,"",ROUND(AVERAGEIF(ASSESSMENTS!B:B,A259,ASSESSMENTS!H:H),1))</f>
        <v/>
      </c>
      <c r="F259" s="4">
        <f>IF(A259="","",IFERROR(ROUND(AVERAGEIFS(ASSESSMENTS!H:H,ASSESSMENTS!B:B,A259,ASSESSMENTS!E:E,"Mathematics"),1),""))</f>
        <v/>
      </c>
      <c r="G259" s="4">
        <f>IF(A259="","",IFERROR(ROUND(AVERAGEIFS(ASSESSMENTS!H:H,ASSESSMENTS!B:B,A259,ASSESSMENTS!E:E,"Mathematical Literacy"),1),""))</f>
        <v/>
      </c>
      <c r="H259" s="4">
        <f>IF(A259="","",IFERROR(ROUND(AVERAGEIFS(ASSESSMENTS!H:H,ASSESSMENTS!B:B,A259,ASSESSMENTS!E:E,"Physical Sciences"),1),""))</f>
        <v/>
      </c>
      <c r="I259" s="4">
        <f>IF(A259="","",IFERROR(ROUND(AVERAGEIFS(ASSESSMENTS!H:H,ASSESSMENTS!B:B,A259,ASSESSMENTS!E:E,"Geography"),1),""))</f>
        <v/>
      </c>
      <c r="J259" s="4">
        <f>IF(A259="","",IFERROR(ROUND(AVERAGEIFS(ASSESSMENTS!H:H,ASSESSMENTS!B:B,A259,ASSESSMENTS!E:E,"Accounting"),1),""))</f>
        <v/>
      </c>
      <c r="K259" s="4">
        <f>IF(A259="","",IFERROR(ROUND(AVERAGEIFS(ASSESSMENTS!H:H,ASSESSMENTS!B:B,A259,ASSESSMENTS!E:E,"English"),1),""))</f>
        <v/>
      </c>
      <c r="L259" s="5">
        <f>IF(A259="","",IFERROR(XLOOKUP(A259,ATTENDANCE_SUMMARY!A:A,ATTENDANCE_SUMMARY!G:G,""),""))</f>
        <v/>
      </c>
      <c r="M259" s="4">
        <f>IF(A259="","",IF(OR(E259&lt;50,AND(L259&lt;0.75,L259&lt;&gt;"" )),"At Risk","On Track"))</f>
        <v/>
      </c>
    </row>
    <row r="260">
      <c r="A260">
        <f>IF(MASTER_REGISTER!E260="","",MASTER_REGISTER!E260)</f>
        <v/>
      </c>
      <c r="B260">
        <f>IF(A260="","",MASTER_REGISTER!F260)</f>
        <v/>
      </c>
      <c r="C260">
        <f>IF(A260="","",MASTER_REGISTER!C260)</f>
        <v/>
      </c>
      <c r="D260">
        <f>IF(A260="","",COUNTIF(ASSESSMENTS!B:B,A260))</f>
        <v/>
      </c>
      <c r="E260" s="4">
        <f>IF(D260=0,"",ROUND(AVERAGEIF(ASSESSMENTS!B:B,A260,ASSESSMENTS!H:H),1))</f>
        <v/>
      </c>
      <c r="F260" s="4">
        <f>IF(A260="","",IFERROR(ROUND(AVERAGEIFS(ASSESSMENTS!H:H,ASSESSMENTS!B:B,A260,ASSESSMENTS!E:E,"Mathematics"),1),""))</f>
        <v/>
      </c>
      <c r="G260" s="4">
        <f>IF(A260="","",IFERROR(ROUND(AVERAGEIFS(ASSESSMENTS!H:H,ASSESSMENTS!B:B,A260,ASSESSMENTS!E:E,"Mathematical Literacy"),1),""))</f>
        <v/>
      </c>
      <c r="H260" s="4">
        <f>IF(A260="","",IFERROR(ROUND(AVERAGEIFS(ASSESSMENTS!H:H,ASSESSMENTS!B:B,A260,ASSESSMENTS!E:E,"Physical Sciences"),1),""))</f>
        <v/>
      </c>
      <c r="I260" s="4">
        <f>IF(A260="","",IFERROR(ROUND(AVERAGEIFS(ASSESSMENTS!H:H,ASSESSMENTS!B:B,A260,ASSESSMENTS!E:E,"Geography"),1),""))</f>
        <v/>
      </c>
      <c r="J260" s="4">
        <f>IF(A260="","",IFERROR(ROUND(AVERAGEIFS(ASSESSMENTS!H:H,ASSESSMENTS!B:B,A260,ASSESSMENTS!E:E,"Accounting"),1),""))</f>
        <v/>
      </c>
      <c r="K260" s="4">
        <f>IF(A260="","",IFERROR(ROUND(AVERAGEIFS(ASSESSMENTS!H:H,ASSESSMENTS!B:B,A260,ASSESSMENTS!E:E,"English"),1),""))</f>
        <v/>
      </c>
      <c r="L260" s="5">
        <f>IF(A260="","",IFERROR(XLOOKUP(A260,ATTENDANCE_SUMMARY!A:A,ATTENDANCE_SUMMARY!G:G,""),""))</f>
        <v/>
      </c>
      <c r="M260" s="4">
        <f>IF(A260="","",IF(OR(E260&lt;50,AND(L260&lt;0.75,L260&lt;&gt;"" )),"At Risk","On Track"))</f>
        <v/>
      </c>
    </row>
    <row r="261">
      <c r="A261">
        <f>IF(MASTER_REGISTER!E261="","",MASTER_REGISTER!E261)</f>
        <v/>
      </c>
      <c r="B261">
        <f>IF(A261="","",MASTER_REGISTER!F261)</f>
        <v/>
      </c>
      <c r="C261">
        <f>IF(A261="","",MASTER_REGISTER!C261)</f>
        <v/>
      </c>
      <c r="D261">
        <f>IF(A261="","",COUNTIF(ASSESSMENTS!B:B,A261))</f>
        <v/>
      </c>
      <c r="E261" s="4">
        <f>IF(D261=0,"",ROUND(AVERAGEIF(ASSESSMENTS!B:B,A261,ASSESSMENTS!H:H),1))</f>
        <v/>
      </c>
      <c r="F261" s="4">
        <f>IF(A261="","",IFERROR(ROUND(AVERAGEIFS(ASSESSMENTS!H:H,ASSESSMENTS!B:B,A261,ASSESSMENTS!E:E,"Mathematics"),1),""))</f>
        <v/>
      </c>
      <c r="G261" s="4">
        <f>IF(A261="","",IFERROR(ROUND(AVERAGEIFS(ASSESSMENTS!H:H,ASSESSMENTS!B:B,A261,ASSESSMENTS!E:E,"Mathematical Literacy"),1),""))</f>
        <v/>
      </c>
      <c r="H261" s="4">
        <f>IF(A261="","",IFERROR(ROUND(AVERAGEIFS(ASSESSMENTS!H:H,ASSESSMENTS!B:B,A261,ASSESSMENTS!E:E,"Physical Sciences"),1),""))</f>
        <v/>
      </c>
      <c r="I261" s="4">
        <f>IF(A261="","",IFERROR(ROUND(AVERAGEIFS(ASSESSMENTS!H:H,ASSESSMENTS!B:B,A261,ASSESSMENTS!E:E,"Geography"),1),""))</f>
        <v/>
      </c>
      <c r="J261" s="4">
        <f>IF(A261="","",IFERROR(ROUND(AVERAGEIFS(ASSESSMENTS!H:H,ASSESSMENTS!B:B,A261,ASSESSMENTS!E:E,"Accounting"),1),""))</f>
        <v/>
      </c>
      <c r="K261" s="4">
        <f>IF(A261="","",IFERROR(ROUND(AVERAGEIFS(ASSESSMENTS!H:H,ASSESSMENTS!B:B,A261,ASSESSMENTS!E:E,"English"),1),""))</f>
        <v/>
      </c>
      <c r="L261" s="5">
        <f>IF(A261="","",IFERROR(XLOOKUP(A261,ATTENDANCE_SUMMARY!A:A,ATTENDANCE_SUMMARY!G:G,""),""))</f>
        <v/>
      </c>
      <c r="M261" s="4">
        <f>IF(A261="","",IF(OR(E261&lt;50,AND(L261&lt;0.75,L261&lt;&gt;"" )),"At Risk","On Track"))</f>
        <v/>
      </c>
    </row>
    <row r="262">
      <c r="A262">
        <f>IF(MASTER_REGISTER!E262="","",MASTER_REGISTER!E262)</f>
        <v/>
      </c>
      <c r="B262">
        <f>IF(A262="","",MASTER_REGISTER!F262)</f>
        <v/>
      </c>
      <c r="C262">
        <f>IF(A262="","",MASTER_REGISTER!C262)</f>
        <v/>
      </c>
      <c r="D262">
        <f>IF(A262="","",COUNTIF(ASSESSMENTS!B:B,A262))</f>
        <v/>
      </c>
      <c r="E262" s="4">
        <f>IF(D262=0,"",ROUND(AVERAGEIF(ASSESSMENTS!B:B,A262,ASSESSMENTS!H:H),1))</f>
        <v/>
      </c>
      <c r="F262" s="4">
        <f>IF(A262="","",IFERROR(ROUND(AVERAGEIFS(ASSESSMENTS!H:H,ASSESSMENTS!B:B,A262,ASSESSMENTS!E:E,"Mathematics"),1),""))</f>
        <v/>
      </c>
      <c r="G262" s="4">
        <f>IF(A262="","",IFERROR(ROUND(AVERAGEIFS(ASSESSMENTS!H:H,ASSESSMENTS!B:B,A262,ASSESSMENTS!E:E,"Mathematical Literacy"),1),""))</f>
        <v/>
      </c>
      <c r="H262" s="4">
        <f>IF(A262="","",IFERROR(ROUND(AVERAGEIFS(ASSESSMENTS!H:H,ASSESSMENTS!B:B,A262,ASSESSMENTS!E:E,"Physical Sciences"),1),""))</f>
        <v/>
      </c>
      <c r="I262" s="4">
        <f>IF(A262="","",IFERROR(ROUND(AVERAGEIFS(ASSESSMENTS!H:H,ASSESSMENTS!B:B,A262,ASSESSMENTS!E:E,"Geography"),1),""))</f>
        <v/>
      </c>
      <c r="J262" s="4">
        <f>IF(A262="","",IFERROR(ROUND(AVERAGEIFS(ASSESSMENTS!H:H,ASSESSMENTS!B:B,A262,ASSESSMENTS!E:E,"Accounting"),1),""))</f>
        <v/>
      </c>
      <c r="K262" s="4">
        <f>IF(A262="","",IFERROR(ROUND(AVERAGEIFS(ASSESSMENTS!H:H,ASSESSMENTS!B:B,A262,ASSESSMENTS!E:E,"English"),1),""))</f>
        <v/>
      </c>
      <c r="L262" s="5">
        <f>IF(A262="","",IFERROR(XLOOKUP(A262,ATTENDANCE_SUMMARY!A:A,ATTENDANCE_SUMMARY!G:G,""),""))</f>
        <v/>
      </c>
      <c r="M262" s="4">
        <f>IF(A262="","",IF(OR(E262&lt;50,AND(L262&lt;0.75,L262&lt;&gt;"" )),"At Risk","On Track"))</f>
        <v/>
      </c>
    </row>
    <row r="263">
      <c r="A263">
        <f>IF(MASTER_REGISTER!E263="","",MASTER_REGISTER!E263)</f>
        <v/>
      </c>
      <c r="B263">
        <f>IF(A263="","",MASTER_REGISTER!F263)</f>
        <v/>
      </c>
      <c r="C263">
        <f>IF(A263="","",MASTER_REGISTER!C263)</f>
        <v/>
      </c>
      <c r="D263">
        <f>IF(A263="","",COUNTIF(ASSESSMENTS!B:B,A263))</f>
        <v/>
      </c>
      <c r="E263" s="4">
        <f>IF(D263=0,"",ROUND(AVERAGEIF(ASSESSMENTS!B:B,A263,ASSESSMENTS!H:H),1))</f>
        <v/>
      </c>
      <c r="F263" s="4">
        <f>IF(A263="","",IFERROR(ROUND(AVERAGEIFS(ASSESSMENTS!H:H,ASSESSMENTS!B:B,A263,ASSESSMENTS!E:E,"Mathematics"),1),""))</f>
        <v/>
      </c>
      <c r="G263" s="4">
        <f>IF(A263="","",IFERROR(ROUND(AVERAGEIFS(ASSESSMENTS!H:H,ASSESSMENTS!B:B,A263,ASSESSMENTS!E:E,"Mathematical Literacy"),1),""))</f>
        <v/>
      </c>
      <c r="H263" s="4">
        <f>IF(A263="","",IFERROR(ROUND(AVERAGEIFS(ASSESSMENTS!H:H,ASSESSMENTS!B:B,A263,ASSESSMENTS!E:E,"Physical Sciences"),1),""))</f>
        <v/>
      </c>
      <c r="I263" s="4">
        <f>IF(A263="","",IFERROR(ROUND(AVERAGEIFS(ASSESSMENTS!H:H,ASSESSMENTS!B:B,A263,ASSESSMENTS!E:E,"Geography"),1),""))</f>
        <v/>
      </c>
      <c r="J263" s="4">
        <f>IF(A263="","",IFERROR(ROUND(AVERAGEIFS(ASSESSMENTS!H:H,ASSESSMENTS!B:B,A263,ASSESSMENTS!E:E,"Accounting"),1),""))</f>
        <v/>
      </c>
      <c r="K263" s="4">
        <f>IF(A263="","",IFERROR(ROUND(AVERAGEIFS(ASSESSMENTS!H:H,ASSESSMENTS!B:B,A263,ASSESSMENTS!E:E,"English"),1),""))</f>
        <v/>
      </c>
      <c r="L263" s="5">
        <f>IF(A263="","",IFERROR(XLOOKUP(A263,ATTENDANCE_SUMMARY!A:A,ATTENDANCE_SUMMARY!G:G,""),""))</f>
        <v/>
      </c>
      <c r="M263" s="4">
        <f>IF(A263="","",IF(OR(E263&lt;50,AND(L263&lt;0.75,L263&lt;&gt;"" )),"At Risk","On Track"))</f>
        <v/>
      </c>
    </row>
    <row r="264">
      <c r="A264">
        <f>IF(MASTER_REGISTER!E264="","",MASTER_REGISTER!E264)</f>
        <v/>
      </c>
      <c r="B264">
        <f>IF(A264="","",MASTER_REGISTER!F264)</f>
        <v/>
      </c>
      <c r="C264">
        <f>IF(A264="","",MASTER_REGISTER!C264)</f>
        <v/>
      </c>
      <c r="D264">
        <f>IF(A264="","",COUNTIF(ASSESSMENTS!B:B,A264))</f>
        <v/>
      </c>
      <c r="E264" s="4">
        <f>IF(D264=0,"",ROUND(AVERAGEIF(ASSESSMENTS!B:B,A264,ASSESSMENTS!H:H),1))</f>
        <v/>
      </c>
      <c r="F264" s="4">
        <f>IF(A264="","",IFERROR(ROUND(AVERAGEIFS(ASSESSMENTS!H:H,ASSESSMENTS!B:B,A264,ASSESSMENTS!E:E,"Mathematics"),1),""))</f>
        <v/>
      </c>
      <c r="G264" s="4">
        <f>IF(A264="","",IFERROR(ROUND(AVERAGEIFS(ASSESSMENTS!H:H,ASSESSMENTS!B:B,A264,ASSESSMENTS!E:E,"Mathematical Literacy"),1),""))</f>
        <v/>
      </c>
      <c r="H264" s="4">
        <f>IF(A264="","",IFERROR(ROUND(AVERAGEIFS(ASSESSMENTS!H:H,ASSESSMENTS!B:B,A264,ASSESSMENTS!E:E,"Physical Sciences"),1),""))</f>
        <v/>
      </c>
      <c r="I264" s="4">
        <f>IF(A264="","",IFERROR(ROUND(AVERAGEIFS(ASSESSMENTS!H:H,ASSESSMENTS!B:B,A264,ASSESSMENTS!E:E,"Geography"),1),""))</f>
        <v/>
      </c>
      <c r="J264" s="4">
        <f>IF(A264="","",IFERROR(ROUND(AVERAGEIFS(ASSESSMENTS!H:H,ASSESSMENTS!B:B,A264,ASSESSMENTS!E:E,"Accounting"),1),""))</f>
        <v/>
      </c>
      <c r="K264" s="4">
        <f>IF(A264="","",IFERROR(ROUND(AVERAGEIFS(ASSESSMENTS!H:H,ASSESSMENTS!B:B,A264,ASSESSMENTS!E:E,"English"),1),""))</f>
        <v/>
      </c>
      <c r="L264" s="5">
        <f>IF(A264="","",IFERROR(XLOOKUP(A264,ATTENDANCE_SUMMARY!A:A,ATTENDANCE_SUMMARY!G:G,""),""))</f>
        <v/>
      </c>
      <c r="M264" s="4">
        <f>IF(A264="","",IF(OR(E264&lt;50,AND(L264&lt;0.75,L264&lt;&gt;"" )),"At Risk","On Track"))</f>
        <v/>
      </c>
    </row>
    <row r="265">
      <c r="A265">
        <f>IF(MASTER_REGISTER!E265="","",MASTER_REGISTER!E265)</f>
        <v/>
      </c>
      <c r="B265">
        <f>IF(A265="","",MASTER_REGISTER!F265)</f>
        <v/>
      </c>
      <c r="C265">
        <f>IF(A265="","",MASTER_REGISTER!C265)</f>
        <v/>
      </c>
      <c r="D265">
        <f>IF(A265="","",COUNTIF(ASSESSMENTS!B:B,A265))</f>
        <v/>
      </c>
      <c r="E265" s="4">
        <f>IF(D265=0,"",ROUND(AVERAGEIF(ASSESSMENTS!B:B,A265,ASSESSMENTS!H:H),1))</f>
        <v/>
      </c>
      <c r="F265" s="4">
        <f>IF(A265="","",IFERROR(ROUND(AVERAGEIFS(ASSESSMENTS!H:H,ASSESSMENTS!B:B,A265,ASSESSMENTS!E:E,"Mathematics"),1),""))</f>
        <v/>
      </c>
      <c r="G265" s="4">
        <f>IF(A265="","",IFERROR(ROUND(AVERAGEIFS(ASSESSMENTS!H:H,ASSESSMENTS!B:B,A265,ASSESSMENTS!E:E,"Mathematical Literacy"),1),""))</f>
        <v/>
      </c>
      <c r="H265" s="4">
        <f>IF(A265="","",IFERROR(ROUND(AVERAGEIFS(ASSESSMENTS!H:H,ASSESSMENTS!B:B,A265,ASSESSMENTS!E:E,"Physical Sciences"),1),""))</f>
        <v/>
      </c>
      <c r="I265" s="4">
        <f>IF(A265="","",IFERROR(ROUND(AVERAGEIFS(ASSESSMENTS!H:H,ASSESSMENTS!B:B,A265,ASSESSMENTS!E:E,"Geography"),1),""))</f>
        <v/>
      </c>
      <c r="J265" s="4">
        <f>IF(A265="","",IFERROR(ROUND(AVERAGEIFS(ASSESSMENTS!H:H,ASSESSMENTS!B:B,A265,ASSESSMENTS!E:E,"Accounting"),1),""))</f>
        <v/>
      </c>
      <c r="K265" s="4">
        <f>IF(A265="","",IFERROR(ROUND(AVERAGEIFS(ASSESSMENTS!H:H,ASSESSMENTS!B:B,A265,ASSESSMENTS!E:E,"English"),1),""))</f>
        <v/>
      </c>
      <c r="L265" s="5">
        <f>IF(A265="","",IFERROR(XLOOKUP(A265,ATTENDANCE_SUMMARY!A:A,ATTENDANCE_SUMMARY!G:G,""),""))</f>
        <v/>
      </c>
      <c r="M265" s="4">
        <f>IF(A265="","",IF(OR(E265&lt;50,AND(L265&lt;0.75,L265&lt;&gt;"" )),"At Risk","On Track"))</f>
        <v/>
      </c>
    </row>
    <row r="266">
      <c r="A266">
        <f>IF(MASTER_REGISTER!E266="","",MASTER_REGISTER!E266)</f>
        <v/>
      </c>
      <c r="B266">
        <f>IF(A266="","",MASTER_REGISTER!F266)</f>
        <v/>
      </c>
      <c r="C266">
        <f>IF(A266="","",MASTER_REGISTER!C266)</f>
        <v/>
      </c>
      <c r="D266">
        <f>IF(A266="","",COUNTIF(ASSESSMENTS!B:B,A266))</f>
        <v/>
      </c>
      <c r="E266" s="4">
        <f>IF(D266=0,"",ROUND(AVERAGEIF(ASSESSMENTS!B:B,A266,ASSESSMENTS!H:H),1))</f>
        <v/>
      </c>
      <c r="F266" s="4">
        <f>IF(A266="","",IFERROR(ROUND(AVERAGEIFS(ASSESSMENTS!H:H,ASSESSMENTS!B:B,A266,ASSESSMENTS!E:E,"Mathematics"),1),""))</f>
        <v/>
      </c>
      <c r="G266" s="4">
        <f>IF(A266="","",IFERROR(ROUND(AVERAGEIFS(ASSESSMENTS!H:H,ASSESSMENTS!B:B,A266,ASSESSMENTS!E:E,"Mathematical Literacy"),1),""))</f>
        <v/>
      </c>
      <c r="H266" s="4">
        <f>IF(A266="","",IFERROR(ROUND(AVERAGEIFS(ASSESSMENTS!H:H,ASSESSMENTS!B:B,A266,ASSESSMENTS!E:E,"Physical Sciences"),1),""))</f>
        <v/>
      </c>
      <c r="I266" s="4">
        <f>IF(A266="","",IFERROR(ROUND(AVERAGEIFS(ASSESSMENTS!H:H,ASSESSMENTS!B:B,A266,ASSESSMENTS!E:E,"Geography"),1),""))</f>
        <v/>
      </c>
      <c r="J266" s="4">
        <f>IF(A266="","",IFERROR(ROUND(AVERAGEIFS(ASSESSMENTS!H:H,ASSESSMENTS!B:B,A266,ASSESSMENTS!E:E,"Accounting"),1),""))</f>
        <v/>
      </c>
      <c r="K266" s="4">
        <f>IF(A266="","",IFERROR(ROUND(AVERAGEIFS(ASSESSMENTS!H:H,ASSESSMENTS!B:B,A266,ASSESSMENTS!E:E,"English"),1),""))</f>
        <v/>
      </c>
      <c r="L266" s="5">
        <f>IF(A266="","",IFERROR(XLOOKUP(A266,ATTENDANCE_SUMMARY!A:A,ATTENDANCE_SUMMARY!G:G,""),""))</f>
        <v/>
      </c>
      <c r="M266" s="4">
        <f>IF(A266="","",IF(OR(E266&lt;50,AND(L266&lt;0.75,L266&lt;&gt;"" )),"At Risk","On Track"))</f>
        <v/>
      </c>
    </row>
    <row r="267">
      <c r="A267">
        <f>IF(MASTER_REGISTER!E267="","",MASTER_REGISTER!E267)</f>
        <v/>
      </c>
      <c r="B267">
        <f>IF(A267="","",MASTER_REGISTER!F267)</f>
        <v/>
      </c>
      <c r="C267">
        <f>IF(A267="","",MASTER_REGISTER!C267)</f>
        <v/>
      </c>
      <c r="D267">
        <f>IF(A267="","",COUNTIF(ASSESSMENTS!B:B,A267))</f>
        <v/>
      </c>
      <c r="E267" s="4">
        <f>IF(D267=0,"",ROUND(AVERAGEIF(ASSESSMENTS!B:B,A267,ASSESSMENTS!H:H),1))</f>
        <v/>
      </c>
      <c r="F267" s="4">
        <f>IF(A267="","",IFERROR(ROUND(AVERAGEIFS(ASSESSMENTS!H:H,ASSESSMENTS!B:B,A267,ASSESSMENTS!E:E,"Mathematics"),1),""))</f>
        <v/>
      </c>
      <c r="G267" s="4">
        <f>IF(A267="","",IFERROR(ROUND(AVERAGEIFS(ASSESSMENTS!H:H,ASSESSMENTS!B:B,A267,ASSESSMENTS!E:E,"Mathematical Literacy"),1),""))</f>
        <v/>
      </c>
      <c r="H267" s="4">
        <f>IF(A267="","",IFERROR(ROUND(AVERAGEIFS(ASSESSMENTS!H:H,ASSESSMENTS!B:B,A267,ASSESSMENTS!E:E,"Physical Sciences"),1),""))</f>
        <v/>
      </c>
      <c r="I267" s="4">
        <f>IF(A267="","",IFERROR(ROUND(AVERAGEIFS(ASSESSMENTS!H:H,ASSESSMENTS!B:B,A267,ASSESSMENTS!E:E,"Geography"),1),""))</f>
        <v/>
      </c>
      <c r="J267" s="4">
        <f>IF(A267="","",IFERROR(ROUND(AVERAGEIFS(ASSESSMENTS!H:H,ASSESSMENTS!B:B,A267,ASSESSMENTS!E:E,"Accounting"),1),""))</f>
        <v/>
      </c>
      <c r="K267" s="4">
        <f>IF(A267="","",IFERROR(ROUND(AVERAGEIFS(ASSESSMENTS!H:H,ASSESSMENTS!B:B,A267,ASSESSMENTS!E:E,"English"),1),""))</f>
        <v/>
      </c>
      <c r="L267" s="5">
        <f>IF(A267="","",IFERROR(XLOOKUP(A267,ATTENDANCE_SUMMARY!A:A,ATTENDANCE_SUMMARY!G:G,""),""))</f>
        <v/>
      </c>
      <c r="M267" s="4">
        <f>IF(A267="","",IF(OR(E267&lt;50,AND(L267&lt;0.75,L267&lt;&gt;"" )),"At Risk","On Track"))</f>
        <v/>
      </c>
    </row>
    <row r="268">
      <c r="A268">
        <f>IF(MASTER_REGISTER!E268="","",MASTER_REGISTER!E268)</f>
        <v/>
      </c>
      <c r="B268">
        <f>IF(A268="","",MASTER_REGISTER!F268)</f>
        <v/>
      </c>
      <c r="C268">
        <f>IF(A268="","",MASTER_REGISTER!C268)</f>
        <v/>
      </c>
      <c r="D268">
        <f>IF(A268="","",COUNTIF(ASSESSMENTS!B:B,A268))</f>
        <v/>
      </c>
      <c r="E268" s="4">
        <f>IF(D268=0,"",ROUND(AVERAGEIF(ASSESSMENTS!B:B,A268,ASSESSMENTS!H:H),1))</f>
        <v/>
      </c>
      <c r="F268" s="4">
        <f>IF(A268="","",IFERROR(ROUND(AVERAGEIFS(ASSESSMENTS!H:H,ASSESSMENTS!B:B,A268,ASSESSMENTS!E:E,"Mathematics"),1),""))</f>
        <v/>
      </c>
      <c r="G268" s="4">
        <f>IF(A268="","",IFERROR(ROUND(AVERAGEIFS(ASSESSMENTS!H:H,ASSESSMENTS!B:B,A268,ASSESSMENTS!E:E,"Mathematical Literacy"),1),""))</f>
        <v/>
      </c>
      <c r="H268" s="4">
        <f>IF(A268="","",IFERROR(ROUND(AVERAGEIFS(ASSESSMENTS!H:H,ASSESSMENTS!B:B,A268,ASSESSMENTS!E:E,"Physical Sciences"),1),""))</f>
        <v/>
      </c>
      <c r="I268" s="4">
        <f>IF(A268="","",IFERROR(ROUND(AVERAGEIFS(ASSESSMENTS!H:H,ASSESSMENTS!B:B,A268,ASSESSMENTS!E:E,"Geography"),1),""))</f>
        <v/>
      </c>
      <c r="J268" s="4">
        <f>IF(A268="","",IFERROR(ROUND(AVERAGEIFS(ASSESSMENTS!H:H,ASSESSMENTS!B:B,A268,ASSESSMENTS!E:E,"Accounting"),1),""))</f>
        <v/>
      </c>
      <c r="K268" s="4">
        <f>IF(A268="","",IFERROR(ROUND(AVERAGEIFS(ASSESSMENTS!H:H,ASSESSMENTS!B:B,A268,ASSESSMENTS!E:E,"English"),1),""))</f>
        <v/>
      </c>
      <c r="L268" s="5">
        <f>IF(A268="","",IFERROR(XLOOKUP(A268,ATTENDANCE_SUMMARY!A:A,ATTENDANCE_SUMMARY!G:G,""),""))</f>
        <v/>
      </c>
      <c r="M268" s="4">
        <f>IF(A268="","",IF(OR(E268&lt;50,AND(L268&lt;0.75,L268&lt;&gt;"" )),"At Risk","On Track"))</f>
        <v/>
      </c>
    </row>
    <row r="269">
      <c r="A269">
        <f>IF(MASTER_REGISTER!E269="","",MASTER_REGISTER!E269)</f>
        <v/>
      </c>
      <c r="B269">
        <f>IF(A269="","",MASTER_REGISTER!F269)</f>
        <v/>
      </c>
      <c r="C269">
        <f>IF(A269="","",MASTER_REGISTER!C269)</f>
        <v/>
      </c>
      <c r="D269">
        <f>IF(A269="","",COUNTIF(ASSESSMENTS!B:B,A269))</f>
        <v/>
      </c>
      <c r="E269" s="4">
        <f>IF(D269=0,"",ROUND(AVERAGEIF(ASSESSMENTS!B:B,A269,ASSESSMENTS!H:H),1))</f>
        <v/>
      </c>
      <c r="F269" s="4">
        <f>IF(A269="","",IFERROR(ROUND(AVERAGEIFS(ASSESSMENTS!H:H,ASSESSMENTS!B:B,A269,ASSESSMENTS!E:E,"Mathematics"),1),""))</f>
        <v/>
      </c>
      <c r="G269" s="4">
        <f>IF(A269="","",IFERROR(ROUND(AVERAGEIFS(ASSESSMENTS!H:H,ASSESSMENTS!B:B,A269,ASSESSMENTS!E:E,"Mathematical Literacy"),1),""))</f>
        <v/>
      </c>
      <c r="H269" s="4">
        <f>IF(A269="","",IFERROR(ROUND(AVERAGEIFS(ASSESSMENTS!H:H,ASSESSMENTS!B:B,A269,ASSESSMENTS!E:E,"Physical Sciences"),1),""))</f>
        <v/>
      </c>
      <c r="I269" s="4">
        <f>IF(A269="","",IFERROR(ROUND(AVERAGEIFS(ASSESSMENTS!H:H,ASSESSMENTS!B:B,A269,ASSESSMENTS!E:E,"Geography"),1),""))</f>
        <v/>
      </c>
      <c r="J269" s="4">
        <f>IF(A269="","",IFERROR(ROUND(AVERAGEIFS(ASSESSMENTS!H:H,ASSESSMENTS!B:B,A269,ASSESSMENTS!E:E,"Accounting"),1),""))</f>
        <v/>
      </c>
      <c r="K269" s="4">
        <f>IF(A269="","",IFERROR(ROUND(AVERAGEIFS(ASSESSMENTS!H:H,ASSESSMENTS!B:B,A269,ASSESSMENTS!E:E,"English"),1),""))</f>
        <v/>
      </c>
      <c r="L269" s="5">
        <f>IF(A269="","",IFERROR(XLOOKUP(A269,ATTENDANCE_SUMMARY!A:A,ATTENDANCE_SUMMARY!G:G,""),""))</f>
        <v/>
      </c>
      <c r="M269" s="4">
        <f>IF(A269="","",IF(OR(E269&lt;50,AND(L269&lt;0.75,L269&lt;&gt;"" )),"At Risk","On Track"))</f>
        <v/>
      </c>
    </row>
    <row r="270">
      <c r="A270">
        <f>IF(MASTER_REGISTER!E270="","",MASTER_REGISTER!E270)</f>
        <v/>
      </c>
      <c r="B270">
        <f>IF(A270="","",MASTER_REGISTER!F270)</f>
        <v/>
      </c>
      <c r="C270">
        <f>IF(A270="","",MASTER_REGISTER!C270)</f>
        <v/>
      </c>
      <c r="D270">
        <f>IF(A270="","",COUNTIF(ASSESSMENTS!B:B,A270))</f>
        <v/>
      </c>
      <c r="E270" s="4">
        <f>IF(D270=0,"",ROUND(AVERAGEIF(ASSESSMENTS!B:B,A270,ASSESSMENTS!H:H),1))</f>
        <v/>
      </c>
      <c r="F270" s="4">
        <f>IF(A270="","",IFERROR(ROUND(AVERAGEIFS(ASSESSMENTS!H:H,ASSESSMENTS!B:B,A270,ASSESSMENTS!E:E,"Mathematics"),1),""))</f>
        <v/>
      </c>
      <c r="G270" s="4">
        <f>IF(A270="","",IFERROR(ROUND(AVERAGEIFS(ASSESSMENTS!H:H,ASSESSMENTS!B:B,A270,ASSESSMENTS!E:E,"Mathematical Literacy"),1),""))</f>
        <v/>
      </c>
      <c r="H270" s="4">
        <f>IF(A270="","",IFERROR(ROUND(AVERAGEIFS(ASSESSMENTS!H:H,ASSESSMENTS!B:B,A270,ASSESSMENTS!E:E,"Physical Sciences"),1),""))</f>
        <v/>
      </c>
      <c r="I270" s="4">
        <f>IF(A270="","",IFERROR(ROUND(AVERAGEIFS(ASSESSMENTS!H:H,ASSESSMENTS!B:B,A270,ASSESSMENTS!E:E,"Geography"),1),""))</f>
        <v/>
      </c>
      <c r="J270" s="4">
        <f>IF(A270="","",IFERROR(ROUND(AVERAGEIFS(ASSESSMENTS!H:H,ASSESSMENTS!B:B,A270,ASSESSMENTS!E:E,"Accounting"),1),""))</f>
        <v/>
      </c>
      <c r="K270" s="4">
        <f>IF(A270="","",IFERROR(ROUND(AVERAGEIFS(ASSESSMENTS!H:H,ASSESSMENTS!B:B,A270,ASSESSMENTS!E:E,"English"),1),""))</f>
        <v/>
      </c>
      <c r="L270" s="5">
        <f>IF(A270="","",IFERROR(XLOOKUP(A270,ATTENDANCE_SUMMARY!A:A,ATTENDANCE_SUMMARY!G:G,""),""))</f>
        <v/>
      </c>
      <c r="M270" s="4">
        <f>IF(A270="","",IF(OR(E270&lt;50,AND(L270&lt;0.75,L270&lt;&gt;"" )),"At Risk","On Track"))</f>
        <v/>
      </c>
    </row>
    <row r="271">
      <c r="A271">
        <f>IF(MASTER_REGISTER!E271="","",MASTER_REGISTER!E271)</f>
        <v/>
      </c>
      <c r="B271">
        <f>IF(A271="","",MASTER_REGISTER!F271)</f>
        <v/>
      </c>
      <c r="C271">
        <f>IF(A271="","",MASTER_REGISTER!C271)</f>
        <v/>
      </c>
      <c r="D271">
        <f>IF(A271="","",COUNTIF(ASSESSMENTS!B:B,A271))</f>
        <v/>
      </c>
      <c r="E271" s="4">
        <f>IF(D271=0,"",ROUND(AVERAGEIF(ASSESSMENTS!B:B,A271,ASSESSMENTS!H:H),1))</f>
        <v/>
      </c>
      <c r="F271" s="4">
        <f>IF(A271="","",IFERROR(ROUND(AVERAGEIFS(ASSESSMENTS!H:H,ASSESSMENTS!B:B,A271,ASSESSMENTS!E:E,"Mathematics"),1),""))</f>
        <v/>
      </c>
      <c r="G271" s="4">
        <f>IF(A271="","",IFERROR(ROUND(AVERAGEIFS(ASSESSMENTS!H:H,ASSESSMENTS!B:B,A271,ASSESSMENTS!E:E,"Mathematical Literacy"),1),""))</f>
        <v/>
      </c>
      <c r="H271" s="4">
        <f>IF(A271="","",IFERROR(ROUND(AVERAGEIFS(ASSESSMENTS!H:H,ASSESSMENTS!B:B,A271,ASSESSMENTS!E:E,"Physical Sciences"),1),""))</f>
        <v/>
      </c>
      <c r="I271" s="4">
        <f>IF(A271="","",IFERROR(ROUND(AVERAGEIFS(ASSESSMENTS!H:H,ASSESSMENTS!B:B,A271,ASSESSMENTS!E:E,"Geography"),1),""))</f>
        <v/>
      </c>
      <c r="J271" s="4">
        <f>IF(A271="","",IFERROR(ROUND(AVERAGEIFS(ASSESSMENTS!H:H,ASSESSMENTS!B:B,A271,ASSESSMENTS!E:E,"Accounting"),1),""))</f>
        <v/>
      </c>
      <c r="K271" s="4">
        <f>IF(A271="","",IFERROR(ROUND(AVERAGEIFS(ASSESSMENTS!H:H,ASSESSMENTS!B:B,A271,ASSESSMENTS!E:E,"English"),1),""))</f>
        <v/>
      </c>
      <c r="L271" s="5">
        <f>IF(A271="","",IFERROR(XLOOKUP(A271,ATTENDANCE_SUMMARY!A:A,ATTENDANCE_SUMMARY!G:G,""),""))</f>
        <v/>
      </c>
      <c r="M271" s="4">
        <f>IF(A271="","",IF(OR(E271&lt;50,AND(L271&lt;0.75,L271&lt;&gt;"" )),"At Risk","On Track"))</f>
        <v/>
      </c>
    </row>
    <row r="272">
      <c r="A272">
        <f>IF(MASTER_REGISTER!E272="","",MASTER_REGISTER!E272)</f>
        <v/>
      </c>
      <c r="B272">
        <f>IF(A272="","",MASTER_REGISTER!F272)</f>
        <v/>
      </c>
      <c r="C272">
        <f>IF(A272="","",MASTER_REGISTER!C272)</f>
        <v/>
      </c>
      <c r="D272">
        <f>IF(A272="","",COUNTIF(ASSESSMENTS!B:B,A272))</f>
        <v/>
      </c>
      <c r="E272" s="4">
        <f>IF(D272=0,"",ROUND(AVERAGEIF(ASSESSMENTS!B:B,A272,ASSESSMENTS!H:H),1))</f>
        <v/>
      </c>
      <c r="F272" s="4">
        <f>IF(A272="","",IFERROR(ROUND(AVERAGEIFS(ASSESSMENTS!H:H,ASSESSMENTS!B:B,A272,ASSESSMENTS!E:E,"Mathematics"),1),""))</f>
        <v/>
      </c>
      <c r="G272" s="4">
        <f>IF(A272="","",IFERROR(ROUND(AVERAGEIFS(ASSESSMENTS!H:H,ASSESSMENTS!B:B,A272,ASSESSMENTS!E:E,"Mathematical Literacy"),1),""))</f>
        <v/>
      </c>
      <c r="H272" s="4">
        <f>IF(A272="","",IFERROR(ROUND(AVERAGEIFS(ASSESSMENTS!H:H,ASSESSMENTS!B:B,A272,ASSESSMENTS!E:E,"Physical Sciences"),1),""))</f>
        <v/>
      </c>
      <c r="I272" s="4">
        <f>IF(A272="","",IFERROR(ROUND(AVERAGEIFS(ASSESSMENTS!H:H,ASSESSMENTS!B:B,A272,ASSESSMENTS!E:E,"Geography"),1),""))</f>
        <v/>
      </c>
      <c r="J272" s="4">
        <f>IF(A272="","",IFERROR(ROUND(AVERAGEIFS(ASSESSMENTS!H:H,ASSESSMENTS!B:B,A272,ASSESSMENTS!E:E,"Accounting"),1),""))</f>
        <v/>
      </c>
      <c r="K272" s="4">
        <f>IF(A272="","",IFERROR(ROUND(AVERAGEIFS(ASSESSMENTS!H:H,ASSESSMENTS!B:B,A272,ASSESSMENTS!E:E,"English"),1),""))</f>
        <v/>
      </c>
      <c r="L272" s="5">
        <f>IF(A272="","",IFERROR(XLOOKUP(A272,ATTENDANCE_SUMMARY!A:A,ATTENDANCE_SUMMARY!G:G,""),""))</f>
        <v/>
      </c>
      <c r="M272" s="4">
        <f>IF(A272="","",IF(OR(E272&lt;50,AND(L272&lt;0.75,L272&lt;&gt;"" )),"At Risk","On Track"))</f>
        <v/>
      </c>
    </row>
    <row r="273">
      <c r="A273">
        <f>IF(MASTER_REGISTER!E273="","",MASTER_REGISTER!E273)</f>
        <v/>
      </c>
      <c r="B273">
        <f>IF(A273="","",MASTER_REGISTER!F273)</f>
        <v/>
      </c>
      <c r="C273">
        <f>IF(A273="","",MASTER_REGISTER!C273)</f>
        <v/>
      </c>
      <c r="D273">
        <f>IF(A273="","",COUNTIF(ASSESSMENTS!B:B,A273))</f>
        <v/>
      </c>
      <c r="E273" s="4">
        <f>IF(D273=0,"",ROUND(AVERAGEIF(ASSESSMENTS!B:B,A273,ASSESSMENTS!H:H),1))</f>
        <v/>
      </c>
      <c r="F273" s="4">
        <f>IF(A273="","",IFERROR(ROUND(AVERAGEIFS(ASSESSMENTS!H:H,ASSESSMENTS!B:B,A273,ASSESSMENTS!E:E,"Mathematics"),1),""))</f>
        <v/>
      </c>
      <c r="G273" s="4">
        <f>IF(A273="","",IFERROR(ROUND(AVERAGEIFS(ASSESSMENTS!H:H,ASSESSMENTS!B:B,A273,ASSESSMENTS!E:E,"Mathematical Literacy"),1),""))</f>
        <v/>
      </c>
      <c r="H273" s="4">
        <f>IF(A273="","",IFERROR(ROUND(AVERAGEIFS(ASSESSMENTS!H:H,ASSESSMENTS!B:B,A273,ASSESSMENTS!E:E,"Physical Sciences"),1),""))</f>
        <v/>
      </c>
      <c r="I273" s="4">
        <f>IF(A273="","",IFERROR(ROUND(AVERAGEIFS(ASSESSMENTS!H:H,ASSESSMENTS!B:B,A273,ASSESSMENTS!E:E,"Geography"),1),""))</f>
        <v/>
      </c>
      <c r="J273" s="4">
        <f>IF(A273="","",IFERROR(ROUND(AVERAGEIFS(ASSESSMENTS!H:H,ASSESSMENTS!B:B,A273,ASSESSMENTS!E:E,"Accounting"),1),""))</f>
        <v/>
      </c>
      <c r="K273" s="4">
        <f>IF(A273="","",IFERROR(ROUND(AVERAGEIFS(ASSESSMENTS!H:H,ASSESSMENTS!B:B,A273,ASSESSMENTS!E:E,"English"),1),""))</f>
        <v/>
      </c>
      <c r="L273" s="5">
        <f>IF(A273="","",IFERROR(XLOOKUP(A273,ATTENDANCE_SUMMARY!A:A,ATTENDANCE_SUMMARY!G:G,""),""))</f>
        <v/>
      </c>
      <c r="M273" s="4">
        <f>IF(A273="","",IF(OR(E273&lt;50,AND(L273&lt;0.75,L273&lt;&gt;"" )),"At Risk","On Track"))</f>
        <v/>
      </c>
    </row>
    <row r="274">
      <c r="A274">
        <f>IF(MASTER_REGISTER!E274="","",MASTER_REGISTER!E274)</f>
        <v/>
      </c>
      <c r="B274">
        <f>IF(A274="","",MASTER_REGISTER!F274)</f>
        <v/>
      </c>
      <c r="C274">
        <f>IF(A274="","",MASTER_REGISTER!C274)</f>
        <v/>
      </c>
      <c r="D274">
        <f>IF(A274="","",COUNTIF(ASSESSMENTS!B:B,A274))</f>
        <v/>
      </c>
      <c r="E274" s="4">
        <f>IF(D274=0,"",ROUND(AVERAGEIF(ASSESSMENTS!B:B,A274,ASSESSMENTS!H:H),1))</f>
        <v/>
      </c>
      <c r="F274" s="4">
        <f>IF(A274="","",IFERROR(ROUND(AVERAGEIFS(ASSESSMENTS!H:H,ASSESSMENTS!B:B,A274,ASSESSMENTS!E:E,"Mathematics"),1),""))</f>
        <v/>
      </c>
      <c r="G274" s="4">
        <f>IF(A274="","",IFERROR(ROUND(AVERAGEIFS(ASSESSMENTS!H:H,ASSESSMENTS!B:B,A274,ASSESSMENTS!E:E,"Mathematical Literacy"),1),""))</f>
        <v/>
      </c>
      <c r="H274" s="4">
        <f>IF(A274="","",IFERROR(ROUND(AVERAGEIFS(ASSESSMENTS!H:H,ASSESSMENTS!B:B,A274,ASSESSMENTS!E:E,"Physical Sciences"),1),""))</f>
        <v/>
      </c>
      <c r="I274" s="4">
        <f>IF(A274="","",IFERROR(ROUND(AVERAGEIFS(ASSESSMENTS!H:H,ASSESSMENTS!B:B,A274,ASSESSMENTS!E:E,"Geography"),1),""))</f>
        <v/>
      </c>
      <c r="J274" s="4">
        <f>IF(A274="","",IFERROR(ROUND(AVERAGEIFS(ASSESSMENTS!H:H,ASSESSMENTS!B:B,A274,ASSESSMENTS!E:E,"Accounting"),1),""))</f>
        <v/>
      </c>
      <c r="K274" s="4">
        <f>IF(A274="","",IFERROR(ROUND(AVERAGEIFS(ASSESSMENTS!H:H,ASSESSMENTS!B:B,A274,ASSESSMENTS!E:E,"English"),1),""))</f>
        <v/>
      </c>
      <c r="L274" s="5">
        <f>IF(A274="","",IFERROR(XLOOKUP(A274,ATTENDANCE_SUMMARY!A:A,ATTENDANCE_SUMMARY!G:G,""),""))</f>
        <v/>
      </c>
      <c r="M274" s="4">
        <f>IF(A274="","",IF(OR(E274&lt;50,AND(L274&lt;0.75,L274&lt;&gt;"" )),"At Risk","On Track"))</f>
        <v/>
      </c>
    </row>
    <row r="275">
      <c r="A275">
        <f>IF(MASTER_REGISTER!E275="","",MASTER_REGISTER!E275)</f>
        <v/>
      </c>
      <c r="B275">
        <f>IF(A275="","",MASTER_REGISTER!F275)</f>
        <v/>
      </c>
      <c r="C275">
        <f>IF(A275="","",MASTER_REGISTER!C275)</f>
        <v/>
      </c>
      <c r="D275">
        <f>IF(A275="","",COUNTIF(ASSESSMENTS!B:B,A275))</f>
        <v/>
      </c>
      <c r="E275" s="4">
        <f>IF(D275=0,"",ROUND(AVERAGEIF(ASSESSMENTS!B:B,A275,ASSESSMENTS!H:H),1))</f>
        <v/>
      </c>
      <c r="F275" s="4">
        <f>IF(A275="","",IFERROR(ROUND(AVERAGEIFS(ASSESSMENTS!H:H,ASSESSMENTS!B:B,A275,ASSESSMENTS!E:E,"Mathematics"),1),""))</f>
        <v/>
      </c>
      <c r="G275" s="4">
        <f>IF(A275="","",IFERROR(ROUND(AVERAGEIFS(ASSESSMENTS!H:H,ASSESSMENTS!B:B,A275,ASSESSMENTS!E:E,"Mathematical Literacy"),1),""))</f>
        <v/>
      </c>
      <c r="H275" s="4">
        <f>IF(A275="","",IFERROR(ROUND(AVERAGEIFS(ASSESSMENTS!H:H,ASSESSMENTS!B:B,A275,ASSESSMENTS!E:E,"Physical Sciences"),1),""))</f>
        <v/>
      </c>
      <c r="I275" s="4">
        <f>IF(A275="","",IFERROR(ROUND(AVERAGEIFS(ASSESSMENTS!H:H,ASSESSMENTS!B:B,A275,ASSESSMENTS!E:E,"Geography"),1),""))</f>
        <v/>
      </c>
      <c r="J275" s="4">
        <f>IF(A275="","",IFERROR(ROUND(AVERAGEIFS(ASSESSMENTS!H:H,ASSESSMENTS!B:B,A275,ASSESSMENTS!E:E,"Accounting"),1),""))</f>
        <v/>
      </c>
      <c r="K275" s="4">
        <f>IF(A275="","",IFERROR(ROUND(AVERAGEIFS(ASSESSMENTS!H:H,ASSESSMENTS!B:B,A275,ASSESSMENTS!E:E,"English"),1),""))</f>
        <v/>
      </c>
      <c r="L275" s="5">
        <f>IF(A275="","",IFERROR(XLOOKUP(A275,ATTENDANCE_SUMMARY!A:A,ATTENDANCE_SUMMARY!G:G,""),""))</f>
        <v/>
      </c>
      <c r="M275" s="4">
        <f>IF(A275="","",IF(OR(E275&lt;50,AND(L275&lt;0.75,L275&lt;&gt;"" )),"At Risk","On Track"))</f>
        <v/>
      </c>
    </row>
    <row r="276">
      <c r="A276">
        <f>IF(MASTER_REGISTER!E276="","",MASTER_REGISTER!E276)</f>
        <v/>
      </c>
      <c r="B276">
        <f>IF(A276="","",MASTER_REGISTER!F276)</f>
        <v/>
      </c>
      <c r="C276">
        <f>IF(A276="","",MASTER_REGISTER!C276)</f>
        <v/>
      </c>
      <c r="D276">
        <f>IF(A276="","",COUNTIF(ASSESSMENTS!B:B,A276))</f>
        <v/>
      </c>
      <c r="E276" s="4">
        <f>IF(D276=0,"",ROUND(AVERAGEIF(ASSESSMENTS!B:B,A276,ASSESSMENTS!H:H),1))</f>
        <v/>
      </c>
      <c r="F276" s="4">
        <f>IF(A276="","",IFERROR(ROUND(AVERAGEIFS(ASSESSMENTS!H:H,ASSESSMENTS!B:B,A276,ASSESSMENTS!E:E,"Mathematics"),1),""))</f>
        <v/>
      </c>
      <c r="G276" s="4">
        <f>IF(A276="","",IFERROR(ROUND(AVERAGEIFS(ASSESSMENTS!H:H,ASSESSMENTS!B:B,A276,ASSESSMENTS!E:E,"Mathematical Literacy"),1),""))</f>
        <v/>
      </c>
      <c r="H276" s="4">
        <f>IF(A276="","",IFERROR(ROUND(AVERAGEIFS(ASSESSMENTS!H:H,ASSESSMENTS!B:B,A276,ASSESSMENTS!E:E,"Physical Sciences"),1),""))</f>
        <v/>
      </c>
      <c r="I276" s="4">
        <f>IF(A276="","",IFERROR(ROUND(AVERAGEIFS(ASSESSMENTS!H:H,ASSESSMENTS!B:B,A276,ASSESSMENTS!E:E,"Geography"),1),""))</f>
        <v/>
      </c>
      <c r="J276" s="4">
        <f>IF(A276="","",IFERROR(ROUND(AVERAGEIFS(ASSESSMENTS!H:H,ASSESSMENTS!B:B,A276,ASSESSMENTS!E:E,"Accounting"),1),""))</f>
        <v/>
      </c>
      <c r="K276" s="4">
        <f>IF(A276="","",IFERROR(ROUND(AVERAGEIFS(ASSESSMENTS!H:H,ASSESSMENTS!B:B,A276,ASSESSMENTS!E:E,"English"),1),""))</f>
        <v/>
      </c>
      <c r="L276" s="5">
        <f>IF(A276="","",IFERROR(XLOOKUP(A276,ATTENDANCE_SUMMARY!A:A,ATTENDANCE_SUMMARY!G:G,""),""))</f>
        <v/>
      </c>
      <c r="M276" s="4">
        <f>IF(A276="","",IF(OR(E276&lt;50,AND(L276&lt;0.75,L276&lt;&gt;"" )),"At Risk","On Track"))</f>
        <v/>
      </c>
    </row>
    <row r="277">
      <c r="A277">
        <f>IF(MASTER_REGISTER!E277="","",MASTER_REGISTER!E277)</f>
        <v/>
      </c>
      <c r="B277">
        <f>IF(A277="","",MASTER_REGISTER!F277)</f>
        <v/>
      </c>
      <c r="C277">
        <f>IF(A277="","",MASTER_REGISTER!C277)</f>
        <v/>
      </c>
      <c r="D277">
        <f>IF(A277="","",COUNTIF(ASSESSMENTS!B:B,A277))</f>
        <v/>
      </c>
      <c r="E277" s="4">
        <f>IF(D277=0,"",ROUND(AVERAGEIF(ASSESSMENTS!B:B,A277,ASSESSMENTS!H:H),1))</f>
        <v/>
      </c>
      <c r="F277" s="4">
        <f>IF(A277="","",IFERROR(ROUND(AVERAGEIFS(ASSESSMENTS!H:H,ASSESSMENTS!B:B,A277,ASSESSMENTS!E:E,"Mathematics"),1),""))</f>
        <v/>
      </c>
      <c r="G277" s="4">
        <f>IF(A277="","",IFERROR(ROUND(AVERAGEIFS(ASSESSMENTS!H:H,ASSESSMENTS!B:B,A277,ASSESSMENTS!E:E,"Mathematical Literacy"),1),""))</f>
        <v/>
      </c>
      <c r="H277" s="4">
        <f>IF(A277="","",IFERROR(ROUND(AVERAGEIFS(ASSESSMENTS!H:H,ASSESSMENTS!B:B,A277,ASSESSMENTS!E:E,"Physical Sciences"),1),""))</f>
        <v/>
      </c>
      <c r="I277" s="4">
        <f>IF(A277="","",IFERROR(ROUND(AVERAGEIFS(ASSESSMENTS!H:H,ASSESSMENTS!B:B,A277,ASSESSMENTS!E:E,"Geography"),1),""))</f>
        <v/>
      </c>
      <c r="J277" s="4">
        <f>IF(A277="","",IFERROR(ROUND(AVERAGEIFS(ASSESSMENTS!H:H,ASSESSMENTS!B:B,A277,ASSESSMENTS!E:E,"Accounting"),1),""))</f>
        <v/>
      </c>
      <c r="K277" s="4">
        <f>IF(A277="","",IFERROR(ROUND(AVERAGEIFS(ASSESSMENTS!H:H,ASSESSMENTS!B:B,A277,ASSESSMENTS!E:E,"English"),1),""))</f>
        <v/>
      </c>
      <c r="L277" s="5">
        <f>IF(A277="","",IFERROR(XLOOKUP(A277,ATTENDANCE_SUMMARY!A:A,ATTENDANCE_SUMMARY!G:G,""),""))</f>
        <v/>
      </c>
      <c r="M277" s="4">
        <f>IF(A277="","",IF(OR(E277&lt;50,AND(L277&lt;0.75,L277&lt;&gt;"" )),"At Risk","On Track"))</f>
        <v/>
      </c>
    </row>
    <row r="278">
      <c r="A278">
        <f>IF(MASTER_REGISTER!E278="","",MASTER_REGISTER!E278)</f>
        <v/>
      </c>
      <c r="B278">
        <f>IF(A278="","",MASTER_REGISTER!F278)</f>
        <v/>
      </c>
      <c r="C278">
        <f>IF(A278="","",MASTER_REGISTER!C278)</f>
        <v/>
      </c>
      <c r="D278">
        <f>IF(A278="","",COUNTIF(ASSESSMENTS!B:B,A278))</f>
        <v/>
      </c>
      <c r="E278" s="4">
        <f>IF(D278=0,"",ROUND(AVERAGEIF(ASSESSMENTS!B:B,A278,ASSESSMENTS!H:H),1))</f>
        <v/>
      </c>
      <c r="F278" s="4">
        <f>IF(A278="","",IFERROR(ROUND(AVERAGEIFS(ASSESSMENTS!H:H,ASSESSMENTS!B:B,A278,ASSESSMENTS!E:E,"Mathematics"),1),""))</f>
        <v/>
      </c>
      <c r="G278" s="4">
        <f>IF(A278="","",IFERROR(ROUND(AVERAGEIFS(ASSESSMENTS!H:H,ASSESSMENTS!B:B,A278,ASSESSMENTS!E:E,"Mathematical Literacy"),1),""))</f>
        <v/>
      </c>
      <c r="H278" s="4">
        <f>IF(A278="","",IFERROR(ROUND(AVERAGEIFS(ASSESSMENTS!H:H,ASSESSMENTS!B:B,A278,ASSESSMENTS!E:E,"Physical Sciences"),1),""))</f>
        <v/>
      </c>
      <c r="I278" s="4">
        <f>IF(A278="","",IFERROR(ROUND(AVERAGEIFS(ASSESSMENTS!H:H,ASSESSMENTS!B:B,A278,ASSESSMENTS!E:E,"Geography"),1),""))</f>
        <v/>
      </c>
      <c r="J278" s="4">
        <f>IF(A278="","",IFERROR(ROUND(AVERAGEIFS(ASSESSMENTS!H:H,ASSESSMENTS!B:B,A278,ASSESSMENTS!E:E,"Accounting"),1),""))</f>
        <v/>
      </c>
      <c r="K278" s="4">
        <f>IF(A278="","",IFERROR(ROUND(AVERAGEIFS(ASSESSMENTS!H:H,ASSESSMENTS!B:B,A278,ASSESSMENTS!E:E,"English"),1),""))</f>
        <v/>
      </c>
      <c r="L278" s="5">
        <f>IF(A278="","",IFERROR(XLOOKUP(A278,ATTENDANCE_SUMMARY!A:A,ATTENDANCE_SUMMARY!G:G,""),""))</f>
        <v/>
      </c>
      <c r="M278" s="4">
        <f>IF(A278="","",IF(OR(E278&lt;50,AND(L278&lt;0.75,L278&lt;&gt;"" )),"At Risk","On Track"))</f>
        <v/>
      </c>
    </row>
    <row r="279">
      <c r="A279">
        <f>IF(MASTER_REGISTER!E279="","",MASTER_REGISTER!E279)</f>
        <v/>
      </c>
      <c r="B279">
        <f>IF(A279="","",MASTER_REGISTER!F279)</f>
        <v/>
      </c>
      <c r="C279">
        <f>IF(A279="","",MASTER_REGISTER!C279)</f>
        <v/>
      </c>
      <c r="D279">
        <f>IF(A279="","",COUNTIF(ASSESSMENTS!B:B,A279))</f>
        <v/>
      </c>
      <c r="E279" s="4">
        <f>IF(D279=0,"",ROUND(AVERAGEIF(ASSESSMENTS!B:B,A279,ASSESSMENTS!H:H),1))</f>
        <v/>
      </c>
      <c r="F279" s="4">
        <f>IF(A279="","",IFERROR(ROUND(AVERAGEIFS(ASSESSMENTS!H:H,ASSESSMENTS!B:B,A279,ASSESSMENTS!E:E,"Mathematics"),1),""))</f>
        <v/>
      </c>
      <c r="G279" s="4">
        <f>IF(A279="","",IFERROR(ROUND(AVERAGEIFS(ASSESSMENTS!H:H,ASSESSMENTS!B:B,A279,ASSESSMENTS!E:E,"Mathematical Literacy"),1),""))</f>
        <v/>
      </c>
      <c r="H279" s="4">
        <f>IF(A279="","",IFERROR(ROUND(AVERAGEIFS(ASSESSMENTS!H:H,ASSESSMENTS!B:B,A279,ASSESSMENTS!E:E,"Physical Sciences"),1),""))</f>
        <v/>
      </c>
      <c r="I279" s="4">
        <f>IF(A279="","",IFERROR(ROUND(AVERAGEIFS(ASSESSMENTS!H:H,ASSESSMENTS!B:B,A279,ASSESSMENTS!E:E,"Geography"),1),""))</f>
        <v/>
      </c>
      <c r="J279" s="4">
        <f>IF(A279="","",IFERROR(ROUND(AVERAGEIFS(ASSESSMENTS!H:H,ASSESSMENTS!B:B,A279,ASSESSMENTS!E:E,"Accounting"),1),""))</f>
        <v/>
      </c>
      <c r="K279" s="4">
        <f>IF(A279="","",IFERROR(ROUND(AVERAGEIFS(ASSESSMENTS!H:H,ASSESSMENTS!B:B,A279,ASSESSMENTS!E:E,"English"),1),""))</f>
        <v/>
      </c>
      <c r="L279" s="5">
        <f>IF(A279="","",IFERROR(XLOOKUP(A279,ATTENDANCE_SUMMARY!A:A,ATTENDANCE_SUMMARY!G:G,""),""))</f>
        <v/>
      </c>
      <c r="M279" s="4">
        <f>IF(A279="","",IF(OR(E279&lt;50,AND(L279&lt;0.75,L279&lt;&gt;"" )),"At Risk","On Track"))</f>
        <v/>
      </c>
    </row>
    <row r="280">
      <c r="A280">
        <f>IF(MASTER_REGISTER!E280="","",MASTER_REGISTER!E280)</f>
        <v/>
      </c>
      <c r="B280">
        <f>IF(A280="","",MASTER_REGISTER!F280)</f>
        <v/>
      </c>
      <c r="C280">
        <f>IF(A280="","",MASTER_REGISTER!C280)</f>
        <v/>
      </c>
      <c r="D280">
        <f>IF(A280="","",COUNTIF(ASSESSMENTS!B:B,A280))</f>
        <v/>
      </c>
      <c r="E280" s="4">
        <f>IF(D280=0,"",ROUND(AVERAGEIF(ASSESSMENTS!B:B,A280,ASSESSMENTS!H:H),1))</f>
        <v/>
      </c>
      <c r="F280" s="4">
        <f>IF(A280="","",IFERROR(ROUND(AVERAGEIFS(ASSESSMENTS!H:H,ASSESSMENTS!B:B,A280,ASSESSMENTS!E:E,"Mathematics"),1),""))</f>
        <v/>
      </c>
      <c r="G280" s="4">
        <f>IF(A280="","",IFERROR(ROUND(AVERAGEIFS(ASSESSMENTS!H:H,ASSESSMENTS!B:B,A280,ASSESSMENTS!E:E,"Mathematical Literacy"),1),""))</f>
        <v/>
      </c>
      <c r="H280" s="4">
        <f>IF(A280="","",IFERROR(ROUND(AVERAGEIFS(ASSESSMENTS!H:H,ASSESSMENTS!B:B,A280,ASSESSMENTS!E:E,"Physical Sciences"),1),""))</f>
        <v/>
      </c>
      <c r="I280" s="4">
        <f>IF(A280="","",IFERROR(ROUND(AVERAGEIFS(ASSESSMENTS!H:H,ASSESSMENTS!B:B,A280,ASSESSMENTS!E:E,"Geography"),1),""))</f>
        <v/>
      </c>
      <c r="J280" s="4">
        <f>IF(A280="","",IFERROR(ROUND(AVERAGEIFS(ASSESSMENTS!H:H,ASSESSMENTS!B:B,A280,ASSESSMENTS!E:E,"Accounting"),1),""))</f>
        <v/>
      </c>
      <c r="K280" s="4">
        <f>IF(A280="","",IFERROR(ROUND(AVERAGEIFS(ASSESSMENTS!H:H,ASSESSMENTS!B:B,A280,ASSESSMENTS!E:E,"English"),1),""))</f>
        <v/>
      </c>
      <c r="L280" s="5">
        <f>IF(A280="","",IFERROR(XLOOKUP(A280,ATTENDANCE_SUMMARY!A:A,ATTENDANCE_SUMMARY!G:G,""),""))</f>
        <v/>
      </c>
      <c r="M280" s="4">
        <f>IF(A280="","",IF(OR(E280&lt;50,AND(L280&lt;0.75,L280&lt;&gt;"" )),"At Risk","On Track"))</f>
        <v/>
      </c>
    </row>
    <row r="281">
      <c r="A281">
        <f>IF(MASTER_REGISTER!E281="","",MASTER_REGISTER!E281)</f>
        <v/>
      </c>
      <c r="B281">
        <f>IF(A281="","",MASTER_REGISTER!F281)</f>
        <v/>
      </c>
      <c r="C281">
        <f>IF(A281="","",MASTER_REGISTER!C281)</f>
        <v/>
      </c>
      <c r="D281">
        <f>IF(A281="","",COUNTIF(ASSESSMENTS!B:B,A281))</f>
        <v/>
      </c>
      <c r="E281" s="4">
        <f>IF(D281=0,"",ROUND(AVERAGEIF(ASSESSMENTS!B:B,A281,ASSESSMENTS!H:H),1))</f>
        <v/>
      </c>
      <c r="F281" s="4">
        <f>IF(A281="","",IFERROR(ROUND(AVERAGEIFS(ASSESSMENTS!H:H,ASSESSMENTS!B:B,A281,ASSESSMENTS!E:E,"Mathematics"),1),""))</f>
        <v/>
      </c>
      <c r="G281" s="4">
        <f>IF(A281="","",IFERROR(ROUND(AVERAGEIFS(ASSESSMENTS!H:H,ASSESSMENTS!B:B,A281,ASSESSMENTS!E:E,"Mathematical Literacy"),1),""))</f>
        <v/>
      </c>
      <c r="H281" s="4">
        <f>IF(A281="","",IFERROR(ROUND(AVERAGEIFS(ASSESSMENTS!H:H,ASSESSMENTS!B:B,A281,ASSESSMENTS!E:E,"Physical Sciences"),1),""))</f>
        <v/>
      </c>
      <c r="I281" s="4">
        <f>IF(A281="","",IFERROR(ROUND(AVERAGEIFS(ASSESSMENTS!H:H,ASSESSMENTS!B:B,A281,ASSESSMENTS!E:E,"Geography"),1),""))</f>
        <v/>
      </c>
      <c r="J281" s="4">
        <f>IF(A281="","",IFERROR(ROUND(AVERAGEIFS(ASSESSMENTS!H:H,ASSESSMENTS!B:B,A281,ASSESSMENTS!E:E,"Accounting"),1),""))</f>
        <v/>
      </c>
      <c r="K281" s="4">
        <f>IF(A281="","",IFERROR(ROUND(AVERAGEIFS(ASSESSMENTS!H:H,ASSESSMENTS!B:B,A281,ASSESSMENTS!E:E,"English"),1),""))</f>
        <v/>
      </c>
      <c r="L281" s="5">
        <f>IF(A281="","",IFERROR(XLOOKUP(A281,ATTENDANCE_SUMMARY!A:A,ATTENDANCE_SUMMARY!G:G,""),""))</f>
        <v/>
      </c>
      <c r="M281" s="4">
        <f>IF(A281="","",IF(OR(E281&lt;50,AND(L281&lt;0.75,L281&lt;&gt;"" )),"At Risk","On Track"))</f>
        <v/>
      </c>
    </row>
    <row r="282">
      <c r="A282">
        <f>IF(MASTER_REGISTER!E282="","",MASTER_REGISTER!E282)</f>
        <v/>
      </c>
      <c r="B282">
        <f>IF(A282="","",MASTER_REGISTER!F282)</f>
        <v/>
      </c>
      <c r="C282">
        <f>IF(A282="","",MASTER_REGISTER!C282)</f>
        <v/>
      </c>
      <c r="D282">
        <f>IF(A282="","",COUNTIF(ASSESSMENTS!B:B,A282))</f>
        <v/>
      </c>
      <c r="E282" s="4">
        <f>IF(D282=0,"",ROUND(AVERAGEIF(ASSESSMENTS!B:B,A282,ASSESSMENTS!H:H),1))</f>
        <v/>
      </c>
      <c r="F282" s="4">
        <f>IF(A282="","",IFERROR(ROUND(AVERAGEIFS(ASSESSMENTS!H:H,ASSESSMENTS!B:B,A282,ASSESSMENTS!E:E,"Mathematics"),1),""))</f>
        <v/>
      </c>
      <c r="G282" s="4">
        <f>IF(A282="","",IFERROR(ROUND(AVERAGEIFS(ASSESSMENTS!H:H,ASSESSMENTS!B:B,A282,ASSESSMENTS!E:E,"Mathematical Literacy"),1),""))</f>
        <v/>
      </c>
      <c r="H282" s="4">
        <f>IF(A282="","",IFERROR(ROUND(AVERAGEIFS(ASSESSMENTS!H:H,ASSESSMENTS!B:B,A282,ASSESSMENTS!E:E,"Physical Sciences"),1),""))</f>
        <v/>
      </c>
      <c r="I282" s="4">
        <f>IF(A282="","",IFERROR(ROUND(AVERAGEIFS(ASSESSMENTS!H:H,ASSESSMENTS!B:B,A282,ASSESSMENTS!E:E,"Geography"),1),""))</f>
        <v/>
      </c>
      <c r="J282" s="4">
        <f>IF(A282="","",IFERROR(ROUND(AVERAGEIFS(ASSESSMENTS!H:H,ASSESSMENTS!B:B,A282,ASSESSMENTS!E:E,"Accounting"),1),""))</f>
        <v/>
      </c>
      <c r="K282" s="4">
        <f>IF(A282="","",IFERROR(ROUND(AVERAGEIFS(ASSESSMENTS!H:H,ASSESSMENTS!B:B,A282,ASSESSMENTS!E:E,"English"),1),""))</f>
        <v/>
      </c>
      <c r="L282" s="5">
        <f>IF(A282="","",IFERROR(XLOOKUP(A282,ATTENDANCE_SUMMARY!A:A,ATTENDANCE_SUMMARY!G:G,""),""))</f>
        <v/>
      </c>
      <c r="M282" s="4">
        <f>IF(A282="","",IF(OR(E282&lt;50,AND(L282&lt;0.75,L282&lt;&gt;"" )),"At Risk","On Track"))</f>
        <v/>
      </c>
    </row>
    <row r="283">
      <c r="A283">
        <f>IF(MASTER_REGISTER!E283="","",MASTER_REGISTER!E283)</f>
        <v/>
      </c>
      <c r="B283">
        <f>IF(A283="","",MASTER_REGISTER!F283)</f>
        <v/>
      </c>
      <c r="C283">
        <f>IF(A283="","",MASTER_REGISTER!C283)</f>
        <v/>
      </c>
      <c r="D283">
        <f>IF(A283="","",COUNTIF(ASSESSMENTS!B:B,A283))</f>
        <v/>
      </c>
      <c r="E283" s="4">
        <f>IF(D283=0,"",ROUND(AVERAGEIF(ASSESSMENTS!B:B,A283,ASSESSMENTS!H:H),1))</f>
        <v/>
      </c>
      <c r="F283" s="4">
        <f>IF(A283="","",IFERROR(ROUND(AVERAGEIFS(ASSESSMENTS!H:H,ASSESSMENTS!B:B,A283,ASSESSMENTS!E:E,"Mathematics"),1),""))</f>
        <v/>
      </c>
      <c r="G283" s="4">
        <f>IF(A283="","",IFERROR(ROUND(AVERAGEIFS(ASSESSMENTS!H:H,ASSESSMENTS!B:B,A283,ASSESSMENTS!E:E,"Mathematical Literacy"),1),""))</f>
        <v/>
      </c>
      <c r="H283" s="4">
        <f>IF(A283="","",IFERROR(ROUND(AVERAGEIFS(ASSESSMENTS!H:H,ASSESSMENTS!B:B,A283,ASSESSMENTS!E:E,"Physical Sciences"),1),""))</f>
        <v/>
      </c>
      <c r="I283" s="4">
        <f>IF(A283="","",IFERROR(ROUND(AVERAGEIFS(ASSESSMENTS!H:H,ASSESSMENTS!B:B,A283,ASSESSMENTS!E:E,"Geography"),1),""))</f>
        <v/>
      </c>
      <c r="J283" s="4">
        <f>IF(A283="","",IFERROR(ROUND(AVERAGEIFS(ASSESSMENTS!H:H,ASSESSMENTS!B:B,A283,ASSESSMENTS!E:E,"Accounting"),1),""))</f>
        <v/>
      </c>
      <c r="K283" s="4">
        <f>IF(A283="","",IFERROR(ROUND(AVERAGEIFS(ASSESSMENTS!H:H,ASSESSMENTS!B:B,A283,ASSESSMENTS!E:E,"English"),1),""))</f>
        <v/>
      </c>
      <c r="L283" s="5">
        <f>IF(A283="","",IFERROR(XLOOKUP(A283,ATTENDANCE_SUMMARY!A:A,ATTENDANCE_SUMMARY!G:G,""),""))</f>
        <v/>
      </c>
      <c r="M283" s="4">
        <f>IF(A283="","",IF(OR(E283&lt;50,AND(L283&lt;0.75,L283&lt;&gt;"" )),"At Risk","On Track"))</f>
        <v/>
      </c>
    </row>
    <row r="284">
      <c r="A284">
        <f>IF(MASTER_REGISTER!E284="","",MASTER_REGISTER!E284)</f>
        <v/>
      </c>
      <c r="B284">
        <f>IF(A284="","",MASTER_REGISTER!F284)</f>
        <v/>
      </c>
      <c r="C284">
        <f>IF(A284="","",MASTER_REGISTER!C284)</f>
        <v/>
      </c>
      <c r="D284">
        <f>IF(A284="","",COUNTIF(ASSESSMENTS!B:B,A284))</f>
        <v/>
      </c>
      <c r="E284" s="4">
        <f>IF(D284=0,"",ROUND(AVERAGEIF(ASSESSMENTS!B:B,A284,ASSESSMENTS!H:H),1))</f>
        <v/>
      </c>
      <c r="F284" s="4">
        <f>IF(A284="","",IFERROR(ROUND(AVERAGEIFS(ASSESSMENTS!H:H,ASSESSMENTS!B:B,A284,ASSESSMENTS!E:E,"Mathematics"),1),""))</f>
        <v/>
      </c>
      <c r="G284" s="4">
        <f>IF(A284="","",IFERROR(ROUND(AVERAGEIFS(ASSESSMENTS!H:H,ASSESSMENTS!B:B,A284,ASSESSMENTS!E:E,"Mathematical Literacy"),1),""))</f>
        <v/>
      </c>
      <c r="H284" s="4">
        <f>IF(A284="","",IFERROR(ROUND(AVERAGEIFS(ASSESSMENTS!H:H,ASSESSMENTS!B:B,A284,ASSESSMENTS!E:E,"Physical Sciences"),1),""))</f>
        <v/>
      </c>
      <c r="I284" s="4">
        <f>IF(A284="","",IFERROR(ROUND(AVERAGEIFS(ASSESSMENTS!H:H,ASSESSMENTS!B:B,A284,ASSESSMENTS!E:E,"Geography"),1),""))</f>
        <v/>
      </c>
      <c r="J284" s="4">
        <f>IF(A284="","",IFERROR(ROUND(AVERAGEIFS(ASSESSMENTS!H:H,ASSESSMENTS!B:B,A284,ASSESSMENTS!E:E,"Accounting"),1),""))</f>
        <v/>
      </c>
      <c r="K284" s="4">
        <f>IF(A284="","",IFERROR(ROUND(AVERAGEIFS(ASSESSMENTS!H:H,ASSESSMENTS!B:B,A284,ASSESSMENTS!E:E,"English"),1),""))</f>
        <v/>
      </c>
      <c r="L284" s="5">
        <f>IF(A284="","",IFERROR(XLOOKUP(A284,ATTENDANCE_SUMMARY!A:A,ATTENDANCE_SUMMARY!G:G,""),""))</f>
        <v/>
      </c>
      <c r="M284" s="4">
        <f>IF(A284="","",IF(OR(E284&lt;50,AND(L284&lt;0.75,L284&lt;&gt;"" )),"At Risk","On Track"))</f>
        <v/>
      </c>
    </row>
    <row r="285">
      <c r="A285">
        <f>IF(MASTER_REGISTER!E285="","",MASTER_REGISTER!E285)</f>
        <v/>
      </c>
      <c r="B285">
        <f>IF(A285="","",MASTER_REGISTER!F285)</f>
        <v/>
      </c>
      <c r="C285">
        <f>IF(A285="","",MASTER_REGISTER!C285)</f>
        <v/>
      </c>
      <c r="D285">
        <f>IF(A285="","",COUNTIF(ASSESSMENTS!B:B,A285))</f>
        <v/>
      </c>
      <c r="E285" s="4">
        <f>IF(D285=0,"",ROUND(AVERAGEIF(ASSESSMENTS!B:B,A285,ASSESSMENTS!H:H),1))</f>
        <v/>
      </c>
      <c r="F285" s="4">
        <f>IF(A285="","",IFERROR(ROUND(AVERAGEIFS(ASSESSMENTS!H:H,ASSESSMENTS!B:B,A285,ASSESSMENTS!E:E,"Mathematics"),1),""))</f>
        <v/>
      </c>
      <c r="G285" s="4">
        <f>IF(A285="","",IFERROR(ROUND(AVERAGEIFS(ASSESSMENTS!H:H,ASSESSMENTS!B:B,A285,ASSESSMENTS!E:E,"Mathematical Literacy"),1),""))</f>
        <v/>
      </c>
      <c r="H285" s="4">
        <f>IF(A285="","",IFERROR(ROUND(AVERAGEIFS(ASSESSMENTS!H:H,ASSESSMENTS!B:B,A285,ASSESSMENTS!E:E,"Physical Sciences"),1),""))</f>
        <v/>
      </c>
      <c r="I285" s="4">
        <f>IF(A285="","",IFERROR(ROUND(AVERAGEIFS(ASSESSMENTS!H:H,ASSESSMENTS!B:B,A285,ASSESSMENTS!E:E,"Geography"),1),""))</f>
        <v/>
      </c>
      <c r="J285" s="4">
        <f>IF(A285="","",IFERROR(ROUND(AVERAGEIFS(ASSESSMENTS!H:H,ASSESSMENTS!B:B,A285,ASSESSMENTS!E:E,"Accounting"),1),""))</f>
        <v/>
      </c>
      <c r="K285" s="4">
        <f>IF(A285="","",IFERROR(ROUND(AVERAGEIFS(ASSESSMENTS!H:H,ASSESSMENTS!B:B,A285,ASSESSMENTS!E:E,"English"),1),""))</f>
        <v/>
      </c>
      <c r="L285" s="5">
        <f>IF(A285="","",IFERROR(XLOOKUP(A285,ATTENDANCE_SUMMARY!A:A,ATTENDANCE_SUMMARY!G:G,""),""))</f>
        <v/>
      </c>
      <c r="M285" s="4">
        <f>IF(A285="","",IF(OR(E285&lt;50,AND(L285&lt;0.75,L285&lt;&gt;"" )),"At Risk","On Track"))</f>
        <v/>
      </c>
    </row>
    <row r="286">
      <c r="A286">
        <f>IF(MASTER_REGISTER!E286="","",MASTER_REGISTER!E286)</f>
        <v/>
      </c>
      <c r="B286">
        <f>IF(A286="","",MASTER_REGISTER!F286)</f>
        <v/>
      </c>
      <c r="C286">
        <f>IF(A286="","",MASTER_REGISTER!C286)</f>
        <v/>
      </c>
      <c r="D286">
        <f>IF(A286="","",COUNTIF(ASSESSMENTS!B:B,A286))</f>
        <v/>
      </c>
      <c r="E286" s="4">
        <f>IF(D286=0,"",ROUND(AVERAGEIF(ASSESSMENTS!B:B,A286,ASSESSMENTS!H:H),1))</f>
        <v/>
      </c>
      <c r="F286" s="4">
        <f>IF(A286="","",IFERROR(ROUND(AVERAGEIFS(ASSESSMENTS!H:H,ASSESSMENTS!B:B,A286,ASSESSMENTS!E:E,"Mathematics"),1),""))</f>
        <v/>
      </c>
      <c r="G286" s="4">
        <f>IF(A286="","",IFERROR(ROUND(AVERAGEIFS(ASSESSMENTS!H:H,ASSESSMENTS!B:B,A286,ASSESSMENTS!E:E,"Mathematical Literacy"),1),""))</f>
        <v/>
      </c>
      <c r="H286" s="4">
        <f>IF(A286="","",IFERROR(ROUND(AVERAGEIFS(ASSESSMENTS!H:H,ASSESSMENTS!B:B,A286,ASSESSMENTS!E:E,"Physical Sciences"),1),""))</f>
        <v/>
      </c>
      <c r="I286" s="4">
        <f>IF(A286="","",IFERROR(ROUND(AVERAGEIFS(ASSESSMENTS!H:H,ASSESSMENTS!B:B,A286,ASSESSMENTS!E:E,"Geography"),1),""))</f>
        <v/>
      </c>
      <c r="J286" s="4">
        <f>IF(A286="","",IFERROR(ROUND(AVERAGEIFS(ASSESSMENTS!H:H,ASSESSMENTS!B:B,A286,ASSESSMENTS!E:E,"Accounting"),1),""))</f>
        <v/>
      </c>
      <c r="K286" s="4">
        <f>IF(A286="","",IFERROR(ROUND(AVERAGEIFS(ASSESSMENTS!H:H,ASSESSMENTS!B:B,A286,ASSESSMENTS!E:E,"English"),1),""))</f>
        <v/>
      </c>
      <c r="L286" s="5">
        <f>IF(A286="","",IFERROR(XLOOKUP(A286,ATTENDANCE_SUMMARY!A:A,ATTENDANCE_SUMMARY!G:G,""),""))</f>
        <v/>
      </c>
      <c r="M286" s="4">
        <f>IF(A286="","",IF(OR(E286&lt;50,AND(L286&lt;0.75,L286&lt;&gt;"" )),"At Risk","On Track"))</f>
        <v/>
      </c>
    </row>
    <row r="287">
      <c r="A287">
        <f>IF(MASTER_REGISTER!E287="","",MASTER_REGISTER!E287)</f>
        <v/>
      </c>
      <c r="B287">
        <f>IF(A287="","",MASTER_REGISTER!F287)</f>
        <v/>
      </c>
      <c r="C287">
        <f>IF(A287="","",MASTER_REGISTER!C287)</f>
        <v/>
      </c>
      <c r="D287">
        <f>IF(A287="","",COUNTIF(ASSESSMENTS!B:B,A287))</f>
        <v/>
      </c>
      <c r="E287" s="4">
        <f>IF(D287=0,"",ROUND(AVERAGEIF(ASSESSMENTS!B:B,A287,ASSESSMENTS!H:H),1))</f>
        <v/>
      </c>
      <c r="F287" s="4">
        <f>IF(A287="","",IFERROR(ROUND(AVERAGEIFS(ASSESSMENTS!H:H,ASSESSMENTS!B:B,A287,ASSESSMENTS!E:E,"Mathematics"),1),""))</f>
        <v/>
      </c>
      <c r="G287" s="4">
        <f>IF(A287="","",IFERROR(ROUND(AVERAGEIFS(ASSESSMENTS!H:H,ASSESSMENTS!B:B,A287,ASSESSMENTS!E:E,"Mathematical Literacy"),1),""))</f>
        <v/>
      </c>
      <c r="H287" s="4">
        <f>IF(A287="","",IFERROR(ROUND(AVERAGEIFS(ASSESSMENTS!H:H,ASSESSMENTS!B:B,A287,ASSESSMENTS!E:E,"Physical Sciences"),1),""))</f>
        <v/>
      </c>
      <c r="I287" s="4">
        <f>IF(A287="","",IFERROR(ROUND(AVERAGEIFS(ASSESSMENTS!H:H,ASSESSMENTS!B:B,A287,ASSESSMENTS!E:E,"Geography"),1),""))</f>
        <v/>
      </c>
      <c r="J287" s="4">
        <f>IF(A287="","",IFERROR(ROUND(AVERAGEIFS(ASSESSMENTS!H:H,ASSESSMENTS!B:B,A287,ASSESSMENTS!E:E,"Accounting"),1),""))</f>
        <v/>
      </c>
      <c r="K287" s="4">
        <f>IF(A287="","",IFERROR(ROUND(AVERAGEIFS(ASSESSMENTS!H:H,ASSESSMENTS!B:B,A287,ASSESSMENTS!E:E,"English"),1),""))</f>
        <v/>
      </c>
      <c r="L287" s="5">
        <f>IF(A287="","",IFERROR(XLOOKUP(A287,ATTENDANCE_SUMMARY!A:A,ATTENDANCE_SUMMARY!G:G,""),""))</f>
        <v/>
      </c>
      <c r="M287" s="4">
        <f>IF(A287="","",IF(OR(E287&lt;50,AND(L287&lt;0.75,L287&lt;&gt;"" )),"At Risk","On Track"))</f>
        <v/>
      </c>
    </row>
    <row r="288">
      <c r="A288">
        <f>IF(MASTER_REGISTER!E288="","",MASTER_REGISTER!E288)</f>
        <v/>
      </c>
      <c r="B288">
        <f>IF(A288="","",MASTER_REGISTER!F288)</f>
        <v/>
      </c>
      <c r="C288">
        <f>IF(A288="","",MASTER_REGISTER!C288)</f>
        <v/>
      </c>
      <c r="D288">
        <f>IF(A288="","",COUNTIF(ASSESSMENTS!B:B,A288))</f>
        <v/>
      </c>
      <c r="E288" s="4">
        <f>IF(D288=0,"",ROUND(AVERAGEIF(ASSESSMENTS!B:B,A288,ASSESSMENTS!H:H),1))</f>
        <v/>
      </c>
      <c r="F288" s="4">
        <f>IF(A288="","",IFERROR(ROUND(AVERAGEIFS(ASSESSMENTS!H:H,ASSESSMENTS!B:B,A288,ASSESSMENTS!E:E,"Mathematics"),1),""))</f>
        <v/>
      </c>
      <c r="G288" s="4">
        <f>IF(A288="","",IFERROR(ROUND(AVERAGEIFS(ASSESSMENTS!H:H,ASSESSMENTS!B:B,A288,ASSESSMENTS!E:E,"Mathematical Literacy"),1),""))</f>
        <v/>
      </c>
      <c r="H288" s="4">
        <f>IF(A288="","",IFERROR(ROUND(AVERAGEIFS(ASSESSMENTS!H:H,ASSESSMENTS!B:B,A288,ASSESSMENTS!E:E,"Physical Sciences"),1),""))</f>
        <v/>
      </c>
      <c r="I288" s="4">
        <f>IF(A288="","",IFERROR(ROUND(AVERAGEIFS(ASSESSMENTS!H:H,ASSESSMENTS!B:B,A288,ASSESSMENTS!E:E,"Geography"),1),""))</f>
        <v/>
      </c>
      <c r="J288" s="4">
        <f>IF(A288="","",IFERROR(ROUND(AVERAGEIFS(ASSESSMENTS!H:H,ASSESSMENTS!B:B,A288,ASSESSMENTS!E:E,"Accounting"),1),""))</f>
        <v/>
      </c>
      <c r="K288" s="4">
        <f>IF(A288="","",IFERROR(ROUND(AVERAGEIFS(ASSESSMENTS!H:H,ASSESSMENTS!B:B,A288,ASSESSMENTS!E:E,"English"),1),""))</f>
        <v/>
      </c>
      <c r="L288" s="5">
        <f>IF(A288="","",IFERROR(XLOOKUP(A288,ATTENDANCE_SUMMARY!A:A,ATTENDANCE_SUMMARY!G:G,""),""))</f>
        <v/>
      </c>
      <c r="M288" s="4">
        <f>IF(A288="","",IF(OR(E288&lt;50,AND(L288&lt;0.75,L288&lt;&gt;"" )),"At Risk","On Track"))</f>
        <v/>
      </c>
    </row>
    <row r="289">
      <c r="A289">
        <f>IF(MASTER_REGISTER!E289="","",MASTER_REGISTER!E289)</f>
        <v/>
      </c>
      <c r="B289">
        <f>IF(A289="","",MASTER_REGISTER!F289)</f>
        <v/>
      </c>
      <c r="C289">
        <f>IF(A289="","",MASTER_REGISTER!C289)</f>
        <v/>
      </c>
      <c r="D289">
        <f>IF(A289="","",COUNTIF(ASSESSMENTS!B:B,A289))</f>
        <v/>
      </c>
      <c r="E289" s="4">
        <f>IF(D289=0,"",ROUND(AVERAGEIF(ASSESSMENTS!B:B,A289,ASSESSMENTS!H:H),1))</f>
        <v/>
      </c>
      <c r="F289" s="4">
        <f>IF(A289="","",IFERROR(ROUND(AVERAGEIFS(ASSESSMENTS!H:H,ASSESSMENTS!B:B,A289,ASSESSMENTS!E:E,"Mathematics"),1),""))</f>
        <v/>
      </c>
      <c r="G289" s="4">
        <f>IF(A289="","",IFERROR(ROUND(AVERAGEIFS(ASSESSMENTS!H:H,ASSESSMENTS!B:B,A289,ASSESSMENTS!E:E,"Mathematical Literacy"),1),""))</f>
        <v/>
      </c>
      <c r="H289" s="4">
        <f>IF(A289="","",IFERROR(ROUND(AVERAGEIFS(ASSESSMENTS!H:H,ASSESSMENTS!B:B,A289,ASSESSMENTS!E:E,"Physical Sciences"),1),""))</f>
        <v/>
      </c>
      <c r="I289" s="4">
        <f>IF(A289="","",IFERROR(ROUND(AVERAGEIFS(ASSESSMENTS!H:H,ASSESSMENTS!B:B,A289,ASSESSMENTS!E:E,"Geography"),1),""))</f>
        <v/>
      </c>
      <c r="J289" s="4">
        <f>IF(A289="","",IFERROR(ROUND(AVERAGEIFS(ASSESSMENTS!H:H,ASSESSMENTS!B:B,A289,ASSESSMENTS!E:E,"Accounting"),1),""))</f>
        <v/>
      </c>
      <c r="K289" s="4">
        <f>IF(A289="","",IFERROR(ROUND(AVERAGEIFS(ASSESSMENTS!H:H,ASSESSMENTS!B:B,A289,ASSESSMENTS!E:E,"English"),1),""))</f>
        <v/>
      </c>
      <c r="L289" s="5">
        <f>IF(A289="","",IFERROR(XLOOKUP(A289,ATTENDANCE_SUMMARY!A:A,ATTENDANCE_SUMMARY!G:G,""),""))</f>
        <v/>
      </c>
      <c r="M289" s="4">
        <f>IF(A289="","",IF(OR(E289&lt;50,AND(L289&lt;0.75,L289&lt;&gt;"" )),"At Risk","On Track"))</f>
        <v/>
      </c>
    </row>
    <row r="290">
      <c r="A290">
        <f>IF(MASTER_REGISTER!E290="","",MASTER_REGISTER!E290)</f>
        <v/>
      </c>
      <c r="B290">
        <f>IF(A290="","",MASTER_REGISTER!F290)</f>
        <v/>
      </c>
      <c r="C290">
        <f>IF(A290="","",MASTER_REGISTER!C290)</f>
        <v/>
      </c>
      <c r="D290">
        <f>IF(A290="","",COUNTIF(ASSESSMENTS!B:B,A290))</f>
        <v/>
      </c>
      <c r="E290" s="4">
        <f>IF(D290=0,"",ROUND(AVERAGEIF(ASSESSMENTS!B:B,A290,ASSESSMENTS!H:H),1))</f>
        <v/>
      </c>
      <c r="F290" s="4">
        <f>IF(A290="","",IFERROR(ROUND(AVERAGEIFS(ASSESSMENTS!H:H,ASSESSMENTS!B:B,A290,ASSESSMENTS!E:E,"Mathematics"),1),""))</f>
        <v/>
      </c>
      <c r="G290" s="4">
        <f>IF(A290="","",IFERROR(ROUND(AVERAGEIFS(ASSESSMENTS!H:H,ASSESSMENTS!B:B,A290,ASSESSMENTS!E:E,"Mathematical Literacy"),1),""))</f>
        <v/>
      </c>
      <c r="H290" s="4">
        <f>IF(A290="","",IFERROR(ROUND(AVERAGEIFS(ASSESSMENTS!H:H,ASSESSMENTS!B:B,A290,ASSESSMENTS!E:E,"Physical Sciences"),1),""))</f>
        <v/>
      </c>
      <c r="I290" s="4">
        <f>IF(A290="","",IFERROR(ROUND(AVERAGEIFS(ASSESSMENTS!H:H,ASSESSMENTS!B:B,A290,ASSESSMENTS!E:E,"Geography"),1),""))</f>
        <v/>
      </c>
      <c r="J290" s="4">
        <f>IF(A290="","",IFERROR(ROUND(AVERAGEIFS(ASSESSMENTS!H:H,ASSESSMENTS!B:B,A290,ASSESSMENTS!E:E,"Accounting"),1),""))</f>
        <v/>
      </c>
      <c r="K290" s="4">
        <f>IF(A290="","",IFERROR(ROUND(AVERAGEIFS(ASSESSMENTS!H:H,ASSESSMENTS!B:B,A290,ASSESSMENTS!E:E,"English"),1),""))</f>
        <v/>
      </c>
      <c r="L290" s="5">
        <f>IF(A290="","",IFERROR(XLOOKUP(A290,ATTENDANCE_SUMMARY!A:A,ATTENDANCE_SUMMARY!G:G,""),""))</f>
        <v/>
      </c>
      <c r="M290" s="4">
        <f>IF(A290="","",IF(OR(E290&lt;50,AND(L290&lt;0.75,L290&lt;&gt;"" )),"At Risk","On Track"))</f>
        <v/>
      </c>
    </row>
    <row r="291">
      <c r="A291">
        <f>IF(MASTER_REGISTER!E291="","",MASTER_REGISTER!E291)</f>
        <v/>
      </c>
      <c r="B291">
        <f>IF(A291="","",MASTER_REGISTER!F291)</f>
        <v/>
      </c>
      <c r="C291">
        <f>IF(A291="","",MASTER_REGISTER!C291)</f>
        <v/>
      </c>
      <c r="D291">
        <f>IF(A291="","",COUNTIF(ASSESSMENTS!B:B,A291))</f>
        <v/>
      </c>
      <c r="E291" s="4">
        <f>IF(D291=0,"",ROUND(AVERAGEIF(ASSESSMENTS!B:B,A291,ASSESSMENTS!H:H),1))</f>
        <v/>
      </c>
      <c r="F291" s="4">
        <f>IF(A291="","",IFERROR(ROUND(AVERAGEIFS(ASSESSMENTS!H:H,ASSESSMENTS!B:B,A291,ASSESSMENTS!E:E,"Mathematics"),1),""))</f>
        <v/>
      </c>
      <c r="G291" s="4">
        <f>IF(A291="","",IFERROR(ROUND(AVERAGEIFS(ASSESSMENTS!H:H,ASSESSMENTS!B:B,A291,ASSESSMENTS!E:E,"Mathematical Literacy"),1),""))</f>
        <v/>
      </c>
      <c r="H291" s="4">
        <f>IF(A291="","",IFERROR(ROUND(AVERAGEIFS(ASSESSMENTS!H:H,ASSESSMENTS!B:B,A291,ASSESSMENTS!E:E,"Physical Sciences"),1),""))</f>
        <v/>
      </c>
      <c r="I291" s="4">
        <f>IF(A291="","",IFERROR(ROUND(AVERAGEIFS(ASSESSMENTS!H:H,ASSESSMENTS!B:B,A291,ASSESSMENTS!E:E,"Geography"),1),""))</f>
        <v/>
      </c>
      <c r="J291" s="4">
        <f>IF(A291="","",IFERROR(ROUND(AVERAGEIFS(ASSESSMENTS!H:H,ASSESSMENTS!B:B,A291,ASSESSMENTS!E:E,"Accounting"),1),""))</f>
        <v/>
      </c>
      <c r="K291" s="4">
        <f>IF(A291="","",IFERROR(ROUND(AVERAGEIFS(ASSESSMENTS!H:H,ASSESSMENTS!B:B,A291,ASSESSMENTS!E:E,"English"),1),""))</f>
        <v/>
      </c>
      <c r="L291" s="5">
        <f>IF(A291="","",IFERROR(XLOOKUP(A291,ATTENDANCE_SUMMARY!A:A,ATTENDANCE_SUMMARY!G:G,""),""))</f>
        <v/>
      </c>
      <c r="M291" s="4">
        <f>IF(A291="","",IF(OR(E291&lt;50,AND(L291&lt;0.75,L291&lt;&gt;"" )),"At Risk","On Track"))</f>
        <v/>
      </c>
    </row>
    <row r="292">
      <c r="A292">
        <f>IF(MASTER_REGISTER!E292="","",MASTER_REGISTER!E292)</f>
        <v/>
      </c>
      <c r="B292">
        <f>IF(A292="","",MASTER_REGISTER!F292)</f>
        <v/>
      </c>
      <c r="C292">
        <f>IF(A292="","",MASTER_REGISTER!C292)</f>
        <v/>
      </c>
      <c r="D292">
        <f>IF(A292="","",COUNTIF(ASSESSMENTS!B:B,A292))</f>
        <v/>
      </c>
      <c r="E292" s="4">
        <f>IF(D292=0,"",ROUND(AVERAGEIF(ASSESSMENTS!B:B,A292,ASSESSMENTS!H:H),1))</f>
        <v/>
      </c>
      <c r="F292" s="4">
        <f>IF(A292="","",IFERROR(ROUND(AVERAGEIFS(ASSESSMENTS!H:H,ASSESSMENTS!B:B,A292,ASSESSMENTS!E:E,"Mathematics"),1),""))</f>
        <v/>
      </c>
      <c r="G292" s="4">
        <f>IF(A292="","",IFERROR(ROUND(AVERAGEIFS(ASSESSMENTS!H:H,ASSESSMENTS!B:B,A292,ASSESSMENTS!E:E,"Mathematical Literacy"),1),""))</f>
        <v/>
      </c>
      <c r="H292" s="4">
        <f>IF(A292="","",IFERROR(ROUND(AVERAGEIFS(ASSESSMENTS!H:H,ASSESSMENTS!B:B,A292,ASSESSMENTS!E:E,"Physical Sciences"),1),""))</f>
        <v/>
      </c>
      <c r="I292" s="4">
        <f>IF(A292="","",IFERROR(ROUND(AVERAGEIFS(ASSESSMENTS!H:H,ASSESSMENTS!B:B,A292,ASSESSMENTS!E:E,"Geography"),1),""))</f>
        <v/>
      </c>
      <c r="J292" s="4">
        <f>IF(A292="","",IFERROR(ROUND(AVERAGEIFS(ASSESSMENTS!H:H,ASSESSMENTS!B:B,A292,ASSESSMENTS!E:E,"Accounting"),1),""))</f>
        <v/>
      </c>
      <c r="K292" s="4">
        <f>IF(A292="","",IFERROR(ROUND(AVERAGEIFS(ASSESSMENTS!H:H,ASSESSMENTS!B:B,A292,ASSESSMENTS!E:E,"English"),1),""))</f>
        <v/>
      </c>
      <c r="L292" s="5">
        <f>IF(A292="","",IFERROR(XLOOKUP(A292,ATTENDANCE_SUMMARY!A:A,ATTENDANCE_SUMMARY!G:G,""),""))</f>
        <v/>
      </c>
      <c r="M292" s="4">
        <f>IF(A292="","",IF(OR(E292&lt;50,AND(L292&lt;0.75,L292&lt;&gt;"" )),"At Risk","On Track"))</f>
        <v/>
      </c>
    </row>
    <row r="293">
      <c r="A293">
        <f>IF(MASTER_REGISTER!E293="","",MASTER_REGISTER!E293)</f>
        <v/>
      </c>
      <c r="B293">
        <f>IF(A293="","",MASTER_REGISTER!F293)</f>
        <v/>
      </c>
      <c r="C293">
        <f>IF(A293="","",MASTER_REGISTER!C293)</f>
        <v/>
      </c>
      <c r="D293">
        <f>IF(A293="","",COUNTIF(ASSESSMENTS!B:B,A293))</f>
        <v/>
      </c>
      <c r="E293" s="4">
        <f>IF(D293=0,"",ROUND(AVERAGEIF(ASSESSMENTS!B:B,A293,ASSESSMENTS!H:H),1))</f>
        <v/>
      </c>
      <c r="F293" s="4">
        <f>IF(A293="","",IFERROR(ROUND(AVERAGEIFS(ASSESSMENTS!H:H,ASSESSMENTS!B:B,A293,ASSESSMENTS!E:E,"Mathematics"),1),""))</f>
        <v/>
      </c>
      <c r="G293" s="4">
        <f>IF(A293="","",IFERROR(ROUND(AVERAGEIFS(ASSESSMENTS!H:H,ASSESSMENTS!B:B,A293,ASSESSMENTS!E:E,"Mathematical Literacy"),1),""))</f>
        <v/>
      </c>
      <c r="H293" s="4">
        <f>IF(A293="","",IFERROR(ROUND(AVERAGEIFS(ASSESSMENTS!H:H,ASSESSMENTS!B:B,A293,ASSESSMENTS!E:E,"Physical Sciences"),1),""))</f>
        <v/>
      </c>
      <c r="I293" s="4">
        <f>IF(A293="","",IFERROR(ROUND(AVERAGEIFS(ASSESSMENTS!H:H,ASSESSMENTS!B:B,A293,ASSESSMENTS!E:E,"Geography"),1),""))</f>
        <v/>
      </c>
      <c r="J293" s="4">
        <f>IF(A293="","",IFERROR(ROUND(AVERAGEIFS(ASSESSMENTS!H:H,ASSESSMENTS!B:B,A293,ASSESSMENTS!E:E,"Accounting"),1),""))</f>
        <v/>
      </c>
      <c r="K293" s="4">
        <f>IF(A293="","",IFERROR(ROUND(AVERAGEIFS(ASSESSMENTS!H:H,ASSESSMENTS!B:B,A293,ASSESSMENTS!E:E,"English"),1),""))</f>
        <v/>
      </c>
      <c r="L293" s="5">
        <f>IF(A293="","",IFERROR(XLOOKUP(A293,ATTENDANCE_SUMMARY!A:A,ATTENDANCE_SUMMARY!G:G,""),""))</f>
        <v/>
      </c>
      <c r="M293" s="4">
        <f>IF(A293="","",IF(OR(E293&lt;50,AND(L293&lt;0.75,L293&lt;&gt;"" )),"At Risk","On Track"))</f>
        <v/>
      </c>
    </row>
    <row r="294">
      <c r="A294">
        <f>IF(MASTER_REGISTER!E294="","",MASTER_REGISTER!E294)</f>
        <v/>
      </c>
      <c r="B294">
        <f>IF(A294="","",MASTER_REGISTER!F294)</f>
        <v/>
      </c>
      <c r="C294">
        <f>IF(A294="","",MASTER_REGISTER!C294)</f>
        <v/>
      </c>
      <c r="D294">
        <f>IF(A294="","",COUNTIF(ASSESSMENTS!B:B,A294))</f>
        <v/>
      </c>
      <c r="E294" s="4">
        <f>IF(D294=0,"",ROUND(AVERAGEIF(ASSESSMENTS!B:B,A294,ASSESSMENTS!H:H),1))</f>
        <v/>
      </c>
      <c r="F294" s="4">
        <f>IF(A294="","",IFERROR(ROUND(AVERAGEIFS(ASSESSMENTS!H:H,ASSESSMENTS!B:B,A294,ASSESSMENTS!E:E,"Mathematics"),1),""))</f>
        <v/>
      </c>
      <c r="G294" s="4">
        <f>IF(A294="","",IFERROR(ROUND(AVERAGEIFS(ASSESSMENTS!H:H,ASSESSMENTS!B:B,A294,ASSESSMENTS!E:E,"Mathematical Literacy"),1),""))</f>
        <v/>
      </c>
      <c r="H294" s="4">
        <f>IF(A294="","",IFERROR(ROUND(AVERAGEIFS(ASSESSMENTS!H:H,ASSESSMENTS!B:B,A294,ASSESSMENTS!E:E,"Physical Sciences"),1),""))</f>
        <v/>
      </c>
      <c r="I294" s="4">
        <f>IF(A294="","",IFERROR(ROUND(AVERAGEIFS(ASSESSMENTS!H:H,ASSESSMENTS!B:B,A294,ASSESSMENTS!E:E,"Geography"),1),""))</f>
        <v/>
      </c>
      <c r="J294" s="4">
        <f>IF(A294="","",IFERROR(ROUND(AVERAGEIFS(ASSESSMENTS!H:H,ASSESSMENTS!B:B,A294,ASSESSMENTS!E:E,"Accounting"),1),""))</f>
        <v/>
      </c>
      <c r="K294" s="4">
        <f>IF(A294="","",IFERROR(ROUND(AVERAGEIFS(ASSESSMENTS!H:H,ASSESSMENTS!B:B,A294,ASSESSMENTS!E:E,"English"),1),""))</f>
        <v/>
      </c>
      <c r="L294" s="5">
        <f>IF(A294="","",IFERROR(XLOOKUP(A294,ATTENDANCE_SUMMARY!A:A,ATTENDANCE_SUMMARY!G:G,""),""))</f>
        <v/>
      </c>
      <c r="M294" s="4">
        <f>IF(A294="","",IF(OR(E294&lt;50,AND(L294&lt;0.75,L294&lt;&gt;"" )),"At Risk","On Track"))</f>
        <v/>
      </c>
    </row>
    <row r="295">
      <c r="A295">
        <f>IF(MASTER_REGISTER!E295="","",MASTER_REGISTER!E295)</f>
        <v/>
      </c>
      <c r="B295">
        <f>IF(A295="","",MASTER_REGISTER!F295)</f>
        <v/>
      </c>
      <c r="C295">
        <f>IF(A295="","",MASTER_REGISTER!C295)</f>
        <v/>
      </c>
      <c r="D295">
        <f>IF(A295="","",COUNTIF(ASSESSMENTS!B:B,A295))</f>
        <v/>
      </c>
      <c r="E295" s="4">
        <f>IF(D295=0,"",ROUND(AVERAGEIF(ASSESSMENTS!B:B,A295,ASSESSMENTS!H:H),1))</f>
        <v/>
      </c>
      <c r="F295" s="4">
        <f>IF(A295="","",IFERROR(ROUND(AVERAGEIFS(ASSESSMENTS!H:H,ASSESSMENTS!B:B,A295,ASSESSMENTS!E:E,"Mathematics"),1),""))</f>
        <v/>
      </c>
      <c r="G295" s="4">
        <f>IF(A295="","",IFERROR(ROUND(AVERAGEIFS(ASSESSMENTS!H:H,ASSESSMENTS!B:B,A295,ASSESSMENTS!E:E,"Mathematical Literacy"),1),""))</f>
        <v/>
      </c>
      <c r="H295" s="4">
        <f>IF(A295="","",IFERROR(ROUND(AVERAGEIFS(ASSESSMENTS!H:H,ASSESSMENTS!B:B,A295,ASSESSMENTS!E:E,"Physical Sciences"),1),""))</f>
        <v/>
      </c>
      <c r="I295" s="4">
        <f>IF(A295="","",IFERROR(ROUND(AVERAGEIFS(ASSESSMENTS!H:H,ASSESSMENTS!B:B,A295,ASSESSMENTS!E:E,"Geography"),1),""))</f>
        <v/>
      </c>
      <c r="J295" s="4">
        <f>IF(A295="","",IFERROR(ROUND(AVERAGEIFS(ASSESSMENTS!H:H,ASSESSMENTS!B:B,A295,ASSESSMENTS!E:E,"Accounting"),1),""))</f>
        <v/>
      </c>
      <c r="K295" s="4">
        <f>IF(A295="","",IFERROR(ROUND(AVERAGEIFS(ASSESSMENTS!H:H,ASSESSMENTS!B:B,A295,ASSESSMENTS!E:E,"English"),1),""))</f>
        <v/>
      </c>
      <c r="L295" s="5">
        <f>IF(A295="","",IFERROR(XLOOKUP(A295,ATTENDANCE_SUMMARY!A:A,ATTENDANCE_SUMMARY!G:G,""),""))</f>
        <v/>
      </c>
      <c r="M295" s="4">
        <f>IF(A295="","",IF(OR(E295&lt;50,AND(L295&lt;0.75,L295&lt;&gt;"" )),"At Risk","On Track"))</f>
        <v/>
      </c>
    </row>
    <row r="296">
      <c r="A296">
        <f>IF(MASTER_REGISTER!E296="","",MASTER_REGISTER!E296)</f>
        <v/>
      </c>
      <c r="B296">
        <f>IF(A296="","",MASTER_REGISTER!F296)</f>
        <v/>
      </c>
      <c r="C296">
        <f>IF(A296="","",MASTER_REGISTER!C296)</f>
        <v/>
      </c>
      <c r="D296">
        <f>IF(A296="","",COUNTIF(ASSESSMENTS!B:B,A296))</f>
        <v/>
      </c>
      <c r="E296" s="4">
        <f>IF(D296=0,"",ROUND(AVERAGEIF(ASSESSMENTS!B:B,A296,ASSESSMENTS!H:H),1))</f>
        <v/>
      </c>
      <c r="F296" s="4">
        <f>IF(A296="","",IFERROR(ROUND(AVERAGEIFS(ASSESSMENTS!H:H,ASSESSMENTS!B:B,A296,ASSESSMENTS!E:E,"Mathematics"),1),""))</f>
        <v/>
      </c>
      <c r="G296" s="4">
        <f>IF(A296="","",IFERROR(ROUND(AVERAGEIFS(ASSESSMENTS!H:H,ASSESSMENTS!B:B,A296,ASSESSMENTS!E:E,"Mathematical Literacy"),1),""))</f>
        <v/>
      </c>
      <c r="H296" s="4">
        <f>IF(A296="","",IFERROR(ROUND(AVERAGEIFS(ASSESSMENTS!H:H,ASSESSMENTS!B:B,A296,ASSESSMENTS!E:E,"Physical Sciences"),1),""))</f>
        <v/>
      </c>
      <c r="I296" s="4">
        <f>IF(A296="","",IFERROR(ROUND(AVERAGEIFS(ASSESSMENTS!H:H,ASSESSMENTS!B:B,A296,ASSESSMENTS!E:E,"Geography"),1),""))</f>
        <v/>
      </c>
      <c r="J296" s="4">
        <f>IF(A296="","",IFERROR(ROUND(AVERAGEIFS(ASSESSMENTS!H:H,ASSESSMENTS!B:B,A296,ASSESSMENTS!E:E,"Accounting"),1),""))</f>
        <v/>
      </c>
      <c r="K296" s="4">
        <f>IF(A296="","",IFERROR(ROUND(AVERAGEIFS(ASSESSMENTS!H:H,ASSESSMENTS!B:B,A296,ASSESSMENTS!E:E,"English"),1),""))</f>
        <v/>
      </c>
      <c r="L296" s="5">
        <f>IF(A296="","",IFERROR(XLOOKUP(A296,ATTENDANCE_SUMMARY!A:A,ATTENDANCE_SUMMARY!G:G,""),""))</f>
        <v/>
      </c>
      <c r="M296" s="4">
        <f>IF(A296="","",IF(OR(E296&lt;50,AND(L296&lt;0.75,L296&lt;&gt;"" )),"At Risk","On Track"))</f>
        <v/>
      </c>
    </row>
    <row r="297">
      <c r="A297">
        <f>IF(MASTER_REGISTER!E297="","",MASTER_REGISTER!E297)</f>
        <v/>
      </c>
      <c r="B297">
        <f>IF(A297="","",MASTER_REGISTER!F297)</f>
        <v/>
      </c>
      <c r="C297">
        <f>IF(A297="","",MASTER_REGISTER!C297)</f>
        <v/>
      </c>
      <c r="D297">
        <f>IF(A297="","",COUNTIF(ASSESSMENTS!B:B,A297))</f>
        <v/>
      </c>
      <c r="E297" s="4">
        <f>IF(D297=0,"",ROUND(AVERAGEIF(ASSESSMENTS!B:B,A297,ASSESSMENTS!H:H),1))</f>
        <v/>
      </c>
      <c r="F297" s="4">
        <f>IF(A297="","",IFERROR(ROUND(AVERAGEIFS(ASSESSMENTS!H:H,ASSESSMENTS!B:B,A297,ASSESSMENTS!E:E,"Mathematics"),1),""))</f>
        <v/>
      </c>
      <c r="G297" s="4">
        <f>IF(A297="","",IFERROR(ROUND(AVERAGEIFS(ASSESSMENTS!H:H,ASSESSMENTS!B:B,A297,ASSESSMENTS!E:E,"Mathematical Literacy"),1),""))</f>
        <v/>
      </c>
      <c r="H297" s="4">
        <f>IF(A297="","",IFERROR(ROUND(AVERAGEIFS(ASSESSMENTS!H:H,ASSESSMENTS!B:B,A297,ASSESSMENTS!E:E,"Physical Sciences"),1),""))</f>
        <v/>
      </c>
      <c r="I297" s="4">
        <f>IF(A297="","",IFERROR(ROUND(AVERAGEIFS(ASSESSMENTS!H:H,ASSESSMENTS!B:B,A297,ASSESSMENTS!E:E,"Geography"),1),""))</f>
        <v/>
      </c>
      <c r="J297" s="4">
        <f>IF(A297="","",IFERROR(ROUND(AVERAGEIFS(ASSESSMENTS!H:H,ASSESSMENTS!B:B,A297,ASSESSMENTS!E:E,"Accounting"),1),""))</f>
        <v/>
      </c>
      <c r="K297" s="4">
        <f>IF(A297="","",IFERROR(ROUND(AVERAGEIFS(ASSESSMENTS!H:H,ASSESSMENTS!B:B,A297,ASSESSMENTS!E:E,"English"),1),""))</f>
        <v/>
      </c>
      <c r="L297" s="5">
        <f>IF(A297="","",IFERROR(XLOOKUP(A297,ATTENDANCE_SUMMARY!A:A,ATTENDANCE_SUMMARY!G:G,""),""))</f>
        <v/>
      </c>
      <c r="M297" s="4">
        <f>IF(A297="","",IF(OR(E297&lt;50,AND(L297&lt;0.75,L297&lt;&gt;"" )),"At Risk","On Track"))</f>
        <v/>
      </c>
    </row>
    <row r="298">
      <c r="A298">
        <f>IF(MASTER_REGISTER!E298="","",MASTER_REGISTER!E298)</f>
        <v/>
      </c>
      <c r="B298">
        <f>IF(A298="","",MASTER_REGISTER!F298)</f>
        <v/>
      </c>
      <c r="C298">
        <f>IF(A298="","",MASTER_REGISTER!C298)</f>
        <v/>
      </c>
      <c r="D298">
        <f>IF(A298="","",COUNTIF(ASSESSMENTS!B:B,A298))</f>
        <v/>
      </c>
      <c r="E298" s="4">
        <f>IF(D298=0,"",ROUND(AVERAGEIF(ASSESSMENTS!B:B,A298,ASSESSMENTS!H:H),1))</f>
        <v/>
      </c>
      <c r="F298" s="4">
        <f>IF(A298="","",IFERROR(ROUND(AVERAGEIFS(ASSESSMENTS!H:H,ASSESSMENTS!B:B,A298,ASSESSMENTS!E:E,"Mathematics"),1),""))</f>
        <v/>
      </c>
      <c r="G298" s="4">
        <f>IF(A298="","",IFERROR(ROUND(AVERAGEIFS(ASSESSMENTS!H:H,ASSESSMENTS!B:B,A298,ASSESSMENTS!E:E,"Mathematical Literacy"),1),""))</f>
        <v/>
      </c>
      <c r="H298" s="4">
        <f>IF(A298="","",IFERROR(ROUND(AVERAGEIFS(ASSESSMENTS!H:H,ASSESSMENTS!B:B,A298,ASSESSMENTS!E:E,"Physical Sciences"),1),""))</f>
        <v/>
      </c>
      <c r="I298" s="4">
        <f>IF(A298="","",IFERROR(ROUND(AVERAGEIFS(ASSESSMENTS!H:H,ASSESSMENTS!B:B,A298,ASSESSMENTS!E:E,"Geography"),1),""))</f>
        <v/>
      </c>
      <c r="J298" s="4">
        <f>IF(A298="","",IFERROR(ROUND(AVERAGEIFS(ASSESSMENTS!H:H,ASSESSMENTS!B:B,A298,ASSESSMENTS!E:E,"Accounting"),1),""))</f>
        <v/>
      </c>
      <c r="K298" s="4">
        <f>IF(A298="","",IFERROR(ROUND(AVERAGEIFS(ASSESSMENTS!H:H,ASSESSMENTS!B:B,A298,ASSESSMENTS!E:E,"English"),1),""))</f>
        <v/>
      </c>
      <c r="L298" s="5">
        <f>IF(A298="","",IFERROR(XLOOKUP(A298,ATTENDANCE_SUMMARY!A:A,ATTENDANCE_SUMMARY!G:G,""),""))</f>
        <v/>
      </c>
      <c r="M298" s="4">
        <f>IF(A298="","",IF(OR(E298&lt;50,AND(L298&lt;0.75,L298&lt;&gt;"" )),"At Risk","On Track"))</f>
        <v/>
      </c>
    </row>
    <row r="299">
      <c r="A299">
        <f>IF(MASTER_REGISTER!E299="","",MASTER_REGISTER!E299)</f>
        <v/>
      </c>
      <c r="B299">
        <f>IF(A299="","",MASTER_REGISTER!F299)</f>
        <v/>
      </c>
      <c r="C299">
        <f>IF(A299="","",MASTER_REGISTER!C299)</f>
        <v/>
      </c>
      <c r="D299">
        <f>IF(A299="","",COUNTIF(ASSESSMENTS!B:B,A299))</f>
        <v/>
      </c>
      <c r="E299" s="4">
        <f>IF(D299=0,"",ROUND(AVERAGEIF(ASSESSMENTS!B:B,A299,ASSESSMENTS!H:H),1))</f>
        <v/>
      </c>
      <c r="F299" s="4">
        <f>IF(A299="","",IFERROR(ROUND(AVERAGEIFS(ASSESSMENTS!H:H,ASSESSMENTS!B:B,A299,ASSESSMENTS!E:E,"Mathematics"),1),""))</f>
        <v/>
      </c>
      <c r="G299" s="4">
        <f>IF(A299="","",IFERROR(ROUND(AVERAGEIFS(ASSESSMENTS!H:H,ASSESSMENTS!B:B,A299,ASSESSMENTS!E:E,"Mathematical Literacy"),1),""))</f>
        <v/>
      </c>
      <c r="H299" s="4">
        <f>IF(A299="","",IFERROR(ROUND(AVERAGEIFS(ASSESSMENTS!H:H,ASSESSMENTS!B:B,A299,ASSESSMENTS!E:E,"Physical Sciences"),1),""))</f>
        <v/>
      </c>
      <c r="I299" s="4">
        <f>IF(A299="","",IFERROR(ROUND(AVERAGEIFS(ASSESSMENTS!H:H,ASSESSMENTS!B:B,A299,ASSESSMENTS!E:E,"Geography"),1),""))</f>
        <v/>
      </c>
      <c r="J299" s="4">
        <f>IF(A299="","",IFERROR(ROUND(AVERAGEIFS(ASSESSMENTS!H:H,ASSESSMENTS!B:B,A299,ASSESSMENTS!E:E,"Accounting"),1),""))</f>
        <v/>
      </c>
      <c r="K299" s="4">
        <f>IF(A299="","",IFERROR(ROUND(AVERAGEIFS(ASSESSMENTS!H:H,ASSESSMENTS!B:B,A299,ASSESSMENTS!E:E,"English"),1),""))</f>
        <v/>
      </c>
      <c r="L299" s="5">
        <f>IF(A299="","",IFERROR(XLOOKUP(A299,ATTENDANCE_SUMMARY!A:A,ATTENDANCE_SUMMARY!G:G,""),""))</f>
        <v/>
      </c>
      <c r="M299" s="4">
        <f>IF(A299="","",IF(OR(E299&lt;50,AND(L299&lt;0.75,L299&lt;&gt;"" )),"At Risk","On Track"))</f>
        <v/>
      </c>
    </row>
    <row r="300">
      <c r="A300">
        <f>IF(MASTER_REGISTER!E300="","",MASTER_REGISTER!E300)</f>
        <v/>
      </c>
      <c r="B300">
        <f>IF(A300="","",MASTER_REGISTER!F300)</f>
        <v/>
      </c>
      <c r="C300">
        <f>IF(A300="","",MASTER_REGISTER!C300)</f>
        <v/>
      </c>
      <c r="D300">
        <f>IF(A300="","",COUNTIF(ASSESSMENTS!B:B,A300))</f>
        <v/>
      </c>
      <c r="E300" s="4">
        <f>IF(D300=0,"",ROUND(AVERAGEIF(ASSESSMENTS!B:B,A300,ASSESSMENTS!H:H),1))</f>
        <v/>
      </c>
      <c r="F300" s="4">
        <f>IF(A300="","",IFERROR(ROUND(AVERAGEIFS(ASSESSMENTS!H:H,ASSESSMENTS!B:B,A300,ASSESSMENTS!E:E,"Mathematics"),1),""))</f>
        <v/>
      </c>
      <c r="G300" s="4">
        <f>IF(A300="","",IFERROR(ROUND(AVERAGEIFS(ASSESSMENTS!H:H,ASSESSMENTS!B:B,A300,ASSESSMENTS!E:E,"Mathematical Literacy"),1),""))</f>
        <v/>
      </c>
      <c r="H300" s="4">
        <f>IF(A300="","",IFERROR(ROUND(AVERAGEIFS(ASSESSMENTS!H:H,ASSESSMENTS!B:B,A300,ASSESSMENTS!E:E,"Physical Sciences"),1),""))</f>
        <v/>
      </c>
      <c r="I300" s="4">
        <f>IF(A300="","",IFERROR(ROUND(AVERAGEIFS(ASSESSMENTS!H:H,ASSESSMENTS!B:B,A300,ASSESSMENTS!E:E,"Geography"),1),""))</f>
        <v/>
      </c>
      <c r="J300" s="4">
        <f>IF(A300="","",IFERROR(ROUND(AVERAGEIFS(ASSESSMENTS!H:H,ASSESSMENTS!B:B,A300,ASSESSMENTS!E:E,"Accounting"),1),""))</f>
        <v/>
      </c>
      <c r="K300" s="4">
        <f>IF(A300="","",IFERROR(ROUND(AVERAGEIFS(ASSESSMENTS!H:H,ASSESSMENTS!B:B,A300,ASSESSMENTS!E:E,"English"),1),""))</f>
        <v/>
      </c>
      <c r="L300" s="5">
        <f>IF(A300="","",IFERROR(XLOOKUP(A300,ATTENDANCE_SUMMARY!A:A,ATTENDANCE_SUMMARY!G:G,""),""))</f>
        <v/>
      </c>
      <c r="M300" s="4">
        <f>IF(A300="","",IF(OR(E300&lt;50,AND(L300&lt;0.75,L300&lt;&gt;"" )),"At Risk","On Track"))</f>
        <v/>
      </c>
    </row>
    <row r="301">
      <c r="A301">
        <f>IF(MASTER_REGISTER!E301="","",MASTER_REGISTER!E301)</f>
        <v/>
      </c>
      <c r="B301">
        <f>IF(A301="","",MASTER_REGISTER!F301)</f>
        <v/>
      </c>
      <c r="C301">
        <f>IF(A301="","",MASTER_REGISTER!C301)</f>
        <v/>
      </c>
      <c r="D301">
        <f>IF(A301="","",COUNTIF(ASSESSMENTS!B:B,A301))</f>
        <v/>
      </c>
      <c r="E301" s="4">
        <f>IF(D301=0,"",ROUND(AVERAGEIF(ASSESSMENTS!B:B,A301,ASSESSMENTS!H:H),1))</f>
        <v/>
      </c>
      <c r="F301" s="4">
        <f>IF(A301="","",IFERROR(ROUND(AVERAGEIFS(ASSESSMENTS!H:H,ASSESSMENTS!B:B,A301,ASSESSMENTS!E:E,"Mathematics"),1),""))</f>
        <v/>
      </c>
      <c r="G301" s="4">
        <f>IF(A301="","",IFERROR(ROUND(AVERAGEIFS(ASSESSMENTS!H:H,ASSESSMENTS!B:B,A301,ASSESSMENTS!E:E,"Mathematical Literacy"),1),""))</f>
        <v/>
      </c>
      <c r="H301" s="4">
        <f>IF(A301="","",IFERROR(ROUND(AVERAGEIFS(ASSESSMENTS!H:H,ASSESSMENTS!B:B,A301,ASSESSMENTS!E:E,"Physical Sciences"),1),""))</f>
        <v/>
      </c>
      <c r="I301" s="4">
        <f>IF(A301="","",IFERROR(ROUND(AVERAGEIFS(ASSESSMENTS!H:H,ASSESSMENTS!B:B,A301,ASSESSMENTS!E:E,"Geography"),1),""))</f>
        <v/>
      </c>
      <c r="J301" s="4">
        <f>IF(A301="","",IFERROR(ROUND(AVERAGEIFS(ASSESSMENTS!H:H,ASSESSMENTS!B:B,A301,ASSESSMENTS!E:E,"Accounting"),1),""))</f>
        <v/>
      </c>
      <c r="K301" s="4">
        <f>IF(A301="","",IFERROR(ROUND(AVERAGEIFS(ASSESSMENTS!H:H,ASSESSMENTS!B:B,A301,ASSESSMENTS!E:E,"English"),1),""))</f>
        <v/>
      </c>
      <c r="L301" s="5">
        <f>IF(A301="","",IFERROR(XLOOKUP(A301,ATTENDANCE_SUMMARY!A:A,ATTENDANCE_SUMMARY!G:G,""),""))</f>
        <v/>
      </c>
      <c r="M301" s="4">
        <f>IF(A301="","",IF(OR(E301&lt;50,AND(L301&lt;0.75,L301&lt;&gt;"" )),"At Risk","On Track"))</f>
        <v/>
      </c>
    </row>
    <row r="302">
      <c r="A302">
        <f>IF(MASTER_REGISTER!E302="","",MASTER_REGISTER!E302)</f>
        <v/>
      </c>
      <c r="B302">
        <f>IF(A302="","",MASTER_REGISTER!F302)</f>
        <v/>
      </c>
      <c r="C302">
        <f>IF(A302="","",MASTER_REGISTER!C302)</f>
        <v/>
      </c>
      <c r="D302">
        <f>IF(A302="","",COUNTIF(ASSESSMENTS!B:B,A302))</f>
        <v/>
      </c>
      <c r="E302" s="4">
        <f>IF(D302=0,"",ROUND(AVERAGEIF(ASSESSMENTS!B:B,A302,ASSESSMENTS!H:H),1))</f>
        <v/>
      </c>
      <c r="F302" s="4">
        <f>IF(A302="","",IFERROR(ROUND(AVERAGEIFS(ASSESSMENTS!H:H,ASSESSMENTS!B:B,A302,ASSESSMENTS!E:E,"Mathematics"),1),""))</f>
        <v/>
      </c>
      <c r="G302" s="4">
        <f>IF(A302="","",IFERROR(ROUND(AVERAGEIFS(ASSESSMENTS!H:H,ASSESSMENTS!B:B,A302,ASSESSMENTS!E:E,"Mathematical Literacy"),1),""))</f>
        <v/>
      </c>
      <c r="H302" s="4">
        <f>IF(A302="","",IFERROR(ROUND(AVERAGEIFS(ASSESSMENTS!H:H,ASSESSMENTS!B:B,A302,ASSESSMENTS!E:E,"Physical Sciences"),1),""))</f>
        <v/>
      </c>
      <c r="I302" s="4">
        <f>IF(A302="","",IFERROR(ROUND(AVERAGEIFS(ASSESSMENTS!H:H,ASSESSMENTS!B:B,A302,ASSESSMENTS!E:E,"Geography"),1),""))</f>
        <v/>
      </c>
      <c r="J302" s="4">
        <f>IF(A302="","",IFERROR(ROUND(AVERAGEIFS(ASSESSMENTS!H:H,ASSESSMENTS!B:B,A302,ASSESSMENTS!E:E,"Accounting"),1),""))</f>
        <v/>
      </c>
      <c r="K302" s="4">
        <f>IF(A302="","",IFERROR(ROUND(AVERAGEIFS(ASSESSMENTS!H:H,ASSESSMENTS!B:B,A302,ASSESSMENTS!E:E,"English"),1),""))</f>
        <v/>
      </c>
      <c r="L302" s="5">
        <f>IF(A302="","",IFERROR(XLOOKUP(A302,ATTENDANCE_SUMMARY!A:A,ATTENDANCE_SUMMARY!G:G,""),""))</f>
        <v/>
      </c>
      <c r="M302" s="4">
        <f>IF(A302="","",IF(OR(E302&lt;50,AND(L302&lt;0.75,L302&lt;&gt;"" )),"At Risk","On Track"))</f>
        <v/>
      </c>
    </row>
    <row r="303">
      <c r="A303">
        <f>IF(MASTER_REGISTER!E303="","",MASTER_REGISTER!E303)</f>
        <v/>
      </c>
      <c r="B303">
        <f>IF(A303="","",MASTER_REGISTER!F303)</f>
        <v/>
      </c>
      <c r="C303">
        <f>IF(A303="","",MASTER_REGISTER!C303)</f>
        <v/>
      </c>
      <c r="D303">
        <f>IF(A303="","",COUNTIF(ASSESSMENTS!B:B,A303))</f>
        <v/>
      </c>
      <c r="E303" s="4">
        <f>IF(D303=0,"",ROUND(AVERAGEIF(ASSESSMENTS!B:B,A303,ASSESSMENTS!H:H),1))</f>
        <v/>
      </c>
      <c r="F303" s="4">
        <f>IF(A303="","",IFERROR(ROUND(AVERAGEIFS(ASSESSMENTS!H:H,ASSESSMENTS!B:B,A303,ASSESSMENTS!E:E,"Mathematics"),1),""))</f>
        <v/>
      </c>
      <c r="G303" s="4">
        <f>IF(A303="","",IFERROR(ROUND(AVERAGEIFS(ASSESSMENTS!H:H,ASSESSMENTS!B:B,A303,ASSESSMENTS!E:E,"Mathematical Literacy"),1),""))</f>
        <v/>
      </c>
      <c r="H303" s="4">
        <f>IF(A303="","",IFERROR(ROUND(AVERAGEIFS(ASSESSMENTS!H:H,ASSESSMENTS!B:B,A303,ASSESSMENTS!E:E,"Physical Sciences"),1),""))</f>
        <v/>
      </c>
      <c r="I303" s="4">
        <f>IF(A303="","",IFERROR(ROUND(AVERAGEIFS(ASSESSMENTS!H:H,ASSESSMENTS!B:B,A303,ASSESSMENTS!E:E,"Geography"),1),""))</f>
        <v/>
      </c>
      <c r="J303" s="4">
        <f>IF(A303="","",IFERROR(ROUND(AVERAGEIFS(ASSESSMENTS!H:H,ASSESSMENTS!B:B,A303,ASSESSMENTS!E:E,"Accounting"),1),""))</f>
        <v/>
      </c>
      <c r="K303" s="4">
        <f>IF(A303="","",IFERROR(ROUND(AVERAGEIFS(ASSESSMENTS!H:H,ASSESSMENTS!B:B,A303,ASSESSMENTS!E:E,"English"),1),""))</f>
        <v/>
      </c>
      <c r="L303" s="5">
        <f>IF(A303="","",IFERROR(XLOOKUP(A303,ATTENDANCE_SUMMARY!A:A,ATTENDANCE_SUMMARY!G:G,""),""))</f>
        <v/>
      </c>
      <c r="M303" s="4">
        <f>IF(A303="","",IF(OR(E303&lt;50,AND(L303&lt;0.75,L303&lt;&gt;"" )),"At Risk","On Track"))</f>
        <v/>
      </c>
    </row>
    <row r="304">
      <c r="A304">
        <f>IF(MASTER_REGISTER!E304="","",MASTER_REGISTER!E304)</f>
        <v/>
      </c>
      <c r="B304">
        <f>IF(A304="","",MASTER_REGISTER!F304)</f>
        <v/>
      </c>
      <c r="C304">
        <f>IF(A304="","",MASTER_REGISTER!C304)</f>
        <v/>
      </c>
      <c r="D304">
        <f>IF(A304="","",COUNTIF(ASSESSMENTS!B:B,A304))</f>
        <v/>
      </c>
      <c r="E304" s="4">
        <f>IF(D304=0,"",ROUND(AVERAGEIF(ASSESSMENTS!B:B,A304,ASSESSMENTS!H:H),1))</f>
        <v/>
      </c>
      <c r="F304" s="4">
        <f>IF(A304="","",IFERROR(ROUND(AVERAGEIFS(ASSESSMENTS!H:H,ASSESSMENTS!B:B,A304,ASSESSMENTS!E:E,"Mathematics"),1),""))</f>
        <v/>
      </c>
      <c r="G304" s="4">
        <f>IF(A304="","",IFERROR(ROUND(AVERAGEIFS(ASSESSMENTS!H:H,ASSESSMENTS!B:B,A304,ASSESSMENTS!E:E,"Mathematical Literacy"),1),""))</f>
        <v/>
      </c>
      <c r="H304" s="4">
        <f>IF(A304="","",IFERROR(ROUND(AVERAGEIFS(ASSESSMENTS!H:H,ASSESSMENTS!B:B,A304,ASSESSMENTS!E:E,"Physical Sciences"),1),""))</f>
        <v/>
      </c>
      <c r="I304" s="4">
        <f>IF(A304="","",IFERROR(ROUND(AVERAGEIFS(ASSESSMENTS!H:H,ASSESSMENTS!B:B,A304,ASSESSMENTS!E:E,"Geography"),1),""))</f>
        <v/>
      </c>
      <c r="J304" s="4">
        <f>IF(A304="","",IFERROR(ROUND(AVERAGEIFS(ASSESSMENTS!H:H,ASSESSMENTS!B:B,A304,ASSESSMENTS!E:E,"Accounting"),1),""))</f>
        <v/>
      </c>
      <c r="K304" s="4">
        <f>IF(A304="","",IFERROR(ROUND(AVERAGEIFS(ASSESSMENTS!H:H,ASSESSMENTS!B:B,A304,ASSESSMENTS!E:E,"English"),1),""))</f>
        <v/>
      </c>
      <c r="L304" s="5">
        <f>IF(A304="","",IFERROR(XLOOKUP(A304,ATTENDANCE_SUMMARY!A:A,ATTENDANCE_SUMMARY!G:G,""),""))</f>
        <v/>
      </c>
      <c r="M304" s="4">
        <f>IF(A304="","",IF(OR(E304&lt;50,AND(L304&lt;0.75,L304&lt;&gt;"" )),"At Risk","On Track"))</f>
        <v/>
      </c>
    </row>
    <row r="305">
      <c r="A305">
        <f>IF(MASTER_REGISTER!E305="","",MASTER_REGISTER!E305)</f>
        <v/>
      </c>
      <c r="B305">
        <f>IF(A305="","",MASTER_REGISTER!F305)</f>
        <v/>
      </c>
      <c r="C305">
        <f>IF(A305="","",MASTER_REGISTER!C305)</f>
        <v/>
      </c>
      <c r="D305">
        <f>IF(A305="","",COUNTIF(ASSESSMENTS!B:B,A305))</f>
        <v/>
      </c>
      <c r="E305" s="4">
        <f>IF(D305=0,"",ROUND(AVERAGEIF(ASSESSMENTS!B:B,A305,ASSESSMENTS!H:H),1))</f>
        <v/>
      </c>
      <c r="F305" s="4">
        <f>IF(A305="","",IFERROR(ROUND(AVERAGEIFS(ASSESSMENTS!H:H,ASSESSMENTS!B:B,A305,ASSESSMENTS!E:E,"Mathematics"),1),""))</f>
        <v/>
      </c>
      <c r="G305" s="4">
        <f>IF(A305="","",IFERROR(ROUND(AVERAGEIFS(ASSESSMENTS!H:H,ASSESSMENTS!B:B,A305,ASSESSMENTS!E:E,"Mathematical Literacy"),1),""))</f>
        <v/>
      </c>
      <c r="H305" s="4">
        <f>IF(A305="","",IFERROR(ROUND(AVERAGEIFS(ASSESSMENTS!H:H,ASSESSMENTS!B:B,A305,ASSESSMENTS!E:E,"Physical Sciences"),1),""))</f>
        <v/>
      </c>
      <c r="I305" s="4">
        <f>IF(A305="","",IFERROR(ROUND(AVERAGEIFS(ASSESSMENTS!H:H,ASSESSMENTS!B:B,A305,ASSESSMENTS!E:E,"Geography"),1),""))</f>
        <v/>
      </c>
      <c r="J305" s="4">
        <f>IF(A305="","",IFERROR(ROUND(AVERAGEIFS(ASSESSMENTS!H:H,ASSESSMENTS!B:B,A305,ASSESSMENTS!E:E,"Accounting"),1),""))</f>
        <v/>
      </c>
      <c r="K305" s="4">
        <f>IF(A305="","",IFERROR(ROUND(AVERAGEIFS(ASSESSMENTS!H:H,ASSESSMENTS!B:B,A305,ASSESSMENTS!E:E,"English"),1),""))</f>
        <v/>
      </c>
      <c r="L305" s="5">
        <f>IF(A305="","",IFERROR(XLOOKUP(A305,ATTENDANCE_SUMMARY!A:A,ATTENDANCE_SUMMARY!G:G,""),""))</f>
        <v/>
      </c>
      <c r="M305" s="4">
        <f>IF(A305="","",IF(OR(E305&lt;50,AND(L305&lt;0.75,L305&lt;&gt;"" )),"At Risk","On Track"))</f>
        <v/>
      </c>
    </row>
    <row r="306">
      <c r="A306">
        <f>IF(MASTER_REGISTER!E306="","",MASTER_REGISTER!E306)</f>
        <v/>
      </c>
      <c r="B306">
        <f>IF(A306="","",MASTER_REGISTER!F306)</f>
        <v/>
      </c>
      <c r="C306">
        <f>IF(A306="","",MASTER_REGISTER!C306)</f>
        <v/>
      </c>
      <c r="D306">
        <f>IF(A306="","",COUNTIF(ASSESSMENTS!B:B,A306))</f>
        <v/>
      </c>
      <c r="E306" s="4">
        <f>IF(D306=0,"",ROUND(AVERAGEIF(ASSESSMENTS!B:B,A306,ASSESSMENTS!H:H),1))</f>
        <v/>
      </c>
      <c r="F306" s="4">
        <f>IF(A306="","",IFERROR(ROUND(AVERAGEIFS(ASSESSMENTS!H:H,ASSESSMENTS!B:B,A306,ASSESSMENTS!E:E,"Mathematics"),1),""))</f>
        <v/>
      </c>
      <c r="G306" s="4">
        <f>IF(A306="","",IFERROR(ROUND(AVERAGEIFS(ASSESSMENTS!H:H,ASSESSMENTS!B:B,A306,ASSESSMENTS!E:E,"Mathematical Literacy"),1),""))</f>
        <v/>
      </c>
      <c r="H306" s="4">
        <f>IF(A306="","",IFERROR(ROUND(AVERAGEIFS(ASSESSMENTS!H:H,ASSESSMENTS!B:B,A306,ASSESSMENTS!E:E,"Physical Sciences"),1),""))</f>
        <v/>
      </c>
      <c r="I306" s="4">
        <f>IF(A306="","",IFERROR(ROUND(AVERAGEIFS(ASSESSMENTS!H:H,ASSESSMENTS!B:B,A306,ASSESSMENTS!E:E,"Geography"),1),""))</f>
        <v/>
      </c>
      <c r="J306" s="4">
        <f>IF(A306="","",IFERROR(ROUND(AVERAGEIFS(ASSESSMENTS!H:H,ASSESSMENTS!B:B,A306,ASSESSMENTS!E:E,"Accounting"),1),""))</f>
        <v/>
      </c>
      <c r="K306" s="4">
        <f>IF(A306="","",IFERROR(ROUND(AVERAGEIFS(ASSESSMENTS!H:H,ASSESSMENTS!B:B,A306,ASSESSMENTS!E:E,"English"),1),""))</f>
        <v/>
      </c>
      <c r="L306" s="5">
        <f>IF(A306="","",IFERROR(XLOOKUP(A306,ATTENDANCE_SUMMARY!A:A,ATTENDANCE_SUMMARY!G:G,""),""))</f>
        <v/>
      </c>
      <c r="M306" s="4">
        <f>IF(A306="","",IF(OR(E306&lt;50,AND(L306&lt;0.75,L306&lt;&gt;"" )),"At Risk","On Track"))</f>
        <v/>
      </c>
    </row>
    <row r="307">
      <c r="A307">
        <f>IF(MASTER_REGISTER!E307="","",MASTER_REGISTER!E307)</f>
        <v/>
      </c>
      <c r="B307">
        <f>IF(A307="","",MASTER_REGISTER!F307)</f>
        <v/>
      </c>
      <c r="C307">
        <f>IF(A307="","",MASTER_REGISTER!C307)</f>
        <v/>
      </c>
      <c r="D307">
        <f>IF(A307="","",COUNTIF(ASSESSMENTS!B:B,A307))</f>
        <v/>
      </c>
      <c r="E307" s="4">
        <f>IF(D307=0,"",ROUND(AVERAGEIF(ASSESSMENTS!B:B,A307,ASSESSMENTS!H:H),1))</f>
        <v/>
      </c>
      <c r="F307" s="4">
        <f>IF(A307="","",IFERROR(ROUND(AVERAGEIFS(ASSESSMENTS!H:H,ASSESSMENTS!B:B,A307,ASSESSMENTS!E:E,"Mathematics"),1),""))</f>
        <v/>
      </c>
      <c r="G307" s="4">
        <f>IF(A307="","",IFERROR(ROUND(AVERAGEIFS(ASSESSMENTS!H:H,ASSESSMENTS!B:B,A307,ASSESSMENTS!E:E,"Mathematical Literacy"),1),""))</f>
        <v/>
      </c>
      <c r="H307" s="4">
        <f>IF(A307="","",IFERROR(ROUND(AVERAGEIFS(ASSESSMENTS!H:H,ASSESSMENTS!B:B,A307,ASSESSMENTS!E:E,"Physical Sciences"),1),""))</f>
        <v/>
      </c>
      <c r="I307" s="4">
        <f>IF(A307="","",IFERROR(ROUND(AVERAGEIFS(ASSESSMENTS!H:H,ASSESSMENTS!B:B,A307,ASSESSMENTS!E:E,"Geography"),1),""))</f>
        <v/>
      </c>
      <c r="J307" s="4">
        <f>IF(A307="","",IFERROR(ROUND(AVERAGEIFS(ASSESSMENTS!H:H,ASSESSMENTS!B:B,A307,ASSESSMENTS!E:E,"Accounting"),1),""))</f>
        <v/>
      </c>
      <c r="K307" s="4">
        <f>IF(A307="","",IFERROR(ROUND(AVERAGEIFS(ASSESSMENTS!H:H,ASSESSMENTS!B:B,A307,ASSESSMENTS!E:E,"English"),1),""))</f>
        <v/>
      </c>
      <c r="L307" s="5">
        <f>IF(A307="","",IFERROR(XLOOKUP(A307,ATTENDANCE_SUMMARY!A:A,ATTENDANCE_SUMMARY!G:G,""),""))</f>
        <v/>
      </c>
      <c r="M307" s="4">
        <f>IF(A307="","",IF(OR(E307&lt;50,AND(L307&lt;0.75,L307&lt;&gt;"" )),"At Risk","On Track"))</f>
        <v/>
      </c>
    </row>
    <row r="308">
      <c r="A308">
        <f>IF(MASTER_REGISTER!E308="","",MASTER_REGISTER!E308)</f>
        <v/>
      </c>
      <c r="B308">
        <f>IF(A308="","",MASTER_REGISTER!F308)</f>
        <v/>
      </c>
      <c r="C308">
        <f>IF(A308="","",MASTER_REGISTER!C308)</f>
        <v/>
      </c>
      <c r="D308">
        <f>IF(A308="","",COUNTIF(ASSESSMENTS!B:B,A308))</f>
        <v/>
      </c>
      <c r="E308" s="4">
        <f>IF(D308=0,"",ROUND(AVERAGEIF(ASSESSMENTS!B:B,A308,ASSESSMENTS!H:H),1))</f>
        <v/>
      </c>
      <c r="F308" s="4">
        <f>IF(A308="","",IFERROR(ROUND(AVERAGEIFS(ASSESSMENTS!H:H,ASSESSMENTS!B:B,A308,ASSESSMENTS!E:E,"Mathematics"),1),""))</f>
        <v/>
      </c>
      <c r="G308" s="4">
        <f>IF(A308="","",IFERROR(ROUND(AVERAGEIFS(ASSESSMENTS!H:H,ASSESSMENTS!B:B,A308,ASSESSMENTS!E:E,"Mathematical Literacy"),1),""))</f>
        <v/>
      </c>
      <c r="H308" s="4">
        <f>IF(A308="","",IFERROR(ROUND(AVERAGEIFS(ASSESSMENTS!H:H,ASSESSMENTS!B:B,A308,ASSESSMENTS!E:E,"Physical Sciences"),1),""))</f>
        <v/>
      </c>
      <c r="I308" s="4">
        <f>IF(A308="","",IFERROR(ROUND(AVERAGEIFS(ASSESSMENTS!H:H,ASSESSMENTS!B:B,A308,ASSESSMENTS!E:E,"Geography"),1),""))</f>
        <v/>
      </c>
      <c r="J308" s="4">
        <f>IF(A308="","",IFERROR(ROUND(AVERAGEIFS(ASSESSMENTS!H:H,ASSESSMENTS!B:B,A308,ASSESSMENTS!E:E,"Accounting"),1),""))</f>
        <v/>
      </c>
      <c r="K308" s="4">
        <f>IF(A308="","",IFERROR(ROUND(AVERAGEIFS(ASSESSMENTS!H:H,ASSESSMENTS!B:B,A308,ASSESSMENTS!E:E,"English"),1),""))</f>
        <v/>
      </c>
      <c r="L308" s="5">
        <f>IF(A308="","",IFERROR(XLOOKUP(A308,ATTENDANCE_SUMMARY!A:A,ATTENDANCE_SUMMARY!G:G,""),""))</f>
        <v/>
      </c>
      <c r="M308" s="4">
        <f>IF(A308="","",IF(OR(E308&lt;50,AND(L308&lt;0.75,L308&lt;&gt;"" )),"At Risk","On Track"))</f>
        <v/>
      </c>
    </row>
    <row r="309">
      <c r="A309">
        <f>IF(MASTER_REGISTER!E309="","",MASTER_REGISTER!E309)</f>
        <v/>
      </c>
      <c r="B309">
        <f>IF(A309="","",MASTER_REGISTER!F309)</f>
        <v/>
      </c>
      <c r="C309">
        <f>IF(A309="","",MASTER_REGISTER!C309)</f>
        <v/>
      </c>
      <c r="D309">
        <f>IF(A309="","",COUNTIF(ASSESSMENTS!B:B,A309))</f>
        <v/>
      </c>
      <c r="E309" s="4">
        <f>IF(D309=0,"",ROUND(AVERAGEIF(ASSESSMENTS!B:B,A309,ASSESSMENTS!H:H),1))</f>
        <v/>
      </c>
      <c r="F309" s="4">
        <f>IF(A309="","",IFERROR(ROUND(AVERAGEIFS(ASSESSMENTS!H:H,ASSESSMENTS!B:B,A309,ASSESSMENTS!E:E,"Mathematics"),1),""))</f>
        <v/>
      </c>
      <c r="G309" s="4">
        <f>IF(A309="","",IFERROR(ROUND(AVERAGEIFS(ASSESSMENTS!H:H,ASSESSMENTS!B:B,A309,ASSESSMENTS!E:E,"Mathematical Literacy"),1),""))</f>
        <v/>
      </c>
      <c r="H309" s="4">
        <f>IF(A309="","",IFERROR(ROUND(AVERAGEIFS(ASSESSMENTS!H:H,ASSESSMENTS!B:B,A309,ASSESSMENTS!E:E,"Physical Sciences"),1),""))</f>
        <v/>
      </c>
      <c r="I309" s="4">
        <f>IF(A309="","",IFERROR(ROUND(AVERAGEIFS(ASSESSMENTS!H:H,ASSESSMENTS!B:B,A309,ASSESSMENTS!E:E,"Geography"),1),""))</f>
        <v/>
      </c>
      <c r="J309" s="4">
        <f>IF(A309="","",IFERROR(ROUND(AVERAGEIFS(ASSESSMENTS!H:H,ASSESSMENTS!B:B,A309,ASSESSMENTS!E:E,"Accounting"),1),""))</f>
        <v/>
      </c>
      <c r="K309" s="4">
        <f>IF(A309="","",IFERROR(ROUND(AVERAGEIFS(ASSESSMENTS!H:H,ASSESSMENTS!B:B,A309,ASSESSMENTS!E:E,"English"),1),""))</f>
        <v/>
      </c>
      <c r="L309" s="5">
        <f>IF(A309="","",IFERROR(XLOOKUP(A309,ATTENDANCE_SUMMARY!A:A,ATTENDANCE_SUMMARY!G:G,""),""))</f>
        <v/>
      </c>
      <c r="M309" s="4">
        <f>IF(A309="","",IF(OR(E309&lt;50,AND(L309&lt;0.75,L309&lt;&gt;"" )),"At Risk","On Track"))</f>
        <v/>
      </c>
    </row>
    <row r="310">
      <c r="A310">
        <f>IF(MASTER_REGISTER!E310="","",MASTER_REGISTER!E310)</f>
        <v/>
      </c>
      <c r="B310">
        <f>IF(A310="","",MASTER_REGISTER!F310)</f>
        <v/>
      </c>
      <c r="C310">
        <f>IF(A310="","",MASTER_REGISTER!C310)</f>
        <v/>
      </c>
      <c r="D310">
        <f>IF(A310="","",COUNTIF(ASSESSMENTS!B:B,A310))</f>
        <v/>
      </c>
      <c r="E310" s="4">
        <f>IF(D310=0,"",ROUND(AVERAGEIF(ASSESSMENTS!B:B,A310,ASSESSMENTS!H:H),1))</f>
        <v/>
      </c>
      <c r="F310" s="4">
        <f>IF(A310="","",IFERROR(ROUND(AVERAGEIFS(ASSESSMENTS!H:H,ASSESSMENTS!B:B,A310,ASSESSMENTS!E:E,"Mathematics"),1),""))</f>
        <v/>
      </c>
      <c r="G310" s="4">
        <f>IF(A310="","",IFERROR(ROUND(AVERAGEIFS(ASSESSMENTS!H:H,ASSESSMENTS!B:B,A310,ASSESSMENTS!E:E,"Mathematical Literacy"),1),""))</f>
        <v/>
      </c>
      <c r="H310" s="4">
        <f>IF(A310="","",IFERROR(ROUND(AVERAGEIFS(ASSESSMENTS!H:H,ASSESSMENTS!B:B,A310,ASSESSMENTS!E:E,"Physical Sciences"),1),""))</f>
        <v/>
      </c>
      <c r="I310" s="4">
        <f>IF(A310="","",IFERROR(ROUND(AVERAGEIFS(ASSESSMENTS!H:H,ASSESSMENTS!B:B,A310,ASSESSMENTS!E:E,"Geography"),1),""))</f>
        <v/>
      </c>
      <c r="J310" s="4">
        <f>IF(A310="","",IFERROR(ROUND(AVERAGEIFS(ASSESSMENTS!H:H,ASSESSMENTS!B:B,A310,ASSESSMENTS!E:E,"Accounting"),1),""))</f>
        <v/>
      </c>
      <c r="K310" s="4">
        <f>IF(A310="","",IFERROR(ROUND(AVERAGEIFS(ASSESSMENTS!H:H,ASSESSMENTS!B:B,A310,ASSESSMENTS!E:E,"English"),1),""))</f>
        <v/>
      </c>
      <c r="L310" s="5">
        <f>IF(A310="","",IFERROR(XLOOKUP(A310,ATTENDANCE_SUMMARY!A:A,ATTENDANCE_SUMMARY!G:G,""),""))</f>
        <v/>
      </c>
      <c r="M310" s="4">
        <f>IF(A310="","",IF(OR(E310&lt;50,AND(L310&lt;0.75,L310&lt;&gt;"" )),"At Risk","On Track"))</f>
        <v/>
      </c>
    </row>
    <row r="311">
      <c r="A311">
        <f>IF(MASTER_REGISTER!E311="","",MASTER_REGISTER!E311)</f>
        <v/>
      </c>
      <c r="B311">
        <f>IF(A311="","",MASTER_REGISTER!F311)</f>
        <v/>
      </c>
      <c r="C311">
        <f>IF(A311="","",MASTER_REGISTER!C311)</f>
        <v/>
      </c>
      <c r="D311">
        <f>IF(A311="","",COUNTIF(ASSESSMENTS!B:B,A311))</f>
        <v/>
      </c>
      <c r="E311" s="4">
        <f>IF(D311=0,"",ROUND(AVERAGEIF(ASSESSMENTS!B:B,A311,ASSESSMENTS!H:H),1))</f>
        <v/>
      </c>
      <c r="F311" s="4">
        <f>IF(A311="","",IFERROR(ROUND(AVERAGEIFS(ASSESSMENTS!H:H,ASSESSMENTS!B:B,A311,ASSESSMENTS!E:E,"Mathematics"),1),""))</f>
        <v/>
      </c>
      <c r="G311" s="4">
        <f>IF(A311="","",IFERROR(ROUND(AVERAGEIFS(ASSESSMENTS!H:H,ASSESSMENTS!B:B,A311,ASSESSMENTS!E:E,"Mathematical Literacy"),1),""))</f>
        <v/>
      </c>
      <c r="H311" s="4">
        <f>IF(A311="","",IFERROR(ROUND(AVERAGEIFS(ASSESSMENTS!H:H,ASSESSMENTS!B:B,A311,ASSESSMENTS!E:E,"Physical Sciences"),1),""))</f>
        <v/>
      </c>
      <c r="I311" s="4">
        <f>IF(A311="","",IFERROR(ROUND(AVERAGEIFS(ASSESSMENTS!H:H,ASSESSMENTS!B:B,A311,ASSESSMENTS!E:E,"Geography"),1),""))</f>
        <v/>
      </c>
      <c r="J311" s="4">
        <f>IF(A311="","",IFERROR(ROUND(AVERAGEIFS(ASSESSMENTS!H:H,ASSESSMENTS!B:B,A311,ASSESSMENTS!E:E,"Accounting"),1),""))</f>
        <v/>
      </c>
      <c r="K311" s="4">
        <f>IF(A311="","",IFERROR(ROUND(AVERAGEIFS(ASSESSMENTS!H:H,ASSESSMENTS!B:B,A311,ASSESSMENTS!E:E,"English"),1),""))</f>
        <v/>
      </c>
      <c r="L311" s="5">
        <f>IF(A311="","",IFERROR(XLOOKUP(A311,ATTENDANCE_SUMMARY!A:A,ATTENDANCE_SUMMARY!G:G,""),""))</f>
        <v/>
      </c>
      <c r="M311" s="4">
        <f>IF(A311="","",IF(OR(E311&lt;50,AND(L311&lt;0.75,L311&lt;&gt;"" )),"At Risk","On Track"))</f>
        <v/>
      </c>
    </row>
    <row r="312">
      <c r="A312">
        <f>IF(MASTER_REGISTER!E312="","",MASTER_REGISTER!E312)</f>
        <v/>
      </c>
      <c r="B312">
        <f>IF(A312="","",MASTER_REGISTER!F312)</f>
        <v/>
      </c>
      <c r="C312">
        <f>IF(A312="","",MASTER_REGISTER!C312)</f>
        <v/>
      </c>
      <c r="D312">
        <f>IF(A312="","",COUNTIF(ASSESSMENTS!B:B,A312))</f>
        <v/>
      </c>
      <c r="E312" s="4">
        <f>IF(D312=0,"",ROUND(AVERAGEIF(ASSESSMENTS!B:B,A312,ASSESSMENTS!H:H),1))</f>
        <v/>
      </c>
      <c r="F312" s="4">
        <f>IF(A312="","",IFERROR(ROUND(AVERAGEIFS(ASSESSMENTS!H:H,ASSESSMENTS!B:B,A312,ASSESSMENTS!E:E,"Mathematics"),1),""))</f>
        <v/>
      </c>
      <c r="G312" s="4">
        <f>IF(A312="","",IFERROR(ROUND(AVERAGEIFS(ASSESSMENTS!H:H,ASSESSMENTS!B:B,A312,ASSESSMENTS!E:E,"Mathematical Literacy"),1),""))</f>
        <v/>
      </c>
      <c r="H312" s="4">
        <f>IF(A312="","",IFERROR(ROUND(AVERAGEIFS(ASSESSMENTS!H:H,ASSESSMENTS!B:B,A312,ASSESSMENTS!E:E,"Physical Sciences"),1),""))</f>
        <v/>
      </c>
      <c r="I312" s="4">
        <f>IF(A312="","",IFERROR(ROUND(AVERAGEIFS(ASSESSMENTS!H:H,ASSESSMENTS!B:B,A312,ASSESSMENTS!E:E,"Geography"),1),""))</f>
        <v/>
      </c>
      <c r="J312" s="4">
        <f>IF(A312="","",IFERROR(ROUND(AVERAGEIFS(ASSESSMENTS!H:H,ASSESSMENTS!B:B,A312,ASSESSMENTS!E:E,"Accounting"),1),""))</f>
        <v/>
      </c>
      <c r="K312" s="4">
        <f>IF(A312="","",IFERROR(ROUND(AVERAGEIFS(ASSESSMENTS!H:H,ASSESSMENTS!B:B,A312,ASSESSMENTS!E:E,"English"),1),""))</f>
        <v/>
      </c>
      <c r="L312" s="5">
        <f>IF(A312="","",IFERROR(XLOOKUP(A312,ATTENDANCE_SUMMARY!A:A,ATTENDANCE_SUMMARY!G:G,""),""))</f>
        <v/>
      </c>
      <c r="M312" s="4">
        <f>IF(A312="","",IF(OR(E312&lt;50,AND(L312&lt;0.75,L312&lt;&gt;"" )),"At Risk","On Track"))</f>
        <v/>
      </c>
    </row>
    <row r="313">
      <c r="A313">
        <f>IF(MASTER_REGISTER!E313="","",MASTER_REGISTER!E313)</f>
        <v/>
      </c>
      <c r="B313">
        <f>IF(A313="","",MASTER_REGISTER!F313)</f>
        <v/>
      </c>
      <c r="C313">
        <f>IF(A313="","",MASTER_REGISTER!C313)</f>
        <v/>
      </c>
      <c r="D313">
        <f>IF(A313="","",COUNTIF(ASSESSMENTS!B:B,A313))</f>
        <v/>
      </c>
      <c r="E313" s="4">
        <f>IF(D313=0,"",ROUND(AVERAGEIF(ASSESSMENTS!B:B,A313,ASSESSMENTS!H:H),1))</f>
        <v/>
      </c>
      <c r="F313" s="4">
        <f>IF(A313="","",IFERROR(ROUND(AVERAGEIFS(ASSESSMENTS!H:H,ASSESSMENTS!B:B,A313,ASSESSMENTS!E:E,"Mathematics"),1),""))</f>
        <v/>
      </c>
      <c r="G313" s="4">
        <f>IF(A313="","",IFERROR(ROUND(AVERAGEIFS(ASSESSMENTS!H:H,ASSESSMENTS!B:B,A313,ASSESSMENTS!E:E,"Mathematical Literacy"),1),""))</f>
        <v/>
      </c>
      <c r="H313" s="4">
        <f>IF(A313="","",IFERROR(ROUND(AVERAGEIFS(ASSESSMENTS!H:H,ASSESSMENTS!B:B,A313,ASSESSMENTS!E:E,"Physical Sciences"),1),""))</f>
        <v/>
      </c>
      <c r="I313" s="4">
        <f>IF(A313="","",IFERROR(ROUND(AVERAGEIFS(ASSESSMENTS!H:H,ASSESSMENTS!B:B,A313,ASSESSMENTS!E:E,"Geography"),1),""))</f>
        <v/>
      </c>
      <c r="J313" s="4">
        <f>IF(A313="","",IFERROR(ROUND(AVERAGEIFS(ASSESSMENTS!H:H,ASSESSMENTS!B:B,A313,ASSESSMENTS!E:E,"Accounting"),1),""))</f>
        <v/>
      </c>
      <c r="K313" s="4">
        <f>IF(A313="","",IFERROR(ROUND(AVERAGEIFS(ASSESSMENTS!H:H,ASSESSMENTS!B:B,A313,ASSESSMENTS!E:E,"English"),1),""))</f>
        <v/>
      </c>
      <c r="L313" s="5">
        <f>IF(A313="","",IFERROR(XLOOKUP(A313,ATTENDANCE_SUMMARY!A:A,ATTENDANCE_SUMMARY!G:G,""),""))</f>
        <v/>
      </c>
      <c r="M313" s="4">
        <f>IF(A313="","",IF(OR(E313&lt;50,AND(L313&lt;0.75,L313&lt;&gt;"" )),"At Risk","On Track"))</f>
        <v/>
      </c>
    </row>
    <row r="314">
      <c r="A314">
        <f>IF(MASTER_REGISTER!E314="","",MASTER_REGISTER!E314)</f>
        <v/>
      </c>
      <c r="B314">
        <f>IF(A314="","",MASTER_REGISTER!F314)</f>
        <v/>
      </c>
      <c r="C314">
        <f>IF(A314="","",MASTER_REGISTER!C314)</f>
        <v/>
      </c>
      <c r="D314">
        <f>IF(A314="","",COUNTIF(ASSESSMENTS!B:B,A314))</f>
        <v/>
      </c>
      <c r="E314" s="4">
        <f>IF(D314=0,"",ROUND(AVERAGEIF(ASSESSMENTS!B:B,A314,ASSESSMENTS!H:H),1))</f>
        <v/>
      </c>
      <c r="F314" s="4">
        <f>IF(A314="","",IFERROR(ROUND(AVERAGEIFS(ASSESSMENTS!H:H,ASSESSMENTS!B:B,A314,ASSESSMENTS!E:E,"Mathematics"),1),""))</f>
        <v/>
      </c>
      <c r="G314" s="4">
        <f>IF(A314="","",IFERROR(ROUND(AVERAGEIFS(ASSESSMENTS!H:H,ASSESSMENTS!B:B,A314,ASSESSMENTS!E:E,"Mathematical Literacy"),1),""))</f>
        <v/>
      </c>
      <c r="H314" s="4">
        <f>IF(A314="","",IFERROR(ROUND(AVERAGEIFS(ASSESSMENTS!H:H,ASSESSMENTS!B:B,A314,ASSESSMENTS!E:E,"Physical Sciences"),1),""))</f>
        <v/>
      </c>
      <c r="I314" s="4">
        <f>IF(A314="","",IFERROR(ROUND(AVERAGEIFS(ASSESSMENTS!H:H,ASSESSMENTS!B:B,A314,ASSESSMENTS!E:E,"Geography"),1),""))</f>
        <v/>
      </c>
      <c r="J314" s="4">
        <f>IF(A314="","",IFERROR(ROUND(AVERAGEIFS(ASSESSMENTS!H:H,ASSESSMENTS!B:B,A314,ASSESSMENTS!E:E,"Accounting"),1),""))</f>
        <v/>
      </c>
      <c r="K314" s="4">
        <f>IF(A314="","",IFERROR(ROUND(AVERAGEIFS(ASSESSMENTS!H:H,ASSESSMENTS!B:B,A314,ASSESSMENTS!E:E,"English"),1),""))</f>
        <v/>
      </c>
      <c r="L314" s="5">
        <f>IF(A314="","",IFERROR(XLOOKUP(A314,ATTENDANCE_SUMMARY!A:A,ATTENDANCE_SUMMARY!G:G,""),""))</f>
        <v/>
      </c>
      <c r="M314" s="4">
        <f>IF(A314="","",IF(OR(E314&lt;50,AND(L314&lt;0.75,L314&lt;&gt;"" )),"At Risk","On Track"))</f>
        <v/>
      </c>
    </row>
    <row r="315">
      <c r="A315">
        <f>IF(MASTER_REGISTER!E315="","",MASTER_REGISTER!E315)</f>
        <v/>
      </c>
      <c r="B315">
        <f>IF(A315="","",MASTER_REGISTER!F315)</f>
        <v/>
      </c>
      <c r="C315">
        <f>IF(A315="","",MASTER_REGISTER!C315)</f>
        <v/>
      </c>
      <c r="D315">
        <f>IF(A315="","",COUNTIF(ASSESSMENTS!B:B,A315))</f>
        <v/>
      </c>
      <c r="E315" s="4">
        <f>IF(D315=0,"",ROUND(AVERAGEIF(ASSESSMENTS!B:B,A315,ASSESSMENTS!H:H),1))</f>
        <v/>
      </c>
      <c r="F315" s="4">
        <f>IF(A315="","",IFERROR(ROUND(AVERAGEIFS(ASSESSMENTS!H:H,ASSESSMENTS!B:B,A315,ASSESSMENTS!E:E,"Mathematics"),1),""))</f>
        <v/>
      </c>
      <c r="G315" s="4">
        <f>IF(A315="","",IFERROR(ROUND(AVERAGEIFS(ASSESSMENTS!H:H,ASSESSMENTS!B:B,A315,ASSESSMENTS!E:E,"Mathematical Literacy"),1),""))</f>
        <v/>
      </c>
      <c r="H315" s="4">
        <f>IF(A315="","",IFERROR(ROUND(AVERAGEIFS(ASSESSMENTS!H:H,ASSESSMENTS!B:B,A315,ASSESSMENTS!E:E,"Physical Sciences"),1),""))</f>
        <v/>
      </c>
      <c r="I315" s="4">
        <f>IF(A315="","",IFERROR(ROUND(AVERAGEIFS(ASSESSMENTS!H:H,ASSESSMENTS!B:B,A315,ASSESSMENTS!E:E,"Geography"),1),""))</f>
        <v/>
      </c>
      <c r="J315" s="4">
        <f>IF(A315="","",IFERROR(ROUND(AVERAGEIFS(ASSESSMENTS!H:H,ASSESSMENTS!B:B,A315,ASSESSMENTS!E:E,"Accounting"),1),""))</f>
        <v/>
      </c>
      <c r="K315" s="4">
        <f>IF(A315="","",IFERROR(ROUND(AVERAGEIFS(ASSESSMENTS!H:H,ASSESSMENTS!B:B,A315,ASSESSMENTS!E:E,"English"),1),""))</f>
        <v/>
      </c>
      <c r="L315" s="5">
        <f>IF(A315="","",IFERROR(XLOOKUP(A315,ATTENDANCE_SUMMARY!A:A,ATTENDANCE_SUMMARY!G:G,""),""))</f>
        <v/>
      </c>
      <c r="M315" s="4">
        <f>IF(A315="","",IF(OR(E315&lt;50,AND(L315&lt;0.75,L315&lt;&gt;"" )),"At Risk","On Track"))</f>
        <v/>
      </c>
    </row>
    <row r="316">
      <c r="A316">
        <f>IF(MASTER_REGISTER!E316="","",MASTER_REGISTER!E316)</f>
        <v/>
      </c>
      <c r="B316">
        <f>IF(A316="","",MASTER_REGISTER!F316)</f>
        <v/>
      </c>
      <c r="C316">
        <f>IF(A316="","",MASTER_REGISTER!C316)</f>
        <v/>
      </c>
      <c r="D316">
        <f>IF(A316="","",COUNTIF(ASSESSMENTS!B:B,A316))</f>
        <v/>
      </c>
      <c r="E316" s="4">
        <f>IF(D316=0,"",ROUND(AVERAGEIF(ASSESSMENTS!B:B,A316,ASSESSMENTS!H:H),1))</f>
        <v/>
      </c>
      <c r="F316" s="4">
        <f>IF(A316="","",IFERROR(ROUND(AVERAGEIFS(ASSESSMENTS!H:H,ASSESSMENTS!B:B,A316,ASSESSMENTS!E:E,"Mathematics"),1),""))</f>
        <v/>
      </c>
      <c r="G316" s="4">
        <f>IF(A316="","",IFERROR(ROUND(AVERAGEIFS(ASSESSMENTS!H:H,ASSESSMENTS!B:B,A316,ASSESSMENTS!E:E,"Mathematical Literacy"),1),""))</f>
        <v/>
      </c>
      <c r="H316" s="4">
        <f>IF(A316="","",IFERROR(ROUND(AVERAGEIFS(ASSESSMENTS!H:H,ASSESSMENTS!B:B,A316,ASSESSMENTS!E:E,"Physical Sciences"),1),""))</f>
        <v/>
      </c>
      <c r="I316" s="4">
        <f>IF(A316="","",IFERROR(ROUND(AVERAGEIFS(ASSESSMENTS!H:H,ASSESSMENTS!B:B,A316,ASSESSMENTS!E:E,"Geography"),1),""))</f>
        <v/>
      </c>
      <c r="J316" s="4">
        <f>IF(A316="","",IFERROR(ROUND(AVERAGEIFS(ASSESSMENTS!H:H,ASSESSMENTS!B:B,A316,ASSESSMENTS!E:E,"Accounting"),1),""))</f>
        <v/>
      </c>
      <c r="K316" s="4">
        <f>IF(A316="","",IFERROR(ROUND(AVERAGEIFS(ASSESSMENTS!H:H,ASSESSMENTS!B:B,A316,ASSESSMENTS!E:E,"English"),1),""))</f>
        <v/>
      </c>
      <c r="L316" s="5">
        <f>IF(A316="","",IFERROR(XLOOKUP(A316,ATTENDANCE_SUMMARY!A:A,ATTENDANCE_SUMMARY!G:G,""),""))</f>
        <v/>
      </c>
      <c r="M316" s="4">
        <f>IF(A316="","",IF(OR(E316&lt;50,AND(L316&lt;0.75,L316&lt;&gt;"" )),"At Risk","On Track"))</f>
        <v/>
      </c>
    </row>
    <row r="317">
      <c r="A317">
        <f>IF(MASTER_REGISTER!E317="","",MASTER_REGISTER!E317)</f>
        <v/>
      </c>
      <c r="B317">
        <f>IF(A317="","",MASTER_REGISTER!F317)</f>
        <v/>
      </c>
      <c r="C317">
        <f>IF(A317="","",MASTER_REGISTER!C317)</f>
        <v/>
      </c>
      <c r="D317">
        <f>IF(A317="","",COUNTIF(ASSESSMENTS!B:B,A317))</f>
        <v/>
      </c>
      <c r="E317" s="4">
        <f>IF(D317=0,"",ROUND(AVERAGEIF(ASSESSMENTS!B:B,A317,ASSESSMENTS!H:H),1))</f>
        <v/>
      </c>
      <c r="F317" s="4">
        <f>IF(A317="","",IFERROR(ROUND(AVERAGEIFS(ASSESSMENTS!H:H,ASSESSMENTS!B:B,A317,ASSESSMENTS!E:E,"Mathematics"),1),""))</f>
        <v/>
      </c>
      <c r="G317" s="4">
        <f>IF(A317="","",IFERROR(ROUND(AVERAGEIFS(ASSESSMENTS!H:H,ASSESSMENTS!B:B,A317,ASSESSMENTS!E:E,"Mathematical Literacy"),1),""))</f>
        <v/>
      </c>
      <c r="H317" s="4">
        <f>IF(A317="","",IFERROR(ROUND(AVERAGEIFS(ASSESSMENTS!H:H,ASSESSMENTS!B:B,A317,ASSESSMENTS!E:E,"Physical Sciences"),1),""))</f>
        <v/>
      </c>
      <c r="I317" s="4">
        <f>IF(A317="","",IFERROR(ROUND(AVERAGEIFS(ASSESSMENTS!H:H,ASSESSMENTS!B:B,A317,ASSESSMENTS!E:E,"Geography"),1),""))</f>
        <v/>
      </c>
      <c r="J317" s="4">
        <f>IF(A317="","",IFERROR(ROUND(AVERAGEIFS(ASSESSMENTS!H:H,ASSESSMENTS!B:B,A317,ASSESSMENTS!E:E,"Accounting"),1),""))</f>
        <v/>
      </c>
      <c r="K317" s="4">
        <f>IF(A317="","",IFERROR(ROUND(AVERAGEIFS(ASSESSMENTS!H:H,ASSESSMENTS!B:B,A317,ASSESSMENTS!E:E,"English"),1),""))</f>
        <v/>
      </c>
      <c r="L317" s="5">
        <f>IF(A317="","",IFERROR(XLOOKUP(A317,ATTENDANCE_SUMMARY!A:A,ATTENDANCE_SUMMARY!G:G,""),""))</f>
        <v/>
      </c>
      <c r="M317" s="4">
        <f>IF(A317="","",IF(OR(E317&lt;50,AND(L317&lt;0.75,L317&lt;&gt;"" )),"At Risk","On Track"))</f>
        <v/>
      </c>
    </row>
    <row r="318">
      <c r="A318">
        <f>IF(MASTER_REGISTER!E318="","",MASTER_REGISTER!E318)</f>
        <v/>
      </c>
      <c r="B318">
        <f>IF(A318="","",MASTER_REGISTER!F318)</f>
        <v/>
      </c>
      <c r="C318">
        <f>IF(A318="","",MASTER_REGISTER!C318)</f>
        <v/>
      </c>
      <c r="D318">
        <f>IF(A318="","",COUNTIF(ASSESSMENTS!B:B,A318))</f>
        <v/>
      </c>
      <c r="E318" s="4">
        <f>IF(D318=0,"",ROUND(AVERAGEIF(ASSESSMENTS!B:B,A318,ASSESSMENTS!H:H),1))</f>
        <v/>
      </c>
      <c r="F318" s="4">
        <f>IF(A318="","",IFERROR(ROUND(AVERAGEIFS(ASSESSMENTS!H:H,ASSESSMENTS!B:B,A318,ASSESSMENTS!E:E,"Mathematics"),1),""))</f>
        <v/>
      </c>
      <c r="G318" s="4">
        <f>IF(A318="","",IFERROR(ROUND(AVERAGEIFS(ASSESSMENTS!H:H,ASSESSMENTS!B:B,A318,ASSESSMENTS!E:E,"Mathematical Literacy"),1),""))</f>
        <v/>
      </c>
      <c r="H318" s="4">
        <f>IF(A318="","",IFERROR(ROUND(AVERAGEIFS(ASSESSMENTS!H:H,ASSESSMENTS!B:B,A318,ASSESSMENTS!E:E,"Physical Sciences"),1),""))</f>
        <v/>
      </c>
      <c r="I318" s="4">
        <f>IF(A318="","",IFERROR(ROUND(AVERAGEIFS(ASSESSMENTS!H:H,ASSESSMENTS!B:B,A318,ASSESSMENTS!E:E,"Geography"),1),""))</f>
        <v/>
      </c>
      <c r="J318" s="4">
        <f>IF(A318="","",IFERROR(ROUND(AVERAGEIFS(ASSESSMENTS!H:H,ASSESSMENTS!B:B,A318,ASSESSMENTS!E:E,"Accounting"),1),""))</f>
        <v/>
      </c>
      <c r="K318" s="4">
        <f>IF(A318="","",IFERROR(ROUND(AVERAGEIFS(ASSESSMENTS!H:H,ASSESSMENTS!B:B,A318,ASSESSMENTS!E:E,"English"),1),""))</f>
        <v/>
      </c>
      <c r="L318" s="5">
        <f>IF(A318="","",IFERROR(XLOOKUP(A318,ATTENDANCE_SUMMARY!A:A,ATTENDANCE_SUMMARY!G:G,""),""))</f>
        <v/>
      </c>
      <c r="M318" s="4">
        <f>IF(A318="","",IF(OR(E318&lt;50,AND(L318&lt;0.75,L318&lt;&gt;"" )),"At Risk","On Track"))</f>
        <v/>
      </c>
    </row>
    <row r="319">
      <c r="A319">
        <f>IF(MASTER_REGISTER!E319="","",MASTER_REGISTER!E319)</f>
        <v/>
      </c>
      <c r="B319">
        <f>IF(A319="","",MASTER_REGISTER!F319)</f>
        <v/>
      </c>
      <c r="C319">
        <f>IF(A319="","",MASTER_REGISTER!C319)</f>
        <v/>
      </c>
      <c r="D319">
        <f>IF(A319="","",COUNTIF(ASSESSMENTS!B:B,A319))</f>
        <v/>
      </c>
      <c r="E319" s="4">
        <f>IF(D319=0,"",ROUND(AVERAGEIF(ASSESSMENTS!B:B,A319,ASSESSMENTS!H:H),1))</f>
        <v/>
      </c>
      <c r="F319" s="4">
        <f>IF(A319="","",IFERROR(ROUND(AVERAGEIFS(ASSESSMENTS!H:H,ASSESSMENTS!B:B,A319,ASSESSMENTS!E:E,"Mathematics"),1),""))</f>
        <v/>
      </c>
      <c r="G319" s="4">
        <f>IF(A319="","",IFERROR(ROUND(AVERAGEIFS(ASSESSMENTS!H:H,ASSESSMENTS!B:B,A319,ASSESSMENTS!E:E,"Mathematical Literacy"),1),""))</f>
        <v/>
      </c>
      <c r="H319" s="4">
        <f>IF(A319="","",IFERROR(ROUND(AVERAGEIFS(ASSESSMENTS!H:H,ASSESSMENTS!B:B,A319,ASSESSMENTS!E:E,"Physical Sciences"),1),""))</f>
        <v/>
      </c>
      <c r="I319" s="4">
        <f>IF(A319="","",IFERROR(ROUND(AVERAGEIFS(ASSESSMENTS!H:H,ASSESSMENTS!B:B,A319,ASSESSMENTS!E:E,"Geography"),1),""))</f>
        <v/>
      </c>
      <c r="J319" s="4">
        <f>IF(A319="","",IFERROR(ROUND(AVERAGEIFS(ASSESSMENTS!H:H,ASSESSMENTS!B:B,A319,ASSESSMENTS!E:E,"Accounting"),1),""))</f>
        <v/>
      </c>
      <c r="K319" s="4">
        <f>IF(A319="","",IFERROR(ROUND(AVERAGEIFS(ASSESSMENTS!H:H,ASSESSMENTS!B:B,A319,ASSESSMENTS!E:E,"English"),1),""))</f>
        <v/>
      </c>
      <c r="L319" s="5">
        <f>IF(A319="","",IFERROR(XLOOKUP(A319,ATTENDANCE_SUMMARY!A:A,ATTENDANCE_SUMMARY!G:G,""),""))</f>
        <v/>
      </c>
      <c r="M319" s="4">
        <f>IF(A319="","",IF(OR(E319&lt;50,AND(L319&lt;0.75,L319&lt;&gt;"" )),"At Risk","On Track"))</f>
        <v/>
      </c>
    </row>
    <row r="320">
      <c r="A320">
        <f>IF(MASTER_REGISTER!E320="","",MASTER_REGISTER!E320)</f>
        <v/>
      </c>
      <c r="B320">
        <f>IF(A320="","",MASTER_REGISTER!F320)</f>
        <v/>
      </c>
      <c r="C320">
        <f>IF(A320="","",MASTER_REGISTER!C320)</f>
        <v/>
      </c>
      <c r="D320">
        <f>IF(A320="","",COUNTIF(ASSESSMENTS!B:B,A320))</f>
        <v/>
      </c>
      <c r="E320" s="4">
        <f>IF(D320=0,"",ROUND(AVERAGEIF(ASSESSMENTS!B:B,A320,ASSESSMENTS!H:H),1))</f>
        <v/>
      </c>
      <c r="F320" s="4">
        <f>IF(A320="","",IFERROR(ROUND(AVERAGEIFS(ASSESSMENTS!H:H,ASSESSMENTS!B:B,A320,ASSESSMENTS!E:E,"Mathematics"),1),""))</f>
        <v/>
      </c>
      <c r="G320" s="4">
        <f>IF(A320="","",IFERROR(ROUND(AVERAGEIFS(ASSESSMENTS!H:H,ASSESSMENTS!B:B,A320,ASSESSMENTS!E:E,"Mathematical Literacy"),1),""))</f>
        <v/>
      </c>
      <c r="H320" s="4">
        <f>IF(A320="","",IFERROR(ROUND(AVERAGEIFS(ASSESSMENTS!H:H,ASSESSMENTS!B:B,A320,ASSESSMENTS!E:E,"Physical Sciences"),1),""))</f>
        <v/>
      </c>
      <c r="I320" s="4">
        <f>IF(A320="","",IFERROR(ROUND(AVERAGEIFS(ASSESSMENTS!H:H,ASSESSMENTS!B:B,A320,ASSESSMENTS!E:E,"Geography"),1),""))</f>
        <v/>
      </c>
      <c r="J320" s="4">
        <f>IF(A320="","",IFERROR(ROUND(AVERAGEIFS(ASSESSMENTS!H:H,ASSESSMENTS!B:B,A320,ASSESSMENTS!E:E,"Accounting"),1),""))</f>
        <v/>
      </c>
      <c r="K320" s="4">
        <f>IF(A320="","",IFERROR(ROUND(AVERAGEIFS(ASSESSMENTS!H:H,ASSESSMENTS!B:B,A320,ASSESSMENTS!E:E,"English"),1),""))</f>
        <v/>
      </c>
      <c r="L320" s="5">
        <f>IF(A320="","",IFERROR(XLOOKUP(A320,ATTENDANCE_SUMMARY!A:A,ATTENDANCE_SUMMARY!G:G,""),""))</f>
        <v/>
      </c>
      <c r="M320" s="4">
        <f>IF(A320="","",IF(OR(E320&lt;50,AND(L320&lt;0.75,L320&lt;&gt;"" )),"At Risk","On Track"))</f>
        <v/>
      </c>
    </row>
    <row r="321">
      <c r="A321">
        <f>IF(MASTER_REGISTER!E321="","",MASTER_REGISTER!E321)</f>
        <v/>
      </c>
      <c r="B321">
        <f>IF(A321="","",MASTER_REGISTER!F321)</f>
        <v/>
      </c>
      <c r="C321">
        <f>IF(A321="","",MASTER_REGISTER!C321)</f>
        <v/>
      </c>
      <c r="D321">
        <f>IF(A321="","",COUNTIF(ASSESSMENTS!B:B,A321))</f>
        <v/>
      </c>
      <c r="E321" s="4">
        <f>IF(D321=0,"",ROUND(AVERAGEIF(ASSESSMENTS!B:B,A321,ASSESSMENTS!H:H),1))</f>
        <v/>
      </c>
      <c r="F321" s="4">
        <f>IF(A321="","",IFERROR(ROUND(AVERAGEIFS(ASSESSMENTS!H:H,ASSESSMENTS!B:B,A321,ASSESSMENTS!E:E,"Mathematics"),1),""))</f>
        <v/>
      </c>
      <c r="G321" s="4">
        <f>IF(A321="","",IFERROR(ROUND(AVERAGEIFS(ASSESSMENTS!H:H,ASSESSMENTS!B:B,A321,ASSESSMENTS!E:E,"Mathematical Literacy"),1),""))</f>
        <v/>
      </c>
      <c r="H321" s="4">
        <f>IF(A321="","",IFERROR(ROUND(AVERAGEIFS(ASSESSMENTS!H:H,ASSESSMENTS!B:B,A321,ASSESSMENTS!E:E,"Physical Sciences"),1),""))</f>
        <v/>
      </c>
      <c r="I321" s="4">
        <f>IF(A321="","",IFERROR(ROUND(AVERAGEIFS(ASSESSMENTS!H:H,ASSESSMENTS!B:B,A321,ASSESSMENTS!E:E,"Geography"),1),""))</f>
        <v/>
      </c>
      <c r="J321" s="4">
        <f>IF(A321="","",IFERROR(ROUND(AVERAGEIFS(ASSESSMENTS!H:H,ASSESSMENTS!B:B,A321,ASSESSMENTS!E:E,"Accounting"),1),""))</f>
        <v/>
      </c>
      <c r="K321" s="4">
        <f>IF(A321="","",IFERROR(ROUND(AVERAGEIFS(ASSESSMENTS!H:H,ASSESSMENTS!B:B,A321,ASSESSMENTS!E:E,"English"),1),""))</f>
        <v/>
      </c>
      <c r="L321" s="5">
        <f>IF(A321="","",IFERROR(XLOOKUP(A321,ATTENDANCE_SUMMARY!A:A,ATTENDANCE_SUMMARY!G:G,""),""))</f>
        <v/>
      </c>
      <c r="M321" s="4">
        <f>IF(A321="","",IF(OR(E321&lt;50,AND(L321&lt;0.75,L321&lt;&gt;"" )),"At Risk","On Track"))</f>
        <v/>
      </c>
    </row>
    <row r="322">
      <c r="A322">
        <f>IF(MASTER_REGISTER!E322="","",MASTER_REGISTER!E322)</f>
        <v/>
      </c>
      <c r="B322">
        <f>IF(A322="","",MASTER_REGISTER!F322)</f>
        <v/>
      </c>
      <c r="C322">
        <f>IF(A322="","",MASTER_REGISTER!C322)</f>
        <v/>
      </c>
      <c r="D322">
        <f>IF(A322="","",COUNTIF(ASSESSMENTS!B:B,A322))</f>
        <v/>
      </c>
      <c r="E322" s="4">
        <f>IF(D322=0,"",ROUND(AVERAGEIF(ASSESSMENTS!B:B,A322,ASSESSMENTS!H:H),1))</f>
        <v/>
      </c>
      <c r="F322" s="4">
        <f>IF(A322="","",IFERROR(ROUND(AVERAGEIFS(ASSESSMENTS!H:H,ASSESSMENTS!B:B,A322,ASSESSMENTS!E:E,"Mathematics"),1),""))</f>
        <v/>
      </c>
      <c r="G322" s="4">
        <f>IF(A322="","",IFERROR(ROUND(AVERAGEIFS(ASSESSMENTS!H:H,ASSESSMENTS!B:B,A322,ASSESSMENTS!E:E,"Mathematical Literacy"),1),""))</f>
        <v/>
      </c>
      <c r="H322" s="4">
        <f>IF(A322="","",IFERROR(ROUND(AVERAGEIFS(ASSESSMENTS!H:H,ASSESSMENTS!B:B,A322,ASSESSMENTS!E:E,"Physical Sciences"),1),""))</f>
        <v/>
      </c>
      <c r="I322" s="4">
        <f>IF(A322="","",IFERROR(ROUND(AVERAGEIFS(ASSESSMENTS!H:H,ASSESSMENTS!B:B,A322,ASSESSMENTS!E:E,"Geography"),1),""))</f>
        <v/>
      </c>
      <c r="J322" s="4">
        <f>IF(A322="","",IFERROR(ROUND(AVERAGEIFS(ASSESSMENTS!H:H,ASSESSMENTS!B:B,A322,ASSESSMENTS!E:E,"Accounting"),1),""))</f>
        <v/>
      </c>
      <c r="K322" s="4">
        <f>IF(A322="","",IFERROR(ROUND(AVERAGEIFS(ASSESSMENTS!H:H,ASSESSMENTS!B:B,A322,ASSESSMENTS!E:E,"English"),1),""))</f>
        <v/>
      </c>
      <c r="L322" s="5">
        <f>IF(A322="","",IFERROR(XLOOKUP(A322,ATTENDANCE_SUMMARY!A:A,ATTENDANCE_SUMMARY!G:G,""),""))</f>
        <v/>
      </c>
      <c r="M322" s="4">
        <f>IF(A322="","",IF(OR(E322&lt;50,AND(L322&lt;0.75,L322&lt;&gt;"" )),"At Risk","On Track"))</f>
        <v/>
      </c>
    </row>
    <row r="323">
      <c r="A323">
        <f>IF(MASTER_REGISTER!E323="","",MASTER_REGISTER!E323)</f>
        <v/>
      </c>
      <c r="B323">
        <f>IF(A323="","",MASTER_REGISTER!F323)</f>
        <v/>
      </c>
      <c r="C323">
        <f>IF(A323="","",MASTER_REGISTER!C323)</f>
        <v/>
      </c>
      <c r="D323">
        <f>IF(A323="","",COUNTIF(ASSESSMENTS!B:B,A323))</f>
        <v/>
      </c>
      <c r="E323" s="4">
        <f>IF(D323=0,"",ROUND(AVERAGEIF(ASSESSMENTS!B:B,A323,ASSESSMENTS!H:H),1))</f>
        <v/>
      </c>
      <c r="F323" s="4">
        <f>IF(A323="","",IFERROR(ROUND(AVERAGEIFS(ASSESSMENTS!H:H,ASSESSMENTS!B:B,A323,ASSESSMENTS!E:E,"Mathematics"),1),""))</f>
        <v/>
      </c>
      <c r="G323" s="4">
        <f>IF(A323="","",IFERROR(ROUND(AVERAGEIFS(ASSESSMENTS!H:H,ASSESSMENTS!B:B,A323,ASSESSMENTS!E:E,"Mathematical Literacy"),1),""))</f>
        <v/>
      </c>
      <c r="H323" s="4">
        <f>IF(A323="","",IFERROR(ROUND(AVERAGEIFS(ASSESSMENTS!H:H,ASSESSMENTS!B:B,A323,ASSESSMENTS!E:E,"Physical Sciences"),1),""))</f>
        <v/>
      </c>
      <c r="I323" s="4">
        <f>IF(A323="","",IFERROR(ROUND(AVERAGEIFS(ASSESSMENTS!H:H,ASSESSMENTS!B:B,A323,ASSESSMENTS!E:E,"Geography"),1),""))</f>
        <v/>
      </c>
      <c r="J323" s="4">
        <f>IF(A323="","",IFERROR(ROUND(AVERAGEIFS(ASSESSMENTS!H:H,ASSESSMENTS!B:B,A323,ASSESSMENTS!E:E,"Accounting"),1),""))</f>
        <v/>
      </c>
      <c r="K323" s="4">
        <f>IF(A323="","",IFERROR(ROUND(AVERAGEIFS(ASSESSMENTS!H:H,ASSESSMENTS!B:B,A323,ASSESSMENTS!E:E,"English"),1),""))</f>
        <v/>
      </c>
      <c r="L323" s="5">
        <f>IF(A323="","",IFERROR(XLOOKUP(A323,ATTENDANCE_SUMMARY!A:A,ATTENDANCE_SUMMARY!G:G,""),""))</f>
        <v/>
      </c>
      <c r="M323" s="4">
        <f>IF(A323="","",IF(OR(E323&lt;50,AND(L323&lt;0.75,L323&lt;&gt;"" )),"At Risk","On Track"))</f>
        <v/>
      </c>
    </row>
    <row r="324">
      <c r="A324">
        <f>IF(MASTER_REGISTER!E324="","",MASTER_REGISTER!E324)</f>
        <v/>
      </c>
      <c r="B324">
        <f>IF(A324="","",MASTER_REGISTER!F324)</f>
        <v/>
      </c>
      <c r="C324">
        <f>IF(A324="","",MASTER_REGISTER!C324)</f>
        <v/>
      </c>
      <c r="D324">
        <f>IF(A324="","",COUNTIF(ASSESSMENTS!B:B,A324))</f>
        <v/>
      </c>
      <c r="E324" s="4">
        <f>IF(D324=0,"",ROUND(AVERAGEIF(ASSESSMENTS!B:B,A324,ASSESSMENTS!H:H),1))</f>
        <v/>
      </c>
      <c r="F324" s="4">
        <f>IF(A324="","",IFERROR(ROUND(AVERAGEIFS(ASSESSMENTS!H:H,ASSESSMENTS!B:B,A324,ASSESSMENTS!E:E,"Mathematics"),1),""))</f>
        <v/>
      </c>
      <c r="G324" s="4">
        <f>IF(A324="","",IFERROR(ROUND(AVERAGEIFS(ASSESSMENTS!H:H,ASSESSMENTS!B:B,A324,ASSESSMENTS!E:E,"Mathematical Literacy"),1),""))</f>
        <v/>
      </c>
      <c r="H324" s="4">
        <f>IF(A324="","",IFERROR(ROUND(AVERAGEIFS(ASSESSMENTS!H:H,ASSESSMENTS!B:B,A324,ASSESSMENTS!E:E,"Physical Sciences"),1),""))</f>
        <v/>
      </c>
      <c r="I324" s="4">
        <f>IF(A324="","",IFERROR(ROUND(AVERAGEIFS(ASSESSMENTS!H:H,ASSESSMENTS!B:B,A324,ASSESSMENTS!E:E,"Geography"),1),""))</f>
        <v/>
      </c>
      <c r="J324" s="4">
        <f>IF(A324="","",IFERROR(ROUND(AVERAGEIFS(ASSESSMENTS!H:H,ASSESSMENTS!B:B,A324,ASSESSMENTS!E:E,"Accounting"),1),""))</f>
        <v/>
      </c>
      <c r="K324" s="4">
        <f>IF(A324="","",IFERROR(ROUND(AVERAGEIFS(ASSESSMENTS!H:H,ASSESSMENTS!B:B,A324,ASSESSMENTS!E:E,"English"),1),""))</f>
        <v/>
      </c>
      <c r="L324" s="5">
        <f>IF(A324="","",IFERROR(XLOOKUP(A324,ATTENDANCE_SUMMARY!A:A,ATTENDANCE_SUMMARY!G:G,""),""))</f>
        <v/>
      </c>
      <c r="M324" s="4">
        <f>IF(A324="","",IF(OR(E324&lt;50,AND(L324&lt;0.75,L324&lt;&gt;"" )),"At Risk","On Track"))</f>
        <v/>
      </c>
    </row>
    <row r="325">
      <c r="A325">
        <f>IF(MASTER_REGISTER!E325="","",MASTER_REGISTER!E325)</f>
        <v/>
      </c>
      <c r="B325">
        <f>IF(A325="","",MASTER_REGISTER!F325)</f>
        <v/>
      </c>
      <c r="C325">
        <f>IF(A325="","",MASTER_REGISTER!C325)</f>
        <v/>
      </c>
      <c r="D325">
        <f>IF(A325="","",COUNTIF(ASSESSMENTS!B:B,A325))</f>
        <v/>
      </c>
      <c r="E325" s="4">
        <f>IF(D325=0,"",ROUND(AVERAGEIF(ASSESSMENTS!B:B,A325,ASSESSMENTS!H:H),1))</f>
        <v/>
      </c>
      <c r="F325" s="4">
        <f>IF(A325="","",IFERROR(ROUND(AVERAGEIFS(ASSESSMENTS!H:H,ASSESSMENTS!B:B,A325,ASSESSMENTS!E:E,"Mathematics"),1),""))</f>
        <v/>
      </c>
      <c r="G325" s="4">
        <f>IF(A325="","",IFERROR(ROUND(AVERAGEIFS(ASSESSMENTS!H:H,ASSESSMENTS!B:B,A325,ASSESSMENTS!E:E,"Mathematical Literacy"),1),""))</f>
        <v/>
      </c>
      <c r="H325" s="4">
        <f>IF(A325="","",IFERROR(ROUND(AVERAGEIFS(ASSESSMENTS!H:H,ASSESSMENTS!B:B,A325,ASSESSMENTS!E:E,"Physical Sciences"),1),""))</f>
        <v/>
      </c>
      <c r="I325" s="4">
        <f>IF(A325="","",IFERROR(ROUND(AVERAGEIFS(ASSESSMENTS!H:H,ASSESSMENTS!B:B,A325,ASSESSMENTS!E:E,"Geography"),1),""))</f>
        <v/>
      </c>
      <c r="J325" s="4">
        <f>IF(A325="","",IFERROR(ROUND(AVERAGEIFS(ASSESSMENTS!H:H,ASSESSMENTS!B:B,A325,ASSESSMENTS!E:E,"Accounting"),1),""))</f>
        <v/>
      </c>
      <c r="K325" s="4">
        <f>IF(A325="","",IFERROR(ROUND(AVERAGEIFS(ASSESSMENTS!H:H,ASSESSMENTS!B:B,A325,ASSESSMENTS!E:E,"English"),1),""))</f>
        <v/>
      </c>
      <c r="L325" s="5">
        <f>IF(A325="","",IFERROR(XLOOKUP(A325,ATTENDANCE_SUMMARY!A:A,ATTENDANCE_SUMMARY!G:G,""),""))</f>
        <v/>
      </c>
      <c r="M325" s="4">
        <f>IF(A325="","",IF(OR(E325&lt;50,AND(L325&lt;0.75,L325&lt;&gt;"" )),"At Risk","On Track"))</f>
        <v/>
      </c>
    </row>
    <row r="326">
      <c r="A326">
        <f>IF(MASTER_REGISTER!E326="","",MASTER_REGISTER!E326)</f>
        <v/>
      </c>
      <c r="B326">
        <f>IF(A326="","",MASTER_REGISTER!F326)</f>
        <v/>
      </c>
      <c r="C326">
        <f>IF(A326="","",MASTER_REGISTER!C326)</f>
        <v/>
      </c>
      <c r="D326">
        <f>IF(A326="","",COUNTIF(ASSESSMENTS!B:B,A326))</f>
        <v/>
      </c>
      <c r="E326" s="4">
        <f>IF(D326=0,"",ROUND(AVERAGEIF(ASSESSMENTS!B:B,A326,ASSESSMENTS!H:H),1))</f>
        <v/>
      </c>
      <c r="F326" s="4">
        <f>IF(A326="","",IFERROR(ROUND(AVERAGEIFS(ASSESSMENTS!H:H,ASSESSMENTS!B:B,A326,ASSESSMENTS!E:E,"Mathematics"),1),""))</f>
        <v/>
      </c>
      <c r="G326" s="4">
        <f>IF(A326="","",IFERROR(ROUND(AVERAGEIFS(ASSESSMENTS!H:H,ASSESSMENTS!B:B,A326,ASSESSMENTS!E:E,"Mathematical Literacy"),1),""))</f>
        <v/>
      </c>
      <c r="H326" s="4">
        <f>IF(A326="","",IFERROR(ROUND(AVERAGEIFS(ASSESSMENTS!H:H,ASSESSMENTS!B:B,A326,ASSESSMENTS!E:E,"Physical Sciences"),1),""))</f>
        <v/>
      </c>
      <c r="I326" s="4">
        <f>IF(A326="","",IFERROR(ROUND(AVERAGEIFS(ASSESSMENTS!H:H,ASSESSMENTS!B:B,A326,ASSESSMENTS!E:E,"Geography"),1),""))</f>
        <v/>
      </c>
      <c r="J326" s="4">
        <f>IF(A326="","",IFERROR(ROUND(AVERAGEIFS(ASSESSMENTS!H:H,ASSESSMENTS!B:B,A326,ASSESSMENTS!E:E,"Accounting"),1),""))</f>
        <v/>
      </c>
      <c r="K326" s="4">
        <f>IF(A326="","",IFERROR(ROUND(AVERAGEIFS(ASSESSMENTS!H:H,ASSESSMENTS!B:B,A326,ASSESSMENTS!E:E,"English"),1),""))</f>
        <v/>
      </c>
      <c r="L326" s="5">
        <f>IF(A326="","",IFERROR(XLOOKUP(A326,ATTENDANCE_SUMMARY!A:A,ATTENDANCE_SUMMARY!G:G,""),""))</f>
        <v/>
      </c>
      <c r="M326" s="4">
        <f>IF(A326="","",IF(OR(E326&lt;50,AND(L326&lt;0.75,L326&lt;&gt;"" )),"At Risk","On Track"))</f>
        <v/>
      </c>
    </row>
    <row r="327">
      <c r="A327">
        <f>IF(MASTER_REGISTER!E327="","",MASTER_REGISTER!E327)</f>
        <v/>
      </c>
      <c r="B327">
        <f>IF(A327="","",MASTER_REGISTER!F327)</f>
        <v/>
      </c>
      <c r="C327">
        <f>IF(A327="","",MASTER_REGISTER!C327)</f>
        <v/>
      </c>
      <c r="D327">
        <f>IF(A327="","",COUNTIF(ASSESSMENTS!B:B,A327))</f>
        <v/>
      </c>
      <c r="E327" s="4">
        <f>IF(D327=0,"",ROUND(AVERAGEIF(ASSESSMENTS!B:B,A327,ASSESSMENTS!H:H),1))</f>
        <v/>
      </c>
      <c r="F327" s="4">
        <f>IF(A327="","",IFERROR(ROUND(AVERAGEIFS(ASSESSMENTS!H:H,ASSESSMENTS!B:B,A327,ASSESSMENTS!E:E,"Mathematics"),1),""))</f>
        <v/>
      </c>
      <c r="G327" s="4">
        <f>IF(A327="","",IFERROR(ROUND(AVERAGEIFS(ASSESSMENTS!H:H,ASSESSMENTS!B:B,A327,ASSESSMENTS!E:E,"Mathematical Literacy"),1),""))</f>
        <v/>
      </c>
      <c r="H327" s="4">
        <f>IF(A327="","",IFERROR(ROUND(AVERAGEIFS(ASSESSMENTS!H:H,ASSESSMENTS!B:B,A327,ASSESSMENTS!E:E,"Physical Sciences"),1),""))</f>
        <v/>
      </c>
      <c r="I327" s="4">
        <f>IF(A327="","",IFERROR(ROUND(AVERAGEIFS(ASSESSMENTS!H:H,ASSESSMENTS!B:B,A327,ASSESSMENTS!E:E,"Geography"),1),""))</f>
        <v/>
      </c>
      <c r="J327" s="4">
        <f>IF(A327="","",IFERROR(ROUND(AVERAGEIFS(ASSESSMENTS!H:H,ASSESSMENTS!B:B,A327,ASSESSMENTS!E:E,"Accounting"),1),""))</f>
        <v/>
      </c>
      <c r="K327" s="4">
        <f>IF(A327="","",IFERROR(ROUND(AVERAGEIFS(ASSESSMENTS!H:H,ASSESSMENTS!B:B,A327,ASSESSMENTS!E:E,"English"),1),""))</f>
        <v/>
      </c>
      <c r="L327" s="5">
        <f>IF(A327="","",IFERROR(XLOOKUP(A327,ATTENDANCE_SUMMARY!A:A,ATTENDANCE_SUMMARY!G:G,""),""))</f>
        <v/>
      </c>
      <c r="M327" s="4">
        <f>IF(A327="","",IF(OR(E327&lt;50,AND(L327&lt;0.75,L327&lt;&gt;"" )),"At Risk","On Track"))</f>
        <v/>
      </c>
    </row>
    <row r="328">
      <c r="A328">
        <f>IF(MASTER_REGISTER!E328="","",MASTER_REGISTER!E328)</f>
        <v/>
      </c>
      <c r="B328">
        <f>IF(A328="","",MASTER_REGISTER!F328)</f>
        <v/>
      </c>
      <c r="C328">
        <f>IF(A328="","",MASTER_REGISTER!C328)</f>
        <v/>
      </c>
      <c r="D328">
        <f>IF(A328="","",COUNTIF(ASSESSMENTS!B:B,A328))</f>
        <v/>
      </c>
      <c r="E328" s="4">
        <f>IF(D328=0,"",ROUND(AVERAGEIF(ASSESSMENTS!B:B,A328,ASSESSMENTS!H:H),1))</f>
        <v/>
      </c>
      <c r="F328" s="4">
        <f>IF(A328="","",IFERROR(ROUND(AVERAGEIFS(ASSESSMENTS!H:H,ASSESSMENTS!B:B,A328,ASSESSMENTS!E:E,"Mathematics"),1),""))</f>
        <v/>
      </c>
      <c r="G328" s="4">
        <f>IF(A328="","",IFERROR(ROUND(AVERAGEIFS(ASSESSMENTS!H:H,ASSESSMENTS!B:B,A328,ASSESSMENTS!E:E,"Mathematical Literacy"),1),""))</f>
        <v/>
      </c>
      <c r="H328" s="4">
        <f>IF(A328="","",IFERROR(ROUND(AVERAGEIFS(ASSESSMENTS!H:H,ASSESSMENTS!B:B,A328,ASSESSMENTS!E:E,"Physical Sciences"),1),""))</f>
        <v/>
      </c>
      <c r="I328" s="4">
        <f>IF(A328="","",IFERROR(ROUND(AVERAGEIFS(ASSESSMENTS!H:H,ASSESSMENTS!B:B,A328,ASSESSMENTS!E:E,"Geography"),1),""))</f>
        <v/>
      </c>
      <c r="J328" s="4">
        <f>IF(A328="","",IFERROR(ROUND(AVERAGEIFS(ASSESSMENTS!H:H,ASSESSMENTS!B:B,A328,ASSESSMENTS!E:E,"Accounting"),1),""))</f>
        <v/>
      </c>
      <c r="K328" s="4">
        <f>IF(A328="","",IFERROR(ROUND(AVERAGEIFS(ASSESSMENTS!H:H,ASSESSMENTS!B:B,A328,ASSESSMENTS!E:E,"English"),1),""))</f>
        <v/>
      </c>
      <c r="L328" s="5">
        <f>IF(A328="","",IFERROR(XLOOKUP(A328,ATTENDANCE_SUMMARY!A:A,ATTENDANCE_SUMMARY!G:G,""),""))</f>
        <v/>
      </c>
      <c r="M328" s="4">
        <f>IF(A328="","",IF(OR(E328&lt;50,AND(L328&lt;0.75,L328&lt;&gt;"" )),"At Risk","On Track"))</f>
        <v/>
      </c>
    </row>
    <row r="329">
      <c r="A329">
        <f>IF(MASTER_REGISTER!E329="","",MASTER_REGISTER!E329)</f>
        <v/>
      </c>
      <c r="B329">
        <f>IF(A329="","",MASTER_REGISTER!F329)</f>
        <v/>
      </c>
      <c r="C329">
        <f>IF(A329="","",MASTER_REGISTER!C329)</f>
        <v/>
      </c>
      <c r="D329">
        <f>IF(A329="","",COUNTIF(ASSESSMENTS!B:B,A329))</f>
        <v/>
      </c>
      <c r="E329" s="4">
        <f>IF(D329=0,"",ROUND(AVERAGEIF(ASSESSMENTS!B:B,A329,ASSESSMENTS!H:H),1))</f>
        <v/>
      </c>
      <c r="F329" s="4">
        <f>IF(A329="","",IFERROR(ROUND(AVERAGEIFS(ASSESSMENTS!H:H,ASSESSMENTS!B:B,A329,ASSESSMENTS!E:E,"Mathematics"),1),""))</f>
        <v/>
      </c>
      <c r="G329" s="4">
        <f>IF(A329="","",IFERROR(ROUND(AVERAGEIFS(ASSESSMENTS!H:H,ASSESSMENTS!B:B,A329,ASSESSMENTS!E:E,"Mathematical Literacy"),1),""))</f>
        <v/>
      </c>
      <c r="H329" s="4">
        <f>IF(A329="","",IFERROR(ROUND(AVERAGEIFS(ASSESSMENTS!H:H,ASSESSMENTS!B:B,A329,ASSESSMENTS!E:E,"Physical Sciences"),1),""))</f>
        <v/>
      </c>
      <c r="I329" s="4">
        <f>IF(A329="","",IFERROR(ROUND(AVERAGEIFS(ASSESSMENTS!H:H,ASSESSMENTS!B:B,A329,ASSESSMENTS!E:E,"Geography"),1),""))</f>
        <v/>
      </c>
      <c r="J329" s="4">
        <f>IF(A329="","",IFERROR(ROUND(AVERAGEIFS(ASSESSMENTS!H:H,ASSESSMENTS!B:B,A329,ASSESSMENTS!E:E,"Accounting"),1),""))</f>
        <v/>
      </c>
      <c r="K329" s="4">
        <f>IF(A329="","",IFERROR(ROUND(AVERAGEIFS(ASSESSMENTS!H:H,ASSESSMENTS!B:B,A329,ASSESSMENTS!E:E,"English"),1),""))</f>
        <v/>
      </c>
      <c r="L329" s="5">
        <f>IF(A329="","",IFERROR(XLOOKUP(A329,ATTENDANCE_SUMMARY!A:A,ATTENDANCE_SUMMARY!G:G,""),""))</f>
        <v/>
      </c>
      <c r="M329" s="4">
        <f>IF(A329="","",IF(OR(E329&lt;50,AND(L329&lt;0.75,L329&lt;&gt;"" )),"At Risk","On Track"))</f>
        <v/>
      </c>
    </row>
    <row r="330">
      <c r="A330">
        <f>IF(MASTER_REGISTER!E330="","",MASTER_REGISTER!E330)</f>
        <v/>
      </c>
      <c r="B330">
        <f>IF(A330="","",MASTER_REGISTER!F330)</f>
        <v/>
      </c>
      <c r="C330">
        <f>IF(A330="","",MASTER_REGISTER!C330)</f>
        <v/>
      </c>
      <c r="D330">
        <f>IF(A330="","",COUNTIF(ASSESSMENTS!B:B,A330))</f>
        <v/>
      </c>
      <c r="E330" s="4">
        <f>IF(D330=0,"",ROUND(AVERAGEIF(ASSESSMENTS!B:B,A330,ASSESSMENTS!H:H),1))</f>
        <v/>
      </c>
      <c r="F330" s="4">
        <f>IF(A330="","",IFERROR(ROUND(AVERAGEIFS(ASSESSMENTS!H:H,ASSESSMENTS!B:B,A330,ASSESSMENTS!E:E,"Mathematics"),1),""))</f>
        <v/>
      </c>
      <c r="G330" s="4">
        <f>IF(A330="","",IFERROR(ROUND(AVERAGEIFS(ASSESSMENTS!H:H,ASSESSMENTS!B:B,A330,ASSESSMENTS!E:E,"Mathematical Literacy"),1),""))</f>
        <v/>
      </c>
      <c r="H330" s="4">
        <f>IF(A330="","",IFERROR(ROUND(AVERAGEIFS(ASSESSMENTS!H:H,ASSESSMENTS!B:B,A330,ASSESSMENTS!E:E,"Physical Sciences"),1),""))</f>
        <v/>
      </c>
      <c r="I330" s="4">
        <f>IF(A330="","",IFERROR(ROUND(AVERAGEIFS(ASSESSMENTS!H:H,ASSESSMENTS!B:B,A330,ASSESSMENTS!E:E,"Geography"),1),""))</f>
        <v/>
      </c>
      <c r="J330" s="4">
        <f>IF(A330="","",IFERROR(ROUND(AVERAGEIFS(ASSESSMENTS!H:H,ASSESSMENTS!B:B,A330,ASSESSMENTS!E:E,"Accounting"),1),""))</f>
        <v/>
      </c>
      <c r="K330" s="4">
        <f>IF(A330="","",IFERROR(ROUND(AVERAGEIFS(ASSESSMENTS!H:H,ASSESSMENTS!B:B,A330,ASSESSMENTS!E:E,"English"),1),""))</f>
        <v/>
      </c>
      <c r="L330" s="5">
        <f>IF(A330="","",IFERROR(XLOOKUP(A330,ATTENDANCE_SUMMARY!A:A,ATTENDANCE_SUMMARY!G:G,""),""))</f>
        <v/>
      </c>
      <c r="M330" s="4">
        <f>IF(A330="","",IF(OR(E330&lt;50,AND(L330&lt;0.75,L330&lt;&gt;"" )),"At Risk","On Track"))</f>
        <v/>
      </c>
    </row>
    <row r="331">
      <c r="A331">
        <f>IF(MASTER_REGISTER!E331="","",MASTER_REGISTER!E331)</f>
        <v/>
      </c>
      <c r="B331">
        <f>IF(A331="","",MASTER_REGISTER!F331)</f>
        <v/>
      </c>
      <c r="C331">
        <f>IF(A331="","",MASTER_REGISTER!C331)</f>
        <v/>
      </c>
      <c r="D331">
        <f>IF(A331="","",COUNTIF(ASSESSMENTS!B:B,A331))</f>
        <v/>
      </c>
      <c r="E331" s="4">
        <f>IF(D331=0,"",ROUND(AVERAGEIF(ASSESSMENTS!B:B,A331,ASSESSMENTS!H:H),1))</f>
        <v/>
      </c>
      <c r="F331" s="4">
        <f>IF(A331="","",IFERROR(ROUND(AVERAGEIFS(ASSESSMENTS!H:H,ASSESSMENTS!B:B,A331,ASSESSMENTS!E:E,"Mathematics"),1),""))</f>
        <v/>
      </c>
      <c r="G331" s="4">
        <f>IF(A331="","",IFERROR(ROUND(AVERAGEIFS(ASSESSMENTS!H:H,ASSESSMENTS!B:B,A331,ASSESSMENTS!E:E,"Mathematical Literacy"),1),""))</f>
        <v/>
      </c>
      <c r="H331" s="4">
        <f>IF(A331="","",IFERROR(ROUND(AVERAGEIFS(ASSESSMENTS!H:H,ASSESSMENTS!B:B,A331,ASSESSMENTS!E:E,"Physical Sciences"),1),""))</f>
        <v/>
      </c>
      <c r="I331" s="4">
        <f>IF(A331="","",IFERROR(ROUND(AVERAGEIFS(ASSESSMENTS!H:H,ASSESSMENTS!B:B,A331,ASSESSMENTS!E:E,"Geography"),1),""))</f>
        <v/>
      </c>
      <c r="J331" s="4">
        <f>IF(A331="","",IFERROR(ROUND(AVERAGEIFS(ASSESSMENTS!H:H,ASSESSMENTS!B:B,A331,ASSESSMENTS!E:E,"Accounting"),1),""))</f>
        <v/>
      </c>
      <c r="K331" s="4">
        <f>IF(A331="","",IFERROR(ROUND(AVERAGEIFS(ASSESSMENTS!H:H,ASSESSMENTS!B:B,A331,ASSESSMENTS!E:E,"English"),1),""))</f>
        <v/>
      </c>
      <c r="L331" s="5">
        <f>IF(A331="","",IFERROR(XLOOKUP(A331,ATTENDANCE_SUMMARY!A:A,ATTENDANCE_SUMMARY!G:G,""),""))</f>
        <v/>
      </c>
      <c r="M331" s="4">
        <f>IF(A331="","",IF(OR(E331&lt;50,AND(L331&lt;0.75,L331&lt;&gt;"" )),"At Risk","On Track"))</f>
        <v/>
      </c>
    </row>
    <row r="332">
      <c r="A332">
        <f>IF(MASTER_REGISTER!E332="","",MASTER_REGISTER!E332)</f>
        <v/>
      </c>
      <c r="B332">
        <f>IF(A332="","",MASTER_REGISTER!F332)</f>
        <v/>
      </c>
      <c r="C332">
        <f>IF(A332="","",MASTER_REGISTER!C332)</f>
        <v/>
      </c>
      <c r="D332">
        <f>IF(A332="","",COUNTIF(ASSESSMENTS!B:B,A332))</f>
        <v/>
      </c>
      <c r="E332" s="4">
        <f>IF(D332=0,"",ROUND(AVERAGEIF(ASSESSMENTS!B:B,A332,ASSESSMENTS!H:H),1))</f>
        <v/>
      </c>
      <c r="F332" s="4">
        <f>IF(A332="","",IFERROR(ROUND(AVERAGEIFS(ASSESSMENTS!H:H,ASSESSMENTS!B:B,A332,ASSESSMENTS!E:E,"Mathematics"),1),""))</f>
        <v/>
      </c>
      <c r="G332" s="4">
        <f>IF(A332="","",IFERROR(ROUND(AVERAGEIFS(ASSESSMENTS!H:H,ASSESSMENTS!B:B,A332,ASSESSMENTS!E:E,"Mathematical Literacy"),1),""))</f>
        <v/>
      </c>
      <c r="H332" s="4">
        <f>IF(A332="","",IFERROR(ROUND(AVERAGEIFS(ASSESSMENTS!H:H,ASSESSMENTS!B:B,A332,ASSESSMENTS!E:E,"Physical Sciences"),1),""))</f>
        <v/>
      </c>
      <c r="I332" s="4">
        <f>IF(A332="","",IFERROR(ROUND(AVERAGEIFS(ASSESSMENTS!H:H,ASSESSMENTS!B:B,A332,ASSESSMENTS!E:E,"Geography"),1),""))</f>
        <v/>
      </c>
      <c r="J332" s="4">
        <f>IF(A332="","",IFERROR(ROUND(AVERAGEIFS(ASSESSMENTS!H:H,ASSESSMENTS!B:B,A332,ASSESSMENTS!E:E,"Accounting"),1),""))</f>
        <v/>
      </c>
      <c r="K332" s="4">
        <f>IF(A332="","",IFERROR(ROUND(AVERAGEIFS(ASSESSMENTS!H:H,ASSESSMENTS!B:B,A332,ASSESSMENTS!E:E,"English"),1),""))</f>
        <v/>
      </c>
      <c r="L332" s="5">
        <f>IF(A332="","",IFERROR(XLOOKUP(A332,ATTENDANCE_SUMMARY!A:A,ATTENDANCE_SUMMARY!G:G,""),""))</f>
        <v/>
      </c>
      <c r="M332" s="4">
        <f>IF(A332="","",IF(OR(E332&lt;50,AND(L332&lt;0.75,L332&lt;&gt;"" )),"At Risk","On Track"))</f>
        <v/>
      </c>
    </row>
    <row r="333">
      <c r="A333">
        <f>IF(MASTER_REGISTER!E333="","",MASTER_REGISTER!E333)</f>
        <v/>
      </c>
      <c r="B333">
        <f>IF(A333="","",MASTER_REGISTER!F333)</f>
        <v/>
      </c>
      <c r="C333">
        <f>IF(A333="","",MASTER_REGISTER!C333)</f>
        <v/>
      </c>
      <c r="D333">
        <f>IF(A333="","",COUNTIF(ASSESSMENTS!B:B,A333))</f>
        <v/>
      </c>
      <c r="E333" s="4">
        <f>IF(D333=0,"",ROUND(AVERAGEIF(ASSESSMENTS!B:B,A333,ASSESSMENTS!H:H),1))</f>
        <v/>
      </c>
      <c r="F333" s="4">
        <f>IF(A333="","",IFERROR(ROUND(AVERAGEIFS(ASSESSMENTS!H:H,ASSESSMENTS!B:B,A333,ASSESSMENTS!E:E,"Mathematics"),1),""))</f>
        <v/>
      </c>
      <c r="G333" s="4">
        <f>IF(A333="","",IFERROR(ROUND(AVERAGEIFS(ASSESSMENTS!H:H,ASSESSMENTS!B:B,A333,ASSESSMENTS!E:E,"Mathematical Literacy"),1),""))</f>
        <v/>
      </c>
      <c r="H333" s="4">
        <f>IF(A333="","",IFERROR(ROUND(AVERAGEIFS(ASSESSMENTS!H:H,ASSESSMENTS!B:B,A333,ASSESSMENTS!E:E,"Physical Sciences"),1),""))</f>
        <v/>
      </c>
      <c r="I333" s="4">
        <f>IF(A333="","",IFERROR(ROUND(AVERAGEIFS(ASSESSMENTS!H:H,ASSESSMENTS!B:B,A333,ASSESSMENTS!E:E,"Geography"),1),""))</f>
        <v/>
      </c>
      <c r="J333" s="4">
        <f>IF(A333="","",IFERROR(ROUND(AVERAGEIFS(ASSESSMENTS!H:H,ASSESSMENTS!B:B,A333,ASSESSMENTS!E:E,"Accounting"),1),""))</f>
        <v/>
      </c>
      <c r="K333" s="4">
        <f>IF(A333="","",IFERROR(ROUND(AVERAGEIFS(ASSESSMENTS!H:H,ASSESSMENTS!B:B,A333,ASSESSMENTS!E:E,"English"),1),""))</f>
        <v/>
      </c>
      <c r="L333" s="5">
        <f>IF(A333="","",IFERROR(XLOOKUP(A333,ATTENDANCE_SUMMARY!A:A,ATTENDANCE_SUMMARY!G:G,""),""))</f>
        <v/>
      </c>
      <c r="M333" s="4">
        <f>IF(A333="","",IF(OR(E333&lt;50,AND(L333&lt;0.75,L333&lt;&gt;"" )),"At Risk","On Track"))</f>
        <v/>
      </c>
    </row>
    <row r="334">
      <c r="A334">
        <f>IF(MASTER_REGISTER!E334="","",MASTER_REGISTER!E334)</f>
        <v/>
      </c>
      <c r="B334">
        <f>IF(A334="","",MASTER_REGISTER!F334)</f>
        <v/>
      </c>
      <c r="C334">
        <f>IF(A334="","",MASTER_REGISTER!C334)</f>
        <v/>
      </c>
      <c r="D334">
        <f>IF(A334="","",COUNTIF(ASSESSMENTS!B:B,A334))</f>
        <v/>
      </c>
      <c r="E334" s="4">
        <f>IF(D334=0,"",ROUND(AVERAGEIF(ASSESSMENTS!B:B,A334,ASSESSMENTS!H:H),1))</f>
        <v/>
      </c>
      <c r="F334" s="4">
        <f>IF(A334="","",IFERROR(ROUND(AVERAGEIFS(ASSESSMENTS!H:H,ASSESSMENTS!B:B,A334,ASSESSMENTS!E:E,"Mathematics"),1),""))</f>
        <v/>
      </c>
      <c r="G334" s="4">
        <f>IF(A334="","",IFERROR(ROUND(AVERAGEIFS(ASSESSMENTS!H:H,ASSESSMENTS!B:B,A334,ASSESSMENTS!E:E,"Mathematical Literacy"),1),""))</f>
        <v/>
      </c>
      <c r="H334" s="4">
        <f>IF(A334="","",IFERROR(ROUND(AVERAGEIFS(ASSESSMENTS!H:H,ASSESSMENTS!B:B,A334,ASSESSMENTS!E:E,"Physical Sciences"),1),""))</f>
        <v/>
      </c>
      <c r="I334" s="4">
        <f>IF(A334="","",IFERROR(ROUND(AVERAGEIFS(ASSESSMENTS!H:H,ASSESSMENTS!B:B,A334,ASSESSMENTS!E:E,"Geography"),1),""))</f>
        <v/>
      </c>
      <c r="J334" s="4">
        <f>IF(A334="","",IFERROR(ROUND(AVERAGEIFS(ASSESSMENTS!H:H,ASSESSMENTS!B:B,A334,ASSESSMENTS!E:E,"Accounting"),1),""))</f>
        <v/>
      </c>
      <c r="K334" s="4">
        <f>IF(A334="","",IFERROR(ROUND(AVERAGEIFS(ASSESSMENTS!H:H,ASSESSMENTS!B:B,A334,ASSESSMENTS!E:E,"English"),1),""))</f>
        <v/>
      </c>
      <c r="L334" s="5">
        <f>IF(A334="","",IFERROR(XLOOKUP(A334,ATTENDANCE_SUMMARY!A:A,ATTENDANCE_SUMMARY!G:G,""),""))</f>
        <v/>
      </c>
      <c r="M334" s="4">
        <f>IF(A334="","",IF(OR(E334&lt;50,AND(L334&lt;0.75,L334&lt;&gt;"" )),"At Risk","On Track"))</f>
        <v/>
      </c>
    </row>
    <row r="335">
      <c r="A335">
        <f>IF(MASTER_REGISTER!E335="","",MASTER_REGISTER!E335)</f>
        <v/>
      </c>
      <c r="B335">
        <f>IF(A335="","",MASTER_REGISTER!F335)</f>
        <v/>
      </c>
      <c r="C335">
        <f>IF(A335="","",MASTER_REGISTER!C335)</f>
        <v/>
      </c>
      <c r="D335">
        <f>IF(A335="","",COUNTIF(ASSESSMENTS!B:B,A335))</f>
        <v/>
      </c>
      <c r="E335" s="4">
        <f>IF(D335=0,"",ROUND(AVERAGEIF(ASSESSMENTS!B:B,A335,ASSESSMENTS!H:H),1))</f>
        <v/>
      </c>
      <c r="F335" s="4">
        <f>IF(A335="","",IFERROR(ROUND(AVERAGEIFS(ASSESSMENTS!H:H,ASSESSMENTS!B:B,A335,ASSESSMENTS!E:E,"Mathematics"),1),""))</f>
        <v/>
      </c>
      <c r="G335" s="4">
        <f>IF(A335="","",IFERROR(ROUND(AVERAGEIFS(ASSESSMENTS!H:H,ASSESSMENTS!B:B,A335,ASSESSMENTS!E:E,"Mathematical Literacy"),1),""))</f>
        <v/>
      </c>
      <c r="H335" s="4">
        <f>IF(A335="","",IFERROR(ROUND(AVERAGEIFS(ASSESSMENTS!H:H,ASSESSMENTS!B:B,A335,ASSESSMENTS!E:E,"Physical Sciences"),1),""))</f>
        <v/>
      </c>
      <c r="I335" s="4">
        <f>IF(A335="","",IFERROR(ROUND(AVERAGEIFS(ASSESSMENTS!H:H,ASSESSMENTS!B:B,A335,ASSESSMENTS!E:E,"Geography"),1),""))</f>
        <v/>
      </c>
      <c r="J335" s="4">
        <f>IF(A335="","",IFERROR(ROUND(AVERAGEIFS(ASSESSMENTS!H:H,ASSESSMENTS!B:B,A335,ASSESSMENTS!E:E,"Accounting"),1),""))</f>
        <v/>
      </c>
      <c r="K335" s="4">
        <f>IF(A335="","",IFERROR(ROUND(AVERAGEIFS(ASSESSMENTS!H:H,ASSESSMENTS!B:B,A335,ASSESSMENTS!E:E,"English"),1),""))</f>
        <v/>
      </c>
      <c r="L335" s="5">
        <f>IF(A335="","",IFERROR(XLOOKUP(A335,ATTENDANCE_SUMMARY!A:A,ATTENDANCE_SUMMARY!G:G,""),""))</f>
        <v/>
      </c>
      <c r="M335" s="4">
        <f>IF(A335="","",IF(OR(E335&lt;50,AND(L335&lt;0.75,L335&lt;&gt;"" )),"At Risk","On Track"))</f>
        <v/>
      </c>
    </row>
    <row r="336">
      <c r="A336">
        <f>IF(MASTER_REGISTER!E336="","",MASTER_REGISTER!E336)</f>
        <v/>
      </c>
      <c r="B336">
        <f>IF(A336="","",MASTER_REGISTER!F336)</f>
        <v/>
      </c>
      <c r="C336">
        <f>IF(A336="","",MASTER_REGISTER!C336)</f>
        <v/>
      </c>
      <c r="D336">
        <f>IF(A336="","",COUNTIF(ASSESSMENTS!B:B,A336))</f>
        <v/>
      </c>
      <c r="E336" s="4">
        <f>IF(D336=0,"",ROUND(AVERAGEIF(ASSESSMENTS!B:B,A336,ASSESSMENTS!H:H),1))</f>
        <v/>
      </c>
      <c r="F336" s="4">
        <f>IF(A336="","",IFERROR(ROUND(AVERAGEIFS(ASSESSMENTS!H:H,ASSESSMENTS!B:B,A336,ASSESSMENTS!E:E,"Mathematics"),1),""))</f>
        <v/>
      </c>
      <c r="G336" s="4">
        <f>IF(A336="","",IFERROR(ROUND(AVERAGEIFS(ASSESSMENTS!H:H,ASSESSMENTS!B:B,A336,ASSESSMENTS!E:E,"Mathematical Literacy"),1),""))</f>
        <v/>
      </c>
      <c r="H336" s="4">
        <f>IF(A336="","",IFERROR(ROUND(AVERAGEIFS(ASSESSMENTS!H:H,ASSESSMENTS!B:B,A336,ASSESSMENTS!E:E,"Physical Sciences"),1),""))</f>
        <v/>
      </c>
      <c r="I336" s="4">
        <f>IF(A336="","",IFERROR(ROUND(AVERAGEIFS(ASSESSMENTS!H:H,ASSESSMENTS!B:B,A336,ASSESSMENTS!E:E,"Geography"),1),""))</f>
        <v/>
      </c>
      <c r="J336" s="4">
        <f>IF(A336="","",IFERROR(ROUND(AVERAGEIFS(ASSESSMENTS!H:H,ASSESSMENTS!B:B,A336,ASSESSMENTS!E:E,"Accounting"),1),""))</f>
        <v/>
      </c>
      <c r="K336" s="4">
        <f>IF(A336="","",IFERROR(ROUND(AVERAGEIFS(ASSESSMENTS!H:H,ASSESSMENTS!B:B,A336,ASSESSMENTS!E:E,"English"),1),""))</f>
        <v/>
      </c>
      <c r="L336" s="5">
        <f>IF(A336="","",IFERROR(XLOOKUP(A336,ATTENDANCE_SUMMARY!A:A,ATTENDANCE_SUMMARY!G:G,""),""))</f>
        <v/>
      </c>
      <c r="M336" s="4">
        <f>IF(A336="","",IF(OR(E336&lt;50,AND(L336&lt;0.75,L336&lt;&gt;"" )),"At Risk","On Track"))</f>
        <v/>
      </c>
    </row>
    <row r="337">
      <c r="A337">
        <f>IF(MASTER_REGISTER!E337="","",MASTER_REGISTER!E337)</f>
        <v/>
      </c>
      <c r="B337">
        <f>IF(A337="","",MASTER_REGISTER!F337)</f>
        <v/>
      </c>
      <c r="C337">
        <f>IF(A337="","",MASTER_REGISTER!C337)</f>
        <v/>
      </c>
      <c r="D337">
        <f>IF(A337="","",COUNTIF(ASSESSMENTS!B:B,A337))</f>
        <v/>
      </c>
      <c r="E337" s="4">
        <f>IF(D337=0,"",ROUND(AVERAGEIF(ASSESSMENTS!B:B,A337,ASSESSMENTS!H:H),1))</f>
        <v/>
      </c>
      <c r="F337" s="4">
        <f>IF(A337="","",IFERROR(ROUND(AVERAGEIFS(ASSESSMENTS!H:H,ASSESSMENTS!B:B,A337,ASSESSMENTS!E:E,"Mathematics"),1),""))</f>
        <v/>
      </c>
      <c r="G337" s="4">
        <f>IF(A337="","",IFERROR(ROUND(AVERAGEIFS(ASSESSMENTS!H:H,ASSESSMENTS!B:B,A337,ASSESSMENTS!E:E,"Mathematical Literacy"),1),""))</f>
        <v/>
      </c>
      <c r="H337" s="4">
        <f>IF(A337="","",IFERROR(ROUND(AVERAGEIFS(ASSESSMENTS!H:H,ASSESSMENTS!B:B,A337,ASSESSMENTS!E:E,"Physical Sciences"),1),""))</f>
        <v/>
      </c>
      <c r="I337" s="4">
        <f>IF(A337="","",IFERROR(ROUND(AVERAGEIFS(ASSESSMENTS!H:H,ASSESSMENTS!B:B,A337,ASSESSMENTS!E:E,"Geography"),1),""))</f>
        <v/>
      </c>
      <c r="J337" s="4">
        <f>IF(A337="","",IFERROR(ROUND(AVERAGEIFS(ASSESSMENTS!H:H,ASSESSMENTS!B:B,A337,ASSESSMENTS!E:E,"Accounting"),1),""))</f>
        <v/>
      </c>
      <c r="K337" s="4">
        <f>IF(A337="","",IFERROR(ROUND(AVERAGEIFS(ASSESSMENTS!H:H,ASSESSMENTS!B:B,A337,ASSESSMENTS!E:E,"English"),1),""))</f>
        <v/>
      </c>
      <c r="L337" s="5">
        <f>IF(A337="","",IFERROR(XLOOKUP(A337,ATTENDANCE_SUMMARY!A:A,ATTENDANCE_SUMMARY!G:G,""),""))</f>
        <v/>
      </c>
      <c r="M337" s="4">
        <f>IF(A337="","",IF(OR(E337&lt;50,AND(L337&lt;0.75,L337&lt;&gt;"" )),"At Risk","On Track"))</f>
        <v/>
      </c>
    </row>
    <row r="338">
      <c r="A338">
        <f>IF(MASTER_REGISTER!E338="","",MASTER_REGISTER!E338)</f>
        <v/>
      </c>
      <c r="B338">
        <f>IF(A338="","",MASTER_REGISTER!F338)</f>
        <v/>
      </c>
      <c r="C338">
        <f>IF(A338="","",MASTER_REGISTER!C338)</f>
        <v/>
      </c>
      <c r="D338">
        <f>IF(A338="","",COUNTIF(ASSESSMENTS!B:B,A338))</f>
        <v/>
      </c>
      <c r="E338" s="4">
        <f>IF(D338=0,"",ROUND(AVERAGEIF(ASSESSMENTS!B:B,A338,ASSESSMENTS!H:H),1))</f>
        <v/>
      </c>
      <c r="F338" s="4">
        <f>IF(A338="","",IFERROR(ROUND(AVERAGEIFS(ASSESSMENTS!H:H,ASSESSMENTS!B:B,A338,ASSESSMENTS!E:E,"Mathematics"),1),""))</f>
        <v/>
      </c>
      <c r="G338" s="4">
        <f>IF(A338="","",IFERROR(ROUND(AVERAGEIFS(ASSESSMENTS!H:H,ASSESSMENTS!B:B,A338,ASSESSMENTS!E:E,"Mathematical Literacy"),1),""))</f>
        <v/>
      </c>
      <c r="H338" s="4">
        <f>IF(A338="","",IFERROR(ROUND(AVERAGEIFS(ASSESSMENTS!H:H,ASSESSMENTS!B:B,A338,ASSESSMENTS!E:E,"Physical Sciences"),1),""))</f>
        <v/>
      </c>
      <c r="I338" s="4">
        <f>IF(A338="","",IFERROR(ROUND(AVERAGEIFS(ASSESSMENTS!H:H,ASSESSMENTS!B:B,A338,ASSESSMENTS!E:E,"Geography"),1),""))</f>
        <v/>
      </c>
      <c r="J338" s="4">
        <f>IF(A338="","",IFERROR(ROUND(AVERAGEIFS(ASSESSMENTS!H:H,ASSESSMENTS!B:B,A338,ASSESSMENTS!E:E,"Accounting"),1),""))</f>
        <v/>
      </c>
      <c r="K338" s="4">
        <f>IF(A338="","",IFERROR(ROUND(AVERAGEIFS(ASSESSMENTS!H:H,ASSESSMENTS!B:B,A338,ASSESSMENTS!E:E,"English"),1),""))</f>
        <v/>
      </c>
      <c r="L338" s="5">
        <f>IF(A338="","",IFERROR(XLOOKUP(A338,ATTENDANCE_SUMMARY!A:A,ATTENDANCE_SUMMARY!G:G,""),""))</f>
        <v/>
      </c>
      <c r="M338" s="4">
        <f>IF(A338="","",IF(OR(E338&lt;50,AND(L338&lt;0.75,L338&lt;&gt;"" )),"At Risk","On Track"))</f>
        <v/>
      </c>
    </row>
    <row r="339">
      <c r="A339">
        <f>IF(MASTER_REGISTER!E339="","",MASTER_REGISTER!E339)</f>
        <v/>
      </c>
      <c r="B339">
        <f>IF(A339="","",MASTER_REGISTER!F339)</f>
        <v/>
      </c>
      <c r="C339">
        <f>IF(A339="","",MASTER_REGISTER!C339)</f>
        <v/>
      </c>
      <c r="D339">
        <f>IF(A339="","",COUNTIF(ASSESSMENTS!B:B,A339))</f>
        <v/>
      </c>
      <c r="E339" s="4">
        <f>IF(D339=0,"",ROUND(AVERAGEIF(ASSESSMENTS!B:B,A339,ASSESSMENTS!H:H),1))</f>
        <v/>
      </c>
      <c r="F339" s="4">
        <f>IF(A339="","",IFERROR(ROUND(AVERAGEIFS(ASSESSMENTS!H:H,ASSESSMENTS!B:B,A339,ASSESSMENTS!E:E,"Mathematics"),1),""))</f>
        <v/>
      </c>
      <c r="G339" s="4">
        <f>IF(A339="","",IFERROR(ROUND(AVERAGEIFS(ASSESSMENTS!H:H,ASSESSMENTS!B:B,A339,ASSESSMENTS!E:E,"Mathematical Literacy"),1),""))</f>
        <v/>
      </c>
      <c r="H339" s="4">
        <f>IF(A339="","",IFERROR(ROUND(AVERAGEIFS(ASSESSMENTS!H:H,ASSESSMENTS!B:B,A339,ASSESSMENTS!E:E,"Physical Sciences"),1),""))</f>
        <v/>
      </c>
      <c r="I339" s="4">
        <f>IF(A339="","",IFERROR(ROUND(AVERAGEIFS(ASSESSMENTS!H:H,ASSESSMENTS!B:B,A339,ASSESSMENTS!E:E,"Geography"),1),""))</f>
        <v/>
      </c>
      <c r="J339" s="4">
        <f>IF(A339="","",IFERROR(ROUND(AVERAGEIFS(ASSESSMENTS!H:H,ASSESSMENTS!B:B,A339,ASSESSMENTS!E:E,"Accounting"),1),""))</f>
        <v/>
      </c>
      <c r="K339" s="4">
        <f>IF(A339="","",IFERROR(ROUND(AVERAGEIFS(ASSESSMENTS!H:H,ASSESSMENTS!B:B,A339,ASSESSMENTS!E:E,"English"),1),""))</f>
        <v/>
      </c>
      <c r="L339" s="5">
        <f>IF(A339="","",IFERROR(XLOOKUP(A339,ATTENDANCE_SUMMARY!A:A,ATTENDANCE_SUMMARY!G:G,""),""))</f>
        <v/>
      </c>
      <c r="M339" s="4">
        <f>IF(A339="","",IF(OR(E339&lt;50,AND(L339&lt;0.75,L339&lt;&gt;"" )),"At Risk","On Track"))</f>
        <v/>
      </c>
    </row>
    <row r="340">
      <c r="A340">
        <f>IF(MASTER_REGISTER!E340="","",MASTER_REGISTER!E340)</f>
        <v/>
      </c>
      <c r="B340">
        <f>IF(A340="","",MASTER_REGISTER!F340)</f>
        <v/>
      </c>
      <c r="C340">
        <f>IF(A340="","",MASTER_REGISTER!C340)</f>
        <v/>
      </c>
      <c r="D340">
        <f>IF(A340="","",COUNTIF(ASSESSMENTS!B:B,A340))</f>
        <v/>
      </c>
      <c r="E340" s="4">
        <f>IF(D340=0,"",ROUND(AVERAGEIF(ASSESSMENTS!B:B,A340,ASSESSMENTS!H:H),1))</f>
        <v/>
      </c>
      <c r="F340" s="4">
        <f>IF(A340="","",IFERROR(ROUND(AVERAGEIFS(ASSESSMENTS!H:H,ASSESSMENTS!B:B,A340,ASSESSMENTS!E:E,"Mathematics"),1),""))</f>
        <v/>
      </c>
      <c r="G340" s="4">
        <f>IF(A340="","",IFERROR(ROUND(AVERAGEIFS(ASSESSMENTS!H:H,ASSESSMENTS!B:B,A340,ASSESSMENTS!E:E,"Mathematical Literacy"),1),""))</f>
        <v/>
      </c>
      <c r="H340" s="4">
        <f>IF(A340="","",IFERROR(ROUND(AVERAGEIFS(ASSESSMENTS!H:H,ASSESSMENTS!B:B,A340,ASSESSMENTS!E:E,"Physical Sciences"),1),""))</f>
        <v/>
      </c>
      <c r="I340" s="4">
        <f>IF(A340="","",IFERROR(ROUND(AVERAGEIFS(ASSESSMENTS!H:H,ASSESSMENTS!B:B,A340,ASSESSMENTS!E:E,"Geography"),1),""))</f>
        <v/>
      </c>
      <c r="J340" s="4">
        <f>IF(A340="","",IFERROR(ROUND(AVERAGEIFS(ASSESSMENTS!H:H,ASSESSMENTS!B:B,A340,ASSESSMENTS!E:E,"Accounting"),1),""))</f>
        <v/>
      </c>
      <c r="K340" s="4">
        <f>IF(A340="","",IFERROR(ROUND(AVERAGEIFS(ASSESSMENTS!H:H,ASSESSMENTS!B:B,A340,ASSESSMENTS!E:E,"English"),1),""))</f>
        <v/>
      </c>
      <c r="L340" s="5">
        <f>IF(A340="","",IFERROR(XLOOKUP(A340,ATTENDANCE_SUMMARY!A:A,ATTENDANCE_SUMMARY!G:G,""),""))</f>
        <v/>
      </c>
      <c r="M340" s="4">
        <f>IF(A340="","",IF(OR(E340&lt;50,AND(L340&lt;0.75,L340&lt;&gt;"" )),"At Risk","On Track"))</f>
        <v/>
      </c>
    </row>
    <row r="341">
      <c r="A341">
        <f>IF(MASTER_REGISTER!E341="","",MASTER_REGISTER!E341)</f>
        <v/>
      </c>
      <c r="B341">
        <f>IF(A341="","",MASTER_REGISTER!F341)</f>
        <v/>
      </c>
      <c r="C341">
        <f>IF(A341="","",MASTER_REGISTER!C341)</f>
        <v/>
      </c>
      <c r="D341">
        <f>IF(A341="","",COUNTIF(ASSESSMENTS!B:B,A341))</f>
        <v/>
      </c>
      <c r="E341" s="4">
        <f>IF(D341=0,"",ROUND(AVERAGEIF(ASSESSMENTS!B:B,A341,ASSESSMENTS!H:H),1))</f>
        <v/>
      </c>
      <c r="F341" s="4">
        <f>IF(A341="","",IFERROR(ROUND(AVERAGEIFS(ASSESSMENTS!H:H,ASSESSMENTS!B:B,A341,ASSESSMENTS!E:E,"Mathematics"),1),""))</f>
        <v/>
      </c>
      <c r="G341" s="4">
        <f>IF(A341="","",IFERROR(ROUND(AVERAGEIFS(ASSESSMENTS!H:H,ASSESSMENTS!B:B,A341,ASSESSMENTS!E:E,"Mathematical Literacy"),1),""))</f>
        <v/>
      </c>
      <c r="H341" s="4">
        <f>IF(A341="","",IFERROR(ROUND(AVERAGEIFS(ASSESSMENTS!H:H,ASSESSMENTS!B:B,A341,ASSESSMENTS!E:E,"Physical Sciences"),1),""))</f>
        <v/>
      </c>
      <c r="I341" s="4">
        <f>IF(A341="","",IFERROR(ROUND(AVERAGEIFS(ASSESSMENTS!H:H,ASSESSMENTS!B:B,A341,ASSESSMENTS!E:E,"Geography"),1),""))</f>
        <v/>
      </c>
      <c r="J341" s="4">
        <f>IF(A341="","",IFERROR(ROUND(AVERAGEIFS(ASSESSMENTS!H:H,ASSESSMENTS!B:B,A341,ASSESSMENTS!E:E,"Accounting"),1),""))</f>
        <v/>
      </c>
      <c r="K341" s="4">
        <f>IF(A341="","",IFERROR(ROUND(AVERAGEIFS(ASSESSMENTS!H:H,ASSESSMENTS!B:B,A341,ASSESSMENTS!E:E,"English"),1),""))</f>
        <v/>
      </c>
      <c r="L341" s="5">
        <f>IF(A341="","",IFERROR(XLOOKUP(A341,ATTENDANCE_SUMMARY!A:A,ATTENDANCE_SUMMARY!G:G,""),""))</f>
        <v/>
      </c>
      <c r="M341" s="4">
        <f>IF(A341="","",IF(OR(E341&lt;50,AND(L341&lt;0.75,L341&lt;&gt;"" )),"At Risk","On Track"))</f>
        <v/>
      </c>
    </row>
    <row r="342">
      <c r="A342">
        <f>IF(MASTER_REGISTER!E342="","",MASTER_REGISTER!E342)</f>
        <v/>
      </c>
      <c r="B342">
        <f>IF(A342="","",MASTER_REGISTER!F342)</f>
        <v/>
      </c>
      <c r="C342">
        <f>IF(A342="","",MASTER_REGISTER!C342)</f>
        <v/>
      </c>
      <c r="D342">
        <f>IF(A342="","",COUNTIF(ASSESSMENTS!B:B,A342))</f>
        <v/>
      </c>
      <c r="E342" s="4">
        <f>IF(D342=0,"",ROUND(AVERAGEIF(ASSESSMENTS!B:B,A342,ASSESSMENTS!H:H),1))</f>
        <v/>
      </c>
      <c r="F342" s="4">
        <f>IF(A342="","",IFERROR(ROUND(AVERAGEIFS(ASSESSMENTS!H:H,ASSESSMENTS!B:B,A342,ASSESSMENTS!E:E,"Mathematics"),1),""))</f>
        <v/>
      </c>
      <c r="G342" s="4">
        <f>IF(A342="","",IFERROR(ROUND(AVERAGEIFS(ASSESSMENTS!H:H,ASSESSMENTS!B:B,A342,ASSESSMENTS!E:E,"Mathematical Literacy"),1),""))</f>
        <v/>
      </c>
      <c r="H342" s="4">
        <f>IF(A342="","",IFERROR(ROUND(AVERAGEIFS(ASSESSMENTS!H:H,ASSESSMENTS!B:B,A342,ASSESSMENTS!E:E,"Physical Sciences"),1),""))</f>
        <v/>
      </c>
      <c r="I342" s="4">
        <f>IF(A342="","",IFERROR(ROUND(AVERAGEIFS(ASSESSMENTS!H:H,ASSESSMENTS!B:B,A342,ASSESSMENTS!E:E,"Geography"),1),""))</f>
        <v/>
      </c>
      <c r="J342" s="4">
        <f>IF(A342="","",IFERROR(ROUND(AVERAGEIFS(ASSESSMENTS!H:H,ASSESSMENTS!B:B,A342,ASSESSMENTS!E:E,"Accounting"),1),""))</f>
        <v/>
      </c>
      <c r="K342" s="4">
        <f>IF(A342="","",IFERROR(ROUND(AVERAGEIFS(ASSESSMENTS!H:H,ASSESSMENTS!B:B,A342,ASSESSMENTS!E:E,"English"),1),""))</f>
        <v/>
      </c>
      <c r="L342" s="5">
        <f>IF(A342="","",IFERROR(XLOOKUP(A342,ATTENDANCE_SUMMARY!A:A,ATTENDANCE_SUMMARY!G:G,""),""))</f>
        <v/>
      </c>
      <c r="M342" s="4">
        <f>IF(A342="","",IF(OR(E342&lt;50,AND(L342&lt;0.75,L342&lt;&gt;"" )),"At Risk","On Track"))</f>
        <v/>
      </c>
    </row>
    <row r="343">
      <c r="A343">
        <f>IF(MASTER_REGISTER!E343="","",MASTER_REGISTER!E343)</f>
        <v/>
      </c>
      <c r="B343">
        <f>IF(A343="","",MASTER_REGISTER!F343)</f>
        <v/>
      </c>
      <c r="C343">
        <f>IF(A343="","",MASTER_REGISTER!C343)</f>
        <v/>
      </c>
      <c r="D343">
        <f>IF(A343="","",COUNTIF(ASSESSMENTS!B:B,A343))</f>
        <v/>
      </c>
      <c r="E343" s="4">
        <f>IF(D343=0,"",ROUND(AVERAGEIF(ASSESSMENTS!B:B,A343,ASSESSMENTS!H:H),1))</f>
        <v/>
      </c>
      <c r="F343" s="4">
        <f>IF(A343="","",IFERROR(ROUND(AVERAGEIFS(ASSESSMENTS!H:H,ASSESSMENTS!B:B,A343,ASSESSMENTS!E:E,"Mathematics"),1),""))</f>
        <v/>
      </c>
      <c r="G343" s="4">
        <f>IF(A343="","",IFERROR(ROUND(AVERAGEIFS(ASSESSMENTS!H:H,ASSESSMENTS!B:B,A343,ASSESSMENTS!E:E,"Mathematical Literacy"),1),""))</f>
        <v/>
      </c>
      <c r="H343" s="4">
        <f>IF(A343="","",IFERROR(ROUND(AVERAGEIFS(ASSESSMENTS!H:H,ASSESSMENTS!B:B,A343,ASSESSMENTS!E:E,"Physical Sciences"),1),""))</f>
        <v/>
      </c>
      <c r="I343" s="4">
        <f>IF(A343="","",IFERROR(ROUND(AVERAGEIFS(ASSESSMENTS!H:H,ASSESSMENTS!B:B,A343,ASSESSMENTS!E:E,"Geography"),1),""))</f>
        <v/>
      </c>
      <c r="J343" s="4">
        <f>IF(A343="","",IFERROR(ROUND(AVERAGEIFS(ASSESSMENTS!H:H,ASSESSMENTS!B:B,A343,ASSESSMENTS!E:E,"Accounting"),1),""))</f>
        <v/>
      </c>
      <c r="K343" s="4">
        <f>IF(A343="","",IFERROR(ROUND(AVERAGEIFS(ASSESSMENTS!H:H,ASSESSMENTS!B:B,A343,ASSESSMENTS!E:E,"English"),1),""))</f>
        <v/>
      </c>
      <c r="L343" s="5">
        <f>IF(A343="","",IFERROR(XLOOKUP(A343,ATTENDANCE_SUMMARY!A:A,ATTENDANCE_SUMMARY!G:G,""),""))</f>
        <v/>
      </c>
      <c r="M343" s="4">
        <f>IF(A343="","",IF(OR(E343&lt;50,AND(L343&lt;0.75,L343&lt;&gt;"" )),"At Risk","On Track"))</f>
        <v/>
      </c>
    </row>
    <row r="344">
      <c r="A344">
        <f>IF(MASTER_REGISTER!E344="","",MASTER_REGISTER!E344)</f>
        <v/>
      </c>
      <c r="B344">
        <f>IF(A344="","",MASTER_REGISTER!F344)</f>
        <v/>
      </c>
      <c r="C344">
        <f>IF(A344="","",MASTER_REGISTER!C344)</f>
        <v/>
      </c>
      <c r="D344">
        <f>IF(A344="","",COUNTIF(ASSESSMENTS!B:B,A344))</f>
        <v/>
      </c>
      <c r="E344" s="4">
        <f>IF(D344=0,"",ROUND(AVERAGEIF(ASSESSMENTS!B:B,A344,ASSESSMENTS!H:H),1))</f>
        <v/>
      </c>
      <c r="F344" s="4">
        <f>IF(A344="","",IFERROR(ROUND(AVERAGEIFS(ASSESSMENTS!H:H,ASSESSMENTS!B:B,A344,ASSESSMENTS!E:E,"Mathematics"),1),""))</f>
        <v/>
      </c>
      <c r="G344" s="4">
        <f>IF(A344="","",IFERROR(ROUND(AVERAGEIFS(ASSESSMENTS!H:H,ASSESSMENTS!B:B,A344,ASSESSMENTS!E:E,"Mathematical Literacy"),1),""))</f>
        <v/>
      </c>
      <c r="H344" s="4">
        <f>IF(A344="","",IFERROR(ROUND(AVERAGEIFS(ASSESSMENTS!H:H,ASSESSMENTS!B:B,A344,ASSESSMENTS!E:E,"Physical Sciences"),1),""))</f>
        <v/>
      </c>
      <c r="I344" s="4">
        <f>IF(A344="","",IFERROR(ROUND(AVERAGEIFS(ASSESSMENTS!H:H,ASSESSMENTS!B:B,A344,ASSESSMENTS!E:E,"Geography"),1),""))</f>
        <v/>
      </c>
      <c r="J344" s="4">
        <f>IF(A344="","",IFERROR(ROUND(AVERAGEIFS(ASSESSMENTS!H:H,ASSESSMENTS!B:B,A344,ASSESSMENTS!E:E,"Accounting"),1),""))</f>
        <v/>
      </c>
      <c r="K344" s="4">
        <f>IF(A344="","",IFERROR(ROUND(AVERAGEIFS(ASSESSMENTS!H:H,ASSESSMENTS!B:B,A344,ASSESSMENTS!E:E,"English"),1),""))</f>
        <v/>
      </c>
      <c r="L344" s="5">
        <f>IF(A344="","",IFERROR(XLOOKUP(A344,ATTENDANCE_SUMMARY!A:A,ATTENDANCE_SUMMARY!G:G,""),""))</f>
        <v/>
      </c>
      <c r="M344" s="4">
        <f>IF(A344="","",IF(OR(E344&lt;50,AND(L344&lt;0.75,L344&lt;&gt;"" )),"At Risk","On Track"))</f>
        <v/>
      </c>
    </row>
    <row r="345">
      <c r="A345">
        <f>IF(MASTER_REGISTER!E345="","",MASTER_REGISTER!E345)</f>
        <v/>
      </c>
      <c r="B345">
        <f>IF(A345="","",MASTER_REGISTER!F345)</f>
        <v/>
      </c>
      <c r="C345">
        <f>IF(A345="","",MASTER_REGISTER!C345)</f>
        <v/>
      </c>
      <c r="D345">
        <f>IF(A345="","",COUNTIF(ASSESSMENTS!B:B,A345))</f>
        <v/>
      </c>
      <c r="E345" s="4">
        <f>IF(D345=0,"",ROUND(AVERAGEIF(ASSESSMENTS!B:B,A345,ASSESSMENTS!H:H),1))</f>
        <v/>
      </c>
      <c r="F345" s="4">
        <f>IF(A345="","",IFERROR(ROUND(AVERAGEIFS(ASSESSMENTS!H:H,ASSESSMENTS!B:B,A345,ASSESSMENTS!E:E,"Mathematics"),1),""))</f>
        <v/>
      </c>
      <c r="G345" s="4">
        <f>IF(A345="","",IFERROR(ROUND(AVERAGEIFS(ASSESSMENTS!H:H,ASSESSMENTS!B:B,A345,ASSESSMENTS!E:E,"Mathematical Literacy"),1),""))</f>
        <v/>
      </c>
      <c r="H345" s="4">
        <f>IF(A345="","",IFERROR(ROUND(AVERAGEIFS(ASSESSMENTS!H:H,ASSESSMENTS!B:B,A345,ASSESSMENTS!E:E,"Physical Sciences"),1),""))</f>
        <v/>
      </c>
      <c r="I345" s="4">
        <f>IF(A345="","",IFERROR(ROUND(AVERAGEIFS(ASSESSMENTS!H:H,ASSESSMENTS!B:B,A345,ASSESSMENTS!E:E,"Geography"),1),""))</f>
        <v/>
      </c>
      <c r="J345" s="4">
        <f>IF(A345="","",IFERROR(ROUND(AVERAGEIFS(ASSESSMENTS!H:H,ASSESSMENTS!B:B,A345,ASSESSMENTS!E:E,"Accounting"),1),""))</f>
        <v/>
      </c>
      <c r="K345" s="4">
        <f>IF(A345="","",IFERROR(ROUND(AVERAGEIFS(ASSESSMENTS!H:H,ASSESSMENTS!B:B,A345,ASSESSMENTS!E:E,"English"),1),""))</f>
        <v/>
      </c>
      <c r="L345" s="5">
        <f>IF(A345="","",IFERROR(XLOOKUP(A345,ATTENDANCE_SUMMARY!A:A,ATTENDANCE_SUMMARY!G:G,""),""))</f>
        <v/>
      </c>
      <c r="M345" s="4">
        <f>IF(A345="","",IF(OR(E345&lt;50,AND(L345&lt;0.75,L345&lt;&gt;"" )),"At Risk","On Track"))</f>
        <v/>
      </c>
    </row>
    <row r="346">
      <c r="A346">
        <f>IF(MASTER_REGISTER!E346="","",MASTER_REGISTER!E346)</f>
        <v/>
      </c>
      <c r="B346">
        <f>IF(A346="","",MASTER_REGISTER!F346)</f>
        <v/>
      </c>
      <c r="C346">
        <f>IF(A346="","",MASTER_REGISTER!C346)</f>
        <v/>
      </c>
      <c r="D346">
        <f>IF(A346="","",COUNTIF(ASSESSMENTS!B:B,A346))</f>
        <v/>
      </c>
      <c r="E346" s="4">
        <f>IF(D346=0,"",ROUND(AVERAGEIF(ASSESSMENTS!B:B,A346,ASSESSMENTS!H:H),1))</f>
        <v/>
      </c>
      <c r="F346" s="4">
        <f>IF(A346="","",IFERROR(ROUND(AVERAGEIFS(ASSESSMENTS!H:H,ASSESSMENTS!B:B,A346,ASSESSMENTS!E:E,"Mathematics"),1),""))</f>
        <v/>
      </c>
      <c r="G346" s="4">
        <f>IF(A346="","",IFERROR(ROUND(AVERAGEIFS(ASSESSMENTS!H:H,ASSESSMENTS!B:B,A346,ASSESSMENTS!E:E,"Mathematical Literacy"),1),""))</f>
        <v/>
      </c>
      <c r="H346" s="4">
        <f>IF(A346="","",IFERROR(ROUND(AVERAGEIFS(ASSESSMENTS!H:H,ASSESSMENTS!B:B,A346,ASSESSMENTS!E:E,"Physical Sciences"),1),""))</f>
        <v/>
      </c>
      <c r="I346" s="4">
        <f>IF(A346="","",IFERROR(ROUND(AVERAGEIFS(ASSESSMENTS!H:H,ASSESSMENTS!B:B,A346,ASSESSMENTS!E:E,"Geography"),1),""))</f>
        <v/>
      </c>
      <c r="J346" s="4">
        <f>IF(A346="","",IFERROR(ROUND(AVERAGEIFS(ASSESSMENTS!H:H,ASSESSMENTS!B:B,A346,ASSESSMENTS!E:E,"Accounting"),1),""))</f>
        <v/>
      </c>
      <c r="K346" s="4">
        <f>IF(A346="","",IFERROR(ROUND(AVERAGEIFS(ASSESSMENTS!H:H,ASSESSMENTS!B:B,A346,ASSESSMENTS!E:E,"English"),1),""))</f>
        <v/>
      </c>
      <c r="L346" s="5">
        <f>IF(A346="","",IFERROR(XLOOKUP(A346,ATTENDANCE_SUMMARY!A:A,ATTENDANCE_SUMMARY!G:G,""),""))</f>
        <v/>
      </c>
      <c r="M346" s="4">
        <f>IF(A346="","",IF(OR(E346&lt;50,AND(L346&lt;0.75,L346&lt;&gt;"" )),"At Risk","On Track"))</f>
        <v/>
      </c>
    </row>
    <row r="347">
      <c r="A347">
        <f>IF(MASTER_REGISTER!E347="","",MASTER_REGISTER!E347)</f>
        <v/>
      </c>
      <c r="B347">
        <f>IF(A347="","",MASTER_REGISTER!F347)</f>
        <v/>
      </c>
      <c r="C347">
        <f>IF(A347="","",MASTER_REGISTER!C347)</f>
        <v/>
      </c>
      <c r="D347">
        <f>IF(A347="","",COUNTIF(ASSESSMENTS!B:B,A347))</f>
        <v/>
      </c>
      <c r="E347" s="4">
        <f>IF(D347=0,"",ROUND(AVERAGEIF(ASSESSMENTS!B:B,A347,ASSESSMENTS!H:H),1))</f>
        <v/>
      </c>
      <c r="F347" s="4">
        <f>IF(A347="","",IFERROR(ROUND(AVERAGEIFS(ASSESSMENTS!H:H,ASSESSMENTS!B:B,A347,ASSESSMENTS!E:E,"Mathematics"),1),""))</f>
        <v/>
      </c>
      <c r="G347" s="4">
        <f>IF(A347="","",IFERROR(ROUND(AVERAGEIFS(ASSESSMENTS!H:H,ASSESSMENTS!B:B,A347,ASSESSMENTS!E:E,"Mathematical Literacy"),1),""))</f>
        <v/>
      </c>
      <c r="H347" s="4">
        <f>IF(A347="","",IFERROR(ROUND(AVERAGEIFS(ASSESSMENTS!H:H,ASSESSMENTS!B:B,A347,ASSESSMENTS!E:E,"Physical Sciences"),1),""))</f>
        <v/>
      </c>
      <c r="I347" s="4">
        <f>IF(A347="","",IFERROR(ROUND(AVERAGEIFS(ASSESSMENTS!H:H,ASSESSMENTS!B:B,A347,ASSESSMENTS!E:E,"Geography"),1),""))</f>
        <v/>
      </c>
      <c r="J347" s="4">
        <f>IF(A347="","",IFERROR(ROUND(AVERAGEIFS(ASSESSMENTS!H:H,ASSESSMENTS!B:B,A347,ASSESSMENTS!E:E,"Accounting"),1),""))</f>
        <v/>
      </c>
      <c r="K347" s="4">
        <f>IF(A347="","",IFERROR(ROUND(AVERAGEIFS(ASSESSMENTS!H:H,ASSESSMENTS!B:B,A347,ASSESSMENTS!E:E,"English"),1),""))</f>
        <v/>
      </c>
      <c r="L347" s="5">
        <f>IF(A347="","",IFERROR(XLOOKUP(A347,ATTENDANCE_SUMMARY!A:A,ATTENDANCE_SUMMARY!G:G,""),""))</f>
        <v/>
      </c>
      <c r="M347" s="4">
        <f>IF(A347="","",IF(OR(E347&lt;50,AND(L347&lt;0.75,L347&lt;&gt;"" )),"At Risk","On Track"))</f>
        <v/>
      </c>
    </row>
    <row r="348">
      <c r="A348">
        <f>IF(MASTER_REGISTER!E348="","",MASTER_REGISTER!E348)</f>
        <v/>
      </c>
      <c r="B348">
        <f>IF(A348="","",MASTER_REGISTER!F348)</f>
        <v/>
      </c>
      <c r="C348">
        <f>IF(A348="","",MASTER_REGISTER!C348)</f>
        <v/>
      </c>
      <c r="D348">
        <f>IF(A348="","",COUNTIF(ASSESSMENTS!B:B,A348))</f>
        <v/>
      </c>
      <c r="E348" s="4">
        <f>IF(D348=0,"",ROUND(AVERAGEIF(ASSESSMENTS!B:B,A348,ASSESSMENTS!H:H),1))</f>
        <v/>
      </c>
      <c r="F348" s="4">
        <f>IF(A348="","",IFERROR(ROUND(AVERAGEIFS(ASSESSMENTS!H:H,ASSESSMENTS!B:B,A348,ASSESSMENTS!E:E,"Mathematics"),1),""))</f>
        <v/>
      </c>
      <c r="G348" s="4">
        <f>IF(A348="","",IFERROR(ROUND(AVERAGEIFS(ASSESSMENTS!H:H,ASSESSMENTS!B:B,A348,ASSESSMENTS!E:E,"Mathematical Literacy"),1),""))</f>
        <v/>
      </c>
      <c r="H348" s="4">
        <f>IF(A348="","",IFERROR(ROUND(AVERAGEIFS(ASSESSMENTS!H:H,ASSESSMENTS!B:B,A348,ASSESSMENTS!E:E,"Physical Sciences"),1),""))</f>
        <v/>
      </c>
      <c r="I348" s="4">
        <f>IF(A348="","",IFERROR(ROUND(AVERAGEIFS(ASSESSMENTS!H:H,ASSESSMENTS!B:B,A348,ASSESSMENTS!E:E,"Geography"),1),""))</f>
        <v/>
      </c>
      <c r="J348" s="4">
        <f>IF(A348="","",IFERROR(ROUND(AVERAGEIFS(ASSESSMENTS!H:H,ASSESSMENTS!B:B,A348,ASSESSMENTS!E:E,"Accounting"),1),""))</f>
        <v/>
      </c>
      <c r="K348" s="4">
        <f>IF(A348="","",IFERROR(ROUND(AVERAGEIFS(ASSESSMENTS!H:H,ASSESSMENTS!B:B,A348,ASSESSMENTS!E:E,"English"),1),""))</f>
        <v/>
      </c>
      <c r="L348" s="5">
        <f>IF(A348="","",IFERROR(XLOOKUP(A348,ATTENDANCE_SUMMARY!A:A,ATTENDANCE_SUMMARY!G:G,""),""))</f>
        <v/>
      </c>
      <c r="M348" s="4">
        <f>IF(A348="","",IF(OR(E348&lt;50,AND(L348&lt;0.75,L348&lt;&gt;"" )),"At Risk","On Track"))</f>
        <v/>
      </c>
    </row>
    <row r="349">
      <c r="A349">
        <f>IF(MASTER_REGISTER!E349="","",MASTER_REGISTER!E349)</f>
        <v/>
      </c>
      <c r="B349">
        <f>IF(A349="","",MASTER_REGISTER!F349)</f>
        <v/>
      </c>
      <c r="C349">
        <f>IF(A349="","",MASTER_REGISTER!C349)</f>
        <v/>
      </c>
      <c r="D349">
        <f>IF(A349="","",COUNTIF(ASSESSMENTS!B:B,A349))</f>
        <v/>
      </c>
      <c r="E349" s="4">
        <f>IF(D349=0,"",ROUND(AVERAGEIF(ASSESSMENTS!B:B,A349,ASSESSMENTS!H:H),1))</f>
        <v/>
      </c>
      <c r="F349" s="4">
        <f>IF(A349="","",IFERROR(ROUND(AVERAGEIFS(ASSESSMENTS!H:H,ASSESSMENTS!B:B,A349,ASSESSMENTS!E:E,"Mathematics"),1),""))</f>
        <v/>
      </c>
      <c r="G349" s="4">
        <f>IF(A349="","",IFERROR(ROUND(AVERAGEIFS(ASSESSMENTS!H:H,ASSESSMENTS!B:B,A349,ASSESSMENTS!E:E,"Mathematical Literacy"),1),""))</f>
        <v/>
      </c>
      <c r="H349" s="4">
        <f>IF(A349="","",IFERROR(ROUND(AVERAGEIFS(ASSESSMENTS!H:H,ASSESSMENTS!B:B,A349,ASSESSMENTS!E:E,"Physical Sciences"),1),""))</f>
        <v/>
      </c>
      <c r="I349" s="4">
        <f>IF(A349="","",IFERROR(ROUND(AVERAGEIFS(ASSESSMENTS!H:H,ASSESSMENTS!B:B,A349,ASSESSMENTS!E:E,"Geography"),1),""))</f>
        <v/>
      </c>
      <c r="J349" s="4">
        <f>IF(A349="","",IFERROR(ROUND(AVERAGEIFS(ASSESSMENTS!H:H,ASSESSMENTS!B:B,A349,ASSESSMENTS!E:E,"Accounting"),1),""))</f>
        <v/>
      </c>
      <c r="K349" s="4">
        <f>IF(A349="","",IFERROR(ROUND(AVERAGEIFS(ASSESSMENTS!H:H,ASSESSMENTS!B:B,A349,ASSESSMENTS!E:E,"English"),1),""))</f>
        <v/>
      </c>
      <c r="L349" s="5">
        <f>IF(A349="","",IFERROR(XLOOKUP(A349,ATTENDANCE_SUMMARY!A:A,ATTENDANCE_SUMMARY!G:G,""),""))</f>
        <v/>
      </c>
      <c r="M349" s="4">
        <f>IF(A349="","",IF(OR(E349&lt;50,AND(L349&lt;0.75,L349&lt;&gt;"" )),"At Risk","On Track"))</f>
        <v/>
      </c>
    </row>
    <row r="350">
      <c r="A350">
        <f>IF(MASTER_REGISTER!E350="","",MASTER_REGISTER!E350)</f>
        <v/>
      </c>
      <c r="B350">
        <f>IF(A350="","",MASTER_REGISTER!F350)</f>
        <v/>
      </c>
      <c r="C350">
        <f>IF(A350="","",MASTER_REGISTER!C350)</f>
        <v/>
      </c>
      <c r="D350">
        <f>IF(A350="","",COUNTIF(ASSESSMENTS!B:B,A350))</f>
        <v/>
      </c>
      <c r="E350" s="4">
        <f>IF(D350=0,"",ROUND(AVERAGEIF(ASSESSMENTS!B:B,A350,ASSESSMENTS!H:H),1))</f>
        <v/>
      </c>
      <c r="F350" s="4">
        <f>IF(A350="","",IFERROR(ROUND(AVERAGEIFS(ASSESSMENTS!H:H,ASSESSMENTS!B:B,A350,ASSESSMENTS!E:E,"Mathematics"),1),""))</f>
        <v/>
      </c>
      <c r="G350" s="4">
        <f>IF(A350="","",IFERROR(ROUND(AVERAGEIFS(ASSESSMENTS!H:H,ASSESSMENTS!B:B,A350,ASSESSMENTS!E:E,"Mathematical Literacy"),1),""))</f>
        <v/>
      </c>
      <c r="H350" s="4">
        <f>IF(A350="","",IFERROR(ROUND(AVERAGEIFS(ASSESSMENTS!H:H,ASSESSMENTS!B:B,A350,ASSESSMENTS!E:E,"Physical Sciences"),1),""))</f>
        <v/>
      </c>
      <c r="I350" s="4">
        <f>IF(A350="","",IFERROR(ROUND(AVERAGEIFS(ASSESSMENTS!H:H,ASSESSMENTS!B:B,A350,ASSESSMENTS!E:E,"Geography"),1),""))</f>
        <v/>
      </c>
      <c r="J350" s="4">
        <f>IF(A350="","",IFERROR(ROUND(AVERAGEIFS(ASSESSMENTS!H:H,ASSESSMENTS!B:B,A350,ASSESSMENTS!E:E,"Accounting"),1),""))</f>
        <v/>
      </c>
      <c r="K350" s="4">
        <f>IF(A350="","",IFERROR(ROUND(AVERAGEIFS(ASSESSMENTS!H:H,ASSESSMENTS!B:B,A350,ASSESSMENTS!E:E,"English"),1),""))</f>
        <v/>
      </c>
      <c r="L350" s="5">
        <f>IF(A350="","",IFERROR(XLOOKUP(A350,ATTENDANCE_SUMMARY!A:A,ATTENDANCE_SUMMARY!G:G,""),""))</f>
        <v/>
      </c>
      <c r="M350" s="4">
        <f>IF(A350="","",IF(OR(E350&lt;50,AND(L350&lt;0.75,L350&lt;&gt;"" )),"At Risk","On Track"))</f>
        <v/>
      </c>
    </row>
    <row r="351">
      <c r="A351">
        <f>IF(MASTER_REGISTER!E351="","",MASTER_REGISTER!E351)</f>
        <v/>
      </c>
      <c r="B351">
        <f>IF(A351="","",MASTER_REGISTER!F351)</f>
        <v/>
      </c>
      <c r="C351">
        <f>IF(A351="","",MASTER_REGISTER!C351)</f>
        <v/>
      </c>
      <c r="D351">
        <f>IF(A351="","",COUNTIF(ASSESSMENTS!B:B,A351))</f>
        <v/>
      </c>
      <c r="E351" s="4">
        <f>IF(D351=0,"",ROUND(AVERAGEIF(ASSESSMENTS!B:B,A351,ASSESSMENTS!H:H),1))</f>
        <v/>
      </c>
      <c r="F351" s="4">
        <f>IF(A351="","",IFERROR(ROUND(AVERAGEIFS(ASSESSMENTS!H:H,ASSESSMENTS!B:B,A351,ASSESSMENTS!E:E,"Mathematics"),1),""))</f>
        <v/>
      </c>
      <c r="G351" s="4">
        <f>IF(A351="","",IFERROR(ROUND(AVERAGEIFS(ASSESSMENTS!H:H,ASSESSMENTS!B:B,A351,ASSESSMENTS!E:E,"Mathematical Literacy"),1),""))</f>
        <v/>
      </c>
      <c r="H351" s="4">
        <f>IF(A351="","",IFERROR(ROUND(AVERAGEIFS(ASSESSMENTS!H:H,ASSESSMENTS!B:B,A351,ASSESSMENTS!E:E,"Physical Sciences"),1),""))</f>
        <v/>
      </c>
      <c r="I351" s="4">
        <f>IF(A351="","",IFERROR(ROUND(AVERAGEIFS(ASSESSMENTS!H:H,ASSESSMENTS!B:B,A351,ASSESSMENTS!E:E,"Geography"),1),""))</f>
        <v/>
      </c>
      <c r="J351" s="4">
        <f>IF(A351="","",IFERROR(ROUND(AVERAGEIFS(ASSESSMENTS!H:H,ASSESSMENTS!B:B,A351,ASSESSMENTS!E:E,"Accounting"),1),""))</f>
        <v/>
      </c>
      <c r="K351" s="4">
        <f>IF(A351="","",IFERROR(ROUND(AVERAGEIFS(ASSESSMENTS!H:H,ASSESSMENTS!B:B,A351,ASSESSMENTS!E:E,"English"),1),""))</f>
        <v/>
      </c>
      <c r="L351" s="5">
        <f>IF(A351="","",IFERROR(XLOOKUP(A351,ATTENDANCE_SUMMARY!A:A,ATTENDANCE_SUMMARY!G:G,""),""))</f>
        <v/>
      </c>
      <c r="M351" s="4">
        <f>IF(A351="","",IF(OR(E351&lt;50,AND(L351&lt;0.75,L351&lt;&gt;"" )),"At Risk","On Track"))</f>
        <v/>
      </c>
    </row>
    <row r="352">
      <c r="A352">
        <f>IF(MASTER_REGISTER!E352="","",MASTER_REGISTER!E352)</f>
        <v/>
      </c>
      <c r="B352">
        <f>IF(A352="","",MASTER_REGISTER!F352)</f>
        <v/>
      </c>
      <c r="C352">
        <f>IF(A352="","",MASTER_REGISTER!C352)</f>
        <v/>
      </c>
      <c r="D352">
        <f>IF(A352="","",COUNTIF(ASSESSMENTS!B:B,A352))</f>
        <v/>
      </c>
      <c r="E352" s="4">
        <f>IF(D352=0,"",ROUND(AVERAGEIF(ASSESSMENTS!B:B,A352,ASSESSMENTS!H:H),1))</f>
        <v/>
      </c>
      <c r="F352" s="4">
        <f>IF(A352="","",IFERROR(ROUND(AVERAGEIFS(ASSESSMENTS!H:H,ASSESSMENTS!B:B,A352,ASSESSMENTS!E:E,"Mathematics"),1),""))</f>
        <v/>
      </c>
      <c r="G352" s="4">
        <f>IF(A352="","",IFERROR(ROUND(AVERAGEIFS(ASSESSMENTS!H:H,ASSESSMENTS!B:B,A352,ASSESSMENTS!E:E,"Mathematical Literacy"),1),""))</f>
        <v/>
      </c>
      <c r="H352" s="4">
        <f>IF(A352="","",IFERROR(ROUND(AVERAGEIFS(ASSESSMENTS!H:H,ASSESSMENTS!B:B,A352,ASSESSMENTS!E:E,"Physical Sciences"),1),""))</f>
        <v/>
      </c>
      <c r="I352" s="4">
        <f>IF(A352="","",IFERROR(ROUND(AVERAGEIFS(ASSESSMENTS!H:H,ASSESSMENTS!B:B,A352,ASSESSMENTS!E:E,"Geography"),1),""))</f>
        <v/>
      </c>
      <c r="J352" s="4">
        <f>IF(A352="","",IFERROR(ROUND(AVERAGEIFS(ASSESSMENTS!H:H,ASSESSMENTS!B:B,A352,ASSESSMENTS!E:E,"Accounting"),1),""))</f>
        <v/>
      </c>
      <c r="K352" s="4">
        <f>IF(A352="","",IFERROR(ROUND(AVERAGEIFS(ASSESSMENTS!H:H,ASSESSMENTS!B:B,A352,ASSESSMENTS!E:E,"English"),1),""))</f>
        <v/>
      </c>
      <c r="L352" s="5">
        <f>IF(A352="","",IFERROR(XLOOKUP(A352,ATTENDANCE_SUMMARY!A:A,ATTENDANCE_SUMMARY!G:G,""),""))</f>
        <v/>
      </c>
      <c r="M352" s="4">
        <f>IF(A352="","",IF(OR(E352&lt;50,AND(L352&lt;0.75,L352&lt;&gt;"" )),"At Risk","On Track"))</f>
        <v/>
      </c>
    </row>
    <row r="353">
      <c r="A353">
        <f>IF(MASTER_REGISTER!E353="","",MASTER_REGISTER!E353)</f>
        <v/>
      </c>
      <c r="B353">
        <f>IF(A353="","",MASTER_REGISTER!F353)</f>
        <v/>
      </c>
      <c r="C353">
        <f>IF(A353="","",MASTER_REGISTER!C353)</f>
        <v/>
      </c>
      <c r="D353">
        <f>IF(A353="","",COUNTIF(ASSESSMENTS!B:B,A353))</f>
        <v/>
      </c>
      <c r="E353" s="4">
        <f>IF(D353=0,"",ROUND(AVERAGEIF(ASSESSMENTS!B:B,A353,ASSESSMENTS!H:H),1))</f>
        <v/>
      </c>
      <c r="F353" s="4">
        <f>IF(A353="","",IFERROR(ROUND(AVERAGEIFS(ASSESSMENTS!H:H,ASSESSMENTS!B:B,A353,ASSESSMENTS!E:E,"Mathematics"),1),""))</f>
        <v/>
      </c>
      <c r="G353" s="4">
        <f>IF(A353="","",IFERROR(ROUND(AVERAGEIFS(ASSESSMENTS!H:H,ASSESSMENTS!B:B,A353,ASSESSMENTS!E:E,"Mathematical Literacy"),1),""))</f>
        <v/>
      </c>
      <c r="H353" s="4">
        <f>IF(A353="","",IFERROR(ROUND(AVERAGEIFS(ASSESSMENTS!H:H,ASSESSMENTS!B:B,A353,ASSESSMENTS!E:E,"Physical Sciences"),1),""))</f>
        <v/>
      </c>
      <c r="I353" s="4">
        <f>IF(A353="","",IFERROR(ROUND(AVERAGEIFS(ASSESSMENTS!H:H,ASSESSMENTS!B:B,A353,ASSESSMENTS!E:E,"Geography"),1),""))</f>
        <v/>
      </c>
      <c r="J353" s="4">
        <f>IF(A353="","",IFERROR(ROUND(AVERAGEIFS(ASSESSMENTS!H:H,ASSESSMENTS!B:B,A353,ASSESSMENTS!E:E,"Accounting"),1),""))</f>
        <v/>
      </c>
      <c r="K353" s="4">
        <f>IF(A353="","",IFERROR(ROUND(AVERAGEIFS(ASSESSMENTS!H:H,ASSESSMENTS!B:B,A353,ASSESSMENTS!E:E,"English"),1),""))</f>
        <v/>
      </c>
      <c r="L353" s="5">
        <f>IF(A353="","",IFERROR(XLOOKUP(A353,ATTENDANCE_SUMMARY!A:A,ATTENDANCE_SUMMARY!G:G,""),""))</f>
        <v/>
      </c>
      <c r="M353" s="4">
        <f>IF(A353="","",IF(OR(E353&lt;50,AND(L353&lt;0.75,L353&lt;&gt;"" )),"At Risk","On Track"))</f>
        <v/>
      </c>
    </row>
    <row r="354">
      <c r="A354">
        <f>IF(MASTER_REGISTER!E354="","",MASTER_REGISTER!E354)</f>
        <v/>
      </c>
      <c r="B354">
        <f>IF(A354="","",MASTER_REGISTER!F354)</f>
        <v/>
      </c>
      <c r="C354">
        <f>IF(A354="","",MASTER_REGISTER!C354)</f>
        <v/>
      </c>
      <c r="D354">
        <f>IF(A354="","",COUNTIF(ASSESSMENTS!B:B,A354))</f>
        <v/>
      </c>
      <c r="E354" s="4">
        <f>IF(D354=0,"",ROUND(AVERAGEIF(ASSESSMENTS!B:B,A354,ASSESSMENTS!H:H),1))</f>
        <v/>
      </c>
      <c r="F354" s="4">
        <f>IF(A354="","",IFERROR(ROUND(AVERAGEIFS(ASSESSMENTS!H:H,ASSESSMENTS!B:B,A354,ASSESSMENTS!E:E,"Mathematics"),1),""))</f>
        <v/>
      </c>
      <c r="G354" s="4">
        <f>IF(A354="","",IFERROR(ROUND(AVERAGEIFS(ASSESSMENTS!H:H,ASSESSMENTS!B:B,A354,ASSESSMENTS!E:E,"Mathematical Literacy"),1),""))</f>
        <v/>
      </c>
      <c r="H354" s="4">
        <f>IF(A354="","",IFERROR(ROUND(AVERAGEIFS(ASSESSMENTS!H:H,ASSESSMENTS!B:B,A354,ASSESSMENTS!E:E,"Physical Sciences"),1),""))</f>
        <v/>
      </c>
      <c r="I354" s="4">
        <f>IF(A354="","",IFERROR(ROUND(AVERAGEIFS(ASSESSMENTS!H:H,ASSESSMENTS!B:B,A354,ASSESSMENTS!E:E,"Geography"),1),""))</f>
        <v/>
      </c>
      <c r="J354" s="4">
        <f>IF(A354="","",IFERROR(ROUND(AVERAGEIFS(ASSESSMENTS!H:H,ASSESSMENTS!B:B,A354,ASSESSMENTS!E:E,"Accounting"),1),""))</f>
        <v/>
      </c>
      <c r="K354" s="4">
        <f>IF(A354="","",IFERROR(ROUND(AVERAGEIFS(ASSESSMENTS!H:H,ASSESSMENTS!B:B,A354,ASSESSMENTS!E:E,"English"),1),""))</f>
        <v/>
      </c>
      <c r="L354" s="5">
        <f>IF(A354="","",IFERROR(XLOOKUP(A354,ATTENDANCE_SUMMARY!A:A,ATTENDANCE_SUMMARY!G:G,""),""))</f>
        <v/>
      </c>
      <c r="M354" s="4">
        <f>IF(A354="","",IF(OR(E354&lt;50,AND(L354&lt;0.75,L354&lt;&gt;"" )),"At Risk","On Track"))</f>
        <v/>
      </c>
    </row>
    <row r="355">
      <c r="A355">
        <f>IF(MASTER_REGISTER!E355="","",MASTER_REGISTER!E355)</f>
        <v/>
      </c>
      <c r="B355">
        <f>IF(A355="","",MASTER_REGISTER!F355)</f>
        <v/>
      </c>
      <c r="C355">
        <f>IF(A355="","",MASTER_REGISTER!C355)</f>
        <v/>
      </c>
      <c r="D355">
        <f>IF(A355="","",COUNTIF(ASSESSMENTS!B:B,A355))</f>
        <v/>
      </c>
      <c r="E355" s="4">
        <f>IF(D355=0,"",ROUND(AVERAGEIF(ASSESSMENTS!B:B,A355,ASSESSMENTS!H:H),1))</f>
        <v/>
      </c>
      <c r="F355" s="4">
        <f>IF(A355="","",IFERROR(ROUND(AVERAGEIFS(ASSESSMENTS!H:H,ASSESSMENTS!B:B,A355,ASSESSMENTS!E:E,"Mathematics"),1),""))</f>
        <v/>
      </c>
      <c r="G355" s="4">
        <f>IF(A355="","",IFERROR(ROUND(AVERAGEIFS(ASSESSMENTS!H:H,ASSESSMENTS!B:B,A355,ASSESSMENTS!E:E,"Mathematical Literacy"),1),""))</f>
        <v/>
      </c>
      <c r="H355" s="4">
        <f>IF(A355="","",IFERROR(ROUND(AVERAGEIFS(ASSESSMENTS!H:H,ASSESSMENTS!B:B,A355,ASSESSMENTS!E:E,"Physical Sciences"),1),""))</f>
        <v/>
      </c>
      <c r="I355" s="4">
        <f>IF(A355="","",IFERROR(ROUND(AVERAGEIFS(ASSESSMENTS!H:H,ASSESSMENTS!B:B,A355,ASSESSMENTS!E:E,"Geography"),1),""))</f>
        <v/>
      </c>
      <c r="J355" s="4">
        <f>IF(A355="","",IFERROR(ROUND(AVERAGEIFS(ASSESSMENTS!H:H,ASSESSMENTS!B:B,A355,ASSESSMENTS!E:E,"Accounting"),1),""))</f>
        <v/>
      </c>
      <c r="K355" s="4">
        <f>IF(A355="","",IFERROR(ROUND(AVERAGEIFS(ASSESSMENTS!H:H,ASSESSMENTS!B:B,A355,ASSESSMENTS!E:E,"English"),1),""))</f>
        <v/>
      </c>
      <c r="L355" s="5">
        <f>IF(A355="","",IFERROR(XLOOKUP(A355,ATTENDANCE_SUMMARY!A:A,ATTENDANCE_SUMMARY!G:G,""),""))</f>
        <v/>
      </c>
      <c r="M355" s="4">
        <f>IF(A355="","",IF(OR(E355&lt;50,AND(L355&lt;0.75,L355&lt;&gt;"" )),"At Risk","On Track"))</f>
        <v/>
      </c>
    </row>
    <row r="356">
      <c r="A356">
        <f>IF(MASTER_REGISTER!E356="","",MASTER_REGISTER!E356)</f>
        <v/>
      </c>
      <c r="B356">
        <f>IF(A356="","",MASTER_REGISTER!F356)</f>
        <v/>
      </c>
      <c r="C356">
        <f>IF(A356="","",MASTER_REGISTER!C356)</f>
        <v/>
      </c>
      <c r="D356">
        <f>IF(A356="","",COUNTIF(ASSESSMENTS!B:B,A356))</f>
        <v/>
      </c>
      <c r="E356" s="4">
        <f>IF(D356=0,"",ROUND(AVERAGEIF(ASSESSMENTS!B:B,A356,ASSESSMENTS!H:H),1))</f>
        <v/>
      </c>
      <c r="F356" s="4">
        <f>IF(A356="","",IFERROR(ROUND(AVERAGEIFS(ASSESSMENTS!H:H,ASSESSMENTS!B:B,A356,ASSESSMENTS!E:E,"Mathematics"),1),""))</f>
        <v/>
      </c>
      <c r="G356" s="4">
        <f>IF(A356="","",IFERROR(ROUND(AVERAGEIFS(ASSESSMENTS!H:H,ASSESSMENTS!B:B,A356,ASSESSMENTS!E:E,"Mathematical Literacy"),1),""))</f>
        <v/>
      </c>
      <c r="H356" s="4">
        <f>IF(A356="","",IFERROR(ROUND(AVERAGEIFS(ASSESSMENTS!H:H,ASSESSMENTS!B:B,A356,ASSESSMENTS!E:E,"Physical Sciences"),1),""))</f>
        <v/>
      </c>
      <c r="I356" s="4">
        <f>IF(A356="","",IFERROR(ROUND(AVERAGEIFS(ASSESSMENTS!H:H,ASSESSMENTS!B:B,A356,ASSESSMENTS!E:E,"Geography"),1),""))</f>
        <v/>
      </c>
      <c r="J356" s="4">
        <f>IF(A356="","",IFERROR(ROUND(AVERAGEIFS(ASSESSMENTS!H:H,ASSESSMENTS!B:B,A356,ASSESSMENTS!E:E,"Accounting"),1),""))</f>
        <v/>
      </c>
      <c r="K356" s="4">
        <f>IF(A356="","",IFERROR(ROUND(AVERAGEIFS(ASSESSMENTS!H:H,ASSESSMENTS!B:B,A356,ASSESSMENTS!E:E,"English"),1),""))</f>
        <v/>
      </c>
      <c r="L356" s="5">
        <f>IF(A356="","",IFERROR(XLOOKUP(A356,ATTENDANCE_SUMMARY!A:A,ATTENDANCE_SUMMARY!G:G,""),""))</f>
        <v/>
      </c>
      <c r="M356" s="4">
        <f>IF(A356="","",IF(OR(E356&lt;50,AND(L356&lt;0.75,L356&lt;&gt;"" )),"At Risk","On Track"))</f>
        <v/>
      </c>
    </row>
    <row r="357">
      <c r="A357">
        <f>IF(MASTER_REGISTER!E357="","",MASTER_REGISTER!E357)</f>
        <v/>
      </c>
      <c r="B357">
        <f>IF(A357="","",MASTER_REGISTER!F357)</f>
        <v/>
      </c>
      <c r="C357">
        <f>IF(A357="","",MASTER_REGISTER!C357)</f>
        <v/>
      </c>
      <c r="D357">
        <f>IF(A357="","",COUNTIF(ASSESSMENTS!B:B,A357))</f>
        <v/>
      </c>
      <c r="E357" s="4">
        <f>IF(D357=0,"",ROUND(AVERAGEIF(ASSESSMENTS!B:B,A357,ASSESSMENTS!H:H),1))</f>
        <v/>
      </c>
      <c r="F357" s="4">
        <f>IF(A357="","",IFERROR(ROUND(AVERAGEIFS(ASSESSMENTS!H:H,ASSESSMENTS!B:B,A357,ASSESSMENTS!E:E,"Mathematics"),1),""))</f>
        <v/>
      </c>
      <c r="G357" s="4">
        <f>IF(A357="","",IFERROR(ROUND(AVERAGEIFS(ASSESSMENTS!H:H,ASSESSMENTS!B:B,A357,ASSESSMENTS!E:E,"Mathematical Literacy"),1),""))</f>
        <v/>
      </c>
      <c r="H357" s="4">
        <f>IF(A357="","",IFERROR(ROUND(AVERAGEIFS(ASSESSMENTS!H:H,ASSESSMENTS!B:B,A357,ASSESSMENTS!E:E,"Physical Sciences"),1),""))</f>
        <v/>
      </c>
      <c r="I357" s="4">
        <f>IF(A357="","",IFERROR(ROUND(AVERAGEIFS(ASSESSMENTS!H:H,ASSESSMENTS!B:B,A357,ASSESSMENTS!E:E,"Geography"),1),""))</f>
        <v/>
      </c>
      <c r="J357" s="4">
        <f>IF(A357="","",IFERROR(ROUND(AVERAGEIFS(ASSESSMENTS!H:H,ASSESSMENTS!B:B,A357,ASSESSMENTS!E:E,"Accounting"),1),""))</f>
        <v/>
      </c>
      <c r="K357" s="4">
        <f>IF(A357="","",IFERROR(ROUND(AVERAGEIFS(ASSESSMENTS!H:H,ASSESSMENTS!B:B,A357,ASSESSMENTS!E:E,"English"),1),""))</f>
        <v/>
      </c>
      <c r="L357" s="5">
        <f>IF(A357="","",IFERROR(XLOOKUP(A357,ATTENDANCE_SUMMARY!A:A,ATTENDANCE_SUMMARY!G:G,""),""))</f>
        <v/>
      </c>
      <c r="M357" s="4">
        <f>IF(A357="","",IF(OR(E357&lt;50,AND(L357&lt;0.75,L357&lt;&gt;"" )),"At Risk","On Track"))</f>
        <v/>
      </c>
    </row>
    <row r="358">
      <c r="A358">
        <f>IF(MASTER_REGISTER!E358="","",MASTER_REGISTER!E358)</f>
        <v/>
      </c>
      <c r="B358">
        <f>IF(A358="","",MASTER_REGISTER!F358)</f>
        <v/>
      </c>
      <c r="C358">
        <f>IF(A358="","",MASTER_REGISTER!C358)</f>
        <v/>
      </c>
      <c r="D358">
        <f>IF(A358="","",COUNTIF(ASSESSMENTS!B:B,A358))</f>
        <v/>
      </c>
      <c r="E358" s="4">
        <f>IF(D358=0,"",ROUND(AVERAGEIF(ASSESSMENTS!B:B,A358,ASSESSMENTS!H:H),1))</f>
        <v/>
      </c>
      <c r="F358" s="4">
        <f>IF(A358="","",IFERROR(ROUND(AVERAGEIFS(ASSESSMENTS!H:H,ASSESSMENTS!B:B,A358,ASSESSMENTS!E:E,"Mathematics"),1),""))</f>
        <v/>
      </c>
      <c r="G358" s="4">
        <f>IF(A358="","",IFERROR(ROUND(AVERAGEIFS(ASSESSMENTS!H:H,ASSESSMENTS!B:B,A358,ASSESSMENTS!E:E,"Mathematical Literacy"),1),""))</f>
        <v/>
      </c>
      <c r="H358" s="4">
        <f>IF(A358="","",IFERROR(ROUND(AVERAGEIFS(ASSESSMENTS!H:H,ASSESSMENTS!B:B,A358,ASSESSMENTS!E:E,"Physical Sciences"),1),""))</f>
        <v/>
      </c>
      <c r="I358" s="4">
        <f>IF(A358="","",IFERROR(ROUND(AVERAGEIFS(ASSESSMENTS!H:H,ASSESSMENTS!B:B,A358,ASSESSMENTS!E:E,"Geography"),1),""))</f>
        <v/>
      </c>
      <c r="J358" s="4">
        <f>IF(A358="","",IFERROR(ROUND(AVERAGEIFS(ASSESSMENTS!H:H,ASSESSMENTS!B:B,A358,ASSESSMENTS!E:E,"Accounting"),1),""))</f>
        <v/>
      </c>
      <c r="K358" s="4">
        <f>IF(A358="","",IFERROR(ROUND(AVERAGEIFS(ASSESSMENTS!H:H,ASSESSMENTS!B:B,A358,ASSESSMENTS!E:E,"English"),1),""))</f>
        <v/>
      </c>
      <c r="L358" s="5">
        <f>IF(A358="","",IFERROR(XLOOKUP(A358,ATTENDANCE_SUMMARY!A:A,ATTENDANCE_SUMMARY!G:G,""),""))</f>
        <v/>
      </c>
      <c r="M358" s="4">
        <f>IF(A358="","",IF(OR(E358&lt;50,AND(L358&lt;0.75,L358&lt;&gt;"" )),"At Risk","On Track"))</f>
        <v/>
      </c>
    </row>
    <row r="359">
      <c r="A359">
        <f>IF(MASTER_REGISTER!E359="","",MASTER_REGISTER!E359)</f>
        <v/>
      </c>
      <c r="B359">
        <f>IF(A359="","",MASTER_REGISTER!F359)</f>
        <v/>
      </c>
      <c r="C359">
        <f>IF(A359="","",MASTER_REGISTER!C359)</f>
        <v/>
      </c>
      <c r="D359">
        <f>IF(A359="","",COUNTIF(ASSESSMENTS!B:B,A359))</f>
        <v/>
      </c>
      <c r="E359" s="4">
        <f>IF(D359=0,"",ROUND(AVERAGEIF(ASSESSMENTS!B:B,A359,ASSESSMENTS!H:H),1))</f>
        <v/>
      </c>
      <c r="F359" s="4">
        <f>IF(A359="","",IFERROR(ROUND(AVERAGEIFS(ASSESSMENTS!H:H,ASSESSMENTS!B:B,A359,ASSESSMENTS!E:E,"Mathematics"),1),""))</f>
        <v/>
      </c>
      <c r="G359" s="4">
        <f>IF(A359="","",IFERROR(ROUND(AVERAGEIFS(ASSESSMENTS!H:H,ASSESSMENTS!B:B,A359,ASSESSMENTS!E:E,"Mathematical Literacy"),1),""))</f>
        <v/>
      </c>
      <c r="H359" s="4">
        <f>IF(A359="","",IFERROR(ROUND(AVERAGEIFS(ASSESSMENTS!H:H,ASSESSMENTS!B:B,A359,ASSESSMENTS!E:E,"Physical Sciences"),1),""))</f>
        <v/>
      </c>
      <c r="I359" s="4">
        <f>IF(A359="","",IFERROR(ROUND(AVERAGEIFS(ASSESSMENTS!H:H,ASSESSMENTS!B:B,A359,ASSESSMENTS!E:E,"Geography"),1),""))</f>
        <v/>
      </c>
      <c r="J359" s="4">
        <f>IF(A359="","",IFERROR(ROUND(AVERAGEIFS(ASSESSMENTS!H:H,ASSESSMENTS!B:B,A359,ASSESSMENTS!E:E,"Accounting"),1),""))</f>
        <v/>
      </c>
      <c r="K359" s="4">
        <f>IF(A359="","",IFERROR(ROUND(AVERAGEIFS(ASSESSMENTS!H:H,ASSESSMENTS!B:B,A359,ASSESSMENTS!E:E,"English"),1),""))</f>
        <v/>
      </c>
      <c r="L359" s="5">
        <f>IF(A359="","",IFERROR(XLOOKUP(A359,ATTENDANCE_SUMMARY!A:A,ATTENDANCE_SUMMARY!G:G,""),""))</f>
        <v/>
      </c>
      <c r="M359" s="4">
        <f>IF(A359="","",IF(OR(E359&lt;50,AND(L359&lt;0.75,L359&lt;&gt;"" )),"At Risk","On Track"))</f>
        <v/>
      </c>
    </row>
    <row r="360">
      <c r="A360">
        <f>IF(MASTER_REGISTER!E360="","",MASTER_REGISTER!E360)</f>
        <v/>
      </c>
      <c r="B360">
        <f>IF(A360="","",MASTER_REGISTER!F360)</f>
        <v/>
      </c>
      <c r="C360">
        <f>IF(A360="","",MASTER_REGISTER!C360)</f>
        <v/>
      </c>
      <c r="D360">
        <f>IF(A360="","",COUNTIF(ASSESSMENTS!B:B,A360))</f>
        <v/>
      </c>
      <c r="E360" s="4">
        <f>IF(D360=0,"",ROUND(AVERAGEIF(ASSESSMENTS!B:B,A360,ASSESSMENTS!H:H),1))</f>
        <v/>
      </c>
      <c r="F360" s="4">
        <f>IF(A360="","",IFERROR(ROUND(AVERAGEIFS(ASSESSMENTS!H:H,ASSESSMENTS!B:B,A360,ASSESSMENTS!E:E,"Mathematics"),1),""))</f>
        <v/>
      </c>
      <c r="G360" s="4">
        <f>IF(A360="","",IFERROR(ROUND(AVERAGEIFS(ASSESSMENTS!H:H,ASSESSMENTS!B:B,A360,ASSESSMENTS!E:E,"Mathematical Literacy"),1),""))</f>
        <v/>
      </c>
      <c r="H360" s="4">
        <f>IF(A360="","",IFERROR(ROUND(AVERAGEIFS(ASSESSMENTS!H:H,ASSESSMENTS!B:B,A360,ASSESSMENTS!E:E,"Physical Sciences"),1),""))</f>
        <v/>
      </c>
      <c r="I360" s="4">
        <f>IF(A360="","",IFERROR(ROUND(AVERAGEIFS(ASSESSMENTS!H:H,ASSESSMENTS!B:B,A360,ASSESSMENTS!E:E,"Geography"),1),""))</f>
        <v/>
      </c>
      <c r="J360" s="4">
        <f>IF(A360="","",IFERROR(ROUND(AVERAGEIFS(ASSESSMENTS!H:H,ASSESSMENTS!B:B,A360,ASSESSMENTS!E:E,"Accounting"),1),""))</f>
        <v/>
      </c>
      <c r="K360" s="4">
        <f>IF(A360="","",IFERROR(ROUND(AVERAGEIFS(ASSESSMENTS!H:H,ASSESSMENTS!B:B,A360,ASSESSMENTS!E:E,"English"),1),""))</f>
        <v/>
      </c>
      <c r="L360" s="5">
        <f>IF(A360="","",IFERROR(XLOOKUP(A360,ATTENDANCE_SUMMARY!A:A,ATTENDANCE_SUMMARY!G:G,""),""))</f>
        <v/>
      </c>
      <c r="M360" s="4">
        <f>IF(A360="","",IF(OR(E360&lt;50,AND(L360&lt;0.75,L360&lt;&gt;"" )),"At Risk","On Track"))</f>
        <v/>
      </c>
    </row>
    <row r="361">
      <c r="A361">
        <f>IF(MASTER_REGISTER!E361="","",MASTER_REGISTER!E361)</f>
        <v/>
      </c>
      <c r="B361">
        <f>IF(A361="","",MASTER_REGISTER!F361)</f>
        <v/>
      </c>
      <c r="C361">
        <f>IF(A361="","",MASTER_REGISTER!C361)</f>
        <v/>
      </c>
      <c r="D361">
        <f>IF(A361="","",COUNTIF(ASSESSMENTS!B:B,A361))</f>
        <v/>
      </c>
      <c r="E361" s="4">
        <f>IF(D361=0,"",ROUND(AVERAGEIF(ASSESSMENTS!B:B,A361,ASSESSMENTS!H:H),1))</f>
        <v/>
      </c>
      <c r="F361" s="4">
        <f>IF(A361="","",IFERROR(ROUND(AVERAGEIFS(ASSESSMENTS!H:H,ASSESSMENTS!B:B,A361,ASSESSMENTS!E:E,"Mathematics"),1),""))</f>
        <v/>
      </c>
      <c r="G361" s="4">
        <f>IF(A361="","",IFERROR(ROUND(AVERAGEIFS(ASSESSMENTS!H:H,ASSESSMENTS!B:B,A361,ASSESSMENTS!E:E,"Mathematical Literacy"),1),""))</f>
        <v/>
      </c>
      <c r="H361" s="4">
        <f>IF(A361="","",IFERROR(ROUND(AVERAGEIFS(ASSESSMENTS!H:H,ASSESSMENTS!B:B,A361,ASSESSMENTS!E:E,"Physical Sciences"),1),""))</f>
        <v/>
      </c>
      <c r="I361" s="4">
        <f>IF(A361="","",IFERROR(ROUND(AVERAGEIFS(ASSESSMENTS!H:H,ASSESSMENTS!B:B,A361,ASSESSMENTS!E:E,"Geography"),1),""))</f>
        <v/>
      </c>
      <c r="J361" s="4">
        <f>IF(A361="","",IFERROR(ROUND(AVERAGEIFS(ASSESSMENTS!H:H,ASSESSMENTS!B:B,A361,ASSESSMENTS!E:E,"Accounting"),1),""))</f>
        <v/>
      </c>
      <c r="K361" s="4">
        <f>IF(A361="","",IFERROR(ROUND(AVERAGEIFS(ASSESSMENTS!H:H,ASSESSMENTS!B:B,A361,ASSESSMENTS!E:E,"English"),1),""))</f>
        <v/>
      </c>
      <c r="L361" s="5">
        <f>IF(A361="","",IFERROR(XLOOKUP(A361,ATTENDANCE_SUMMARY!A:A,ATTENDANCE_SUMMARY!G:G,""),""))</f>
        <v/>
      </c>
      <c r="M361" s="4">
        <f>IF(A361="","",IF(OR(E361&lt;50,AND(L361&lt;0.75,L361&lt;&gt;"" )),"At Risk","On Track"))</f>
        <v/>
      </c>
    </row>
    <row r="362">
      <c r="A362">
        <f>IF(MASTER_REGISTER!E362="","",MASTER_REGISTER!E362)</f>
        <v/>
      </c>
      <c r="B362">
        <f>IF(A362="","",MASTER_REGISTER!F362)</f>
        <v/>
      </c>
      <c r="C362">
        <f>IF(A362="","",MASTER_REGISTER!C362)</f>
        <v/>
      </c>
      <c r="D362">
        <f>IF(A362="","",COUNTIF(ASSESSMENTS!B:B,A362))</f>
        <v/>
      </c>
      <c r="E362" s="4">
        <f>IF(D362=0,"",ROUND(AVERAGEIF(ASSESSMENTS!B:B,A362,ASSESSMENTS!H:H),1))</f>
        <v/>
      </c>
      <c r="F362" s="4">
        <f>IF(A362="","",IFERROR(ROUND(AVERAGEIFS(ASSESSMENTS!H:H,ASSESSMENTS!B:B,A362,ASSESSMENTS!E:E,"Mathematics"),1),""))</f>
        <v/>
      </c>
      <c r="G362" s="4">
        <f>IF(A362="","",IFERROR(ROUND(AVERAGEIFS(ASSESSMENTS!H:H,ASSESSMENTS!B:B,A362,ASSESSMENTS!E:E,"Mathematical Literacy"),1),""))</f>
        <v/>
      </c>
      <c r="H362" s="4">
        <f>IF(A362="","",IFERROR(ROUND(AVERAGEIFS(ASSESSMENTS!H:H,ASSESSMENTS!B:B,A362,ASSESSMENTS!E:E,"Physical Sciences"),1),""))</f>
        <v/>
      </c>
      <c r="I362" s="4">
        <f>IF(A362="","",IFERROR(ROUND(AVERAGEIFS(ASSESSMENTS!H:H,ASSESSMENTS!B:B,A362,ASSESSMENTS!E:E,"Geography"),1),""))</f>
        <v/>
      </c>
      <c r="J362" s="4">
        <f>IF(A362="","",IFERROR(ROUND(AVERAGEIFS(ASSESSMENTS!H:H,ASSESSMENTS!B:B,A362,ASSESSMENTS!E:E,"Accounting"),1),""))</f>
        <v/>
      </c>
      <c r="K362" s="4">
        <f>IF(A362="","",IFERROR(ROUND(AVERAGEIFS(ASSESSMENTS!H:H,ASSESSMENTS!B:B,A362,ASSESSMENTS!E:E,"English"),1),""))</f>
        <v/>
      </c>
      <c r="L362" s="5">
        <f>IF(A362="","",IFERROR(XLOOKUP(A362,ATTENDANCE_SUMMARY!A:A,ATTENDANCE_SUMMARY!G:G,""),""))</f>
        <v/>
      </c>
      <c r="M362" s="4">
        <f>IF(A362="","",IF(OR(E362&lt;50,AND(L362&lt;0.75,L362&lt;&gt;"" )),"At Risk","On Track"))</f>
        <v/>
      </c>
    </row>
    <row r="363">
      <c r="A363">
        <f>IF(MASTER_REGISTER!E363="","",MASTER_REGISTER!E363)</f>
        <v/>
      </c>
      <c r="B363">
        <f>IF(A363="","",MASTER_REGISTER!F363)</f>
        <v/>
      </c>
      <c r="C363">
        <f>IF(A363="","",MASTER_REGISTER!C363)</f>
        <v/>
      </c>
      <c r="D363">
        <f>IF(A363="","",COUNTIF(ASSESSMENTS!B:B,A363))</f>
        <v/>
      </c>
      <c r="E363" s="4">
        <f>IF(D363=0,"",ROUND(AVERAGEIF(ASSESSMENTS!B:B,A363,ASSESSMENTS!H:H),1))</f>
        <v/>
      </c>
      <c r="F363" s="4">
        <f>IF(A363="","",IFERROR(ROUND(AVERAGEIFS(ASSESSMENTS!H:H,ASSESSMENTS!B:B,A363,ASSESSMENTS!E:E,"Mathematics"),1),""))</f>
        <v/>
      </c>
      <c r="G363" s="4">
        <f>IF(A363="","",IFERROR(ROUND(AVERAGEIFS(ASSESSMENTS!H:H,ASSESSMENTS!B:B,A363,ASSESSMENTS!E:E,"Mathematical Literacy"),1),""))</f>
        <v/>
      </c>
      <c r="H363" s="4">
        <f>IF(A363="","",IFERROR(ROUND(AVERAGEIFS(ASSESSMENTS!H:H,ASSESSMENTS!B:B,A363,ASSESSMENTS!E:E,"Physical Sciences"),1),""))</f>
        <v/>
      </c>
      <c r="I363" s="4">
        <f>IF(A363="","",IFERROR(ROUND(AVERAGEIFS(ASSESSMENTS!H:H,ASSESSMENTS!B:B,A363,ASSESSMENTS!E:E,"Geography"),1),""))</f>
        <v/>
      </c>
      <c r="J363" s="4">
        <f>IF(A363="","",IFERROR(ROUND(AVERAGEIFS(ASSESSMENTS!H:H,ASSESSMENTS!B:B,A363,ASSESSMENTS!E:E,"Accounting"),1),""))</f>
        <v/>
      </c>
      <c r="K363" s="4">
        <f>IF(A363="","",IFERROR(ROUND(AVERAGEIFS(ASSESSMENTS!H:H,ASSESSMENTS!B:B,A363,ASSESSMENTS!E:E,"English"),1),""))</f>
        <v/>
      </c>
      <c r="L363" s="5">
        <f>IF(A363="","",IFERROR(XLOOKUP(A363,ATTENDANCE_SUMMARY!A:A,ATTENDANCE_SUMMARY!G:G,""),""))</f>
        <v/>
      </c>
      <c r="M363" s="4">
        <f>IF(A363="","",IF(OR(E363&lt;50,AND(L363&lt;0.75,L363&lt;&gt;"" )),"At Risk","On Track"))</f>
        <v/>
      </c>
    </row>
    <row r="364">
      <c r="A364">
        <f>IF(MASTER_REGISTER!E364="","",MASTER_REGISTER!E364)</f>
        <v/>
      </c>
      <c r="B364">
        <f>IF(A364="","",MASTER_REGISTER!F364)</f>
        <v/>
      </c>
      <c r="C364">
        <f>IF(A364="","",MASTER_REGISTER!C364)</f>
        <v/>
      </c>
      <c r="D364">
        <f>IF(A364="","",COUNTIF(ASSESSMENTS!B:B,A364))</f>
        <v/>
      </c>
      <c r="E364" s="4">
        <f>IF(D364=0,"",ROUND(AVERAGEIF(ASSESSMENTS!B:B,A364,ASSESSMENTS!H:H),1))</f>
        <v/>
      </c>
      <c r="F364" s="4">
        <f>IF(A364="","",IFERROR(ROUND(AVERAGEIFS(ASSESSMENTS!H:H,ASSESSMENTS!B:B,A364,ASSESSMENTS!E:E,"Mathematics"),1),""))</f>
        <v/>
      </c>
      <c r="G364" s="4">
        <f>IF(A364="","",IFERROR(ROUND(AVERAGEIFS(ASSESSMENTS!H:H,ASSESSMENTS!B:B,A364,ASSESSMENTS!E:E,"Mathematical Literacy"),1),""))</f>
        <v/>
      </c>
      <c r="H364" s="4">
        <f>IF(A364="","",IFERROR(ROUND(AVERAGEIFS(ASSESSMENTS!H:H,ASSESSMENTS!B:B,A364,ASSESSMENTS!E:E,"Physical Sciences"),1),""))</f>
        <v/>
      </c>
      <c r="I364" s="4">
        <f>IF(A364="","",IFERROR(ROUND(AVERAGEIFS(ASSESSMENTS!H:H,ASSESSMENTS!B:B,A364,ASSESSMENTS!E:E,"Geography"),1),""))</f>
        <v/>
      </c>
      <c r="J364" s="4">
        <f>IF(A364="","",IFERROR(ROUND(AVERAGEIFS(ASSESSMENTS!H:H,ASSESSMENTS!B:B,A364,ASSESSMENTS!E:E,"Accounting"),1),""))</f>
        <v/>
      </c>
      <c r="K364" s="4">
        <f>IF(A364="","",IFERROR(ROUND(AVERAGEIFS(ASSESSMENTS!H:H,ASSESSMENTS!B:B,A364,ASSESSMENTS!E:E,"English"),1),""))</f>
        <v/>
      </c>
      <c r="L364" s="5">
        <f>IF(A364="","",IFERROR(XLOOKUP(A364,ATTENDANCE_SUMMARY!A:A,ATTENDANCE_SUMMARY!G:G,""),""))</f>
        <v/>
      </c>
      <c r="M364" s="4">
        <f>IF(A364="","",IF(OR(E364&lt;50,AND(L364&lt;0.75,L364&lt;&gt;"" )),"At Risk","On Track"))</f>
        <v/>
      </c>
    </row>
    <row r="365">
      <c r="A365">
        <f>IF(MASTER_REGISTER!E365="","",MASTER_REGISTER!E365)</f>
        <v/>
      </c>
      <c r="B365">
        <f>IF(A365="","",MASTER_REGISTER!F365)</f>
        <v/>
      </c>
      <c r="C365">
        <f>IF(A365="","",MASTER_REGISTER!C365)</f>
        <v/>
      </c>
      <c r="D365">
        <f>IF(A365="","",COUNTIF(ASSESSMENTS!B:B,A365))</f>
        <v/>
      </c>
      <c r="E365" s="4">
        <f>IF(D365=0,"",ROUND(AVERAGEIF(ASSESSMENTS!B:B,A365,ASSESSMENTS!H:H),1))</f>
        <v/>
      </c>
      <c r="F365" s="4">
        <f>IF(A365="","",IFERROR(ROUND(AVERAGEIFS(ASSESSMENTS!H:H,ASSESSMENTS!B:B,A365,ASSESSMENTS!E:E,"Mathematics"),1),""))</f>
        <v/>
      </c>
      <c r="G365" s="4">
        <f>IF(A365="","",IFERROR(ROUND(AVERAGEIFS(ASSESSMENTS!H:H,ASSESSMENTS!B:B,A365,ASSESSMENTS!E:E,"Mathematical Literacy"),1),""))</f>
        <v/>
      </c>
      <c r="H365" s="4">
        <f>IF(A365="","",IFERROR(ROUND(AVERAGEIFS(ASSESSMENTS!H:H,ASSESSMENTS!B:B,A365,ASSESSMENTS!E:E,"Physical Sciences"),1),""))</f>
        <v/>
      </c>
      <c r="I365" s="4">
        <f>IF(A365="","",IFERROR(ROUND(AVERAGEIFS(ASSESSMENTS!H:H,ASSESSMENTS!B:B,A365,ASSESSMENTS!E:E,"Geography"),1),""))</f>
        <v/>
      </c>
      <c r="J365" s="4">
        <f>IF(A365="","",IFERROR(ROUND(AVERAGEIFS(ASSESSMENTS!H:H,ASSESSMENTS!B:B,A365,ASSESSMENTS!E:E,"Accounting"),1),""))</f>
        <v/>
      </c>
      <c r="K365" s="4">
        <f>IF(A365="","",IFERROR(ROUND(AVERAGEIFS(ASSESSMENTS!H:H,ASSESSMENTS!B:B,A365,ASSESSMENTS!E:E,"English"),1),""))</f>
        <v/>
      </c>
      <c r="L365" s="5">
        <f>IF(A365="","",IFERROR(XLOOKUP(A365,ATTENDANCE_SUMMARY!A:A,ATTENDANCE_SUMMARY!G:G,""),""))</f>
        <v/>
      </c>
      <c r="M365" s="4">
        <f>IF(A365="","",IF(OR(E365&lt;50,AND(L365&lt;0.75,L365&lt;&gt;"" )),"At Risk","On Track"))</f>
        <v/>
      </c>
    </row>
    <row r="366">
      <c r="A366">
        <f>IF(MASTER_REGISTER!E366="","",MASTER_REGISTER!E366)</f>
        <v/>
      </c>
      <c r="B366">
        <f>IF(A366="","",MASTER_REGISTER!F366)</f>
        <v/>
      </c>
      <c r="C366">
        <f>IF(A366="","",MASTER_REGISTER!C366)</f>
        <v/>
      </c>
      <c r="D366">
        <f>IF(A366="","",COUNTIF(ASSESSMENTS!B:B,A366))</f>
        <v/>
      </c>
      <c r="E366" s="4">
        <f>IF(D366=0,"",ROUND(AVERAGEIF(ASSESSMENTS!B:B,A366,ASSESSMENTS!H:H),1))</f>
        <v/>
      </c>
      <c r="F366" s="4">
        <f>IF(A366="","",IFERROR(ROUND(AVERAGEIFS(ASSESSMENTS!H:H,ASSESSMENTS!B:B,A366,ASSESSMENTS!E:E,"Mathematics"),1),""))</f>
        <v/>
      </c>
      <c r="G366" s="4">
        <f>IF(A366="","",IFERROR(ROUND(AVERAGEIFS(ASSESSMENTS!H:H,ASSESSMENTS!B:B,A366,ASSESSMENTS!E:E,"Mathematical Literacy"),1),""))</f>
        <v/>
      </c>
      <c r="H366" s="4">
        <f>IF(A366="","",IFERROR(ROUND(AVERAGEIFS(ASSESSMENTS!H:H,ASSESSMENTS!B:B,A366,ASSESSMENTS!E:E,"Physical Sciences"),1),""))</f>
        <v/>
      </c>
      <c r="I366" s="4">
        <f>IF(A366="","",IFERROR(ROUND(AVERAGEIFS(ASSESSMENTS!H:H,ASSESSMENTS!B:B,A366,ASSESSMENTS!E:E,"Geography"),1),""))</f>
        <v/>
      </c>
      <c r="J366" s="4">
        <f>IF(A366="","",IFERROR(ROUND(AVERAGEIFS(ASSESSMENTS!H:H,ASSESSMENTS!B:B,A366,ASSESSMENTS!E:E,"Accounting"),1),""))</f>
        <v/>
      </c>
      <c r="K366" s="4">
        <f>IF(A366="","",IFERROR(ROUND(AVERAGEIFS(ASSESSMENTS!H:H,ASSESSMENTS!B:B,A366,ASSESSMENTS!E:E,"English"),1),""))</f>
        <v/>
      </c>
      <c r="L366" s="5">
        <f>IF(A366="","",IFERROR(XLOOKUP(A366,ATTENDANCE_SUMMARY!A:A,ATTENDANCE_SUMMARY!G:G,""),""))</f>
        <v/>
      </c>
      <c r="M366" s="4">
        <f>IF(A366="","",IF(OR(E366&lt;50,AND(L366&lt;0.75,L366&lt;&gt;"" )),"At Risk","On Track"))</f>
        <v/>
      </c>
    </row>
    <row r="367">
      <c r="A367">
        <f>IF(MASTER_REGISTER!E367="","",MASTER_REGISTER!E367)</f>
        <v/>
      </c>
      <c r="B367">
        <f>IF(A367="","",MASTER_REGISTER!F367)</f>
        <v/>
      </c>
      <c r="C367">
        <f>IF(A367="","",MASTER_REGISTER!C367)</f>
        <v/>
      </c>
      <c r="D367">
        <f>IF(A367="","",COUNTIF(ASSESSMENTS!B:B,A367))</f>
        <v/>
      </c>
      <c r="E367" s="4">
        <f>IF(D367=0,"",ROUND(AVERAGEIF(ASSESSMENTS!B:B,A367,ASSESSMENTS!H:H),1))</f>
        <v/>
      </c>
      <c r="F367" s="4">
        <f>IF(A367="","",IFERROR(ROUND(AVERAGEIFS(ASSESSMENTS!H:H,ASSESSMENTS!B:B,A367,ASSESSMENTS!E:E,"Mathematics"),1),""))</f>
        <v/>
      </c>
      <c r="G367" s="4">
        <f>IF(A367="","",IFERROR(ROUND(AVERAGEIFS(ASSESSMENTS!H:H,ASSESSMENTS!B:B,A367,ASSESSMENTS!E:E,"Mathematical Literacy"),1),""))</f>
        <v/>
      </c>
      <c r="H367" s="4">
        <f>IF(A367="","",IFERROR(ROUND(AVERAGEIFS(ASSESSMENTS!H:H,ASSESSMENTS!B:B,A367,ASSESSMENTS!E:E,"Physical Sciences"),1),""))</f>
        <v/>
      </c>
      <c r="I367" s="4">
        <f>IF(A367="","",IFERROR(ROUND(AVERAGEIFS(ASSESSMENTS!H:H,ASSESSMENTS!B:B,A367,ASSESSMENTS!E:E,"Geography"),1),""))</f>
        <v/>
      </c>
      <c r="J367" s="4">
        <f>IF(A367="","",IFERROR(ROUND(AVERAGEIFS(ASSESSMENTS!H:H,ASSESSMENTS!B:B,A367,ASSESSMENTS!E:E,"Accounting"),1),""))</f>
        <v/>
      </c>
      <c r="K367" s="4">
        <f>IF(A367="","",IFERROR(ROUND(AVERAGEIFS(ASSESSMENTS!H:H,ASSESSMENTS!B:B,A367,ASSESSMENTS!E:E,"English"),1),""))</f>
        <v/>
      </c>
      <c r="L367" s="5">
        <f>IF(A367="","",IFERROR(XLOOKUP(A367,ATTENDANCE_SUMMARY!A:A,ATTENDANCE_SUMMARY!G:G,""),""))</f>
        <v/>
      </c>
      <c r="M367" s="4">
        <f>IF(A367="","",IF(OR(E367&lt;50,AND(L367&lt;0.75,L367&lt;&gt;"" )),"At Risk","On Track"))</f>
        <v/>
      </c>
    </row>
    <row r="368">
      <c r="A368">
        <f>IF(MASTER_REGISTER!E368="","",MASTER_REGISTER!E368)</f>
        <v/>
      </c>
      <c r="B368">
        <f>IF(A368="","",MASTER_REGISTER!F368)</f>
        <v/>
      </c>
      <c r="C368">
        <f>IF(A368="","",MASTER_REGISTER!C368)</f>
        <v/>
      </c>
      <c r="D368">
        <f>IF(A368="","",COUNTIF(ASSESSMENTS!B:B,A368))</f>
        <v/>
      </c>
      <c r="E368" s="4">
        <f>IF(D368=0,"",ROUND(AVERAGEIF(ASSESSMENTS!B:B,A368,ASSESSMENTS!H:H),1))</f>
        <v/>
      </c>
      <c r="F368" s="4">
        <f>IF(A368="","",IFERROR(ROUND(AVERAGEIFS(ASSESSMENTS!H:H,ASSESSMENTS!B:B,A368,ASSESSMENTS!E:E,"Mathematics"),1),""))</f>
        <v/>
      </c>
      <c r="G368" s="4">
        <f>IF(A368="","",IFERROR(ROUND(AVERAGEIFS(ASSESSMENTS!H:H,ASSESSMENTS!B:B,A368,ASSESSMENTS!E:E,"Mathematical Literacy"),1),""))</f>
        <v/>
      </c>
      <c r="H368" s="4">
        <f>IF(A368="","",IFERROR(ROUND(AVERAGEIFS(ASSESSMENTS!H:H,ASSESSMENTS!B:B,A368,ASSESSMENTS!E:E,"Physical Sciences"),1),""))</f>
        <v/>
      </c>
      <c r="I368" s="4">
        <f>IF(A368="","",IFERROR(ROUND(AVERAGEIFS(ASSESSMENTS!H:H,ASSESSMENTS!B:B,A368,ASSESSMENTS!E:E,"Geography"),1),""))</f>
        <v/>
      </c>
      <c r="J368" s="4">
        <f>IF(A368="","",IFERROR(ROUND(AVERAGEIFS(ASSESSMENTS!H:H,ASSESSMENTS!B:B,A368,ASSESSMENTS!E:E,"Accounting"),1),""))</f>
        <v/>
      </c>
      <c r="K368" s="4">
        <f>IF(A368="","",IFERROR(ROUND(AVERAGEIFS(ASSESSMENTS!H:H,ASSESSMENTS!B:B,A368,ASSESSMENTS!E:E,"English"),1),""))</f>
        <v/>
      </c>
      <c r="L368" s="5">
        <f>IF(A368="","",IFERROR(XLOOKUP(A368,ATTENDANCE_SUMMARY!A:A,ATTENDANCE_SUMMARY!G:G,""),""))</f>
        <v/>
      </c>
      <c r="M368" s="4">
        <f>IF(A368="","",IF(OR(E368&lt;50,AND(L368&lt;0.75,L368&lt;&gt;"" )),"At Risk","On Track"))</f>
        <v/>
      </c>
    </row>
    <row r="369">
      <c r="A369">
        <f>IF(MASTER_REGISTER!E369="","",MASTER_REGISTER!E369)</f>
        <v/>
      </c>
      <c r="B369">
        <f>IF(A369="","",MASTER_REGISTER!F369)</f>
        <v/>
      </c>
      <c r="C369">
        <f>IF(A369="","",MASTER_REGISTER!C369)</f>
        <v/>
      </c>
      <c r="D369">
        <f>IF(A369="","",COUNTIF(ASSESSMENTS!B:B,A369))</f>
        <v/>
      </c>
      <c r="E369" s="4">
        <f>IF(D369=0,"",ROUND(AVERAGEIF(ASSESSMENTS!B:B,A369,ASSESSMENTS!H:H),1))</f>
        <v/>
      </c>
      <c r="F369" s="4">
        <f>IF(A369="","",IFERROR(ROUND(AVERAGEIFS(ASSESSMENTS!H:H,ASSESSMENTS!B:B,A369,ASSESSMENTS!E:E,"Mathematics"),1),""))</f>
        <v/>
      </c>
      <c r="G369" s="4">
        <f>IF(A369="","",IFERROR(ROUND(AVERAGEIFS(ASSESSMENTS!H:H,ASSESSMENTS!B:B,A369,ASSESSMENTS!E:E,"Mathematical Literacy"),1),""))</f>
        <v/>
      </c>
      <c r="H369" s="4">
        <f>IF(A369="","",IFERROR(ROUND(AVERAGEIFS(ASSESSMENTS!H:H,ASSESSMENTS!B:B,A369,ASSESSMENTS!E:E,"Physical Sciences"),1),""))</f>
        <v/>
      </c>
      <c r="I369" s="4">
        <f>IF(A369="","",IFERROR(ROUND(AVERAGEIFS(ASSESSMENTS!H:H,ASSESSMENTS!B:B,A369,ASSESSMENTS!E:E,"Geography"),1),""))</f>
        <v/>
      </c>
      <c r="J369" s="4">
        <f>IF(A369="","",IFERROR(ROUND(AVERAGEIFS(ASSESSMENTS!H:H,ASSESSMENTS!B:B,A369,ASSESSMENTS!E:E,"Accounting"),1),""))</f>
        <v/>
      </c>
      <c r="K369" s="4">
        <f>IF(A369="","",IFERROR(ROUND(AVERAGEIFS(ASSESSMENTS!H:H,ASSESSMENTS!B:B,A369,ASSESSMENTS!E:E,"English"),1),""))</f>
        <v/>
      </c>
      <c r="L369" s="5">
        <f>IF(A369="","",IFERROR(XLOOKUP(A369,ATTENDANCE_SUMMARY!A:A,ATTENDANCE_SUMMARY!G:G,""),""))</f>
        <v/>
      </c>
      <c r="M369" s="4">
        <f>IF(A369="","",IF(OR(E369&lt;50,AND(L369&lt;0.75,L369&lt;&gt;"" )),"At Risk","On Track"))</f>
        <v/>
      </c>
    </row>
    <row r="370">
      <c r="A370">
        <f>IF(MASTER_REGISTER!E370="","",MASTER_REGISTER!E370)</f>
        <v/>
      </c>
      <c r="B370">
        <f>IF(A370="","",MASTER_REGISTER!F370)</f>
        <v/>
      </c>
      <c r="C370">
        <f>IF(A370="","",MASTER_REGISTER!C370)</f>
        <v/>
      </c>
      <c r="D370">
        <f>IF(A370="","",COUNTIF(ASSESSMENTS!B:B,A370))</f>
        <v/>
      </c>
      <c r="E370" s="4">
        <f>IF(D370=0,"",ROUND(AVERAGEIF(ASSESSMENTS!B:B,A370,ASSESSMENTS!H:H),1))</f>
        <v/>
      </c>
      <c r="F370" s="4">
        <f>IF(A370="","",IFERROR(ROUND(AVERAGEIFS(ASSESSMENTS!H:H,ASSESSMENTS!B:B,A370,ASSESSMENTS!E:E,"Mathematics"),1),""))</f>
        <v/>
      </c>
      <c r="G370" s="4">
        <f>IF(A370="","",IFERROR(ROUND(AVERAGEIFS(ASSESSMENTS!H:H,ASSESSMENTS!B:B,A370,ASSESSMENTS!E:E,"Mathematical Literacy"),1),""))</f>
        <v/>
      </c>
      <c r="H370" s="4">
        <f>IF(A370="","",IFERROR(ROUND(AVERAGEIFS(ASSESSMENTS!H:H,ASSESSMENTS!B:B,A370,ASSESSMENTS!E:E,"Physical Sciences"),1),""))</f>
        <v/>
      </c>
      <c r="I370" s="4">
        <f>IF(A370="","",IFERROR(ROUND(AVERAGEIFS(ASSESSMENTS!H:H,ASSESSMENTS!B:B,A370,ASSESSMENTS!E:E,"Geography"),1),""))</f>
        <v/>
      </c>
      <c r="J370" s="4">
        <f>IF(A370="","",IFERROR(ROUND(AVERAGEIFS(ASSESSMENTS!H:H,ASSESSMENTS!B:B,A370,ASSESSMENTS!E:E,"Accounting"),1),""))</f>
        <v/>
      </c>
      <c r="K370" s="4">
        <f>IF(A370="","",IFERROR(ROUND(AVERAGEIFS(ASSESSMENTS!H:H,ASSESSMENTS!B:B,A370,ASSESSMENTS!E:E,"English"),1),""))</f>
        <v/>
      </c>
      <c r="L370" s="5">
        <f>IF(A370="","",IFERROR(XLOOKUP(A370,ATTENDANCE_SUMMARY!A:A,ATTENDANCE_SUMMARY!G:G,""),""))</f>
        <v/>
      </c>
      <c r="M370" s="4">
        <f>IF(A370="","",IF(OR(E370&lt;50,AND(L370&lt;0.75,L370&lt;&gt;"" )),"At Risk","On Track"))</f>
        <v/>
      </c>
    </row>
    <row r="371">
      <c r="A371">
        <f>IF(MASTER_REGISTER!E371="","",MASTER_REGISTER!E371)</f>
        <v/>
      </c>
      <c r="B371">
        <f>IF(A371="","",MASTER_REGISTER!F371)</f>
        <v/>
      </c>
      <c r="C371">
        <f>IF(A371="","",MASTER_REGISTER!C371)</f>
        <v/>
      </c>
      <c r="D371">
        <f>IF(A371="","",COUNTIF(ASSESSMENTS!B:B,A371))</f>
        <v/>
      </c>
      <c r="E371" s="4">
        <f>IF(D371=0,"",ROUND(AVERAGEIF(ASSESSMENTS!B:B,A371,ASSESSMENTS!H:H),1))</f>
        <v/>
      </c>
      <c r="F371" s="4">
        <f>IF(A371="","",IFERROR(ROUND(AVERAGEIFS(ASSESSMENTS!H:H,ASSESSMENTS!B:B,A371,ASSESSMENTS!E:E,"Mathematics"),1),""))</f>
        <v/>
      </c>
      <c r="G371" s="4">
        <f>IF(A371="","",IFERROR(ROUND(AVERAGEIFS(ASSESSMENTS!H:H,ASSESSMENTS!B:B,A371,ASSESSMENTS!E:E,"Mathematical Literacy"),1),""))</f>
        <v/>
      </c>
      <c r="H371" s="4">
        <f>IF(A371="","",IFERROR(ROUND(AVERAGEIFS(ASSESSMENTS!H:H,ASSESSMENTS!B:B,A371,ASSESSMENTS!E:E,"Physical Sciences"),1),""))</f>
        <v/>
      </c>
      <c r="I371" s="4">
        <f>IF(A371="","",IFERROR(ROUND(AVERAGEIFS(ASSESSMENTS!H:H,ASSESSMENTS!B:B,A371,ASSESSMENTS!E:E,"Geography"),1),""))</f>
        <v/>
      </c>
      <c r="J371" s="4">
        <f>IF(A371="","",IFERROR(ROUND(AVERAGEIFS(ASSESSMENTS!H:H,ASSESSMENTS!B:B,A371,ASSESSMENTS!E:E,"Accounting"),1),""))</f>
        <v/>
      </c>
      <c r="K371" s="4">
        <f>IF(A371="","",IFERROR(ROUND(AVERAGEIFS(ASSESSMENTS!H:H,ASSESSMENTS!B:B,A371,ASSESSMENTS!E:E,"English"),1),""))</f>
        <v/>
      </c>
      <c r="L371" s="5">
        <f>IF(A371="","",IFERROR(XLOOKUP(A371,ATTENDANCE_SUMMARY!A:A,ATTENDANCE_SUMMARY!G:G,""),""))</f>
        <v/>
      </c>
      <c r="M371" s="4">
        <f>IF(A371="","",IF(OR(E371&lt;50,AND(L371&lt;0.75,L371&lt;&gt;"" )),"At Risk","On Track"))</f>
        <v/>
      </c>
    </row>
    <row r="372">
      <c r="A372">
        <f>IF(MASTER_REGISTER!E372="","",MASTER_REGISTER!E372)</f>
        <v/>
      </c>
      <c r="B372">
        <f>IF(A372="","",MASTER_REGISTER!F372)</f>
        <v/>
      </c>
      <c r="C372">
        <f>IF(A372="","",MASTER_REGISTER!C372)</f>
        <v/>
      </c>
      <c r="D372">
        <f>IF(A372="","",COUNTIF(ASSESSMENTS!B:B,A372))</f>
        <v/>
      </c>
      <c r="E372" s="4">
        <f>IF(D372=0,"",ROUND(AVERAGEIF(ASSESSMENTS!B:B,A372,ASSESSMENTS!H:H),1))</f>
        <v/>
      </c>
      <c r="F372" s="4">
        <f>IF(A372="","",IFERROR(ROUND(AVERAGEIFS(ASSESSMENTS!H:H,ASSESSMENTS!B:B,A372,ASSESSMENTS!E:E,"Mathematics"),1),""))</f>
        <v/>
      </c>
      <c r="G372" s="4">
        <f>IF(A372="","",IFERROR(ROUND(AVERAGEIFS(ASSESSMENTS!H:H,ASSESSMENTS!B:B,A372,ASSESSMENTS!E:E,"Mathematical Literacy"),1),""))</f>
        <v/>
      </c>
      <c r="H372" s="4">
        <f>IF(A372="","",IFERROR(ROUND(AVERAGEIFS(ASSESSMENTS!H:H,ASSESSMENTS!B:B,A372,ASSESSMENTS!E:E,"Physical Sciences"),1),""))</f>
        <v/>
      </c>
      <c r="I372" s="4">
        <f>IF(A372="","",IFERROR(ROUND(AVERAGEIFS(ASSESSMENTS!H:H,ASSESSMENTS!B:B,A372,ASSESSMENTS!E:E,"Geography"),1),""))</f>
        <v/>
      </c>
      <c r="J372" s="4">
        <f>IF(A372="","",IFERROR(ROUND(AVERAGEIFS(ASSESSMENTS!H:H,ASSESSMENTS!B:B,A372,ASSESSMENTS!E:E,"Accounting"),1),""))</f>
        <v/>
      </c>
      <c r="K372" s="4">
        <f>IF(A372="","",IFERROR(ROUND(AVERAGEIFS(ASSESSMENTS!H:H,ASSESSMENTS!B:B,A372,ASSESSMENTS!E:E,"English"),1),""))</f>
        <v/>
      </c>
      <c r="L372" s="5">
        <f>IF(A372="","",IFERROR(XLOOKUP(A372,ATTENDANCE_SUMMARY!A:A,ATTENDANCE_SUMMARY!G:G,""),""))</f>
        <v/>
      </c>
      <c r="M372" s="4">
        <f>IF(A372="","",IF(OR(E372&lt;50,AND(L372&lt;0.75,L372&lt;&gt;"" )),"At Risk","On Track"))</f>
        <v/>
      </c>
    </row>
    <row r="373">
      <c r="A373">
        <f>IF(MASTER_REGISTER!E373="","",MASTER_REGISTER!E373)</f>
        <v/>
      </c>
      <c r="B373">
        <f>IF(A373="","",MASTER_REGISTER!F373)</f>
        <v/>
      </c>
      <c r="C373">
        <f>IF(A373="","",MASTER_REGISTER!C373)</f>
        <v/>
      </c>
      <c r="D373">
        <f>IF(A373="","",COUNTIF(ASSESSMENTS!B:B,A373))</f>
        <v/>
      </c>
      <c r="E373" s="4">
        <f>IF(D373=0,"",ROUND(AVERAGEIF(ASSESSMENTS!B:B,A373,ASSESSMENTS!H:H),1))</f>
        <v/>
      </c>
      <c r="F373" s="4">
        <f>IF(A373="","",IFERROR(ROUND(AVERAGEIFS(ASSESSMENTS!H:H,ASSESSMENTS!B:B,A373,ASSESSMENTS!E:E,"Mathematics"),1),""))</f>
        <v/>
      </c>
      <c r="G373" s="4">
        <f>IF(A373="","",IFERROR(ROUND(AVERAGEIFS(ASSESSMENTS!H:H,ASSESSMENTS!B:B,A373,ASSESSMENTS!E:E,"Mathematical Literacy"),1),""))</f>
        <v/>
      </c>
      <c r="H373" s="4">
        <f>IF(A373="","",IFERROR(ROUND(AVERAGEIFS(ASSESSMENTS!H:H,ASSESSMENTS!B:B,A373,ASSESSMENTS!E:E,"Physical Sciences"),1),""))</f>
        <v/>
      </c>
      <c r="I373" s="4">
        <f>IF(A373="","",IFERROR(ROUND(AVERAGEIFS(ASSESSMENTS!H:H,ASSESSMENTS!B:B,A373,ASSESSMENTS!E:E,"Geography"),1),""))</f>
        <v/>
      </c>
      <c r="J373" s="4">
        <f>IF(A373="","",IFERROR(ROUND(AVERAGEIFS(ASSESSMENTS!H:H,ASSESSMENTS!B:B,A373,ASSESSMENTS!E:E,"Accounting"),1),""))</f>
        <v/>
      </c>
      <c r="K373" s="4">
        <f>IF(A373="","",IFERROR(ROUND(AVERAGEIFS(ASSESSMENTS!H:H,ASSESSMENTS!B:B,A373,ASSESSMENTS!E:E,"English"),1),""))</f>
        <v/>
      </c>
      <c r="L373" s="5">
        <f>IF(A373="","",IFERROR(XLOOKUP(A373,ATTENDANCE_SUMMARY!A:A,ATTENDANCE_SUMMARY!G:G,""),""))</f>
        <v/>
      </c>
      <c r="M373" s="4">
        <f>IF(A373="","",IF(OR(E373&lt;50,AND(L373&lt;0.75,L373&lt;&gt;"" )),"At Risk","On Track"))</f>
        <v/>
      </c>
    </row>
    <row r="374">
      <c r="A374">
        <f>IF(MASTER_REGISTER!E374="","",MASTER_REGISTER!E374)</f>
        <v/>
      </c>
      <c r="B374">
        <f>IF(A374="","",MASTER_REGISTER!F374)</f>
        <v/>
      </c>
      <c r="C374">
        <f>IF(A374="","",MASTER_REGISTER!C374)</f>
        <v/>
      </c>
      <c r="D374">
        <f>IF(A374="","",COUNTIF(ASSESSMENTS!B:B,A374))</f>
        <v/>
      </c>
      <c r="E374" s="4">
        <f>IF(D374=0,"",ROUND(AVERAGEIF(ASSESSMENTS!B:B,A374,ASSESSMENTS!H:H),1))</f>
        <v/>
      </c>
      <c r="F374" s="4">
        <f>IF(A374="","",IFERROR(ROUND(AVERAGEIFS(ASSESSMENTS!H:H,ASSESSMENTS!B:B,A374,ASSESSMENTS!E:E,"Mathematics"),1),""))</f>
        <v/>
      </c>
      <c r="G374" s="4">
        <f>IF(A374="","",IFERROR(ROUND(AVERAGEIFS(ASSESSMENTS!H:H,ASSESSMENTS!B:B,A374,ASSESSMENTS!E:E,"Mathematical Literacy"),1),""))</f>
        <v/>
      </c>
      <c r="H374" s="4">
        <f>IF(A374="","",IFERROR(ROUND(AVERAGEIFS(ASSESSMENTS!H:H,ASSESSMENTS!B:B,A374,ASSESSMENTS!E:E,"Physical Sciences"),1),""))</f>
        <v/>
      </c>
      <c r="I374" s="4">
        <f>IF(A374="","",IFERROR(ROUND(AVERAGEIFS(ASSESSMENTS!H:H,ASSESSMENTS!B:B,A374,ASSESSMENTS!E:E,"Geography"),1),""))</f>
        <v/>
      </c>
      <c r="J374" s="4">
        <f>IF(A374="","",IFERROR(ROUND(AVERAGEIFS(ASSESSMENTS!H:H,ASSESSMENTS!B:B,A374,ASSESSMENTS!E:E,"Accounting"),1),""))</f>
        <v/>
      </c>
      <c r="K374" s="4">
        <f>IF(A374="","",IFERROR(ROUND(AVERAGEIFS(ASSESSMENTS!H:H,ASSESSMENTS!B:B,A374,ASSESSMENTS!E:E,"English"),1),""))</f>
        <v/>
      </c>
      <c r="L374" s="5">
        <f>IF(A374="","",IFERROR(XLOOKUP(A374,ATTENDANCE_SUMMARY!A:A,ATTENDANCE_SUMMARY!G:G,""),""))</f>
        <v/>
      </c>
      <c r="M374" s="4">
        <f>IF(A374="","",IF(OR(E374&lt;50,AND(L374&lt;0.75,L374&lt;&gt;"" )),"At Risk","On Track"))</f>
        <v/>
      </c>
    </row>
    <row r="375">
      <c r="A375">
        <f>IF(MASTER_REGISTER!E375="","",MASTER_REGISTER!E375)</f>
        <v/>
      </c>
      <c r="B375">
        <f>IF(A375="","",MASTER_REGISTER!F375)</f>
        <v/>
      </c>
      <c r="C375">
        <f>IF(A375="","",MASTER_REGISTER!C375)</f>
        <v/>
      </c>
      <c r="D375">
        <f>IF(A375="","",COUNTIF(ASSESSMENTS!B:B,A375))</f>
        <v/>
      </c>
      <c r="E375" s="4">
        <f>IF(D375=0,"",ROUND(AVERAGEIF(ASSESSMENTS!B:B,A375,ASSESSMENTS!H:H),1))</f>
        <v/>
      </c>
      <c r="F375" s="4">
        <f>IF(A375="","",IFERROR(ROUND(AVERAGEIFS(ASSESSMENTS!H:H,ASSESSMENTS!B:B,A375,ASSESSMENTS!E:E,"Mathematics"),1),""))</f>
        <v/>
      </c>
      <c r="G375" s="4">
        <f>IF(A375="","",IFERROR(ROUND(AVERAGEIFS(ASSESSMENTS!H:H,ASSESSMENTS!B:B,A375,ASSESSMENTS!E:E,"Mathematical Literacy"),1),""))</f>
        <v/>
      </c>
      <c r="H375" s="4">
        <f>IF(A375="","",IFERROR(ROUND(AVERAGEIFS(ASSESSMENTS!H:H,ASSESSMENTS!B:B,A375,ASSESSMENTS!E:E,"Physical Sciences"),1),""))</f>
        <v/>
      </c>
      <c r="I375" s="4">
        <f>IF(A375="","",IFERROR(ROUND(AVERAGEIFS(ASSESSMENTS!H:H,ASSESSMENTS!B:B,A375,ASSESSMENTS!E:E,"Geography"),1),""))</f>
        <v/>
      </c>
      <c r="J375" s="4">
        <f>IF(A375="","",IFERROR(ROUND(AVERAGEIFS(ASSESSMENTS!H:H,ASSESSMENTS!B:B,A375,ASSESSMENTS!E:E,"Accounting"),1),""))</f>
        <v/>
      </c>
      <c r="K375" s="4">
        <f>IF(A375="","",IFERROR(ROUND(AVERAGEIFS(ASSESSMENTS!H:H,ASSESSMENTS!B:B,A375,ASSESSMENTS!E:E,"English"),1),""))</f>
        <v/>
      </c>
      <c r="L375" s="5">
        <f>IF(A375="","",IFERROR(XLOOKUP(A375,ATTENDANCE_SUMMARY!A:A,ATTENDANCE_SUMMARY!G:G,""),""))</f>
        <v/>
      </c>
      <c r="M375" s="4">
        <f>IF(A375="","",IF(OR(E375&lt;50,AND(L375&lt;0.75,L375&lt;&gt;"" )),"At Risk","On Track"))</f>
        <v/>
      </c>
    </row>
    <row r="376">
      <c r="A376">
        <f>IF(MASTER_REGISTER!E376="","",MASTER_REGISTER!E376)</f>
        <v/>
      </c>
      <c r="B376">
        <f>IF(A376="","",MASTER_REGISTER!F376)</f>
        <v/>
      </c>
      <c r="C376">
        <f>IF(A376="","",MASTER_REGISTER!C376)</f>
        <v/>
      </c>
      <c r="D376">
        <f>IF(A376="","",COUNTIF(ASSESSMENTS!B:B,A376))</f>
        <v/>
      </c>
      <c r="E376" s="4">
        <f>IF(D376=0,"",ROUND(AVERAGEIF(ASSESSMENTS!B:B,A376,ASSESSMENTS!H:H),1))</f>
        <v/>
      </c>
      <c r="F376" s="4">
        <f>IF(A376="","",IFERROR(ROUND(AVERAGEIFS(ASSESSMENTS!H:H,ASSESSMENTS!B:B,A376,ASSESSMENTS!E:E,"Mathematics"),1),""))</f>
        <v/>
      </c>
      <c r="G376" s="4">
        <f>IF(A376="","",IFERROR(ROUND(AVERAGEIFS(ASSESSMENTS!H:H,ASSESSMENTS!B:B,A376,ASSESSMENTS!E:E,"Mathematical Literacy"),1),""))</f>
        <v/>
      </c>
      <c r="H376" s="4">
        <f>IF(A376="","",IFERROR(ROUND(AVERAGEIFS(ASSESSMENTS!H:H,ASSESSMENTS!B:B,A376,ASSESSMENTS!E:E,"Physical Sciences"),1),""))</f>
        <v/>
      </c>
      <c r="I376" s="4">
        <f>IF(A376="","",IFERROR(ROUND(AVERAGEIFS(ASSESSMENTS!H:H,ASSESSMENTS!B:B,A376,ASSESSMENTS!E:E,"Geography"),1),""))</f>
        <v/>
      </c>
      <c r="J376" s="4">
        <f>IF(A376="","",IFERROR(ROUND(AVERAGEIFS(ASSESSMENTS!H:H,ASSESSMENTS!B:B,A376,ASSESSMENTS!E:E,"Accounting"),1),""))</f>
        <v/>
      </c>
      <c r="K376" s="4">
        <f>IF(A376="","",IFERROR(ROUND(AVERAGEIFS(ASSESSMENTS!H:H,ASSESSMENTS!B:B,A376,ASSESSMENTS!E:E,"English"),1),""))</f>
        <v/>
      </c>
      <c r="L376" s="5">
        <f>IF(A376="","",IFERROR(XLOOKUP(A376,ATTENDANCE_SUMMARY!A:A,ATTENDANCE_SUMMARY!G:G,""),""))</f>
        <v/>
      </c>
      <c r="M376" s="4">
        <f>IF(A376="","",IF(OR(E376&lt;50,AND(L376&lt;0.75,L376&lt;&gt;"" )),"At Risk","On Track"))</f>
        <v/>
      </c>
    </row>
    <row r="377">
      <c r="A377">
        <f>IF(MASTER_REGISTER!E377="","",MASTER_REGISTER!E377)</f>
        <v/>
      </c>
      <c r="B377">
        <f>IF(A377="","",MASTER_REGISTER!F377)</f>
        <v/>
      </c>
      <c r="C377">
        <f>IF(A377="","",MASTER_REGISTER!C377)</f>
        <v/>
      </c>
      <c r="D377">
        <f>IF(A377="","",COUNTIF(ASSESSMENTS!B:B,A377))</f>
        <v/>
      </c>
      <c r="E377" s="4">
        <f>IF(D377=0,"",ROUND(AVERAGEIF(ASSESSMENTS!B:B,A377,ASSESSMENTS!H:H),1))</f>
        <v/>
      </c>
      <c r="F377" s="4">
        <f>IF(A377="","",IFERROR(ROUND(AVERAGEIFS(ASSESSMENTS!H:H,ASSESSMENTS!B:B,A377,ASSESSMENTS!E:E,"Mathematics"),1),""))</f>
        <v/>
      </c>
      <c r="G377" s="4">
        <f>IF(A377="","",IFERROR(ROUND(AVERAGEIFS(ASSESSMENTS!H:H,ASSESSMENTS!B:B,A377,ASSESSMENTS!E:E,"Mathematical Literacy"),1),""))</f>
        <v/>
      </c>
      <c r="H377" s="4">
        <f>IF(A377="","",IFERROR(ROUND(AVERAGEIFS(ASSESSMENTS!H:H,ASSESSMENTS!B:B,A377,ASSESSMENTS!E:E,"Physical Sciences"),1),""))</f>
        <v/>
      </c>
      <c r="I377" s="4">
        <f>IF(A377="","",IFERROR(ROUND(AVERAGEIFS(ASSESSMENTS!H:H,ASSESSMENTS!B:B,A377,ASSESSMENTS!E:E,"Geography"),1),""))</f>
        <v/>
      </c>
      <c r="J377" s="4">
        <f>IF(A377="","",IFERROR(ROUND(AVERAGEIFS(ASSESSMENTS!H:H,ASSESSMENTS!B:B,A377,ASSESSMENTS!E:E,"Accounting"),1),""))</f>
        <v/>
      </c>
      <c r="K377" s="4">
        <f>IF(A377="","",IFERROR(ROUND(AVERAGEIFS(ASSESSMENTS!H:H,ASSESSMENTS!B:B,A377,ASSESSMENTS!E:E,"English"),1),""))</f>
        <v/>
      </c>
      <c r="L377" s="5">
        <f>IF(A377="","",IFERROR(XLOOKUP(A377,ATTENDANCE_SUMMARY!A:A,ATTENDANCE_SUMMARY!G:G,""),""))</f>
        <v/>
      </c>
      <c r="M377" s="4">
        <f>IF(A377="","",IF(OR(E377&lt;50,AND(L377&lt;0.75,L377&lt;&gt;"" )),"At Risk","On Track"))</f>
        <v/>
      </c>
    </row>
    <row r="378">
      <c r="A378">
        <f>IF(MASTER_REGISTER!E378="","",MASTER_REGISTER!E378)</f>
        <v/>
      </c>
      <c r="B378">
        <f>IF(A378="","",MASTER_REGISTER!F378)</f>
        <v/>
      </c>
      <c r="C378">
        <f>IF(A378="","",MASTER_REGISTER!C378)</f>
        <v/>
      </c>
      <c r="D378">
        <f>IF(A378="","",COUNTIF(ASSESSMENTS!B:B,A378))</f>
        <v/>
      </c>
      <c r="E378" s="4">
        <f>IF(D378=0,"",ROUND(AVERAGEIF(ASSESSMENTS!B:B,A378,ASSESSMENTS!H:H),1))</f>
        <v/>
      </c>
      <c r="F378" s="4">
        <f>IF(A378="","",IFERROR(ROUND(AVERAGEIFS(ASSESSMENTS!H:H,ASSESSMENTS!B:B,A378,ASSESSMENTS!E:E,"Mathematics"),1),""))</f>
        <v/>
      </c>
      <c r="G378" s="4">
        <f>IF(A378="","",IFERROR(ROUND(AVERAGEIFS(ASSESSMENTS!H:H,ASSESSMENTS!B:B,A378,ASSESSMENTS!E:E,"Mathematical Literacy"),1),""))</f>
        <v/>
      </c>
      <c r="H378" s="4">
        <f>IF(A378="","",IFERROR(ROUND(AVERAGEIFS(ASSESSMENTS!H:H,ASSESSMENTS!B:B,A378,ASSESSMENTS!E:E,"Physical Sciences"),1),""))</f>
        <v/>
      </c>
      <c r="I378" s="4">
        <f>IF(A378="","",IFERROR(ROUND(AVERAGEIFS(ASSESSMENTS!H:H,ASSESSMENTS!B:B,A378,ASSESSMENTS!E:E,"Geography"),1),""))</f>
        <v/>
      </c>
      <c r="J378" s="4">
        <f>IF(A378="","",IFERROR(ROUND(AVERAGEIFS(ASSESSMENTS!H:H,ASSESSMENTS!B:B,A378,ASSESSMENTS!E:E,"Accounting"),1),""))</f>
        <v/>
      </c>
      <c r="K378" s="4">
        <f>IF(A378="","",IFERROR(ROUND(AVERAGEIFS(ASSESSMENTS!H:H,ASSESSMENTS!B:B,A378,ASSESSMENTS!E:E,"English"),1),""))</f>
        <v/>
      </c>
      <c r="L378" s="5">
        <f>IF(A378="","",IFERROR(XLOOKUP(A378,ATTENDANCE_SUMMARY!A:A,ATTENDANCE_SUMMARY!G:G,""),""))</f>
        <v/>
      </c>
      <c r="M378" s="4">
        <f>IF(A378="","",IF(OR(E378&lt;50,AND(L378&lt;0.75,L378&lt;&gt;"" )),"At Risk","On Track"))</f>
        <v/>
      </c>
    </row>
    <row r="379">
      <c r="A379">
        <f>IF(MASTER_REGISTER!E379="","",MASTER_REGISTER!E379)</f>
        <v/>
      </c>
      <c r="B379">
        <f>IF(A379="","",MASTER_REGISTER!F379)</f>
        <v/>
      </c>
      <c r="C379">
        <f>IF(A379="","",MASTER_REGISTER!C379)</f>
        <v/>
      </c>
      <c r="D379">
        <f>IF(A379="","",COUNTIF(ASSESSMENTS!B:B,A379))</f>
        <v/>
      </c>
      <c r="E379" s="4">
        <f>IF(D379=0,"",ROUND(AVERAGEIF(ASSESSMENTS!B:B,A379,ASSESSMENTS!H:H),1))</f>
        <v/>
      </c>
      <c r="F379" s="4">
        <f>IF(A379="","",IFERROR(ROUND(AVERAGEIFS(ASSESSMENTS!H:H,ASSESSMENTS!B:B,A379,ASSESSMENTS!E:E,"Mathematics"),1),""))</f>
        <v/>
      </c>
      <c r="G379" s="4">
        <f>IF(A379="","",IFERROR(ROUND(AVERAGEIFS(ASSESSMENTS!H:H,ASSESSMENTS!B:B,A379,ASSESSMENTS!E:E,"Mathematical Literacy"),1),""))</f>
        <v/>
      </c>
      <c r="H379" s="4">
        <f>IF(A379="","",IFERROR(ROUND(AVERAGEIFS(ASSESSMENTS!H:H,ASSESSMENTS!B:B,A379,ASSESSMENTS!E:E,"Physical Sciences"),1),""))</f>
        <v/>
      </c>
      <c r="I379" s="4">
        <f>IF(A379="","",IFERROR(ROUND(AVERAGEIFS(ASSESSMENTS!H:H,ASSESSMENTS!B:B,A379,ASSESSMENTS!E:E,"Geography"),1),""))</f>
        <v/>
      </c>
      <c r="J379" s="4">
        <f>IF(A379="","",IFERROR(ROUND(AVERAGEIFS(ASSESSMENTS!H:H,ASSESSMENTS!B:B,A379,ASSESSMENTS!E:E,"Accounting"),1),""))</f>
        <v/>
      </c>
      <c r="K379" s="4">
        <f>IF(A379="","",IFERROR(ROUND(AVERAGEIFS(ASSESSMENTS!H:H,ASSESSMENTS!B:B,A379,ASSESSMENTS!E:E,"English"),1),""))</f>
        <v/>
      </c>
      <c r="L379" s="5">
        <f>IF(A379="","",IFERROR(XLOOKUP(A379,ATTENDANCE_SUMMARY!A:A,ATTENDANCE_SUMMARY!G:G,""),""))</f>
        <v/>
      </c>
      <c r="M379" s="4">
        <f>IF(A379="","",IF(OR(E379&lt;50,AND(L379&lt;0.75,L379&lt;&gt;"" )),"At Risk","On Track"))</f>
        <v/>
      </c>
    </row>
    <row r="380">
      <c r="A380">
        <f>IF(MASTER_REGISTER!E380="","",MASTER_REGISTER!E380)</f>
        <v/>
      </c>
      <c r="B380">
        <f>IF(A380="","",MASTER_REGISTER!F380)</f>
        <v/>
      </c>
      <c r="C380">
        <f>IF(A380="","",MASTER_REGISTER!C380)</f>
        <v/>
      </c>
      <c r="D380">
        <f>IF(A380="","",COUNTIF(ASSESSMENTS!B:B,A380))</f>
        <v/>
      </c>
      <c r="E380" s="4">
        <f>IF(D380=0,"",ROUND(AVERAGEIF(ASSESSMENTS!B:B,A380,ASSESSMENTS!H:H),1))</f>
        <v/>
      </c>
      <c r="F380" s="4">
        <f>IF(A380="","",IFERROR(ROUND(AVERAGEIFS(ASSESSMENTS!H:H,ASSESSMENTS!B:B,A380,ASSESSMENTS!E:E,"Mathematics"),1),""))</f>
        <v/>
      </c>
      <c r="G380" s="4">
        <f>IF(A380="","",IFERROR(ROUND(AVERAGEIFS(ASSESSMENTS!H:H,ASSESSMENTS!B:B,A380,ASSESSMENTS!E:E,"Mathematical Literacy"),1),""))</f>
        <v/>
      </c>
      <c r="H380" s="4">
        <f>IF(A380="","",IFERROR(ROUND(AVERAGEIFS(ASSESSMENTS!H:H,ASSESSMENTS!B:B,A380,ASSESSMENTS!E:E,"Physical Sciences"),1),""))</f>
        <v/>
      </c>
      <c r="I380" s="4">
        <f>IF(A380="","",IFERROR(ROUND(AVERAGEIFS(ASSESSMENTS!H:H,ASSESSMENTS!B:B,A380,ASSESSMENTS!E:E,"Geography"),1),""))</f>
        <v/>
      </c>
      <c r="J380" s="4">
        <f>IF(A380="","",IFERROR(ROUND(AVERAGEIFS(ASSESSMENTS!H:H,ASSESSMENTS!B:B,A380,ASSESSMENTS!E:E,"Accounting"),1),""))</f>
        <v/>
      </c>
      <c r="K380" s="4">
        <f>IF(A380="","",IFERROR(ROUND(AVERAGEIFS(ASSESSMENTS!H:H,ASSESSMENTS!B:B,A380,ASSESSMENTS!E:E,"English"),1),""))</f>
        <v/>
      </c>
      <c r="L380" s="5">
        <f>IF(A380="","",IFERROR(XLOOKUP(A380,ATTENDANCE_SUMMARY!A:A,ATTENDANCE_SUMMARY!G:G,""),""))</f>
        <v/>
      </c>
      <c r="M380" s="4">
        <f>IF(A380="","",IF(OR(E380&lt;50,AND(L380&lt;0.75,L380&lt;&gt;"" )),"At Risk","On Track"))</f>
        <v/>
      </c>
    </row>
    <row r="381">
      <c r="A381">
        <f>IF(MASTER_REGISTER!E381="","",MASTER_REGISTER!E381)</f>
        <v/>
      </c>
      <c r="B381">
        <f>IF(A381="","",MASTER_REGISTER!F381)</f>
        <v/>
      </c>
      <c r="C381">
        <f>IF(A381="","",MASTER_REGISTER!C381)</f>
        <v/>
      </c>
      <c r="D381">
        <f>IF(A381="","",COUNTIF(ASSESSMENTS!B:B,A381))</f>
        <v/>
      </c>
      <c r="E381" s="4">
        <f>IF(D381=0,"",ROUND(AVERAGEIF(ASSESSMENTS!B:B,A381,ASSESSMENTS!H:H),1))</f>
        <v/>
      </c>
      <c r="F381" s="4">
        <f>IF(A381="","",IFERROR(ROUND(AVERAGEIFS(ASSESSMENTS!H:H,ASSESSMENTS!B:B,A381,ASSESSMENTS!E:E,"Mathematics"),1),""))</f>
        <v/>
      </c>
      <c r="G381" s="4">
        <f>IF(A381="","",IFERROR(ROUND(AVERAGEIFS(ASSESSMENTS!H:H,ASSESSMENTS!B:B,A381,ASSESSMENTS!E:E,"Mathematical Literacy"),1),""))</f>
        <v/>
      </c>
      <c r="H381" s="4">
        <f>IF(A381="","",IFERROR(ROUND(AVERAGEIFS(ASSESSMENTS!H:H,ASSESSMENTS!B:B,A381,ASSESSMENTS!E:E,"Physical Sciences"),1),""))</f>
        <v/>
      </c>
      <c r="I381" s="4">
        <f>IF(A381="","",IFERROR(ROUND(AVERAGEIFS(ASSESSMENTS!H:H,ASSESSMENTS!B:B,A381,ASSESSMENTS!E:E,"Geography"),1),""))</f>
        <v/>
      </c>
      <c r="J381" s="4">
        <f>IF(A381="","",IFERROR(ROUND(AVERAGEIFS(ASSESSMENTS!H:H,ASSESSMENTS!B:B,A381,ASSESSMENTS!E:E,"Accounting"),1),""))</f>
        <v/>
      </c>
      <c r="K381" s="4">
        <f>IF(A381="","",IFERROR(ROUND(AVERAGEIFS(ASSESSMENTS!H:H,ASSESSMENTS!B:B,A381,ASSESSMENTS!E:E,"English"),1),""))</f>
        <v/>
      </c>
      <c r="L381" s="5">
        <f>IF(A381="","",IFERROR(XLOOKUP(A381,ATTENDANCE_SUMMARY!A:A,ATTENDANCE_SUMMARY!G:G,""),""))</f>
        <v/>
      </c>
      <c r="M381" s="4">
        <f>IF(A381="","",IF(OR(E381&lt;50,AND(L381&lt;0.75,L381&lt;&gt;"" )),"At Risk","On Track"))</f>
        <v/>
      </c>
    </row>
    <row r="382">
      <c r="A382">
        <f>IF(MASTER_REGISTER!E382="","",MASTER_REGISTER!E382)</f>
        <v/>
      </c>
      <c r="B382">
        <f>IF(A382="","",MASTER_REGISTER!F382)</f>
        <v/>
      </c>
      <c r="C382">
        <f>IF(A382="","",MASTER_REGISTER!C382)</f>
        <v/>
      </c>
      <c r="D382">
        <f>IF(A382="","",COUNTIF(ASSESSMENTS!B:B,A382))</f>
        <v/>
      </c>
      <c r="E382" s="4">
        <f>IF(D382=0,"",ROUND(AVERAGEIF(ASSESSMENTS!B:B,A382,ASSESSMENTS!H:H),1))</f>
        <v/>
      </c>
      <c r="F382" s="4">
        <f>IF(A382="","",IFERROR(ROUND(AVERAGEIFS(ASSESSMENTS!H:H,ASSESSMENTS!B:B,A382,ASSESSMENTS!E:E,"Mathematics"),1),""))</f>
        <v/>
      </c>
      <c r="G382" s="4">
        <f>IF(A382="","",IFERROR(ROUND(AVERAGEIFS(ASSESSMENTS!H:H,ASSESSMENTS!B:B,A382,ASSESSMENTS!E:E,"Mathematical Literacy"),1),""))</f>
        <v/>
      </c>
      <c r="H382" s="4">
        <f>IF(A382="","",IFERROR(ROUND(AVERAGEIFS(ASSESSMENTS!H:H,ASSESSMENTS!B:B,A382,ASSESSMENTS!E:E,"Physical Sciences"),1),""))</f>
        <v/>
      </c>
      <c r="I382" s="4">
        <f>IF(A382="","",IFERROR(ROUND(AVERAGEIFS(ASSESSMENTS!H:H,ASSESSMENTS!B:B,A382,ASSESSMENTS!E:E,"Geography"),1),""))</f>
        <v/>
      </c>
      <c r="J382" s="4">
        <f>IF(A382="","",IFERROR(ROUND(AVERAGEIFS(ASSESSMENTS!H:H,ASSESSMENTS!B:B,A382,ASSESSMENTS!E:E,"Accounting"),1),""))</f>
        <v/>
      </c>
      <c r="K382" s="4">
        <f>IF(A382="","",IFERROR(ROUND(AVERAGEIFS(ASSESSMENTS!H:H,ASSESSMENTS!B:B,A382,ASSESSMENTS!E:E,"English"),1),""))</f>
        <v/>
      </c>
      <c r="L382" s="5">
        <f>IF(A382="","",IFERROR(XLOOKUP(A382,ATTENDANCE_SUMMARY!A:A,ATTENDANCE_SUMMARY!G:G,""),""))</f>
        <v/>
      </c>
      <c r="M382" s="4">
        <f>IF(A382="","",IF(OR(E382&lt;50,AND(L382&lt;0.75,L382&lt;&gt;"" )),"At Risk","On Track"))</f>
        <v/>
      </c>
    </row>
    <row r="383">
      <c r="A383">
        <f>IF(MASTER_REGISTER!E383="","",MASTER_REGISTER!E383)</f>
        <v/>
      </c>
      <c r="B383">
        <f>IF(A383="","",MASTER_REGISTER!F383)</f>
        <v/>
      </c>
      <c r="C383">
        <f>IF(A383="","",MASTER_REGISTER!C383)</f>
        <v/>
      </c>
      <c r="D383">
        <f>IF(A383="","",COUNTIF(ASSESSMENTS!B:B,A383))</f>
        <v/>
      </c>
      <c r="E383" s="4">
        <f>IF(D383=0,"",ROUND(AVERAGEIF(ASSESSMENTS!B:B,A383,ASSESSMENTS!H:H),1))</f>
        <v/>
      </c>
      <c r="F383" s="4">
        <f>IF(A383="","",IFERROR(ROUND(AVERAGEIFS(ASSESSMENTS!H:H,ASSESSMENTS!B:B,A383,ASSESSMENTS!E:E,"Mathematics"),1),""))</f>
        <v/>
      </c>
      <c r="G383" s="4">
        <f>IF(A383="","",IFERROR(ROUND(AVERAGEIFS(ASSESSMENTS!H:H,ASSESSMENTS!B:B,A383,ASSESSMENTS!E:E,"Mathematical Literacy"),1),""))</f>
        <v/>
      </c>
      <c r="H383" s="4">
        <f>IF(A383="","",IFERROR(ROUND(AVERAGEIFS(ASSESSMENTS!H:H,ASSESSMENTS!B:B,A383,ASSESSMENTS!E:E,"Physical Sciences"),1),""))</f>
        <v/>
      </c>
      <c r="I383" s="4">
        <f>IF(A383="","",IFERROR(ROUND(AVERAGEIFS(ASSESSMENTS!H:H,ASSESSMENTS!B:B,A383,ASSESSMENTS!E:E,"Geography"),1),""))</f>
        <v/>
      </c>
      <c r="J383" s="4">
        <f>IF(A383="","",IFERROR(ROUND(AVERAGEIFS(ASSESSMENTS!H:H,ASSESSMENTS!B:B,A383,ASSESSMENTS!E:E,"Accounting"),1),""))</f>
        <v/>
      </c>
      <c r="K383" s="4">
        <f>IF(A383="","",IFERROR(ROUND(AVERAGEIFS(ASSESSMENTS!H:H,ASSESSMENTS!B:B,A383,ASSESSMENTS!E:E,"English"),1),""))</f>
        <v/>
      </c>
      <c r="L383" s="5">
        <f>IF(A383="","",IFERROR(XLOOKUP(A383,ATTENDANCE_SUMMARY!A:A,ATTENDANCE_SUMMARY!G:G,""),""))</f>
        <v/>
      </c>
      <c r="M383" s="4">
        <f>IF(A383="","",IF(OR(E383&lt;50,AND(L383&lt;0.75,L383&lt;&gt;"" )),"At Risk","On Track"))</f>
        <v/>
      </c>
    </row>
    <row r="384">
      <c r="A384">
        <f>IF(MASTER_REGISTER!E384="","",MASTER_REGISTER!E384)</f>
        <v/>
      </c>
      <c r="B384">
        <f>IF(A384="","",MASTER_REGISTER!F384)</f>
        <v/>
      </c>
      <c r="C384">
        <f>IF(A384="","",MASTER_REGISTER!C384)</f>
        <v/>
      </c>
      <c r="D384">
        <f>IF(A384="","",COUNTIF(ASSESSMENTS!B:B,A384))</f>
        <v/>
      </c>
      <c r="E384" s="4">
        <f>IF(D384=0,"",ROUND(AVERAGEIF(ASSESSMENTS!B:B,A384,ASSESSMENTS!H:H),1))</f>
        <v/>
      </c>
      <c r="F384" s="4">
        <f>IF(A384="","",IFERROR(ROUND(AVERAGEIFS(ASSESSMENTS!H:H,ASSESSMENTS!B:B,A384,ASSESSMENTS!E:E,"Mathematics"),1),""))</f>
        <v/>
      </c>
      <c r="G384" s="4">
        <f>IF(A384="","",IFERROR(ROUND(AVERAGEIFS(ASSESSMENTS!H:H,ASSESSMENTS!B:B,A384,ASSESSMENTS!E:E,"Mathematical Literacy"),1),""))</f>
        <v/>
      </c>
      <c r="H384" s="4">
        <f>IF(A384="","",IFERROR(ROUND(AVERAGEIFS(ASSESSMENTS!H:H,ASSESSMENTS!B:B,A384,ASSESSMENTS!E:E,"Physical Sciences"),1),""))</f>
        <v/>
      </c>
      <c r="I384" s="4">
        <f>IF(A384="","",IFERROR(ROUND(AVERAGEIFS(ASSESSMENTS!H:H,ASSESSMENTS!B:B,A384,ASSESSMENTS!E:E,"Geography"),1),""))</f>
        <v/>
      </c>
      <c r="J384" s="4">
        <f>IF(A384="","",IFERROR(ROUND(AVERAGEIFS(ASSESSMENTS!H:H,ASSESSMENTS!B:B,A384,ASSESSMENTS!E:E,"Accounting"),1),""))</f>
        <v/>
      </c>
      <c r="K384" s="4">
        <f>IF(A384="","",IFERROR(ROUND(AVERAGEIFS(ASSESSMENTS!H:H,ASSESSMENTS!B:B,A384,ASSESSMENTS!E:E,"English"),1),""))</f>
        <v/>
      </c>
      <c r="L384" s="5">
        <f>IF(A384="","",IFERROR(XLOOKUP(A384,ATTENDANCE_SUMMARY!A:A,ATTENDANCE_SUMMARY!G:G,""),""))</f>
        <v/>
      </c>
      <c r="M384" s="4">
        <f>IF(A384="","",IF(OR(E384&lt;50,AND(L384&lt;0.75,L384&lt;&gt;"" )),"At Risk","On Track"))</f>
        <v/>
      </c>
    </row>
    <row r="385">
      <c r="A385">
        <f>IF(MASTER_REGISTER!E385="","",MASTER_REGISTER!E385)</f>
        <v/>
      </c>
      <c r="B385">
        <f>IF(A385="","",MASTER_REGISTER!F385)</f>
        <v/>
      </c>
      <c r="C385">
        <f>IF(A385="","",MASTER_REGISTER!C385)</f>
        <v/>
      </c>
      <c r="D385">
        <f>IF(A385="","",COUNTIF(ASSESSMENTS!B:B,A385))</f>
        <v/>
      </c>
      <c r="E385" s="4">
        <f>IF(D385=0,"",ROUND(AVERAGEIF(ASSESSMENTS!B:B,A385,ASSESSMENTS!H:H),1))</f>
        <v/>
      </c>
      <c r="F385" s="4">
        <f>IF(A385="","",IFERROR(ROUND(AVERAGEIFS(ASSESSMENTS!H:H,ASSESSMENTS!B:B,A385,ASSESSMENTS!E:E,"Mathematics"),1),""))</f>
        <v/>
      </c>
      <c r="G385" s="4">
        <f>IF(A385="","",IFERROR(ROUND(AVERAGEIFS(ASSESSMENTS!H:H,ASSESSMENTS!B:B,A385,ASSESSMENTS!E:E,"Mathematical Literacy"),1),""))</f>
        <v/>
      </c>
      <c r="H385" s="4">
        <f>IF(A385="","",IFERROR(ROUND(AVERAGEIFS(ASSESSMENTS!H:H,ASSESSMENTS!B:B,A385,ASSESSMENTS!E:E,"Physical Sciences"),1),""))</f>
        <v/>
      </c>
      <c r="I385" s="4">
        <f>IF(A385="","",IFERROR(ROUND(AVERAGEIFS(ASSESSMENTS!H:H,ASSESSMENTS!B:B,A385,ASSESSMENTS!E:E,"Geography"),1),""))</f>
        <v/>
      </c>
      <c r="J385" s="4">
        <f>IF(A385="","",IFERROR(ROUND(AVERAGEIFS(ASSESSMENTS!H:H,ASSESSMENTS!B:B,A385,ASSESSMENTS!E:E,"Accounting"),1),""))</f>
        <v/>
      </c>
      <c r="K385" s="4">
        <f>IF(A385="","",IFERROR(ROUND(AVERAGEIFS(ASSESSMENTS!H:H,ASSESSMENTS!B:B,A385,ASSESSMENTS!E:E,"English"),1),""))</f>
        <v/>
      </c>
      <c r="L385" s="5">
        <f>IF(A385="","",IFERROR(XLOOKUP(A385,ATTENDANCE_SUMMARY!A:A,ATTENDANCE_SUMMARY!G:G,""),""))</f>
        <v/>
      </c>
      <c r="M385" s="4">
        <f>IF(A385="","",IF(OR(E385&lt;50,AND(L385&lt;0.75,L385&lt;&gt;"" )),"At Risk","On Track"))</f>
        <v/>
      </c>
    </row>
    <row r="386">
      <c r="A386">
        <f>IF(MASTER_REGISTER!E386="","",MASTER_REGISTER!E386)</f>
        <v/>
      </c>
      <c r="B386">
        <f>IF(A386="","",MASTER_REGISTER!F386)</f>
        <v/>
      </c>
      <c r="C386">
        <f>IF(A386="","",MASTER_REGISTER!C386)</f>
        <v/>
      </c>
      <c r="D386">
        <f>IF(A386="","",COUNTIF(ASSESSMENTS!B:B,A386))</f>
        <v/>
      </c>
      <c r="E386" s="4">
        <f>IF(D386=0,"",ROUND(AVERAGEIF(ASSESSMENTS!B:B,A386,ASSESSMENTS!H:H),1))</f>
        <v/>
      </c>
      <c r="F386" s="4">
        <f>IF(A386="","",IFERROR(ROUND(AVERAGEIFS(ASSESSMENTS!H:H,ASSESSMENTS!B:B,A386,ASSESSMENTS!E:E,"Mathematics"),1),""))</f>
        <v/>
      </c>
      <c r="G386" s="4">
        <f>IF(A386="","",IFERROR(ROUND(AVERAGEIFS(ASSESSMENTS!H:H,ASSESSMENTS!B:B,A386,ASSESSMENTS!E:E,"Mathematical Literacy"),1),""))</f>
        <v/>
      </c>
      <c r="H386" s="4">
        <f>IF(A386="","",IFERROR(ROUND(AVERAGEIFS(ASSESSMENTS!H:H,ASSESSMENTS!B:B,A386,ASSESSMENTS!E:E,"Physical Sciences"),1),""))</f>
        <v/>
      </c>
      <c r="I386" s="4">
        <f>IF(A386="","",IFERROR(ROUND(AVERAGEIFS(ASSESSMENTS!H:H,ASSESSMENTS!B:B,A386,ASSESSMENTS!E:E,"Geography"),1),""))</f>
        <v/>
      </c>
      <c r="J386" s="4">
        <f>IF(A386="","",IFERROR(ROUND(AVERAGEIFS(ASSESSMENTS!H:H,ASSESSMENTS!B:B,A386,ASSESSMENTS!E:E,"Accounting"),1),""))</f>
        <v/>
      </c>
      <c r="K386" s="4">
        <f>IF(A386="","",IFERROR(ROUND(AVERAGEIFS(ASSESSMENTS!H:H,ASSESSMENTS!B:B,A386,ASSESSMENTS!E:E,"English"),1),""))</f>
        <v/>
      </c>
      <c r="L386" s="5">
        <f>IF(A386="","",IFERROR(XLOOKUP(A386,ATTENDANCE_SUMMARY!A:A,ATTENDANCE_SUMMARY!G:G,""),""))</f>
        <v/>
      </c>
      <c r="M386" s="4">
        <f>IF(A386="","",IF(OR(E386&lt;50,AND(L386&lt;0.75,L386&lt;&gt;"" )),"At Risk","On Track"))</f>
        <v/>
      </c>
    </row>
    <row r="387">
      <c r="A387">
        <f>IF(MASTER_REGISTER!E387="","",MASTER_REGISTER!E387)</f>
        <v/>
      </c>
      <c r="B387">
        <f>IF(A387="","",MASTER_REGISTER!F387)</f>
        <v/>
      </c>
      <c r="C387">
        <f>IF(A387="","",MASTER_REGISTER!C387)</f>
        <v/>
      </c>
      <c r="D387">
        <f>IF(A387="","",COUNTIF(ASSESSMENTS!B:B,A387))</f>
        <v/>
      </c>
      <c r="E387" s="4">
        <f>IF(D387=0,"",ROUND(AVERAGEIF(ASSESSMENTS!B:B,A387,ASSESSMENTS!H:H),1))</f>
        <v/>
      </c>
      <c r="F387" s="4">
        <f>IF(A387="","",IFERROR(ROUND(AVERAGEIFS(ASSESSMENTS!H:H,ASSESSMENTS!B:B,A387,ASSESSMENTS!E:E,"Mathematics"),1),""))</f>
        <v/>
      </c>
      <c r="G387" s="4">
        <f>IF(A387="","",IFERROR(ROUND(AVERAGEIFS(ASSESSMENTS!H:H,ASSESSMENTS!B:B,A387,ASSESSMENTS!E:E,"Mathematical Literacy"),1),""))</f>
        <v/>
      </c>
      <c r="H387" s="4">
        <f>IF(A387="","",IFERROR(ROUND(AVERAGEIFS(ASSESSMENTS!H:H,ASSESSMENTS!B:B,A387,ASSESSMENTS!E:E,"Physical Sciences"),1),""))</f>
        <v/>
      </c>
      <c r="I387" s="4">
        <f>IF(A387="","",IFERROR(ROUND(AVERAGEIFS(ASSESSMENTS!H:H,ASSESSMENTS!B:B,A387,ASSESSMENTS!E:E,"Geography"),1),""))</f>
        <v/>
      </c>
      <c r="J387" s="4">
        <f>IF(A387="","",IFERROR(ROUND(AVERAGEIFS(ASSESSMENTS!H:H,ASSESSMENTS!B:B,A387,ASSESSMENTS!E:E,"Accounting"),1),""))</f>
        <v/>
      </c>
      <c r="K387" s="4">
        <f>IF(A387="","",IFERROR(ROUND(AVERAGEIFS(ASSESSMENTS!H:H,ASSESSMENTS!B:B,A387,ASSESSMENTS!E:E,"English"),1),""))</f>
        <v/>
      </c>
      <c r="L387" s="5">
        <f>IF(A387="","",IFERROR(XLOOKUP(A387,ATTENDANCE_SUMMARY!A:A,ATTENDANCE_SUMMARY!G:G,""),""))</f>
        <v/>
      </c>
      <c r="M387" s="4">
        <f>IF(A387="","",IF(OR(E387&lt;50,AND(L387&lt;0.75,L387&lt;&gt;"" )),"At Risk","On Track"))</f>
        <v/>
      </c>
    </row>
    <row r="388">
      <c r="A388">
        <f>IF(MASTER_REGISTER!E388="","",MASTER_REGISTER!E388)</f>
        <v/>
      </c>
      <c r="B388">
        <f>IF(A388="","",MASTER_REGISTER!F388)</f>
        <v/>
      </c>
      <c r="C388">
        <f>IF(A388="","",MASTER_REGISTER!C388)</f>
        <v/>
      </c>
      <c r="D388">
        <f>IF(A388="","",COUNTIF(ASSESSMENTS!B:B,A388))</f>
        <v/>
      </c>
      <c r="E388" s="4">
        <f>IF(D388=0,"",ROUND(AVERAGEIF(ASSESSMENTS!B:B,A388,ASSESSMENTS!H:H),1))</f>
        <v/>
      </c>
      <c r="F388" s="4">
        <f>IF(A388="","",IFERROR(ROUND(AVERAGEIFS(ASSESSMENTS!H:H,ASSESSMENTS!B:B,A388,ASSESSMENTS!E:E,"Mathematics"),1),""))</f>
        <v/>
      </c>
      <c r="G388" s="4">
        <f>IF(A388="","",IFERROR(ROUND(AVERAGEIFS(ASSESSMENTS!H:H,ASSESSMENTS!B:B,A388,ASSESSMENTS!E:E,"Mathematical Literacy"),1),""))</f>
        <v/>
      </c>
      <c r="H388" s="4">
        <f>IF(A388="","",IFERROR(ROUND(AVERAGEIFS(ASSESSMENTS!H:H,ASSESSMENTS!B:B,A388,ASSESSMENTS!E:E,"Physical Sciences"),1),""))</f>
        <v/>
      </c>
      <c r="I388" s="4">
        <f>IF(A388="","",IFERROR(ROUND(AVERAGEIFS(ASSESSMENTS!H:H,ASSESSMENTS!B:B,A388,ASSESSMENTS!E:E,"Geography"),1),""))</f>
        <v/>
      </c>
      <c r="J388" s="4">
        <f>IF(A388="","",IFERROR(ROUND(AVERAGEIFS(ASSESSMENTS!H:H,ASSESSMENTS!B:B,A388,ASSESSMENTS!E:E,"Accounting"),1),""))</f>
        <v/>
      </c>
      <c r="K388" s="4">
        <f>IF(A388="","",IFERROR(ROUND(AVERAGEIFS(ASSESSMENTS!H:H,ASSESSMENTS!B:B,A388,ASSESSMENTS!E:E,"English"),1),""))</f>
        <v/>
      </c>
      <c r="L388" s="5">
        <f>IF(A388="","",IFERROR(XLOOKUP(A388,ATTENDANCE_SUMMARY!A:A,ATTENDANCE_SUMMARY!G:G,""),""))</f>
        <v/>
      </c>
      <c r="M388" s="4">
        <f>IF(A388="","",IF(OR(E388&lt;50,AND(L388&lt;0.75,L388&lt;&gt;"" )),"At Risk","On Track"))</f>
        <v/>
      </c>
    </row>
    <row r="389">
      <c r="A389">
        <f>IF(MASTER_REGISTER!E389="","",MASTER_REGISTER!E389)</f>
        <v/>
      </c>
      <c r="B389">
        <f>IF(A389="","",MASTER_REGISTER!F389)</f>
        <v/>
      </c>
      <c r="C389">
        <f>IF(A389="","",MASTER_REGISTER!C389)</f>
        <v/>
      </c>
      <c r="D389">
        <f>IF(A389="","",COUNTIF(ASSESSMENTS!B:B,A389))</f>
        <v/>
      </c>
      <c r="E389" s="4">
        <f>IF(D389=0,"",ROUND(AVERAGEIF(ASSESSMENTS!B:B,A389,ASSESSMENTS!H:H),1))</f>
        <v/>
      </c>
      <c r="F389" s="4">
        <f>IF(A389="","",IFERROR(ROUND(AVERAGEIFS(ASSESSMENTS!H:H,ASSESSMENTS!B:B,A389,ASSESSMENTS!E:E,"Mathematics"),1),""))</f>
        <v/>
      </c>
      <c r="G389" s="4">
        <f>IF(A389="","",IFERROR(ROUND(AVERAGEIFS(ASSESSMENTS!H:H,ASSESSMENTS!B:B,A389,ASSESSMENTS!E:E,"Mathematical Literacy"),1),""))</f>
        <v/>
      </c>
      <c r="H389" s="4">
        <f>IF(A389="","",IFERROR(ROUND(AVERAGEIFS(ASSESSMENTS!H:H,ASSESSMENTS!B:B,A389,ASSESSMENTS!E:E,"Physical Sciences"),1),""))</f>
        <v/>
      </c>
      <c r="I389" s="4">
        <f>IF(A389="","",IFERROR(ROUND(AVERAGEIFS(ASSESSMENTS!H:H,ASSESSMENTS!B:B,A389,ASSESSMENTS!E:E,"Geography"),1),""))</f>
        <v/>
      </c>
      <c r="J389" s="4">
        <f>IF(A389="","",IFERROR(ROUND(AVERAGEIFS(ASSESSMENTS!H:H,ASSESSMENTS!B:B,A389,ASSESSMENTS!E:E,"Accounting"),1),""))</f>
        <v/>
      </c>
      <c r="K389" s="4">
        <f>IF(A389="","",IFERROR(ROUND(AVERAGEIFS(ASSESSMENTS!H:H,ASSESSMENTS!B:B,A389,ASSESSMENTS!E:E,"English"),1),""))</f>
        <v/>
      </c>
      <c r="L389" s="5">
        <f>IF(A389="","",IFERROR(XLOOKUP(A389,ATTENDANCE_SUMMARY!A:A,ATTENDANCE_SUMMARY!G:G,""),""))</f>
        <v/>
      </c>
      <c r="M389" s="4">
        <f>IF(A389="","",IF(OR(E389&lt;50,AND(L389&lt;0.75,L389&lt;&gt;"" )),"At Risk","On Track"))</f>
        <v/>
      </c>
    </row>
    <row r="390">
      <c r="A390">
        <f>IF(MASTER_REGISTER!E390="","",MASTER_REGISTER!E390)</f>
        <v/>
      </c>
      <c r="B390">
        <f>IF(A390="","",MASTER_REGISTER!F390)</f>
        <v/>
      </c>
      <c r="C390">
        <f>IF(A390="","",MASTER_REGISTER!C390)</f>
        <v/>
      </c>
      <c r="D390">
        <f>IF(A390="","",COUNTIF(ASSESSMENTS!B:B,A390))</f>
        <v/>
      </c>
      <c r="E390" s="4">
        <f>IF(D390=0,"",ROUND(AVERAGEIF(ASSESSMENTS!B:B,A390,ASSESSMENTS!H:H),1))</f>
        <v/>
      </c>
      <c r="F390" s="4">
        <f>IF(A390="","",IFERROR(ROUND(AVERAGEIFS(ASSESSMENTS!H:H,ASSESSMENTS!B:B,A390,ASSESSMENTS!E:E,"Mathematics"),1),""))</f>
        <v/>
      </c>
      <c r="G390" s="4">
        <f>IF(A390="","",IFERROR(ROUND(AVERAGEIFS(ASSESSMENTS!H:H,ASSESSMENTS!B:B,A390,ASSESSMENTS!E:E,"Mathematical Literacy"),1),""))</f>
        <v/>
      </c>
      <c r="H390" s="4">
        <f>IF(A390="","",IFERROR(ROUND(AVERAGEIFS(ASSESSMENTS!H:H,ASSESSMENTS!B:B,A390,ASSESSMENTS!E:E,"Physical Sciences"),1),""))</f>
        <v/>
      </c>
      <c r="I390" s="4">
        <f>IF(A390="","",IFERROR(ROUND(AVERAGEIFS(ASSESSMENTS!H:H,ASSESSMENTS!B:B,A390,ASSESSMENTS!E:E,"Geography"),1),""))</f>
        <v/>
      </c>
      <c r="J390" s="4">
        <f>IF(A390="","",IFERROR(ROUND(AVERAGEIFS(ASSESSMENTS!H:H,ASSESSMENTS!B:B,A390,ASSESSMENTS!E:E,"Accounting"),1),""))</f>
        <v/>
      </c>
      <c r="K390" s="4">
        <f>IF(A390="","",IFERROR(ROUND(AVERAGEIFS(ASSESSMENTS!H:H,ASSESSMENTS!B:B,A390,ASSESSMENTS!E:E,"English"),1),""))</f>
        <v/>
      </c>
      <c r="L390" s="5">
        <f>IF(A390="","",IFERROR(XLOOKUP(A390,ATTENDANCE_SUMMARY!A:A,ATTENDANCE_SUMMARY!G:G,""),""))</f>
        <v/>
      </c>
      <c r="M390" s="4">
        <f>IF(A390="","",IF(OR(E390&lt;50,AND(L390&lt;0.75,L390&lt;&gt;"" )),"At Risk","On Track"))</f>
        <v/>
      </c>
    </row>
    <row r="391">
      <c r="A391">
        <f>IF(MASTER_REGISTER!E391="","",MASTER_REGISTER!E391)</f>
        <v/>
      </c>
      <c r="B391">
        <f>IF(A391="","",MASTER_REGISTER!F391)</f>
        <v/>
      </c>
      <c r="C391">
        <f>IF(A391="","",MASTER_REGISTER!C391)</f>
        <v/>
      </c>
      <c r="D391">
        <f>IF(A391="","",COUNTIF(ASSESSMENTS!B:B,A391))</f>
        <v/>
      </c>
      <c r="E391" s="4">
        <f>IF(D391=0,"",ROUND(AVERAGEIF(ASSESSMENTS!B:B,A391,ASSESSMENTS!H:H),1))</f>
        <v/>
      </c>
      <c r="F391" s="4">
        <f>IF(A391="","",IFERROR(ROUND(AVERAGEIFS(ASSESSMENTS!H:H,ASSESSMENTS!B:B,A391,ASSESSMENTS!E:E,"Mathematics"),1),""))</f>
        <v/>
      </c>
      <c r="G391" s="4">
        <f>IF(A391="","",IFERROR(ROUND(AVERAGEIFS(ASSESSMENTS!H:H,ASSESSMENTS!B:B,A391,ASSESSMENTS!E:E,"Mathematical Literacy"),1),""))</f>
        <v/>
      </c>
      <c r="H391" s="4">
        <f>IF(A391="","",IFERROR(ROUND(AVERAGEIFS(ASSESSMENTS!H:H,ASSESSMENTS!B:B,A391,ASSESSMENTS!E:E,"Physical Sciences"),1),""))</f>
        <v/>
      </c>
      <c r="I391" s="4">
        <f>IF(A391="","",IFERROR(ROUND(AVERAGEIFS(ASSESSMENTS!H:H,ASSESSMENTS!B:B,A391,ASSESSMENTS!E:E,"Geography"),1),""))</f>
        <v/>
      </c>
      <c r="J391" s="4">
        <f>IF(A391="","",IFERROR(ROUND(AVERAGEIFS(ASSESSMENTS!H:H,ASSESSMENTS!B:B,A391,ASSESSMENTS!E:E,"Accounting"),1),""))</f>
        <v/>
      </c>
      <c r="K391" s="4">
        <f>IF(A391="","",IFERROR(ROUND(AVERAGEIFS(ASSESSMENTS!H:H,ASSESSMENTS!B:B,A391,ASSESSMENTS!E:E,"English"),1),""))</f>
        <v/>
      </c>
      <c r="L391" s="5">
        <f>IF(A391="","",IFERROR(XLOOKUP(A391,ATTENDANCE_SUMMARY!A:A,ATTENDANCE_SUMMARY!G:G,""),""))</f>
        <v/>
      </c>
      <c r="M391" s="4">
        <f>IF(A391="","",IF(OR(E391&lt;50,AND(L391&lt;0.75,L391&lt;&gt;"" )),"At Risk","On Track"))</f>
        <v/>
      </c>
    </row>
    <row r="392">
      <c r="A392">
        <f>IF(MASTER_REGISTER!E392="","",MASTER_REGISTER!E392)</f>
        <v/>
      </c>
      <c r="B392">
        <f>IF(A392="","",MASTER_REGISTER!F392)</f>
        <v/>
      </c>
      <c r="C392">
        <f>IF(A392="","",MASTER_REGISTER!C392)</f>
        <v/>
      </c>
      <c r="D392">
        <f>IF(A392="","",COUNTIF(ASSESSMENTS!B:B,A392))</f>
        <v/>
      </c>
      <c r="E392" s="4">
        <f>IF(D392=0,"",ROUND(AVERAGEIF(ASSESSMENTS!B:B,A392,ASSESSMENTS!H:H),1))</f>
        <v/>
      </c>
      <c r="F392" s="4">
        <f>IF(A392="","",IFERROR(ROUND(AVERAGEIFS(ASSESSMENTS!H:H,ASSESSMENTS!B:B,A392,ASSESSMENTS!E:E,"Mathematics"),1),""))</f>
        <v/>
      </c>
      <c r="G392" s="4">
        <f>IF(A392="","",IFERROR(ROUND(AVERAGEIFS(ASSESSMENTS!H:H,ASSESSMENTS!B:B,A392,ASSESSMENTS!E:E,"Mathematical Literacy"),1),""))</f>
        <v/>
      </c>
      <c r="H392" s="4">
        <f>IF(A392="","",IFERROR(ROUND(AVERAGEIFS(ASSESSMENTS!H:H,ASSESSMENTS!B:B,A392,ASSESSMENTS!E:E,"Physical Sciences"),1),""))</f>
        <v/>
      </c>
      <c r="I392" s="4">
        <f>IF(A392="","",IFERROR(ROUND(AVERAGEIFS(ASSESSMENTS!H:H,ASSESSMENTS!B:B,A392,ASSESSMENTS!E:E,"Geography"),1),""))</f>
        <v/>
      </c>
      <c r="J392" s="4">
        <f>IF(A392="","",IFERROR(ROUND(AVERAGEIFS(ASSESSMENTS!H:H,ASSESSMENTS!B:B,A392,ASSESSMENTS!E:E,"Accounting"),1),""))</f>
        <v/>
      </c>
      <c r="K392" s="4">
        <f>IF(A392="","",IFERROR(ROUND(AVERAGEIFS(ASSESSMENTS!H:H,ASSESSMENTS!B:B,A392,ASSESSMENTS!E:E,"English"),1),""))</f>
        <v/>
      </c>
      <c r="L392" s="5">
        <f>IF(A392="","",IFERROR(XLOOKUP(A392,ATTENDANCE_SUMMARY!A:A,ATTENDANCE_SUMMARY!G:G,""),""))</f>
        <v/>
      </c>
      <c r="M392" s="4">
        <f>IF(A392="","",IF(OR(E392&lt;50,AND(L392&lt;0.75,L392&lt;&gt;"" )),"At Risk","On Track"))</f>
        <v/>
      </c>
    </row>
    <row r="393">
      <c r="A393">
        <f>IF(MASTER_REGISTER!E393="","",MASTER_REGISTER!E393)</f>
        <v/>
      </c>
      <c r="B393">
        <f>IF(A393="","",MASTER_REGISTER!F393)</f>
        <v/>
      </c>
      <c r="C393">
        <f>IF(A393="","",MASTER_REGISTER!C393)</f>
        <v/>
      </c>
      <c r="D393">
        <f>IF(A393="","",COUNTIF(ASSESSMENTS!B:B,A393))</f>
        <v/>
      </c>
      <c r="E393" s="4">
        <f>IF(D393=0,"",ROUND(AVERAGEIF(ASSESSMENTS!B:B,A393,ASSESSMENTS!H:H),1))</f>
        <v/>
      </c>
      <c r="F393" s="4">
        <f>IF(A393="","",IFERROR(ROUND(AVERAGEIFS(ASSESSMENTS!H:H,ASSESSMENTS!B:B,A393,ASSESSMENTS!E:E,"Mathematics"),1),""))</f>
        <v/>
      </c>
      <c r="G393" s="4">
        <f>IF(A393="","",IFERROR(ROUND(AVERAGEIFS(ASSESSMENTS!H:H,ASSESSMENTS!B:B,A393,ASSESSMENTS!E:E,"Mathematical Literacy"),1),""))</f>
        <v/>
      </c>
      <c r="H393" s="4">
        <f>IF(A393="","",IFERROR(ROUND(AVERAGEIFS(ASSESSMENTS!H:H,ASSESSMENTS!B:B,A393,ASSESSMENTS!E:E,"Physical Sciences"),1),""))</f>
        <v/>
      </c>
      <c r="I393" s="4">
        <f>IF(A393="","",IFERROR(ROUND(AVERAGEIFS(ASSESSMENTS!H:H,ASSESSMENTS!B:B,A393,ASSESSMENTS!E:E,"Geography"),1),""))</f>
        <v/>
      </c>
      <c r="J393" s="4">
        <f>IF(A393="","",IFERROR(ROUND(AVERAGEIFS(ASSESSMENTS!H:H,ASSESSMENTS!B:B,A393,ASSESSMENTS!E:E,"Accounting"),1),""))</f>
        <v/>
      </c>
      <c r="K393" s="4">
        <f>IF(A393="","",IFERROR(ROUND(AVERAGEIFS(ASSESSMENTS!H:H,ASSESSMENTS!B:B,A393,ASSESSMENTS!E:E,"English"),1),""))</f>
        <v/>
      </c>
      <c r="L393" s="5">
        <f>IF(A393="","",IFERROR(XLOOKUP(A393,ATTENDANCE_SUMMARY!A:A,ATTENDANCE_SUMMARY!G:G,""),""))</f>
        <v/>
      </c>
      <c r="M393" s="4">
        <f>IF(A393="","",IF(OR(E393&lt;50,AND(L393&lt;0.75,L393&lt;&gt;"" )),"At Risk","On Track"))</f>
        <v/>
      </c>
    </row>
    <row r="394">
      <c r="A394">
        <f>IF(MASTER_REGISTER!E394="","",MASTER_REGISTER!E394)</f>
        <v/>
      </c>
      <c r="B394">
        <f>IF(A394="","",MASTER_REGISTER!F394)</f>
        <v/>
      </c>
      <c r="C394">
        <f>IF(A394="","",MASTER_REGISTER!C394)</f>
        <v/>
      </c>
      <c r="D394">
        <f>IF(A394="","",COUNTIF(ASSESSMENTS!B:B,A394))</f>
        <v/>
      </c>
      <c r="E394" s="4">
        <f>IF(D394=0,"",ROUND(AVERAGEIF(ASSESSMENTS!B:B,A394,ASSESSMENTS!H:H),1))</f>
        <v/>
      </c>
      <c r="F394" s="4">
        <f>IF(A394="","",IFERROR(ROUND(AVERAGEIFS(ASSESSMENTS!H:H,ASSESSMENTS!B:B,A394,ASSESSMENTS!E:E,"Mathematics"),1),""))</f>
        <v/>
      </c>
      <c r="G394" s="4">
        <f>IF(A394="","",IFERROR(ROUND(AVERAGEIFS(ASSESSMENTS!H:H,ASSESSMENTS!B:B,A394,ASSESSMENTS!E:E,"Mathematical Literacy"),1),""))</f>
        <v/>
      </c>
      <c r="H394" s="4">
        <f>IF(A394="","",IFERROR(ROUND(AVERAGEIFS(ASSESSMENTS!H:H,ASSESSMENTS!B:B,A394,ASSESSMENTS!E:E,"Physical Sciences"),1),""))</f>
        <v/>
      </c>
      <c r="I394" s="4">
        <f>IF(A394="","",IFERROR(ROUND(AVERAGEIFS(ASSESSMENTS!H:H,ASSESSMENTS!B:B,A394,ASSESSMENTS!E:E,"Geography"),1),""))</f>
        <v/>
      </c>
      <c r="J394" s="4">
        <f>IF(A394="","",IFERROR(ROUND(AVERAGEIFS(ASSESSMENTS!H:H,ASSESSMENTS!B:B,A394,ASSESSMENTS!E:E,"Accounting"),1),""))</f>
        <v/>
      </c>
      <c r="K394" s="4">
        <f>IF(A394="","",IFERROR(ROUND(AVERAGEIFS(ASSESSMENTS!H:H,ASSESSMENTS!B:B,A394,ASSESSMENTS!E:E,"English"),1),""))</f>
        <v/>
      </c>
      <c r="L394" s="5">
        <f>IF(A394="","",IFERROR(XLOOKUP(A394,ATTENDANCE_SUMMARY!A:A,ATTENDANCE_SUMMARY!G:G,""),""))</f>
        <v/>
      </c>
      <c r="M394" s="4">
        <f>IF(A394="","",IF(OR(E394&lt;50,AND(L394&lt;0.75,L394&lt;&gt;"" )),"At Risk","On Track"))</f>
        <v/>
      </c>
    </row>
    <row r="395">
      <c r="A395">
        <f>IF(MASTER_REGISTER!E395="","",MASTER_REGISTER!E395)</f>
        <v/>
      </c>
      <c r="B395">
        <f>IF(A395="","",MASTER_REGISTER!F395)</f>
        <v/>
      </c>
      <c r="C395">
        <f>IF(A395="","",MASTER_REGISTER!C395)</f>
        <v/>
      </c>
      <c r="D395">
        <f>IF(A395="","",COUNTIF(ASSESSMENTS!B:B,A395))</f>
        <v/>
      </c>
      <c r="E395" s="4">
        <f>IF(D395=0,"",ROUND(AVERAGEIF(ASSESSMENTS!B:B,A395,ASSESSMENTS!H:H),1))</f>
        <v/>
      </c>
      <c r="F395" s="4">
        <f>IF(A395="","",IFERROR(ROUND(AVERAGEIFS(ASSESSMENTS!H:H,ASSESSMENTS!B:B,A395,ASSESSMENTS!E:E,"Mathematics"),1),""))</f>
        <v/>
      </c>
      <c r="G395" s="4">
        <f>IF(A395="","",IFERROR(ROUND(AVERAGEIFS(ASSESSMENTS!H:H,ASSESSMENTS!B:B,A395,ASSESSMENTS!E:E,"Mathematical Literacy"),1),""))</f>
        <v/>
      </c>
      <c r="H395" s="4">
        <f>IF(A395="","",IFERROR(ROUND(AVERAGEIFS(ASSESSMENTS!H:H,ASSESSMENTS!B:B,A395,ASSESSMENTS!E:E,"Physical Sciences"),1),""))</f>
        <v/>
      </c>
      <c r="I395" s="4">
        <f>IF(A395="","",IFERROR(ROUND(AVERAGEIFS(ASSESSMENTS!H:H,ASSESSMENTS!B:B,A395,ASSESSMENTS!E:E,"Geography"),1),""))</f>
        <v/>
      </c>
      <c r="J395" s="4">
        <f>IF(A395="","",IFERROR(ROUND(AVERAGEIFS(ASSESSMENTS!H:H,ASSESSMENTS!B:B,A395,ASSESSMENTS!E:E,"Accounting"),1),""))</f>
        <v/>
      </c>
      <c r="K395" s="4">
        <f>IF(A395="","",IFERROR(ROUND(AVERAGEIFS(ASSESSMENTS!H:H,ASSESSMENTS!B:B,A395,ASSESSMENTS!E:E,"English"),1),""))</f>
        <v/>
      </c>
      <c r="L395" s="5">
        <f>IF(A395="","",IFERROR(XLOOKUP(A395,ATTENDANCE_SUMMARY!A:A,ATTENDANCE_SUMMARY!G:G,""),""))</f>
        <v/>
      </c>
      <c r="M395" s="4">
        <f>IF(A395="","",IF(OR(E395&lt;50,AND(L395&lt;0.75,L395&lt;&gt;"" )),"At Risk","On Track"))</f>
        <v/>
      </c>
    </row>
    <row r="396">
      <c r="A396">
        <f>IF(MASTER_REGISTER!E396="","",MASTER_REGISTER!E396)</f>
        <v/>
      </c>
      <c r="B396">
        <f>IF(A396="","",MASTER_REGISTER!F396)</f>
        <v/>
      </c>
      <c r="C396">
        <f>IF(A396="","",MASTER_REGISTER!C396)</f>
        <v/>
      </c>
      <c r="D396">
        <f>IF(A396="","",COUNTIF(ASSESSMENTS!B:B,A396))</f>
        <v/>
      </c>
      <c r="E396" s="4">
        <f>IF(D396=0,"",ROUND(AVERAGEIF(ASSESSMENTS!B:B,A396,ASSESSMENTS!H:H),1))</f>
        <v/>
      </c>
      <c r="F396" s="4">
        <f>IF(A396="","",IFERROR(ROUND(AVERAGEIFS(ASSESSMENTS!H:H,ASSESSMENTS!B:B,A396,ASSESSMENTS!E:E,"Mathematics"),1),""))</f>
        <v/>
      </c>
      <c r="G396" s="4">
        <f>IF(A396="","",IFERROR(ROUND(AVERAGEIFS(ASSESSMENTS!H:H,ASSESSMENTS!B:B,A396,ASSESSMENTS!E:E,"Mathematical Literacy"),1),""))</f>
        <v/>
      </c>
      <c r="H396" s="4">
        <f>IF(A396="","",IFERROR(ROUND(AVERAGEIFS(ASSESSMENTS!H:H,ASSESSMENTS!B:B,A396,ASSESSMENTS!E:E,"Physical Sciences"),1),""))</f>
        <v/>
      </c>
      <c r="I396" s="4">
        <f>IF(A396="","",IFERROR(ROUND(AVERAGEIFS(ASSESSMENTS!H:H,ASSESSMENTS!B:B,A396,ASSESSMENTS!E:E,"Geography"),1),""))</f>
        <v/>
      </c>
      <c r="J396" s="4">
        <f>IF(A396="","",IFERROR(ROUND(AVERAGEIFS(ASSESSMENTS!H:H,ASSESSMENTS!B:B,A396,ASSESSMENTS!E:E,"Accounting"),1),""))</f>
        <v/>
      </c>
      <c r="K396" s="4">
        <f>IF(A396="","",IFERROR(ROUND(AVERAGEIFS(ASSESSMENTS!H:H,ASSESSMENTS!B:B,A396,ASSESSMENTS!E:E,"English"),1),""))</f>
        <v/>
      </c>
      <c r="L396" s="5">
        <f>IF(A396="","",IFERROR(XLOOKUP(A396,ATTENDANCE_SUMMARY!A:A,ATTENDANCE_SUMMARY!G:G,""),""))</f>
        <v/>
      </c>
      <c r="M396" s="4">
        <f>IF(A396="","",IF(OR(E396&lt;50,AND(L396&lt;0.75,L396&lt;&gt;"" )),"At Risk","On Track"))</f>
        <v/>
      </c>
    </row>
    <row r="397">
      <c r="A397">
        <f>IF(MASTER_REGISTER!E397="","",MASTER_REGISTER!E397)</f>
        <v/>
      </c>
      <c r="B397">
        <f>IF(A397="","",MASTER_REGISTER!F397)</f>
        <v/>
      </c>
      <c r="C397">
        <f>IF(A397="","",MASTER_REGISTER!C397)</f>
        <v/>
      </c>
      <c r="D397">
        <f>IF(A397="","",COUNTIF(ASSESSMENTS!B:B,A397))</f>
        <v/>
      </c>
      <c r="E397" s="4">
        <f>IF(D397=0,"",ROUND(AVERAGEIF(ASSESSMENTS!B:B,A397,ASSESSMENTS!H:H),1))</f>
        <v/>
      </c>
      <c r="F397" s="4">
        <f>IF(A397="","",IFERROR(ROUND(AVERAGEIFS(ASSESSMENTS!H:H,ASSESSMENTS!B:B,A397,ASSESSMENTS!E:E,"Mathematics"),1),""))</f>
        <v/>
      </c>
      <c r="G397" s="4">
        <f>IF(A397="","",IFERROR(ROUND(AVERAGEIFS(ASSESSMENTS!H:H,ASSESSMENTS!B:B,A397,ASSESSMENTS!E:E,"Mathematical Literacy"),1),""))</f>
        <v/>
      </c>
      <c r="H397" s="4">
        <f>IF(A397="","",IFERROR(ROUND(AVERAGEIFS(ASSESSMENTS!H:H,ASSESSMENTS!B:B,A397,ASSESSMENTS!E:E,"Physical Sciences"),1),""))</f>
        <v/>
      </c>
      <c r="I397" s="4">
        <f>IF(A397="","",IFERROR(ROUND(AVERAGEIFS(ASSESSMENTS!H:H,ASSESSMENTS!B:B,A397,ASSESSMENTS!E:E,"Geography"),1),""))</f>
        <v/>
      </c>
      <c r="J397" s="4">
        <f>IF(A397="","",IFERROR(ROUND(AVERAGEIFS(ASSESSMENTS!H:H,ASSESSMENTS!B:B,A397,ASSESSMENTS!E:E,"Accounting"),1),""))</f>
        <v/>
      </c>
      <c r="K397" s="4">
        <f>IF(A397="","",IFERROR(ROUND(AVERAGEIFS(ASSESSMENTS!H:H,ASSESSMENTS!B:B,A397,ASSESSMENTS!E:E,"English"),1),""))</f>
        <v/>
      </c>
      <c r="L397" s="5">
        <f>IF(A397="","",IFERROR(XLOOKUP(A397,ATTENDANCE_SUMMARY!A:A,ATTENDANCE_SUMMARY!G:G,""),""))</f>
        <v/>
      </c>
      <c r="M397" s="4">
        <f>IF(A397="","",IF(OR(E397&lt;50,AND(L397&lt;0.75,L397&lt;&gt;"" )),"At Risk","On Track"))</f>
        <v/>
      </c>
    </row>
    <row r="398">
      <c r="A398">
        <f>IF(MASTER_REGISTER!E398="","",MASTER_REGISTER!E398)</f>
        <v/>
      </c>
      <c r="B398">
        <f>IF(A398="","",MASTER_REGISTER!F398)</f>
        <v/>
      </c>
      <c r="C398">
        <f>IF(A398="","",MASTER_REGISTER!C398)</f>
        <v/>
      </c>
      <c r="D398">
        <f>IF(A398="","",COUNTIF(ASSESSMENTS!B:B,A398))</f>
        <v/>
      </c>
      <c r="E398" s="4">
        <f>IF(D398=0,"",ROUND(AVERAGEIF(ASSESSMENTS!B:B,A398,ASSESSMENTS!H:H),1))</f>
        <v/>
      </c>
      <c r="F398" s="4">
        <f>IF(A398="","",IFERROR(ROUND(AVERAGEIFS(ASSESSMENTS!H:H,ASSESSMENTS!B:B,A398,ASSESSMENTS!E:E,"Mathematics"),1),""))</f>
        <v/>
      </c>
      <c r="G398" s="4">
        <f>IF(A398="","",IFERROR(ROUND(AVERAGEIFS(ASSESSMENTS!H:H,ASSESSMENTS!B:B,A398,ASSESSMENTS!E:E,"Mathematical Literacy"),1),""))</f>
        <v/>
      </c>
      <c r="H398" s="4">
        <f>IF(A398="","",IFERROR(ROUND(AVERAGEIFS(ASSESSMENTS!H:H,ASSESSMENTS!B:B,A398,ASSESSMENTS!E:E,"Physical Sciences"),1),""))</f>
        <v/>
      </c>
      <c r="I398" s="4">
        <f>IF(A398="","",IFERROR(ROUND(AVERAGEIFS(ASSESSMENTS!H:H,ASSESSMENTS!B:B,A398,ASSESSMENTS!E:E,"Geography"),1),""))</f>
        <v/>
      </c>
      <c r="J398" s="4">
        <f>IF(A398="","",IFERROR(ROUND(AVERAGEIFS(ASSESSMENTS!H:H,ASSESSMENTS!B:B,A398,ASSESSMENTS!E:E,"Accounting"),1),""))</f>
        <v/>
      </c>
      <c r="K398" s="4">
        <f>IF(A398="","",IFERROR(ROUND(AVERAGEIFS(ASSESSMENTS!H:H,ASSESSMENTS!B:B,A398,ASSESSMENTS!E:E,"English"),1),""))</f>
        <v/>
      </c>
      <c r="L398" s="5">
        <f>IF(A398="","",IFERROR(XLOOKUP(A398,ATTENDANCE_SUMMARY!A:A,ATTENDANCE_SUMMARY!G:G,""),""))</f>
        <v/>
      </c>
      <c r="M398" s="4">
        <f>IF(A398="","",IF(OR(E398&lt;50,AND(L398&lt;0.75,L398&lt;&gt;"" )),"At Risk","On Track"))</f>
        <v/>
      </c>
    </row>
    <row r="399">
      <c r="A399">
        <f>IF(MASTER_REGISTER!E399="","",MASTER_REGISTER!E399)</f>
        <v/>
      </c>
      <c r="B399">
        <f>IF(A399="","",MASTER_REGISTER!F399)</f>
        <v/>
      </c>
      <c r="C399">
        <f>IF(A399="","",MASTER_REGISTER!C399)</f>
        <v/>
      </c>
      <c r="D399">
        <f>IF(A399="","",COUNTIF(ASSESSMENTS!B:B,A399))</f>
        <v/>
      </c>
      <c r="E399" s="4">
        <f>IF(D399=0,"",ROUND(AVERAGEIF(ASSESSMENTS!B:B,A399,ASSESSMENTS!H:H),1))</f>
        <v/>
      </c>
      <c r="F399" s="4">
        <f>IF(A399="","",IFERROR(ROUND(AVERAGEIFS(ASSESSMENTS!H:H,ASSESSMENTS!B:B,A399,ASSESSMENTS!E:E,"Mathematics"),1),""))</f>
        <v/>
      </c>
      <c r="G399" s="4">
        <f>IF(A399="","",IFERROR(ROUND(AVERAGEIFS(ASSESSMENTS!H:H,ASSESSMENTS!B:B,A399,ASSESSMENTS!E:E,"Mathematical Literacy"),1),""))</f>
        <v/>
      </c>
      <c r="H399" s="4">
        <f>IF(A399="","",IFERROR(ROUND(AVERAGEIFS(ASSESSMENTS!H:H,ASSESSMENTS!B:B,A399,ASSESSMENTS!E:E,"Physical Sciences"),1),""))</f>
        <v/>
      </c>
      <c r="I399" s="4">
        <f>IF(A399="","",IFERROR(ROUND(AVERAGEIFS(ASSESSMENTS!H:H,ASSESSMENTS!B:B,A399,ASSESSMENTS!E:E,"Geography"),1),""))</f>
        <v/>
      </c>
      <c r="J399" s="4">
        <f>IF(A399="","",IFERROR(ROUND(AVERAGEIFS(ASSESSMENTS!H:H,ASSESSMENTS!B:B,A399,ASSESSMENTS!E:E,"Accounting"),1),""))</f>
        <v/>
      </c>
      <c r="K399" s="4">
        <f>IF(A399="","",IFERROR(ROUND(AVERAGEIFS(ASSESSMENTS!H:H,ASSESSMENTS!B:B,A399,ASSESSMENTS!E:E,"English"),1),""))</f>
        <v/>
      </c>
      <c r="L399" s="5">
        <f>IF(A399="","",IFERROR(XLOOKUP(A399,ATTENDANCE_SUMMARY!A:A,ATTENDANCE_SUMMARY!G:G,""),""))</f>
        <v/>
      </c>
      <c r="M399" s="4">
        <f>IF(A399="","",IF(OR(E399&lt;50,AND(L399&lt;0.75,L399&lt;&gt;"" )),"At Risk","On Track"))</f>
        <v/>
      </c>
    </row>
    <row r="400">
      <c r="A400">
        <f>IF(MASTER_REGISTER!E400="","",MASTER_REGISTER!E400)</f>
        <v/>
      </c>
      <c r="B400">
        <f>IF(A400="","",MASTER_REGISTER!F400)</f>
        <v/>
      </c>
      <c r="C400">
        <f>IF(A400="","",MASTER_REGISTER!C400)</f>
        <v/>
      </c>
      <c r="D400">
        <f>IF(A400="","",COUNTIF(ASSESSMENTS!B:B,A400))</f>
        <v/>
      </c>
      <c r="E400" s="4">
        <f>IF(D400=0,"",ROUND(AVERAGEIF(ASSESSMENTS!B:B,A400,ASSESSMENTS!H:H),1))</f>
        <v/>
      </c>
      <c r="F400" s="4">
        <f>IF(A400="","",IFERROR(ROUND(AVERAGEIFS(ASSESSMENTS!H:H,ASSESSMENTS!B:B,A400,ASSESSMENTS!E:E,"Mathematics"),1),""))</f>
        <v/>
      </c>
      <c r="G400" s="4">
        <f>IF(A400="","",IFERROR(ROUND(AVERAGEIFS(ASSESSMENTS!H:H,ASSESSMENTS!B:B,A400,ASSESSMENTS!E:E,"Mathematical Literacy"),1),""))</f>
        <v/>
      </c>
      <c r="H400" s="4">
        <f>IF(A400="","",IFERROR(ROUND(AVERAGEIFS(ASSESSMENTS!H:H,ASSESSMENTS!B:B,A400,ASSESSMENTS!E:E,"Physical Sciences"),1),""))</f>
        <v/>
      </c>
      <c r="I400" s="4">
        <f>IF(A400="","",IFERROR(ROUND(AVERAGEIFS(ASSESSMENTS!H:H,ASSESSMENTS!B:B,A400,ASSESSMENTS!E:E,"Geography"),1),""))</f>
        <v/>
      </c>
      <c r="J400" s="4">
        <f>IF(A400="","",IFERROR(ROUND(AVERAGEIFS(ASSESSMENTS!H:H,ASSESSMENTS!B:B,A400,ASSESSMENTS!E:E,"Accounting"),1),""))</f>
        <v/>
      </c>
      <c r="K400" s="4">
        <f>IF(A400="","",IFERROR(ROUND(AVERAGEIFS(ASSESSMENTS!H:H,ASSESSMENTS!B:B,A400,ASSESSMENTS!E:E,"English"),1),""))</f>
        <v/>
      </c>
      <c r="L400" s="5">
        <f>IF(A400="","",IFERROR(XLOOKUP(A400,ATTENDANCE_SUMMARY!A:A,ATTENDANCE_SUMMARY!G:G,""),""))</f>
        <v/>
      </c>
      <c r="M400" s="4">
        <f>IF(A400="","",IF(OR(E400&lt;50,AND(L400&lt;0.75,L400&lt;&gt;"" )),"At Risk","On Track"))</f>
        <v/>
      </c>
    </row>
    <row r="401">
      <c r="A401">
        <f>IF(MASTER_REGISTER!E401="","",MASTER_REGISTER!E401)</f>
        <v/>
      </c>
      <c r="B401">
        <f>IF(A401="","",MASTER_REGISTER!F401)</f>
        <v/>
      </c>
      <c r="C401">
        <f>IF(A401="","",MASTER_REGISTER!C401)</f>
        <v/>
      </c>
      <c r="D401">
        <f>IF(A401="","",COUNTIF(ASSESSMENTS!B:B,A401))</f>
        <v/>
      </c>
      <c r="E401" s="4">
        <f>IF(D401=0,"",ROUND(AVERAGEIF(ASSESSMENTS!B:B,A401,ASSESSMENTS!H:H),1))</f>
        <v/>
      </c>
      <c r="F401" s="4">
        <f>IF(A401="","",IFERROR(ROUND(AVERAGEIFS(ASSESSMENTS!H:H,ASSESSMENTS!B:B,A401,ASSESSMENTS!E:E,"Mathematics"),1),""))</f>
        <v/>
      </c>
      <c r="G401" s="4">
        <f>IF(A401="","",IFERROR(ROUND(AVERAGEIFS(ASSESSMENTS!H:H,ASSESSMENTS!B:B,A401,ASSESSMENTS!E:E,"Mathematical Literacy"),1),""))</f>
        <v/>
      </c>
      <c r="H401" s="4">
        <f>IF(A401="","",IFERROR(ROUND(AVERAGEIFS(ASSESSMENTS!H:H,ASSESSMENTS!B:B,A401,ASSESSMENTS!E:E,"Physical Sciences"),1),""))</f>
        <v/>
      </c>
      <c r="I401" s="4">
        <f>IF(A401="","",IFERROR(ROUND(AVERAGEIFS(ASSESSMENTS!H:H,ASSESSMENTS!B:B,A401,ASSESSMENTS!E:E,"Geography"),1),""))</f>
        <v/>
      </c>
      <c r="J401" s="4">
        <f>IF(A401="","",IFERROR(ROUND(AVERAGEIFS(ASSESSMENTS!H:H,ASSESSMENTS!B:B,A401,ASSESSMENTS!E:E,"Accounting"),1),""))</f>
        <v/>
      </c>
      <c r="K401" s="4">
        <f>IF(A401="","",IFERROR(ROUND(AVERAGEIFS(ASSESSMENTS!H:H,ASSESSMENTS!B:B,A401,ASSESSMENTS!E:E,"English"),1),""))</f>
        <v/>
      </c>
      <c r="L401" s="5">
        <f>IF(A401="","",IFERROR(XLOOKUP(A401,ATTENDANCE_SUMMARY!A:A,ATTENDANCE_SUMMARY!G:G,""),""))</f>
        <v/>
      </c>
      <c r="M401" s="4">
        <f>IF(A401="","",IF(OR(E401&lt;50,AND(L401&lt;0.75,L401&lt;&gt;"" )),"At Risk","On Track"))</f>
        <v/>
      </c>
    </row>
    <row r="402">
      <c r="A402">
        <f>IF(MASTER_REGISTER!E402="","",MASTER_REGISTER!E402)</f>
        <v/>
      </c>
      <c r="B402">
        <f>IF(A402="","",MASTER_REGISTER!F402)</f>
        <v/>
      </c>
      <c r="C402">
        <f>IF(A402="","",MASTER_REGISTER!C402)</f>
        <v/>
      </c>
      <c r="D402">
        <f>IF(A402="","",COUNTIF(ASSESSMENTS!B:B,A402))</f>
        <v/>
      </c>
      <c r="E402" s="4">
        <f>IF(D402=0,"",ROUND(AVERAGEIF(ASSESSMENTS!B:B,A402,ASSESSMENTS!H:H),1))</f>
        <v/>
      </c>
      <c r="F402" s="4">
        <f>IF(A402="","",IFERROR(ROUND(AVERAGEIFS(ASSESSMENTS!H:H,ASSESSMENTS!B:B,A402,ASSESSMENTS!E:E,"Mathematics"),1),""))</f>
        <v/>
      </c>
      <c r="G402" s="4">
        <f>IF(A402="","",IFERROR(ROUND(AVERAGEIFS(ASSESSMENTS!H:H,ASSESSMENTS!B:B,A402,ASSESSMENTS!E:E,"Mathematical Literacy"),1),""))</f>
        <v/>
      </c>
      <c r="H402" s="4">
        <f>IF(A402="","",IFERROR(ROUND(AVERAGEIFS(ASSESSMENTS!H:H,ASSESSMENTS!B:B,A402,ASSESSMENTS!E:E,"Physical Sciences"),1),""))</f>
        <v/>
      </c>
      <c r="I402" s="4">
        <f>IF(A402="","",IFERROR(ROUND(AVERAGEIFS(ASSESSMENTS!H:H,ASSESSMENTS!B:B,A402,ASSESSMENTS!E:E,"Geography"),1),""))</f>
        <v/>
      </c>
      <c r="J402" s="4">
        <f>IF(A402="","",IFERROR(ROUND(AVERAGEIFS(ASSESSMENTS!H:H,ASSESSMENTS!B:B,A402,ASSESSMENTS!E:E,"Accounting"),1),""))</f>
        <v/>
      </c>
      <c r="K402" s="4">
        <f>IF(A402="","",IFERROR(ROUND(AVERAGEIFS(ASSESSMENTS!H:H,ASSESSMENTS!B:B,A402,ASSESSMENTS!E:E,"English"),1),""))</f>
        <v/>
      </c>
      <c r="L402" s="5">
        <f>IF(A402="","",IFERROR(XLOOKUP(A402,ATTENDANCE_SUMMARY!A:A,ATTENDANCE_SUMMARY!G:G,""),""))</f>
        <v/>
      </c>
      <c r="M402" s="4">
        <f>IF(A402="","",IF(OR(E402&lt;50,AND(L402&lt;0.75,L402&lt;&gt;"" )),"At Risk","On Track"))</f>
        <v/>
      </c>
    </row>
    <row r="403">
      <c r="A403">
        <f>IF(MASTER_REGISTER!E403="","",MASTER_REGISTER!E403)</f>
        <v/>
      </c>
      <c r="B403">
        <f>IF(A403="","",MASTER_REGISTER!F403)</f>
        <v/>
      </c>
      <c r="C403">
        <f>IF(A403="","",MASTER_REGISTER!C403)</f>
        <v/>
      </c>
      <c r="D403">
        <f>IF(A403="","",COUNTIF(ASSESSMENTS!B:B,A403))</f>
        <v/>
      </c>
      <c r="E403" s="4">
        <f>IF(D403=0,"",ROUND(AVERAGEIF(ASSESSMENTS!B:B,A403,ASSESSMENTS!H:H),1))</f>
        <v/>
      </c>
      <c r="F403" s="4">
        <f>IF(A403="","",IFERROR(ROUND(AVERAGEIFS(ASSESSMENTS!H:H,ASSESSMENTS!B:B,A403,ASSESSMENTS!E:E,"Mathematics"),1),""))</f>
        <v/>
      </c>
      <c r="G403" s="4">
        <f>IF(A403="","",IFERROR(ROUND(AVERAGEIFS(ASSESSMENTS!H:H,ASSESSMENTS!B:B,A403,ASSESSMENTS!E:E,"Mathematical Literacy"),1),""))</f>
        <v/>
      </c>
      <c r="H403" s="4">
        <f>IF(A403="","",IFERROR(ROUND(AVERAGEIFS(ASSESSMENTS!H:H,ASSESSMENTS!B:B,A403,ASSESSMENTS!E:E,"Physical Sciences"),1),""))</f>
        <v/>
      </c>
      <c r="I403" s="4">
        <f>IF(A403="","",IFERROR(ROUND(AVERAGEIFS(ASSESSMENTS!H:H,ASSESSMENTS!B:B,A403,ASSESSMENTS!E:E,"Geography"),1),""))</f>
        <v/>
      </c>
      <c r="J403" s="4">
        <f>IF(A403="","",IFERROR(ROUND(AVERAGEIFS(ASSESSMENTS!H:H,ASSESSMENTS!B:B,A403,ASSESSMENTS!E:E,"Accounting"),1),""))</f>
        <v/>
      </c>
      <c r="K403" s="4">
        <f>IF(A403="","",IFERROR(ROUND(AVERAGEIFS(ASSESSMENTS!H:H,ASSESSMENTS!B:B,A403,ASSESSMENTS!E:E,"English"),1),""))</f>
        <v/>
      </c>
      <c r="L403" s="5">
        <f>IF(A403="","",IFERROR(XLOOKUP(A403,ATTENDANCE_SUMMARY!A:A,ATTENDANCE_SUMMARY!G:G,""),""))</f>
        <v/>
      </c>
      <c r="M403" s="4">
        <f>IF(A403="","",IF(OR(E403&lt;50,AND(L403&lt;0.75,L403&lt;&gt;"" )),"At Risk","On Track"))</f>
        <v/>
      </c>
    </row>
    <row r="404">
      <c r="A404">
        <f>IF(MASTER_REGISTER!E404="","",MASTER_REGISTER!E404)</f>
        <v/>
      </c>
      <c r="B404">
        <f>IF(A404="","",MASTER_REGISTER!F404)</f>
        <v/>
      </c>
      <c r="C404">
        <f>IF(A404="","",MASTER_REGISTER!C404)</f>
        <v/>
      </c>
      <c r="D404">
        <f>IF(A404="","",COUNTIF(ASSESSMENTS!B:B,A404))</f>
        <v/>
      </c>
      <c r="E404" s="4">
        <f>IF(D404=0,"",ROUND(AVERAGEIF(ASSESSMENTS!B:B,A404,ASSESSMENTS!H:H),1))</f>
        <v/>
      </c>
      <c r="F404" s="4">
        <f>IF(A404="","",IFERROR(ROUND(AVERAGEIFS(ASSESSMENTS!H:H,ASSESSMENTS!B:B,A404,ASSESSMENTS!E:E,"Mathematics"),1),""))</f>
        <v/>
      </c>
      <c r="G404" s="4">
        <f>IF(A404="","",IFERROR(ROUND(AVERAGEIFS(ASSESSMENTS!H:H,ASSESSMENTS!B:B,A404,ASSESSMENTS!E:E,"Mathematical Literacy"),1),""))</f>
        <v/>
      </c>
      <c r="H404" s="4">
        <f>IF(A404="","",IFERROR(ROUND(AVERAGEIFS(ASSESSMENTS!H:H,ASSESSMENTS!B:B,A404,ASSESSMENTS!E:E,"Physical Sciences"),1),""))</f>
        <v/>
      </c>
      <c r="I404" s="4">
        <f>IF(A404="","",IFERROR(ROUND(AVERAGEIFS(ASSESSMENTS!H:H,ASSESSMENTS!B:B,A404,ASSESSMENTS!E:E,"Geography"),1),""))</f>
        <v/>
      </c>
      <c r="J404" s="4">
        <f>IF(A404="","",IFERROR(ROUND(AVERAGEIFS(ASSESSMENTS!H:H,ASSESSMENTS!B:B,A404,ASSESSMENTS!E:E,"Accounting"),1),""))</f>
        <v/>
      </c>
      <c r="K404" s="4">
        <f>IF(A404="","",IFERROR(ROUND(AVERAGEIFS(ASSESSMENTS!H:H,ASSESSMENTS!B:B,A404,ASSESSMENTS!E:E,"English"),1),""))</f>
        <v/>
      </c>
      <c r="L404" s="5">
        <f>IF(A404="","",IFERROR(XLOOKUP(A404,ATTENDANCE_SUMMARY!A:A,ATTENDANCE_SUMMARY!G:G,""),""))</f>
        <v/>
      </c>
      <c r="M404" s="4">
        <f>IF(A404="","",IF(OR(E404&lt;50,AND(L404&lt;0.75,L404&lt;&gt;"" )),"At Risk","On Track"))</f>
        <v/>
      </c>
    </row>
    <row r="405">
      <c r="A405">
        <f>IF(MASTER_REGISTER!E405="","",MASTER_REGISTER!E405)</f>
        <v/>
      </c>
      <c r="B405">
        <f>IF(A405="","",MASTER_REGISTER!F405)</f>
        <v/>
      </c>
      <c r="C405">
        <f>IF(A405="","",MASTER_REGISTER!C405)</f>
        <v/>
      </c>
      <c r="D405">
        <f>IF(A405="","",COUNTIF(ASSESSMENTS!B:B,A405))</f>
        <v/>
      </c>
      <c r="E405" s="4">
        <f>IF(D405=0,"",ROUND(AVERAGEIF(ASSESSMENTS!B:B,A405,ASSESSMENTS!H:H),1))</f>
        <v/>
      </c>
      <c r="F405" s="4">
        <f>IF(A405="","",IFERROR(ROUND(AVERAGEIFS(ASSESSMENTS!H:H,ASSESSMENTS!B:B,A405,ASSESSMENTS!E:E,"Mathematics"),1),""))</f>
        <v/>
      </c>
      <c r="G405" s="4">
        <f>IF(A405="","",IFERROR(ROUND(AVERAGEIFS(ASSESSMENTS!H:H,ASSESSMENTS!B:B,A405,ASSESSMENTS!E:E,"Mathematical Literacy"),1),""))</f>
        <v/>
      </c>
      <c r="H405" s="4">
        <f>IF(A405="","",IFERROR(ROUND(AVERAGEIFS(ASSESSMENTS!H:H,ASSESSMENTS!B:B,A405,ASSESSMENTS!E:E,"Physical Sciences"),1),""))</f>
        <v/>
      </c>
      <c r="I405" s="4">
        <f>IF(A405="","",IFERROR(ROUND(AVERAGEIFS(ASSESSMENTS!H:H,ASSESSMENTS!B:B,A405,ASSESSMENTS!E:E,"Geography"),1),""))</f>
        <v/>
      </c>
      <c r="J405" s="4">
        <f>IF(A405="","",IFERROR(ROUND(AVERAGEIFS(ASSESSMENTS!H:H,ASSESSMENTS!B:B,A405,ASSESSMENTS!E:E,"Accounting"),1),""))</f>
        <v/>
      </c>
      <c r="K405" s="4">
        <f>IF(A405="","",IFERROR(ROUND(AVERAGEIFS(ASSESSMENTS!H:H,ASSESSMENTS!B:B,A405,ASSESSMENTS!E:E,"English"),1),""))</f>
        <v/>
      </c>
      <c r="L405" s="5">
        <f>IF(A405="","",IFERROR(XLOOKUP(A405,ATTENDANCE_SUMMARY!A:A,ATTENDANCE_SUMMARY!G:G,""),""))</f>
        <v/>
      </c>
      <c r="M405" s="4">
        <f>IF(A405="","",IF(OR(E405&lt;50,AND(L405&lt;0.75,L405&lt;&gt;"" )),"At Risk","On Track"))</f>
        <v/>
      </c>
    </row>
    <row r="406">
      <c r="A406">
        <f>IF(MASTER_REGISTER!E406="","",MASTER_REGISTER!E406)</f>
        <v/>
      </c>
      <c r="B406">
        <f>IF(A406="","",MASTER_REGISTER!F406)</f>
        <v/>
      </c>
      <c r="C406">
        <f>IF(A406="","",MASTER_REGISTER!C406)</f>
        <v/>
      </c>
      <c r="D406">
        <f>IF(A406="","",COUNTIF(ASSESSMENTS!B:B,A406))</f>
        <v/>
      </c>
      <c r="E406" s="4">
        <f>IF(D406=0,"",ROUND(AVERAGEIF(ASSESSMENTS!B:B,A406,ASSESSMENTS!H:H),1))</f>
        <v/>
      </c>
      <c r="F406" s="4">
        <f>IF(A406="","",IFERROR(ROUND(AVERAGEIFS(ASSESSMENTS!H:H,ASSESSMENTS!B:B,A406,ASSESSMENTS!E:E,"Mathematics"),1),""))</f>
        <v/>
      </c>
      <c r="G406" s="4">
        <f>IF(A406="","",IFERROR(ROUND(AVERAGEIFS(ASSESSMENTS!H:H,ASSESSMENTS!B:B,A406,ASSESSMENTS!E:E,"Mathematical Literacy"),1),""))</f>
        <v/>
      </c>
      <c r="H406" s="4">
        <f>IF(A406="","",IFERROR(ROUND(AVERAGEIFS(ASSESSMENTS!H:H,ASSESSMENTS!B:B,A406,ASSESSMENTS!E:E,"Physical Sciences"),1),""))</f>
        <v/>
      </c>
      <c r="I406" s="4">
        <f>IF(A406="","",IFERROR(ROUND(AVERAGEIFS(ASSESSMENTS!H:H,ASSESSMENTS!B:B,A406,ASSESSMENTS!E:E,"Geography"),1),""))</f>
        <v/>
      </c>
      <c r="J406" s="4">
        <f>IF(A406="","",IFERROR(ROUND(AVERAGEIFS(ASSESSMENTS!H:H,ASSESSMENTS!B:B,A406,ASSESSMENTS!E:E,"Accounting"),1),""))</f>
        <v/>
      </c>
      <c r="K406" s="4">
        <f>IF(A406="","",IFERROR(ROUND(AVERAGEIFS(ASSESSMENTS!H:H,ASSESSMENTS!B:B,A406,ASSESSMENTS!E:E,"English"),1),""))</f>
        <v/>
      </c>
      <c r="L406" s="5">
        <f>IF(A406="","",IFERROR(XLOOKUP(A406,ATTENDANCE_SUMMARY!A:A,ATTENDANCE_SUMMARY!G:G,""),""))</f>
        <v/>
      </c>
      <c r="M406" s="4">
        <f>IF(A406="","",IF(OR(E406&lt;50,AND(L406&lt;0.75,L406&lt;&gt;"" )),"At Risk","On Track"))</f>
        <v/>
      </c>
    </row>
    <row r="407">
      <c r="A407">
        <f>IF(MASTER_REGISTER!E407="","",MASTER_REGISTER!E407)</f>
        <v/>
      </c>
      <c r="B407">
        <f>IF(A407="","",MASTER_REGISTER!F407)</f>
        <v/>
      </c>
      <c r="C407">
        <f>IF(A407="","",MASTER_REGISTER!C407)</f>
        <v/>
      </c>
      <c r="D407">
        <f>IF(A407="","",COUNTIF(ASSESSMENTS!B:B,A407))</f>
        <v/>
      </c>
      <c r="E407" s="4">
        <f>IF(D407=0,"",ROUND(AVERAGEIF(ASSESSMENTS!B:B,A407,ASSESSMENTS!H:H),1))</f>
        <v/>
      </c>
      <c r="F407" s="4">
        <f>IF(A407="","",IFERROR(ROUND(AVERAGEIFS(ASSESSMENTS!H:H,ASSESSMENTS!B:B,A407,ASSESSMENTS!E:E,"Mathematics"),1),""))</f>
        <v/>
      </c>
      <c r="G407" s="4">
        <f>IF(A407="","",IFERROR(ROUND(AVERAGEIFS(ASSESSMENTS!H:H,ASSESSMENTS!B:B,A407,ASSESSMENTS!E:E,"Mathematical Literacy"),1),""))</f>
        <v/>
      </c>
      <c r="H407" s="4">
        <f>IF(A407="","",IFERROR(ROUND(AVERAGEIFS(ASSESSMENTS!H:H,ASSESSMENTS!B:B,A407,ASSESSMENTS!E:E,"Physical Sciences"),1),""))</f>
        <v/>
      </c>
      <c r="I407" s="4">
        <f>IF(A407="","",IFERROR(ROUND(AVERAGEIFS(ASSESSMENTS!H:H,ASSESSMENTS!B:B,A407,ASSESSMENTS!E:E,"Geography"),1),""))</f>
        <v/>
      </c>
      <c r="J407" s="4">
        <f>IF(A407="","",IFERROR(ROUND(AVERAGEIFS(ASSESSMENTS!H:H,ASSESSMENTS!B:B,A407,ASSESSMENTS!E:E,"Accounting"),1),""))</f>
        <v/>
      </c>
      <c r="K407" s="4">
        <f>IF(A407="","",IFERROR(ROUND(AVERAGEIFS(ASSESSMENTS!H:H,ASSESSMENTS!B:B,A407,ASSESSMENTS!E:E,"English"),1),""))</f>
        <v/>
      </c>
      <c r="L407" s="5">
        <f>IF(A407="","",IFERROR(XLOOKUP(A407,ATTENDANCE_SUMMARY!A:A,ATTENDANCE_SUMMARY!G:G,""),""))</f>
        <v/>
      </c>
      <c r="M407" s="4">
        <f>IF(A407="","",IF(OR(E407&lt;50,AND(L407&lt;0.75,L407&lt;&gt;"" )),"At Risk","On Track"))</f>
        <v/>
      </c>
    </row>
    <row r="408">
      <c r="A408">
        <f>IF(MASTER_REGISTER!E408="","",MASTER_REGISTER!E408)</f>
        <v/>
      </c>
      <c r="B408">
        <f>IF(A408="","",MASTER_REGISTER!F408)</f>
        <v/>
      </c>
      <c r="C408">
        <f>IF(A408="","",MASTER_REGISTER!C408)</f>
        <v/>
      </c>
      <c r="D408">
        <f>IF(A408="","",COUNTIF(ASSESSMENTS!B:B,A408))</f>
        <v/>
      </c>
      <c r="E408" s="4">
        <f>IF(D408=0,"",ROUND(AVERAGEIF(ASSESSMENTS!B:B,A408,ASSESSMENTS!H:H),1))</f>
        <v/>
      </c>
      <c r="F408" s="4">
        <f>IF(A408="","",IFERROR(ROUND(AVERAGEIFS(ASSESSMENTS!H:H,ASSESSMENTS!B:B,A408,ASSESSMENTS!E:E,"Mathematics"),1),""))</f>
        <v/>
      </c>
      <c r="G408" s="4">
        <f>IF(A408="","",IFERROR(ROUND(AVERAGEIFS(ASSESSMENTS!H:H,ASSESSMENTS!B:B,A408,ASSESSMENTS!E:E,"Mathematical Literacy"),1),""))</f>
        <v/>
      </c>
      <c r="H408" s="4">
        <f>IF(A408="","",IFERROR(ROUND(AVERAGEIFS(ASSESSMENTS!H:H,ASSESSMENTS!B:B,A408,ASSESSMENTS!E:E,"Physical Sciences"),1),""))</f>
        <v/>
      </c>
      <c r="I408" s="4">
        <f>IF(A408="","",IFERROR(ROUND(AVERAGEIFS(ASSESSMENTS!H:H,ASSESSMENTS!B:B,A408,ASSESSMENTS!E:E,"Geography"),1),""))</f>
        <v/>
      </c>
      <c r="J408" s="4">
        <f>IF(A408="","",IFERROR(ROUND(AVERAGEIFS(ASSESSMENTS!H:H,ASSESSMENTS!B:B,A408,ASSESSMENTS!E:E,"Accounting"),1),""))</f>
        <v/>
      </c>
      <c r="K408" s="4">
        <f>IF(A408="","",IFERROR(ROUND(AVERAGEIFS(ASSESSMENTS!H:H,ASSESSMENTS!B:B,A408,ASSESSMENTS!E:E,"English"),1),""))</f>
        <v/>
      </c>
      <c r="L408" s="5">
        <f>IF(A408="","",IFERROR(XLOOKUP(A408,ATTENDANCE_SUMMARY!A:A,ATTENDANCE_SUMMARY!G:G,""),""))</f>
        <v/>
      </c>
      <c r="M408" s="4">
        <f>IF(A408="","",IF(OR(E408&lt;50,AND(L408&lt;0.75,L408&lt;&gt;"" )),"At Risk","On Track"))</f>
        <v/>
      </c>
    </row>
    <row r="409">
      <c r="A409">
        <f>IF(MASTER_REGISTER!E409="","",MASTER_REGISTER!E409)</f>
        <v/>
      </c>
      <c r="B409">
        <f>IF(A409="","",MASTER_REGISTER!F409)</f>
        <v/>
      </c>
      <c r="C409">
        <f>IF(A409="","",MASTER_REGISTER!C409)</f>
        <v/>
      </c>
      <c r="D409">
        <f>IF(A409="","",COUNTIF(ASSESSMENTS!B:B,A409))</f>
        <v/>
      </c>
      <c r="E409" s="4">
        <f>IF(D409=0,"",ROUND(AVERAGEIF(ASSESSMENTS!B:B,A409,ASSESSMENTS!H:H),1))</f>
        <v/>
      </c>
      <c r="F409" s="4">
        <f>IF(A409="","",IFERROR(ROUND(AVERAGEIFS(ASSESSMENTS!H:H,ASSESSMENTS!B:B,A409,ASSESSMENTS!E:E,"Mathematics"),1),""))</f>
        <v/>
      </c>
      <c r="G409" s="4">
        <f>IF(A409="","",IFERROR(ROUND(AVERAGEIFS(ASSESSMENTS!H:H,ASSESSMENTS!B:B,A409,ASSESSMENTS!E:E,"Mathematical Literacy"),1),""))</f>
        <v/>
      </c>
      <c r="H409" s="4">
        <f>IF(A409="","",IFERROR(ROUND(AVERAGEIFS(ASSESSMENTS!H:H,ASSESSMENTS!B:B,A409,ASSESSMENTS!E:E,"Physical Sciences"),1),""))</f>
        <v/>
      </c>
      <c r="I409" s="4">
        <f>IF(A409="","",IFERROR(ROUND(AVERAGEIFS(ASSESSMENTS!H:H,ASSESSMENTS!B:B,A409,ASSESSMENTS!E:E,"Geography"),1),""))</f>
        <v/>
      </c>
      <c r="J409" s="4">
        <f>IF(A409="","",IFERROR(ROUND(AVERAGEIFS(ASSESSMENTS!H:H,ASSESSMENTS!B:B,A409,ASSESSMENTS!E:E,"Accounting"),1),""))</f>
        <v/>
      </c>
      <c r="K409" s="4">
        <f>IF(A409="","",IFERROR(ROUND(AVERAGEIFS(ASSESSMENTS!H:H,ASSESSMENTS!B:B,A409,ASSESSMENTS!E:E,"English"),1),""))</f>
        <v/>
      </c>
      <c r="L409" s="5">
        <f>IF(A409="","",IFERROR(XLOOKUP(A409,ATTENDANCE_SUMMARY!A:A,ATTENDANCE_SUMMARY!G:G,""),""))</f>
        <v/>
      </c>
      <c r="M409" s="4">
        <f>IF(A409="","",IF(OR(E409&lt;50,AND(L409&lt;0.75,L409&lt;&gt;"" )),"At Risk","On Track"))</f>
        <v/>
      </c>
    </row>
    <row r="410">
      <c r="A410">
        <f>IF(MASTER_REGISTER!E410="","",MASTER_REGISTER!E410)</f>
        <v/>
      </c>
      <c r="B410">
        <f>IF(A410="","",MASTER_REGISTER!F410)</f>
        <v/>
      </c>
      <c r="C410">
        <f>IF(A410="","",MASTER_REGISTER!C410)</f>
        <v/>
      </c>
      <c r="D410">
        <f>IF(A410="","",COUNTIF(ASSESSMENTS!B:B,A410))</f>
        <v/>
      </c>
      <c r="E410" s="4">
        <f>IF(D410=0,"",ROUND(AVERAGEIF(ASSESSMENTS!B:B,A410,ASSESSMENTS!H:H),1))</f>
        <v/>
      </c>
      <c r="F410" s="4">
        <f>IF(A410="","",IFERROR(ROUND(AVERAGEIFS(ASSESSMENTS!H:H,ASSESSMENTS!B:B,A410,ASSESSMENTS!E:E,"Mathematics"),1),""))</f>
        <v/>
      </c>
      <c r="G410" s="4">
        <f>IF(A410="","",IFERROR(ROUND(AVERAGEIFS(ASSESSMENTS!H:H,ASSESSMENTS!B:B,A410,ASSESSMENTS!E:E,"Mathematical Literacy"),1),""))</f>
        <v/>
      </c>
      <c r="H410" s="4">
        <f>IF(A410="","",IFERROR(ROUND(AVERAGEIFS(ASSESSMENTS!H:H,ASSESSMENTS!B:B,A410,ASSESSMENTS!E:E,"Physical Sciences"),1),""))</f>
        <v/>
      </c>
      <c r="I410" s="4">
        <f>IF(A410="","",IFERROR(ROUND(AVERAGEIFS(ASSESSMENTS!H:H,ASSESSMENTS!B:B,A410,ASSESSMENTS!E:E,"Geography"),1),""))</f>
        <v/>
      </c>
      <c r="J410" s="4">
        <f>IF(A410="","",IFERROR(ROUND(AVERAGEIFS(ASSESSMENTS!H:H,ASSESSMENTS!B:B,A410,ASSESSMENTS!E:E,"Accounting"),1),""))</f>
        <v/>
      </c>
      <c r="K410" s="4">
        <f>IF(A410="","",IFERROR(ROUND(AVERAGEIFS(ASSESSMENTS!H:H,ASSESSMENTS!B:B,A410,ASSESSMENTS!E:E,"English"),1),""))</f>
        <v/>
      </c>
      <c r="L410" s="5">
        <f>IF(A410="","",IFERROR(XLOOKUP(A410,ATTENDANCE_SUMMARY!A:A,ATTENDANCE_SUMMARY!G:G,""),""))</f>
        <v/>
      </c>
      <c r="M410" s="4">
        <f>IF(A410="","",IF(OR(E410&lt;50,AND(L410&lt;0.75,L410&lt;&gt;"" )),"At Risk","On Track"))</f>
        <v/>
      </c>
    </row>
    <row r="411">
      <c r="A411">
        <f>IF(MASTER_REGISTER!E411="","",MASTER_REGISTER!E411)</f>
        <v/>
      </c>
      <c r="B411">
        <f>IF(A411="","",MASTER_REGISTER!F411)</f>
        <v/>
      </c>
      <c r="C411">
        <f>IF(A411="","",MASTER_REGISTER!C411)</f>
        <v/>
      </c>
      <c r="D411">
        <f>IF(A411="","",COUNTIF(ASSESSMENTS!B:B,A411))</f>
        <v/>
      </c>
      <c r="E411" s="4">
        <f>IF(D411=0,"",ROUND(AVERAGEIF(ASSESSMENTS!B:B,A411,ASSESSMENTS!H:H),1))</f>
        <v/>
      </c>
      <c r="F411" s="4">
        <f>IF(A411="","",IFERROR(ROUND(AVERAGEIFS(ASSESSMENTS!H:H,ASSESSMENTS!B:B,A411,ASSESSMENTS!E:E,"Mathematics"),1),""))</f>
        <v/>
      </c>
      <c r="G411" s="4">
        <f>IF(A411="","",IFERROR(ROUND(AVERAGEIFS(ASSESSMENTS!H:H,ASSESSMENTS!B:B,A411,ASSESSMENTS!E:E,"Mathematical Literacy"),1),""))</f>
        <v/>
      </c>
      <c r="H411" s="4">
        <f>IF(A411="","",IFERROR(ROUND(AVERAGEIFS(ASSESSMENTS!H:H,ASSESSMENTS!B:B,A411,ASSESSMENTS!E:E,"Physical Sciences"),1),""))</f>
        <v/>
      </c>
      <c r="I411" s="4">
        <f>IF(A411="","",IFERROR(ROUND(AVERAGEIFS(ASSESSMENTS!H:H,ASSESSMENTS!B:B,A411,ASSESSMENTS!E:E,"Geography"),1),""))</f>
        <v/>
      </c>
      <c r="J411" s="4">
        <f>IF(A411="","",IFERROR(ROUND(AVERAGEIFS(ASSESSMENTS!H:H,ASSESSMENTS!B:B,A411,ASSESSMENTS!E:E,"Accounting"),1),""))</f>
        <v/>
      </c>
      <c r="K411" s="4">
        <f>IF(A411="","",IFERROR(ROUND(AVERAGEIFS(ASSESSMENTS!H:H,ASSESSMENTS!B:B,A411,ASSESSMENTS!E:E,"English"),1),""))</f>
        <v/>
      </c>
      <c r="L411" s="5">
        <f>IF(A411="","",IFERROR(XLOOKUP(A411,ATTENDANCE_SUMMARY!A:A,ATTENDANCE_SUMMARY!G:G,""),""))</f>
        <v/>
      </c>
      <c r="M411" s="4">
        <f>IF(A411="","",IF(OR(E411&lt;50,AND(L411&lt;0.75,L411&lt;&gt;"" )),"At Risk","On Track"))</f>
        <v/>
      </c>
    </row>
    <row r="412">
      <c r="A412">
        <f>IF(MASTER_REGISTER!E412="","",MASTER_REGISTER!E412)</f>
        <v/>
      </c>
      <c r="B412">
        <f>IF(A412="","",MASTER_REGISTER!F412)</f>
        <v/>
      </c>
      <c r="C412">
        <f>IF(A412="","",MASTER_REGISTER!C412)</f>
        <v/>
      </c>
      <c r="D412">
        <f>IF(A412="","",COUNTIF(ASSESSMENTS!B:B,A412))</f>
        <v/>
      </c>
      <c r="E412" s="4">
        <f>IF(D412=0,"",ROUND(AVERAGEIF(ASSESSMENTS!B:B,A412,ASSESSMENTS!H:H),1))</f>
        <v/>
      </c>
      <c r="F412" s="4">
        <f>IF(A412="","",IFERROR(ROUND(AVERAGEIFS(ASSESSMENTS!H:H,ASSESSMENTS!B:B,A412,ASSESSMENTS!E:E,"Mathematics"),1),""))</f>
        <v/>
      </c>
      <c r="G412" s="4">
        <f>IF(A412="","",IFERROR(ROUND(AVERAGEIFS(ASSESSMENTS!H:H,ASSESSMENTS!B:B,A412,ASSESSMENTS!E:E,"Mathematical Literacy"),1),""))</f>
        <v/>
      </c>
      <c r="H412" s="4">
        <f>IF(A412="","",IFERROR(ROUND(AVERAGEIFS(ASSESSMENTS!H:H,ASSESSMENTS!B:B,A412,ASSESSMENTS!E:E,"Physical Sciences"),1),""))</f>
        <v/>
      </c>
      <c r="I412" s="4">
        <f>IF(A412="","",IFERROR(ROUND(AVERAGEIFS(ASSESSMENTS!H:H,ASSESSMENTS!B:B,A412,ASSESSMENTS!E:E,"Geography"),1),""))</f>
        <v/>
      </c>
      <c r="J412" s="4">
        <f>IF(A412="","",IFERROR(ROUND(AVERAGEIFS(ASSESSMENTS!H:H,ASSESSMENTS!B:B,A412,ASSESSMENTS!E:E,"Accounting"),1),""))</f>
        <v/>
      </c>
      <c r="K412" s="4">
        <f>IF(A412="","",IFERROR(ROUND(AVERAGEIFS(ASSESSMENTS!H:H,ASSESSMENTS!B:B,A412,ASSESSMENTS!E:E,"English"),1),""))</f>
        <v/>
      </c>
      <c r="L412" s="5">
        <f>IF(A412="","",IFERROR(XLOOKUP(A412,ATTENDANCE_SUMMARY!A:A,ATTENDANCE_SUMMARY!G:G,""),""))</f>
        <v/>
      </c>
      <c r="M412" s="4">
        <f>IF(A412="","",IF(OR(E412&lt;50,AND(L412&lt;0.75,L412&lt;&gt;"" )),"At Risk","On Track"))</f>
        <v/>
      </c>
    </row>
    <row r="413">
      <c r="A413">
        <f>IF(MASTER_REGISTER!E413="","",MASTER_REGISTER!E413)</f>
        <v/>
      </c>
      <c r="B413">
        <f>IF(A413="","",MASTER_REGISTER!F413)</f>
        <v/>
      </c>
      <c r="C413">
        <f>IF(A413="","",MASTER_REGISTER!C413)</f>
        <v/>
      </c>
      <c r="D413">
        <f>IF(A413="","",COUNTIF(ASSESSMENTS!B:B,A413))</f>
        <v/>
      </c>
      <c r="E413" s="4">
        <f>IF(D413=0,"",ROUND(AVERAGEIF(ASSESSMENTS!B:B,A413,ASSESSMENTS!H:H),1))</f>
        <v/>
      </c>
      <c r="F413" s="4">
        <f>IF(A413="","",IFERROR(ROUND(AVERAGEIFS(ASSESSMENTS!H:H,ASSESSMENTS!B:B,A413,ASSESSMENTS!E:E,"Mathematics"),1),""))</f>
        <v/>
      </c>
      <c r="G413" s="4">
        <f>IF(A413="","",IFERROR(ROUND(AVERAGEIFS(ASSESSMENTS!H:H,ASSESSMENTS!B:B,A413,ASSESSMENTS!E:E,"Mathematical Literacy"),1),""))</f>
        <v/>
      </c>
      <c r="H413" s="4">
        <f>IF(A413="","",IFERROR(ROUND(AVERAGEIFS(ASSESSMENTS!H:H,ASSESSMENTS!B:B,A413,ASSESSMENTS!E:E,"Physical Sciences"),1),""))</f>
        <v/>
      </c>
      <c r="I413" s="4">
        <f>IF(A413="","",IFERROR(ROUND(AVERAGEIFS(ASSESSMENTS!H:H,ASSESSMENTS!B:B,A413,ASSESSMENTS!E:E,"Geography"),1),""))</f>
        <v/>
      </c>
      <c r="J413" s="4">
        <f>IF(A413="","",IFERROR(ROUND(AVERAGEIFS(ASSESSMENTS!H:H,ASSESSMENTS!B:B,A413,ASSESSMENTS!E:E,"Accounting"),1),""))</f>
        <v/>
      </c>
      <c r="K413" s="4">
        <f>IF(A413="","",IFERROR(ROUND(AVERAGEIFS(ASSESSMENTS!H:H,ASSESSMENTS!B:B,A413,ASSESSMENTS!E:E,"English"),1),""))</f>
        <v/>
      </c>
      <c r="L413" s="5">
        <f>IF(A413="","",IFERROR(XLOOKUP(A413,ATTENDANCE_SUMMARY!A:A,ATTENDANCE_SUMMARY!G:G,""),""))</f>
        <v/>
      </c>
      <c r="M413" s="4">
        <f>IF(A413="","",IF(OR(E413&lt;50,AND(L413&lt;0.75,L413&lt;&gt;"" )),"At Risk","On Track"))</f>
        <v/>
      </c>
    </row>
    <row r="414">
      <c r="A414">
        <f>IF(MASTER_REGISTER!E414="","",MASTER_REGISTER!E414)</f>
        <v/>
      </c>
      <c r="B414">
        <f>IF(A414="","",MASTER_REGISTER!F414)</f>
        <v/>
      </c>
      <c r="C414">
        <f>IF(A414="","",MASTER_REGISTER!C414)</f>
        <v/>
      </c>
      <c r="D414">
        <f>IF(A414="","",COUNTIF(ASSESSMENTS!B:B,A414))</f>
        <v/>
      </c>
      <c r="E414" s="4">
        <f>IF(D414=0,"",ROUND(AVERAGEIF(ASSESSMENTS!B:B,A414,ASSESSMENTS!H:H),1))</f>
        <v/>
      </c>
      <c r="F414" s="4">
        <f>IF(A414="","",IFERROR(ROUND(AVERAGEIFS(ASSESSMENTS!H:H,ASSESSMENTS!B:B,A414,ASSESSMENTS!E:E,"Mathematics"),1),""))</f>
        <v/>
      </c>
      <c r="G414" s="4">
        <f>IF(A414="","",IFERROR(ROUND(AVERAGEIFS(ASSESSMENTS!H:H,ASSESSMENTS!B:B,A414,ASSESSMENTS!E:E,"Mathematical Literacy"),1),""))</f>
        <v/>
      </c>
      <c r="H414" s="4">
        <f>IF(A414="","",IFERROR(ROUND(AVERAGEIFS(ASSESSMENTS!H:H,ASSESSMENTS!B:B,A414,ASSESSMENTS!E:E,"Physical Sciences"),1),""))</f>
        <v/>
      </c>
      <c r="I414" s="4">
        <f>IF(A414="","",IFERROR(ROUND(AVERAGEIFS(ASSESSMENTS!H:H,ASSESSMENTS!B:B,A414,ASSESSMENTS!E:E,"Geography"),1),""))</f>
        <v/>
      </c>
      <c r="J414" s="4">
        <f>IF(A414="","",IFERROR(ROUND(AVERAGEIFS(ASSESSMENTS!H:H,ASSESSMENTS!B:B,A414,ASSESSMENTS!E:E,"Accounting"),1),""))</f>
        <v/>
      </c>
      <c r="K414" s="4">
        <f>IF(A414="","",IFERROR(ROUND(AVERAGEIFS(ASSESSMENTS!H:H,ASSESSMENTS!B:B,A414,ASSESSMENTS!E:E,"English"),1),""))</f>
        <v/>
      </c>
      <c r="L414" s="5">
        <f>IF(A414="","",IFERROR(XLOOKUP(A414,ATTENDANCE_SUMMARY!A:A,ATTENDANCE_SUMMARY!G:G,""),""))</f>
        <v/>
      </c>
      <c r="M414" s="4">
        <f>IF(A414="","",IF(OR(E414&lt;50,AND(L414&lt;0.75,L414&lt;&gt;"" )),"At Risk","On Track"))</f>
        <v/>
      </c>
    </row>
    <row r="415">
      <c r="A415">
        <f>IF(MASTER_REGISTER!E415="","",MASTER_REGISTER!E415)</f>
        <v/>
      </c>
      <c r="B415">
        <f>IF(A415="","",MASTER_REGISTER!F415)</f>
        <v/>
      </c>
      <c r="C415">
        <f>IF(A415="","",MASTER_REGISTER!C415)</f>
        <v/>
      </c>
      <c r="D415">
        <f>IF(A415="","",COUNTIF(ASSESSMENTS!B:B,A415))</f>
        <v/>
      </c>
      <c r="E415" s="4">
        <f>IF(D415=0,"",ROUND(AVERAGEIF(ASSESSMENTS!B:B,A415,ASSESSMENTS!H:H),1))</f>
        <v/>
      </c>
      <c r="F415" s="4">
        <f>IF(A415="","",IFERROR(ROUND(AVERAGEIFS(ASSESSMENTS!H:H,ASSESSMENTS!B:B,A415,ASSESSMENTS!E:E,"Mathematics"),1),""))</f>
        <v/>
      </c>
      <c r="G415" s="4">
        <f>IF(A415="","",IFERROR(ROUND(AVERAGEIFS(ASSESSMENTS!H:H,ASSESSMENTS!B:B,A415,ASSESSMENTS!E:E,"Mathematical Literacy"),1),""))</f>
        <v/>
      </c>
      <c r="H415" s="4">
        <f>IF(A415="","",IFERROR(ROUND(AVERAGEIFS(ASSESSMENTS!H:H,ASSESSMENTS!B:B,A415,ASSESSMENTS!E:E,"Physical Sciences"),1),""))</f>
        <v/>
      </c>
      <c r="I415" s="4">
        <f>IF(A415="","",IFERROR(ROUND(AVERAGEIFS(ASSESSMENTS!H:H,ASSESSMENTS!B:B,A415,ASSESSMENTS!E:E,"Geography"),1),""))</f>
        <v/>
      </c>
      <c r="J415" s="4">
        <f>IF(A415="","",IFERROR(ROUND(AVERAGEIFS(ASSESSMENTS!H:H,ASSESSMENTS!B:B,A415,ASSESSMENTS!E:E,"Accounting"),1),""))</f>
        <v/>
      </c>
      <c r="K415" s="4">
        <f>IF(A415="","",IFERROR(ROUND(AVERAGEIFS(ASSESSMENTS!H:H,ASSESSMENTS!B:B,A415,ASSESSMENTS!E:E,"English"),1),""))</f>
        <v/>
      </c>
      <c r="L415" s="5">
        <f>IF(A415="","",IFERROR(XLOOKUP(A415,ATTENDANCE_SUMMARY!A:A,ATTENDANCE_SUMMARY!G:G,""),""))</f>
        <v/>
      </c>
      <c r="M415" s="4">
        <f>IF(A415="","",IF(OR(E415&lt;50,AND(L415&lt;0.75,L415&lt;&gt;"" )),"At Risk","On Track"))</f>
        <v/>
      </c>
    </row>
    <row r="416">
      <c r="A416">
        <f>IF(MASTER_REGISTER!E416="","",MASTER_REGISTER!E416)</f>
        <v/>
      </c>
      <c r="B416">
        <f>IF(A416="","",MASTER_REGISTER!F416)</f>
        <v/>
      </c>
      <c r="C416">
        <f>IF(A416="","",MASTER_REGISTER!C416)</f>
        <v/>
      </c>
      <c r="D416">
        <f>IF(A416="","",COUNTIF(ASSESSMENTS!B:B,A416))</f>
        <v/>
      </c>
      <c r="E416" s="4">
        <f>IF(D416=0,"",ROUND(AVERAGEIF(ASSESSMENTS!B:B,A416,ASSESSMENTS!H:H),1))</f>
        <v/>
      </c>
      <c r="F416" s="4">
        <f>IF(A416="","",IFERROR(ROUND(AVERAGEIFS(ASSESSMENTS!H:H,ASSESSMENTS!B:B,A416,ASSESSMENTS!E:E,"Mathematics"),1),""))</f>
        <v/>
      </c>
      <c r="G416" s="4">
        <f>IF(A416="","",IFERROR(ROUND(AVERAGEIFS(ASSESSMENTS!H:H,ASSESSMENTS!B:B,A416,ASSESSMENTS!E:E,"Mathematical Literacy"),1),""))</f>
        <v/>
      </c>
      <c r="H416" s="4">
        <f>IF(A416="","",IFERROR(ROUND(AVERAGEIFS(ASSESSMENTS!H:H,ASSESSMENTS!B:B,A416,ASSESSMENTS!E:E,"Physical Sciences"),1),""))</f>
        <v/>
      </c>
      <c r="I416" s="4">
        <f>IF(A416="","",IFERROR(ROUND(AVERAGEIFS(ASSESSMENTS!H:H,ASSESSMENTS!B:B,A416,ASSESSMENTS!E:E,"Geography"),1),""))</f>
        <v/>
      </c>
      <c r="J416" s="4">
        <f>IF(A416="","",IFERROR(ROUND(AVERAGEIFS(ASSESSMENTS!H:H,ASSESSMENTS!B:B,A416,ASSESSMENTS!E:E,"Accounting"),1),""))</f>
        <v/>
      </c>
      <c r="K416" s="4">
        <f>IF(A416="","",IFERROR(ROUND(AVERAGEIFS(ASSESSMENTS!H:H,ASSESSMENTS!B:B,A416,ASSESSMENTS!E:E,"English"),1),""))</f>
        <v/>
      </c>
      <c r="L416" s="5">
        <f>IF(A416="","",IFERROR(XLOOKUP(A416,ATTENDANCE_SUMMARY!A:A,ATTENDANCE_SUMMARY!G:G,""),""))</f>
        <v/>
      </c>
      <c r="M416" s="4">
        <f>IF(A416="","",IF(OR(E416&lt;50,AND(L416&lt;0.75,L416&lt;&gt;"" )),"At Risk","On Track"))</f>
        <v/>
      </c>
    </row>
    <row r="417">
      <c r="A417">
        <f>IF(MASTER_REGISTER!E417="","",MASTER_REGISTER!E417)</f>
        <v/>
      </c>
      <c r="B417">
        <f>IF(A417="","",MASTER_REGISTER!F417)</f>
        <v/>
      </c>
      <c r="C417">
        <f>IF(A417="","",MASTER_REGISTER!C417)</f>
        <v/>
      </c>
      <c r="D417">
        <f>IF(A417="","",COUNTIF(ASSESSMENTS!B:B,A417))</f>
        <v/>
      </c>
      <c r="E417" s="4">
        <f>IF(D417=0,"",ROUND(AVERAGEIF(ASSESSMENTS!B:B,A417,ASSESSMENTS!H:H),1))</f>
        <v/>
      </c>
      <c r="F417" s="4">
        <f>IF(A417="","",IFERROR(ROUND(AVERAGEIFS(ASSESSMENTS!H:H,ASSESSMENTS!B:B,A417,ASSESSMENTS!E:E,"Mathematics"),1),""))</f>
        <v/>
      </c>
      <c r="G417" s="4">
        <f>IF(A417="","",IFERROR(ROUND(AVERAGEIFS(ASSESSMENTS!H:H,ASSESSMENTS!B:B,A417,ASSESSMENTS!E:E,"Mathematical Literacy"),1),""))</f>
        <v/>
      </c>
      <c r="H417" s="4">
        <f>IF(A417="","",IFERROR(ROUND(AVERAGEIFS(ASSESSMENTS!H:H,ASSESSMENTS!B:B,A417,ASSESSMENTS!E:E,"Physical Sciences"),1),""))</f>
        <v/>
      </c>
      <c r="I417" s="4">
        <f>IF(A417="","",IFERROR(ROUND(AVERAGEIFS(ASSESSMENTS!H:H,ASSESSMENTS!B:B,A417,ASSESSMENTS!E:E,"Geography"),1),""))</f>
        <v/>
      </c>
      <c r="J417" s="4">
        <f>IF(A417="","",IFERROR(ROUND(AVERAGEIFS(ASSESSMENTS!H:H,ASSESSMENTS!B:B,A417,ASSESSMENTS!E:E,"Accounting"),1),""))</f>
        <v/>
      </c>
      <c r="K417" s="4">
        <f>IF(A417="","",IFERROR(ROUND(AVERAGEIFS(ASSESSMENTS!H:H,ASSESSMENTS!B:B,A417,ASSESSMENTS!E:E,"English"),1),""))</f>
        <v/>
      </c>
      <c r="L417" s="5">
        <f>IF(A417="","",IFERROR(XLOOKUP(A417,ATTENDANCE_SUMMARY!A:A,ATTENDANCE_SUMMARY!G:G,""),""))</f>
        <v/>
      </c>
      <c r="M417" s="4">
        <f>IF(A417="","",IF(OR(E417&lt;50,AND(L417&lt;0.75,L417&lt;&gt;"" )),"At Risk","On Track"))</f>
        <v/>
      </c>
    </row>
    <row r="418">
      <c r="A418">
        <f>IF(MASTER_REGISTER!E418="","",MASTER_REGISTER!E418)</f>
        <v/>
      </c>
      <c r="B418">
        <f>IF(A418="","",MASTER_REGISTER!F418)</f>
        <v/>
      </c>
      <c r="C418">
        <f>IF(A418="","",MASTER_REGISTER!C418)</f>
        <v/>
      </c>
      <c r="D418">
        <f>IF(A418="","",COUNTIF(ASSESSMENTS!B:B,A418))</f>
        <v/>
      </c>
      <c r="E418" s="4">
        <f>IF(D418=0,"",ROUND(AVERAGEIF(ASSESSMENTS!B:B,A418,ASSESSMENTS!H:H),1))</f>
        <v/>
      </c>
      <c r="F418" s="4">
        <f>IF(A418="","",IFERROR(ROUND(AVERAGEIFS(ASSESSMENTS!H:H,ASSESSMENTS!B:B,A418,ASSESSMENTS!E:E,"Mathematics"),1),""))</f>
        <v/>
      </c>
      <c r="G418" s="4">
        <f>IF(A418="","",IFERROR(ROUND(AVERAGEIFS(ASSESSMENTS!H:H,ASSESSMENTS!B:B,A418,ASSESSMENTS!E:E,"Mathematical Literacy"),1),""))</f>
        <v/>
      </c>
      <c r="H418" s="4">
        <f>IF(A418="","",IFERROR(ROUND(AVERAGEIFS(ASSESSMENTS!H:H,ASSESSMENTS!B:B,A418,ASSESSMENTS!E:E,"Physical Sciences"),1),""))</f>
        <v/>
      </c>
      <c r="I418" s="4">
        <f>IF(A418="","",IFERROR(ROUND(AVERAGEIFS(ASSESSMENTS!H:H,ASSESSMENTS!B:B,A418,ASSESSMENTS!E:E,"Geography"),1),""))</f>
        <v/>
      </c>
      <c r="J418" s="4">
        <f>IF(A418="","",IFERROR(ROUND(AVERAGEIFS(ASSESSMENTS!H:H,ASSESSMENTS!B:B,A418,ASSESSMENTS!E:E,"Accounting"),1),""))</f>
        <v/>
      </c>
      <c r="K418" s="4">
        <f>IF(A418="","",IFERROR(ROUND(AVERAGEIFS(ASSESSMENTS!H:H,ASSESSMENTS!B:B,A418,ASSESSMENTS!E:E,"English"),1),""))</f>
        <v/>
      </c>
      <c r="L418" s="5">
        <f>IF(A418="","",IFERROR(XLOOKUP(A418,ATTENDANCE_SUMMARY!A:A,ATTENDANCE_SUMMARY!G:G,""),""))</f>
        <v/>
      </c>
      <c r="M418" s="4">
        <f>IF(A418="","",IF(OR(E418&lt;50,AND(L418&lt;0.75,L418&lt;&gt;"" )),"At Risk","On Track"))</f>
        <v/>
      </c>
    </row>
    <row r="419">
      <c r="A419">
        <f>IF(MASTER_REGISTER!E419="","",MASTER_REGISTER!E419)</f>
        <v/>
      </c>
      <c r="B419">
        <f>IF(A419="","",MASTER_REGISTER!F419)</f>
        <v/>
      </c>
      <c r="C419">
        <f>IF(A419="","",MASTER_REGISTER!C419)</f>
        <v/>
      </c>
      <c r="D419">
        <f>IF(A419="","",COUNTIF(ASSESSMENTS!B:B,A419))</f>
        <v/>
      </c>
      <c r="E419" s="4">
        <f>IF(D419=0,"",ROUND(AVERAGEIF(ASSESSMENTS!B:B,A419,ASSESSMENTS!H:H),1))</f>
        <v/>
      </c>
      <c r="F419" s="4">
        <f>IF(A419="","",IFERROR(ROUND(AVERAGEIFS(ASSESSMENTS!H:H,ASSESSMENTS!B:B,A419,ASSESSMENTS!E:E,"Mathematics"),1),""))</f>
        <v/>
      </c>
      <c r="G419" s="4">
        <f>IF(A419="","",IFERROR(ROUND(AVERAGEIFS(ASSESSMENTS!H:H,ASSESSMENTS!B:B,A419,ASSESSMENTS!E:E,"Mathematical Literacy"),1),""))</f>
        <v/>
      </c>
      <c r="H419" s="4">
        <f>IF(A419="","",IFERROR(ROUND(AVERAGEIFS(ASSESSMENTS!H:H,ASSESSMENTS!B:B,A419,ASSESSMENTS!E:E,"Physical Sciences"),1),""))</f>
        <v/>
      </c>
      <c r="I419" s="4">
        <f>IF(A419="","",IFERROR(ROUND(AVERAGEIFS(ASSESSMENTS!H:H,ASSESSMENTS!B:B,A419,ASSESSMENTS!E:E,"Geography"),1),""))</f>
        <v/>
      </c>
      <c r="J419" s="4">
        <f>IF(A419="","",IFERROR(ROUND(AVERAGEIFS(ASSESSMENTS!H:H,ASSESSMENTS!B:B,A419,ASSESSMENTS!E:E,"Accounting"),1),""))</f>
        <v/>
      </c>
      <c r="K419" s="4">
        <f>IF(A419="","",IFERROR(ROUND(AVERAGEIFS(ASSESSMENTS!H:H,ASSESSMENTS!B:B,A419,ASSESSMENTS!E:E,"English"),1),""))</f>
        <v/>
      </c>
      <c r="L419" s="5">
        <f>IF(A419="","",IFERROR(XLOOKUP(A419,ATTENDANCE_SUMMARY!A:A,ATTENDANCE_SUMMARY!G:G,""),""))</f>
        <v/>
      </c>
      <c r="M419" s="4">
        <f>IF(A419="","",IF(OR(E419&lt;50,AND(L419&lt;0.75,L419&lt;&gt;"" )),"At Risk","On Track"))</f>
        <v/>
      </c>
    </row>
    <row r="420">
      <c r="A420">
        <f>IF(MASTER_REGISTER!E420="","",MASTER_REGISTER!E420)</f>
        <v/>
      </c>
      <c r="B420">
        <f>IF(A420="","",MASTER_REGISTER!F420)</f>
        <v/>
      </c>
      <c r="C420">
        <f>IF(A420="","",MASTER_REGISTER!C420)</f>
        <v/>
      </c>
      <c r="D420">
        <f>IF(A420="","",COUNTIF(ASSESSMENTS!B:B,A420))</f>
        <v/>
      </c>
      <c r="E420" s="4">
        <f>IF(D420=0,"",ROUND(AVERAGEIF(ASSESSMENTS!B:B,A420,ASSESSMENTS!H:H),1))</f>
        <v/>
      </c>
      <c r="F420" s="4">
        <f>IF(A420="","",IFERROR(ROUND(AVERAGEIFS(ASSESSMENTS!H:H,ASSESSMENTS!B:B,A420,ASSESSMENTS!E:E,"Mathematics"),1),""))</f>
        <v/>
      </c>
      <c r="G420" s="4">
        <f>IF(A420="","",IFERROR(ROUND(AVERAGEIFS(ASSESSMENTS!H:H,ASSESSMENTS!B:B,A420,ASSESSMENTS!E:E,"Mathematical Literacy"),1),""))</f>
        <v/>
      </c>
      <c r="H420" s="4">
        <f>IF(A420="","",IFERROR(ROUND(AVERAGEIFS(ASSESSMENTS!H:H,ASSESSMENTS!B:B,A420,ASSESSMENTS!E:E,"Physical Sciences"),1),""))</f>
        <v/>
      </c>
      <c r="I420" s="4">
        <f>IF(A420="","",IFERROR(ROUND(AVERAGEIFS(ASSESSMENTS!H:H,ASSESSMENTS!B:B,A420,ASSESSMENTS!E:E,"Geography"),1),""))</f>
        <v/>
      </c>
      <c r="J420" s="4">
        <f>IF(A420="","",IFERROR(ROUND(AVERAGEIFS(ASSESSMENTS!H:H,ASSESSMENTS!B:B,A420,ASSESSMENTS!E:E,"Accounting"),1),""))</f>
        <v/>
      </c>
      <c r="K420" s="4">
        <f>IF(A420="","",IFERROR(ROUND(AVERAGEIFS(ASSESSMENTS!H:H,ASSESSMENTS!B:B,A420,ASSESSMENTS!E:E,"English"),1),""))</f>
        <v/>
      </c>
      <c r="L420" s="5">
        <f>IF(A420="","",IFERROR(XLOOKUP(A420,ATTENDANCE_SUMMARY!A:A,ATTENDANCE_SUMMARY!G:G,""),""))</f>
        <v/>
      </c>
      <c r="M420" s="4">
        <f>IF(A420="","",IF(OR(E420&lt;50,AND(L420&lt;0.75,L420&lt;&gt;"" )),"At Risk","On Track"))</f>
        <v/>
      </c>
    </row>
    <row r="421">
      <c r="A421">
        <f>IF(MASTER_REGISTER!E421="","",MASTER_REGISTER!E421)</f>
        <v/>
      </c>
      <c r="B421">
        <f>IF(A421="","",MASTER_REGISTER!F421)</f>
        <v/>
      </c>
      <c r="C421">
        <f>IF(A421="","",MASTER_REGISTER!C421)</f>
        <v/>
      </c>
      <c r="D421">
        <f>IF(A421="","",COUNTIF(ASSESSMENTS!B:B,A421))</f>
        <v/>
      </c>
      <c r="E421" s="4">
        <f>IF(D421=0,"",ROUND(AVERAGEIF(ASSESSMENTS!B:B,A421,ASSESSMENTS!H:H),1))</f>
        <v/>
      </c>
      <c r="F421" s="4">
        <f>IF(A421="","",IFERROR(ROUND(AVERAGEIFS(ASSESSMENTS!H:H,ASSESSMENTS!B:B,A421,ASSESSMENTS!E:E,"Mathematics"),1),""))</f>
        <v/>
      </c>
      <c r="G421" s="4">
        <f>IF(A421="","",IFERROR(ROUND(AVERAGEIFS(ASSESSMENTS!H:H,ASSESSMENTS!B:B,A421,ASSESSMENTS!E:E,"Mathematical Literacy"),1),""))</f>
        <v/>
      </c>
      <c r="H421" s="4">
        <f>IF(A421="","",IFERROR(ROUND(AVERAGEIFS(ASSESSMENTS!H:H,ASSESSMENTS!B:B,A421,ASSESSMENTS!E:E,"Physical Sciences"),1),""))</f>
        <v/>
      </c>
      <c r="I421" s="4">
        <f>IF(A421="","",IFERROR(ROUND(AVERAGEIFS(ASSESSMENTS!H:H,ASSESSMENTS!B:B,A421,ASSESSMENTS!E:E,"Geography"),1),""))</f>
        <v/>
      </c>
      <c r="J421" s="4">
        <f>IF(A421="","",IFERROR(ROUND(AVERAGEIFS(ASSESSMENTS!H:H,ASSESSMENTS!B:B,A421,ASSESSMENTS!E:E,"Accounting"),1),""))</f>
        <v/>
      </c>
      <c r="K421" s="4">
        <f>IF(A421="","",IFERROR(ROUND(AVERAGEIFS(ASSESSMENTS!H:H,ASSESSMENTS!B:B,A421,ASSESSMENTS!E:E,"English"),1),""))</f>
        <v/>
      </c>
      <c r="L421" s="5">
        <f>IF(A421="","",IFERROR(XLOOKUP(A421,ATTENDANCE_SUMMARY!A:A,ATTENDANCE_SUMMARY!G:G,""),""))</f>
        <v/>
      </c>
      <c r="M421" s="4">
        <f>IF(A421="","",IF(OR(E421&lt;50,AND(L421&lt;0.75,L421&lt;&gt;"" )),"At Risk","On Track"))</f>
        <v/>
      </c>
    </row>
    <row r="422">
      <c r="A422">
        <f>IF(MASTER_REGISTER!E422="","",MASTER_REGISTER!E422)</f>
        <v/>
      </c>
      <c r="B422">
        <f>IF(A422="","",MASTER_REGISTER!F422)</f>
        <v/>
      </c>
      <c r="C422">
        <f>IF(A422="","",MASTER_REGISTER!C422)</f>
        <v/>
      </c>
      <c r="D422">
        <f>IF(A422="","",COUNTIF(ASSESSMENTS!B:B,A422))</f>
        <v/>
      </c>
      <c r="E422" s="4">
        <f>IF(D422=0,"",ROUND(AVERAGEIF(ASSESSMENTS!B:B,A422,ASSESSMENTS!H:H),1))</f>
        <v/>
      </c>
      <c r="F422" s="4">
        <f>IF(A422="","",IFERROR(ROUND(AVERAGEIFS(ASSESSMENTS!H:H,ASSESSMENTS!B:B,A422,ASSESSMENTS!E:E,"Mathematics"),1),""))</f>
        <v/>
      </c>
      <c r="G422" s="4">
        <f>IF(A422="","",IFERROR(ROUND(AVERAGEIFS(ASSESSMENTS!H:H,ASSESSMENTS!B:B,A422,ASSESSMENTS!E:E,"Mathematical Literacy"),1),""))</f>
        <v/>
      </c>
      <c r="H422" s="4">
        <f>IF(A422="","",IFERROR(ROUND(AVERAGEIFS(ASSESSMENTS!H:H,ASSESSMENTS!B:B,A422,ASSESSMENTS!E:E,"Physical Sciences"),1),""))</f>
        <v/>
      </c>
      <c r="I422" s="4">
        <f>IF(A422="","",IFERROR(ROUND(AVERAGEIFS(ASSESSMENTS!H:H,ASSESSMENTS!B:B,A422,ASSESSMENTS!E:E,"Geography"),1),""))</f>
        <v/>
      </c>
      <c r="J422" s="4">
        <f>IF(A422="","",IFERROR(ROUND(AVERAGEIFS(ASSESSMENTS!H:H,ASSESSMENTS!B:B,A422,ASSESSMENTS!E:E,"Accounting"),1),""))</f>
        <v/>
      </c>
      <c r="K422" s="4">
        <f>IF(A422="","",IFERROR(ROUND(AVERAGEIFS(ASSESSMENTS!H:H,ASSESSMENTS!B:B,A422,ASSESSMENTS!E:E,"English"),1),""))</f>
        <v/>
      </c>
      <c r="L422" s="5">
        <f>IF(A422="","",IFERROR(XLOOKUP(A422,ATTENDANCE_SUMMARY!A:A,ATTENDANCE_SUMMARY!G:G,""),""))</f>
        <v/>
      </c>
      <c r="M422" s="4">
        <f>IF(A422="","",IF(OR(E422&lt;50,AND(L422&lt;0.75,L422&lt;&gt;"" )),"At Risk","On Track"))</f>
        <v/>
      </c>
    </row>
    <row r="423">
      <c r="A423">
        <f>IF(MASTER_REGISTER!E423="","",MASTER_REGISTER!E423)</f>
        <v/>
      </c>
      <c r="B423">
        <f>IF(A423="","",MASTER_REGISTER!F423)</f>
        <v/>
      </c>
      <c r="C423">
        <f>IF(A423="","",MASTER_REGISTER!C423)</f>
        <v/>
      </c>
      <c r="D423">
        <f>IF(A423="","",COUNTIF(ASSESSMENTS!B:B,A423))</f>
        <v/>
      </c>
      <c r="E423" s="4">
        <f>IF(D423=0,"",ROUND(AVERAGEIF(ASSESSMENTS!B:B,A423,ASSESSMENTS!H:H),1))</f>
        <v/>
      </c>
      <c r="F423" s="4">
        <f>IF(A423="","",IFERROR(ROUND(AVERAGEIFS(ASSESSMENTS!H:H,ASSESSMENTS!B:B,A423,ASSESSMENTS!E:E,"Mathematics"),1),""))</f>
        <v/>
      </c>
      <c r="G423" s="4">
        <f>IF(A423="","",IFERROR(ROUND(AVERAGEIFS(ASSESSMENTS!H:H,ASSESSMENTS!B:B,A423,ASSESSMENTS!E:E,"Mathematical Literacy"),1),""))</f>
        <v/>
      </c>
      <c r="H423" s="4">
        <f>IF(A423="","",IFERROR(ROUND(AVERAGEIFS(ASSESSMENTS!H:H,ASSESSMENTS!B:B,A423,ASSESSMENTS!E:E,"Physical Sciences"),1),""))</f>
        <v/>
      </c>
      <c r="I423" s="4">
        <f>IF(A423="","",IFERROR(ROUND(AVERAGEIFS(ASSESSMENTS!H:H,ASSESSMENTS!B:B,A423,ASSESSMENTS!E:E,"Geography"),1),""))</f>
        <v/>
      </c>
      <c r="J423" s="4">
        <f>IF(A423="","",IFERROR(ROUND(AVERAGEIFS(ASSESSMENTS!H:H,ASSESSMENTS!B:B,A423,ASSESSMENTS!E:E,"Accounting"),1),""))</f>
        <v/>
      </c>
      <c r="K423" s="4">
        <f>IF(A423="","",IFERROR(ROUND(AVERAGEIFS(ASSESSMENTS!H:H,ASSESSMENTS!B:B,A423,ASSESSMENTS!E:E,"English"),1),""))</f>
        <v/>
      </c>
      <c r="L423" s="5">
        <f>IF(A423="","",IFERROR(XLOOKUP(A423,ATTENDANCE_SUMMARY!A:A,ATTENDANCE_SUMMARY!G:G,""),""))</f>
        <v/>
      </c>
      <c r="M423" s="4">
        <f>IF(A423="","",IF(OR(E423&lt;50,AND(L423&lt;0.75,L423&lt;&gt;"" )),"At Risk","On Track"))</f>
        <v/>
      </c>
    </row>
    <row r="424">
      <c r="A424">
        <f>IF(MASTER_REGISTER!E424="","",MASTER_REGISTER!E424)</f>
        <v/>
      </c>
      <c r="B424">
        <f>IF(A424="","",MASTER_REGISTER!F424)</f>
        <v/>
      </c>
      <c r="C424">
        <f>IF(A424="","",MASTER_REGISTER!C424)</f>
        <v/>
      </c>
      <c r="D424">
        <f>IF(A424="","",COUNTIF(ASSESSMENTS!B:B,A424))</f>
        <v/>
      </c>
      <c r="E424" s="4">
        <f>IF(D424=0,"",ROUND(AVERAGEIF(ASSESSMENTS!B:B,A424,ASSESSMENTS!H:H),1))</f>
        <v/>
      </c>
      <c r="F424" s="4">
        <f>IF(A424="","",IFERROR(ROUND(AVERAGEIFS(ASSESSMENTS!H:H,ASSESSMENTS!B:B,A424,ASSESSMENTS!E:E,"Mathematics"),1),""))</f>
        <v/>
      </c>
      <c r="G424" s="4">
        <f>IF(A424="","",IFERROR(ROUND(AVERAGEIFS(ASSESSMENTS!H:H,ASSESSMENTS!B:B,A424,ASSESSMENTS!E:E,"Mathematical Literacy"),1),""))</f>
        <v/>
      </c>
      <c r="H424" s="4">
        <f>IF(A424="","",IFERROR(ROUND(AVERAGEIFS(ASSESSMENTS!H:H,ASSESSMENTS!B:B,A424,ASSESSMENTS!E:E,"Physical Sciences"),1),""))</f>
        <v/>
      </c>
      <c r="I424" s="4">
        <f>IF(A424="","",IFERROR(ROUND(AVERAGEIFS(ASSESSMENTS!H:H,ASSESSMENTS!B:B,A424,ASSESSMENTS!E:E,"Geography"),1),""))</f>
        <v/>
      </c>
      <c r="J424" s="4">
        <f>IF(A424="","",IFERROR(ROUND(AVERAGEIFS(ASSESSMENTS!H:H,ASSESSMENTS!B:B,A424,ASSESSMENTS!E:E,"Accounting"),1),""))</f>
        <v/>
      </c>
      <c r="K424" s="4">
        <f>IF(A424="","",IFERROR(ROUND(AVERAGEIFS(ASSESSMENTS!H:H,ASSESSMENTS!B:B,A424,ASSESSMENTS!E:E,"English"),1),""))</f>
        <v/>
      </c>
      <c r="L424" s="5">
        <f>IF(A424="","",IFERROR(XLOOKUP(A424,ATTENDANCE_SUMMARY!A:A,ATTENDANCE_SUMMARY!G:G,""),""))</f>
        <v/>
      </c>
      <c r="M424" s="4">
        <f>IF(A424="","",IF(OR(E424&lt;50,AND(L424&lt;0.75,L424&lt;&gt;"" )),"At Risk","On Track"))</f>
        <v/>
      </c>
    </row>
    <row r="425">
      <c r="A425">
        <f>IF(MASTER_REGISTER!E425="","",MASTER_REGISTER!E425)</f>
        <v/>
      </c>
      <c r="B425">
        <f>IF(A425="","",MASTER_REGISTER!F425)</f>
        <v/>
      </c>
      <c r="C425">
        <f>IF(A425="","",MASTER_REGISTER!C425)</f>
        <v/>
      </c>
      <c r="D425">
        <f>IF(A425="","",COUNTIF(ASSESSMENTS!B:B,A425))</f>
        <v/>
      </c>
      <c r="E425" s="4">
        <f>IF(D425=0,"",ROUND(AVERAGEIF(ASSESSMENTS!B:B,A425,ASSESSMENTS!H:H),1))</f>
        <v/>
      </c>
      <c r="F425" s="4">
        <f>IF(A425="","",IFERROR(ROUND(AVERAGEIFS(ASSESSMENTS!H:H,ASSESSMENTS!B:B,A425,ASSESSMENTS!E:E,"Mathematics"),1),""))</f>
        <v/>
      </c>
      <c r="G425" s="4">
        <f>IF(A425="","",IFERROR(ROUND(AVERAGEIFS(ASSESSMENTS!H:H,ASSESSMENTS!B:B,A425,ASSESSMENTS!E:E,"Mathematical Literacy"),1),""))</f>
        <v/>
      </c>
      <c r="H425" s="4">
        <f>IF(A425="","",IFERROR(ROUND(AVERAGEIFS(ASSESSMENTS!H:H,ASSESSMENTS!B:B,A425,ASSESSMENTS!E:E,"Physical Sciences"),1),""))</f>
        <v/>
      </c>
      <c r="I425" s="4">
        <f>IF(A425="","",IFERROR(ROUND(AVERAGEIFS(ASSESSMENTS!H:H,ASSESSMENTS!B:B,A425,ASSESSMENTS!E:E,"Geography"),1),""))</f>
        <v/>
      </c>
      <c r="J425" s="4">
        <f>IF(A425="","",IFERROR(ROUND(AVERAGEIFS(ASSESSMENTS!H:H,ASSESSMENTS!B:B,A425,ASSESSMENTS!E:E,"Accounting"),1),""))</f>
        <v/>
      </c>
      <c r="K425" s="4">
        <f>IF(A425="","",IFERROR(ROUND(AVERAGEIFS(ASSESSMENTS!H:H,ASSESSMENTS!B:B,A425,ASSESSMENTS!E:E,"English"),1),""))</f>
        <v/>
      </c>
      <c r="L425" s="5">
        <f>IF(A425="","",IFERROR(XLOOKUP(A425,ATTENDANCE_SUMMARY!A:A,ATTENDANCE_SUMMARY!G:G,""),""))</f>
        <v/>
      </c>
      <c r="M425" s="4">
        <f>IF(A425="","",IF(OR(E425&lt;50,AND(L425&lt;0.75,L425&lt;&gt;"" )),"At Risk","On Track"))</f>
        <v/>
      </c>
    </row>
    <row r="426">
      <c r="A426">
        <f>IF(MASTER_REGISTER!E426="","",MASTER_REGISTER!E426)</f>
        <v/>
      </c>
      <c r="B426">
        <f>IF(A426="","",MASTER_REGISTER!F426)</f>
        <v/>
      </c>
      <c r="C426">
        <f>IF(A426="","",MASTER_REGISTER!C426)</f>
        <v/>
      </c>
      <c r="D426">
        <f>IF(A426="","",COUNTIF(ASSESSMENTS!B:B,A426))</f>
        <v/>
      </c>
      <c r="E426" s="4">
        <f>IF(D426=0,"",ROUND(AVERAGEIF(ASSESSMENTS!B:B,A426,ASSESSMENTS!H:H),1))</f>
        <v/>
      </c>
      <c r="F426" s="4">
        <f>IF(A426="","",IFERROR(ROUND(AVERAGEIFS(ASSESSMENTS!H:H,ASSESSMENTS!B:B,A426,ASSESSMENTS!E:E,"Mathematics"),1),""))</f>
        <v/>
      </c>
      <c r="G426" s="4">
        <f>IF(A426="","",IFERROR(ROUND(AVERAGEIFS(ASSESSMENTS!H:H,ASSESSMENTS!B:B,A426,ASSESSMENTS!E:E,"Mathematical Literacy"),1),""))</f>
        <v/>
      </c>
      <c r="H426" s="4">
        <f>IF(A426="","",IFERROR(ROUND(AVERAGEIFS(ASSESSMENTS!H:H,ASSESSMENTS!B:B,A426,ASSESSMENTS!E:E,"Physical Sciences"),1),""))</f>
        <v/>
      </c>
      <c r="I426" s="4">
        <f>IF(A426="","",IFERROR(ROUND(AVERAGEIFS(ASSESSMENTS!H:H,ASSESSMENTS!B:B,A426,ASSESSMENTS!E:E,"Geography"),1),""))</f>
        <v/>
      </c>
      <c r="J426" s="4">
        <f>IF(A426="","",IFERROR(ROUND(AVERAGEIFS(ASSESSMENTS!H:H,ASSESSMENTS!B:B,A426,ASSESSMENTS!E:E,"Accounting"),1),""))</f>
        <v/>
      </c>
      <c r="K426" s="4">
        <f>IF(A426="","",IFERROR(ROUND(AVERAGEIFS(ASSESSMENTS!H:H,ASSESSMENTS!B:B,A426,ASSESSMENTS!E:E,"English"),1),""))</f>
        <v/>
      </c>
      <c r="L426" s="5">
        <f>IF(A426="","",IFERROR(XLOOKUP(A426,ATTENDANCE_SUMMARY!A:A,ATTENDANCE_SUMMARY!G:G,""),""))</f>
        <v/>
      </c>
      <c r="M426" s="4">
        <f>IF(A426="","",IF(OR(E426&lt;50,AND(L426&lt;0.75,L426&lt;&gt;"" )),"At Risk","On Track"))</f>
        <v/>
      </c>
    </row>
    <row r="427">
      <c r="A427">
        <f>IF(MASTER_REGISTER!E427="","",MASTER_REGISTER!E427)</f>
        <v/>
      </c>
      <c r="B427">
        <f>IF(A427="","",MASTER_REGISTER!F427)</f>
        <v/>
      </c>
      <c r="C427">
        <f>IF(A427="","",MASTER_REGISTER!C427)</f>
        <v/>
      </c>
      <c r="D427">
        <f>IF(A427="","",COUNTIF(ASSESSMENTS!B:B,A427))</f>
        <v/>
      </c>
      <c r="E427" s="4">
        <f>IF(D427=0,"",ROUND(AVERAGEIF(ASSESSMENTS!B:B,A427,ASSESSMENTS!H:H),1))</f>
        <v/>
      </c>
      <c r="F427" s="4">
        <f>IF(A427="","",IFERROR(ROUND(AVERAGEIFS(ASSESSMENTS!H:H,ASSESSMENTS!B:B,A427,ASSESSMENTS!E:E,"Mathematics"),1),""))</f>
        <v/>
      </c>
      <c r="G427" s="4">
        <f>IF(A427="","",IFERROR(ROUND(AVERAGEIFS(ASSESSMENTS!H:H,ASSESSMENTS!B:B,A427,ASSESSMENTS!E:E,"Mathematical Literacy"),1),""))</f>
        <v/>
      </c>
      <c r="H427" s="4">
        <f>IF(A427="","",IFERROR(ROUND(AVERAGEIFS(ASSESSMENTS!H:H,ASSESSMENTS!B:B,A427,ASSESSMENTS!E:E,"Physical Sciences"),1),""))</f>
        <v/>
      </c>
      <c r="I427" s="4">
        <f>IF(A427="","",IFERROR(ROUND(AVERAGEIFS(ASSESSMENTS!H:H,ASSESSMENTS!B:B,A427,ASSESSMENTS!E:E,"Geography"),1),""))</f>
        <v/>
      </c>
      <c r="J427" s="4">
        <f>IF(A427="","",IFERROR(ROUND(AVERAGEIFS(ASSESSMENTS!H:H,ASSESSMENTS!B:B,A427,ASSESSMENTS!E:E,"Accounting"),1),""))</f>
        <v/>
      </c>
      <c r="K427" s="4">
        <f>IF(A427="","",IFERROR(ROUND(AVERAGEIFS(ASSESSMENTS!H:H,ASSESSMENTS!B:B,A427,ASSESSMENTS!E:E,"English"),1),""))</f>
        <v/>
      </c>
      <c r="L427" s="5">
        <f>IF(A427="","",IFERROR(XLOOKUP(A427,ATTENDANCE_SUMMARY!A:A,ATTENDANCE_SUMMARY!G:G,""),""))</f>
        <v/>
      </c>
      <c r="M427" s="4">
        <f>IF(A427="","",IF(OR(E427&lt;50,AND(L427&lt;0.75,L427&lt;&gt;"" )),"At Risk","On Track"))</f>
        <v/>
      </c>
    </row>
    <row r="428">
      <c r="A428">
        <f>IF(MASTER_REGISTER!E428="","",MASTER_REGISTER!E428)</f>
        <v/>
      </c>
      <c r="B428">
        <f>IF(A428="","",MASTER_REGISTER!F428)</f>
        <v/>
      </c>
      <c r="C428">
        <f>IF(A428="","",MASTER_REGISTER!C428)</f>
        <v/>
      </c>
      <c r="D428">
        <f>IF(A428="","",COUNTIF(ASSESSMENTS!B:B,A428))</f>
        <v/>
      </c>
      <c r="E428" s="4">
        <f>IF(D428=0,"",ROUND(AVERAGEIF(ASSESSMENTS!B:B,A428,ASSESSMENTS!H:H),1))</f>
        <v/>
      </c>
      <c r="F428" s="4">
        <f>IF(A428="","",IFERROR(ROUND(AVERAGEIFS(ASSESSMENTS!H:H,ASSESSMENTS!B:B,A428,ASSESSMENTS!E:E,"Mathematics"),1),""))</f>
        <v/>
      </c>
      <c r="G428" s="4">
        <f>IF(A428="","",IFERROR(ROUND(AVERAGEIFS(ASSESSMENTS!H:H,ASSESSMENTS!B:B,A428,ASSESSMENTS!E:E,"Mathematical Literacy"),1),""))</f>
        <v/>
      </c>
      <c r="H428" s="4">
        <f>IF(A428="","",IFERROR(ROUND(AVERAGEIFS(ASSESSMENTS!H:H,ASSESSMENTS!B:B,A428,ASSESSMENTS!E:E,"Physical Sciences"),1),""))</f>
        <v/>
      </c>
      <c r="I428" s="4">
        <f>IF(A428="","",IFERROR(ROUND(AVERAGEIFS(ASSESSMENTS!H:H,ASSESSMENTS!B:B,A428,ASSESSMENTS!E:E,"Geography"),1),""))</f>
        <v/>
      </c>
      <c r="J428" s="4">
        <f>IF(A428="","",IFERROR(ROUND(AVERAGEIFS(ASSESSMENTS!H:H,ASSESSMENTS!B:B,A428,ASSESSMENTS!E:E,"Accounting"),1),""))</f>
        <v/>
      </c>
      <c r="K428" s="4">
        <f>IF(A428="","",IFERROR(ROUND(AVERAGEIFS(ASSESSMENTS!H:H,ASSESSMENTS!B:B,A428,ASSESSMENTS!E:E,"English"),1),""))</f>
        <v/>
      </c>
      <c r="L428" s="5">
        <f>IF(A428="","",IFERROR(XLOOKUP(A428,ATTENDANCE_SUMMARY!A:A,ATTENDANCE_SUMMARY!G:G,""),""))</f>
        <v/>
      </c>
      <c r="M428" s="4">
        <f>IF(A428="","",IF(OR(E428&lt;50,AND(L428&lt;0.75,L428&lt;&gt;"" )),"At Risk","On Track"))</f>
        <v/>
      </c>
    </row>
    <row r="429">
      <c r="A429">
        <f>IF(MASTER_REGISTER!E429="","",MASTER_REGISTER!E429)</f>
        <v/>
      </c>
      <c r="B429">
        <f>IF(A429="","",MASTER_REGISTER!F429)</f>
        <v/>
      </c>
      <c r="C429">
        <f>IF(A429="","",MASTER_REGISTER!C429)</f>
        <v/>
      </c>
      <c r="D429">
        <f>IF(A429="","",COUNTIF(ASSESSMENTS!B:B,A429))</f>
        <v/>
      </c>
      <c r="E429" s="4">
        <f>IF(D429=0,"",ROUND(AVERAGEIF(ASSESSMENTS!B:B,A429,ASSESSMENTS!H:H),1))</f>
        <v/>
      </c>
      <c r="F429" s="4">
        <f>IF(A429="","",IFERROR(ROUND(AVERAGEIFS(ASSESSMENTS!H:H,ASSESSMENTS!B:B,A429,ASSESSMENTS!E:E,"Mathematics"),1),""))</f>
        <v/>
      </c>
      <c r="G429" s="4">
        <f>IF(A429="","",IFERROR(ROUND(AVERAGEIFS(ASSESSMENTS!H:H,ASSESSMENTS!B:B,A429,ASSESSMENTS!E:E,"Mathematical Literacy"),1),""))</f>
        <v/>
      </c>
      <c r="H429" s="4">
        <f>IF(A429="","",IFERROR(ROUND(AVERAGEIFS(ASSESSMENTS!H:H,ASSESSMENTS!B:B,A429,ASSESSMENTS!E:E,"Physical Sciences"),1),""))</f>
        <v/>
      </c>
      <c r="I429" s="4">
        <f>IF(A429="","",IFERROR(ROUND(AVERAGEIFS(ASSESSMENTS!H:H,ASSESSMENTS!B:B,A429,ASSESSMENTS!E:E,"Geography"),1),""))</f>
        <v/>
      </c>
      <c r="J429" s="4">
        <f>IF(A429="","",IFERROR(ROUND(AVERAGEIFS(ASSESSMENTS!H:H,ASSESSMENTS!B:B,A429,ASSESSMENTS!E:E,"Accounting"),1),""))</f>
        <v/>
      </c>
      <c r="K429" s="4">
        <f>IF(A429="","",IFERROR(ROUND(AVERAGEIFS(ASSESSMENTS!H:H,ASSESSMENTS!B:B,A429,ASSESSMENTS!E:E,"English"),1),""))</f>
        <v/>
      </c>
      <c r="L429" s="5">
        <f>IF(A429="","",IFERROR(XLOOKUP(A429,ATTENDANCE_SUMMARY!A:A,ATTENDANCE_SUMMARY!G:G,""),""))</f>
        <v/>
      </c>
      <c r="M429" s="4">
        <f>IF(A429="","",IF(OR(E429&lt;50,AND(L429&lt;0.75,L429&lt;&gt;"" )),"At Risk","On Track"))</f>
        <v/>
      </c>
    </row>
    <row r="430">
      <c r="A430">
        <f>IF(MASTER_REGISTER!E430="","",MASTER_REGISTER!E430)</f>
        <v/>
      </c>
      <c r="B430">
        <f>IF(A430="","",MASTER_REGISTER!F430)</f>
        <v/>
      </c>
      <c r="C430">
        <f>IF(A430="","",MASTER_REGISTER!C430)</f>
        <v/>
      </c>
      <c r="D430">
        <f>IF(A430="","",COUNTIF(ASSESSMENTS!B:B,A430))</f>
        <v/>
      </c>
      <c r="E430" s="4">
        <f>IF(D430=0,"",ROUND(AVERAGEIF(ASSESSMENTS!B:B,A430,ASSESSMENTS!H:H),1))</f>
        <v/>
      </c>
      <c r="F430" s="4">
        <f>IF(A430="","",IFERROR(ROUND(AVERAGEIFS(ASSESSMENTS!H:H,ASSESSMENTS!B:B,A430,ASSESSMENTS!E:E,"Mathematics"),1),""))</f>
        <v/>
      </c>
      <c r="G430" s="4">
        <f>IF(A430="","",IFERROR(ROUND(AVERAGEIFS(ASSESSMENTS!H:H,ASSESSMENTS!B:B,A430,ASSESSMENTS!E:E,"Mathematical Literacy"),1),""))</f>
        <v/>
      </c>
      <c r="H430" s="4">
        <f>IF(A430="","",IFERROR(ROUND(AVERAGEIFS(ASSESSMENTS!H:H,ASSESSMENTS!B:B,A430,ASSESSMENTS!E:E,"Physical Sciences"),1),""))</f>
        <v/>
      </c>
      <c r="I430" s="4">
        <f>IF(A430="","",IFERROR(ROUND(AVERAGEIFS(ASSESSMENTS!H:H,ASSESSMENTS!B:B,A430,ASSESSMENTS!E:E,"Geography"),1),""))</f>
        <v/>
      </c>
      <c r="J430" s="4">
        <f>IF(A430="","",IFERROR(ROUND(AVERAGEIFS(ASSESSMENTS!H:H,ASSESSMENTS!B:B,A430,ASSESSMENTS!E:E,"Accounting"),1),""))</f>
        <v/>
      </c>
      <c r="K430" s="4">
        <f>IF(A430="","",IFERROR(ROUND(AVERAGEIFS(ASSESSMENTS!H:H,ASSESSMENTS!B:B,A430,ASSESSMENTS!E:E,"English"),1),""))</f>
        <v/>
      </c>
      <c r="L430" s="5">
        <f>IF(A430="","",IFERROR(XLOOKUP(A430,ATTENDANCE_SUMMARY!A:A,ATTENDANCE_SUMMARY!G:G,""),""))</f>
        <v/>
      </c>
      <c r="M430" s="4">
        <f>IF(A430="","",IF(OR(E430&lt;50,AND(L430&lt;0.75,L430&lt;&gt;"" )),"At Risk","On Track"))</f>
        <v/>
      </c>
    </row>
    <row r="431">
      <c r="A431">
        <f>IF(MASTER_REGISTER!E431="","",MASTER_REGISTER!E431)</f>
        <v/>
      </c>
      <c r="B431">
        <f>IF(A431="","",MASTER_REGISTER!F431)</f>
        <v/>
      </c>
      <c r="C431">
        <f>IF(A431="","",MASTER_REGISTER!C431)</f>
        <v/>
      </c>
      <c r="D431">
        <f>IF(A431="","",COUNTIF(ASSESSMENTS!B:B,A431))</f>
        <v/>
      </c>
      <c r="E431" s="4">
        <f>IF(D431=0,"",ROUND(AVERAGEIF(ASSESSMENTS!B:B,A431,ASSESSMENTS!H:H),1))</f>
        <v/>
      </c>
      <c r="F431" s="4">
        <f>IF(A431="","",IFERROR(ROUND(AVERAGEIFS(ASSESSMENTS!H:H,ASSESSMENTS!B:B,A431,ASSESSMENTS!E:E,"Mathematics"),1),""))</f>
        <v/>
      </c>
      <c r="G431" s="4">
        <f>IF(A431="","",IFERROR(ROUND(AVERAGEIFS(ASSESSMENTS!H:H,ASSESSMENTS!B:B,A431,ASSESSMENTS!E:E,"Mathematical Literacy"),1),""))</f>
        <v/>
      </c>
      <c r="H431" s="4">
        <f>IF(A431="","",IFERROR(ROUND(AVERAGEIFS(ASSESSMENTS!H:H,ASSESSMENTS!B:B,A431,ASSESSMENTS!E:E,"Physical Sciences"),1),""))</f>
        <v/>
      </c>
      <c r="I431" s="4">
        <f>IF(A431="","",IFERROR(ROUND(AVERAGEIFS(ASSESSMENTS!H:H,ASSESSMENTS!B:B,A431,ASSESSMENTS!E:E,"Geography"),1),""))</f>
        <v/>
      </c>
      <c r="J431" s="4">
        <f>IF(A431="","",IFERROR(ROUND(AVERAGEIFS(ASSESSMENTS!H:H,ASSESSMENTS!B:B,A431,ASSESSMENTS!E:E,"Accounting"),1),""))</f>
        <v/>
      </c>
      <c r="K431" s="4">
        <f>IF(A431="","",IFERROR(ROUND(AVERAGEIFS(ASSESSMENTS!H:H,ASSESSMENTS!B:B,A431,ASSESSMENTS!E:E,"English"),1),""))</f>
        <v/>
      </c>
      <c r="L431" s="5">
        <f>IF(A431="","",IFERROR(XLOOKUP(A431,ATTENDANCE_SUMMARY!A:A,ATTENDANCE_SUMMARY!G:G,""),""))</f>
        <v/>
      </c>
      <c r="M431" s="4">
        <f>IF(A431="","",IF(OR(E431&lt;50,AND(L431&lt;0.75,L431&lt;&gt;"" )),"At Risk","On Track"))</f>
        <v/>
      </c>
    </row>
    <row r="432">
      <c r="A432">
        <f>IF(MASTER_REGISTER!E432="","",MASTER_REGISTER!E432)</f>
        <v/>
      </c>
      <c r="B432">
        <f>IF(A432="","",MASTER_REGISTER!F432)</f>
        <v/>
      </c>
      <c r="C432">
        <f>IF(A432="","",MASTER_REGISTER!C432)</f>
        <v/>
      </c>
      <c r="D432">
        <f>IF(A432="","",COUNTIF(ASSESSMENTS!B:B,A432))</f>
        <v/>
      </c>
      <c r="E432" s="4">
        <f>IF(D432=0,"",ROUND(AVERAGEIF(ASSESSMENTS!B:B,A432,ASSESSMENTS!H:H),1))</f>
        <v/>
      </c>
      <c r="F432" s="4">
        <f>IF(A432="","",IFERROR(ROUND(AVERAGEIFS(ASSESSMENTS!H:H,ASSESSMENTS!B:B,A432,ASSESSMENTS!E:E,"Mathematics"),1),""))</f>
        <v/>
      </c>
      <c r="G432" s="4">
        <f>IF(A432="","",IFERROR(ROUND(AVERAGEIFS(ASSESSMENTS!H:H,ASSESSMENTS!B:B,A432,ASSESSMENTS!E:E,"Mathematical Literacy"),1),""))</f>
        <v/>
      </c>
      <c r="H432" s="4">
        <f>IF(A432="","",IFERROR(ROUND(AVERAGEIFS(ASSESSMENTS!H:H,ASSESSMENTS!B:B,A432,ASSESSMENTS!E:E,"Physical Sciences"),1),""))</f>
        <v/>
      </c>
      <c r="I432" s="4">
        <f>IF(A432="","",IFERROR(ROUND(AVERAGEIFS(ASSESSMENTS!H:H,ASSESSMENTS!B:B,A432,ASSESSMENTS!E:E,"Geography"),1),""))</f>
        <v/>
      </c>
      <c r="J432" s="4">
        <f>IF(A432="","",IFERROR(ROUND(AVERAGEIFS(ASSESSMENTS!H:H,ASSESSMENTS!B:B,A432,ASSESSMENTS!E:E,"Accounting"),1),""))</f>
        <v/>
      </c>
      <c r="K432" s="4">
        <f>IF(A432="","",IFERROR(ROUND(AVERAGEIFS(ASSESSMENTS!H:H,ASSESSMENTS!B:B,A432,ASSESSMENTS!E:E,"English"),1),""))</f>
        <v/>
      </c>
      <c r="L432" s="5">
        <f>IF(A432="","",IFERROR(XLOOKUP(A432,ATTENDANCE_SUMMARY!A:A,ATTENDANCE_SUMMARY!G:G,""),""))</f>
        <v/>
      </c>
      <c r="M432" s="4">
        <f>IF(A432="","",IF(OR(E432&lt;50,AND(L432&lt;0.75,L432&lt;&gt;"" )),"At Risk","On Track"))</f>
        <v/>
      </c>
    </row>
    <row r="433">
      <c r="A433">
        <f>IF(MASTER_REGISTER!E433="","",MASTER_REGISTER!E433)</f>
        <v/>
      </c>
      <c r="B433">
        <f>IF(A433="","",MASTER_REGISTER!F433)</f>
        <v/>
      </c>
      <c r="C433">
        <f>IF(A433="","",MASTER_REGISTER!C433)</f>
        <v/>
      </c>
      <c r="D433">
        <f>IF(A433="","",COUNTIF(ASSESSMENTS!B:B,A433))</f>
        <v/>
      </c>
      <c r="E433" s="4">
        <f>IF(D433=0,"",ROUND(AVERAGEIF(ASSESSMENTS!B:B,A433,ASSESSMENTS!H:H),1))</f>
        <v/>
      </c>
      <c r="F433" s="4">
        <f>IF(A433="","",IFERROR(ROUND(AVERAGEIFS(ASSESSMENTS!H:H,ASSESSMENTS!B:B,A433,ASSESSMENTS!E:E,"Mathematics"),1),""))</f>
        <v/>
      </c>
      <c r="G433" s="4">
        <f>IF(A433="","",IFERROR(ROUND(AVERAGEIFS(ASSESSMENTS!H:H,ASSESSMENTS!B:B,A433,ASSESSMENTS!E:E,"Mathematical Literacy"),1),""))</f>
        <v/>
      </c>
      <c r="H433" s="4">
        <f>IF(A433="","",IFERROR(ROUND(AVERAGEIFS(ASSESSMENTS!H:H,ASSESSMENTS!B:B,A433,ASSESSMENTS!E:E,"Physical Sciences"),1),""))</f>
        <v/>
      </c>
      <c r="I433" s="4">
        <f>IF(A433="","",IFERROR(ROUND(AVERAGEIFS(ASSESSMENTS!H:H,ASSESSMENTS!B:B,A433,ASSESSMENTS!E:E,"Geography"),1),""))</f>
        <v/>
      </c>
      <c r="J433" s="4">
        <f>IF(A433="","",IFERROR(ROUND(AVERAGEIFS(ASSESSMENTS!H:H,ASSESSMENTS!B:B,A433,ASSESSMENTS!E:E,"Accounting"),1),""))</f>
        <v/>
      </c>
      <c r="K433" s="4">
        <f>IF(A433="","",IFERROR(ROUND(AVERAGEIFS(ASSESSMENTS!H:H,ASSESSMENTS!B:B,A433,ASSESSMENTS!E:E,"English"),1),""))</f>
        <v/>
      </c>
      <c r="L433" s="5">
        <f>IF(A433="","",IFERROR(XLOOKUP(A433,ATTENDANCE_SUMMARY!A:A,ATTENDANCE_SUMMARY!G:G,""),""))</f>
        <v/>
      </c>
      <c r="M433" s="4">
        <f>IF(A433="","",IF(OR(E433&lt;50,AND(L433&lt;0.75,L433&lt;&gt;"" )),"At Risk","On Track"))</f>
        <v/>
      </c>
    </row>
    <row r="434">
      <c r="A434">
        <f>IF(MASTER_REGISTER!E434="","",MASTER_REGISTER!E434)</f>
        <v/>
      </c>
      <c r="B434">
        <f>IF(A434="","",MASTER_REGISTER!F434)</f>
        <v/>
      </c>
      <c r="C434">
        <f>IF(A434="","",MASTER_REGISTER!C434)</f>
        <v/>
      </c>
      <c r="D434">
        <f>IF(A434="","",COUNTIF(ASSESSMENTS!B:B,A434))</f>
        <v/>
      </c>
      <c r="E434" s="4">
        <f>IF(D434=0,"",ROUND(AVERAGEIF(ASSESSMENTS!B:B,A434,ASSESSMENTS!H:H),1))</f>
        <v/>
      </c>
      <c r="F434" s="4">
        <f>IF(A434="","",IFERROR(ROUND(AVERAGEIFS(ASSESSMENTS!H:H,ASSESSMENTS!B:B,A434,ASSESSMENTS!E:E,"Mathematics"),1),""))</f>
        <v/>
      </c>
      <c r="G434" s="4">
        <f>IF(A434="","",IFERROR(ROUND(AVERAGEIFS(ASSESSMENTS!H:H,ASSESSMENTS!B:B,A434,ASSESSMENTS!E:E,"Mathematical Literacy"),1),""))</f>
        <v/>
      </c>
      <c r="H434" s="4">
        <f>IF(A434="","",IFERROR(ROUND(AVERAGEIFS(ASSESSMENTS!H:H,ASSESSMENTS!B:B,A434,ASSESSMENTS!E:E,"Physical Sciences"),1),""))</f>
        <v/>
      </c>
      <c r="I434" s="4">
        <f>IF(A434="","",IFERROR(ROUND(AVERAGEIFS(ASSESSMENTS!H:H,ASSESSMENTS!B:B,A434,ASSESSMENTS!E:E,"Geography"),1),""))</f>
        <v/>
      </c>
      <c r="J434" s="4">
        <f>IF(A434="","",IFERROR(ROUND(AVERAGEIFS(ASSESSMENTS!H:H,ASSESSMENTS!B:B,A434,ASSESSMENTS!E:E,"Accounting"),1),""))</f>
        <v/>
      </c>
      <c r="K434" s="4">
        <f>IF(A434="","",IFERROR(ROUND(AVERAGEIFS(ASSESSMENTS!H:H,ASSESSMENTS!B:B,A434,ASSESSMENTS!E:E,"English"),1),""))</f>
        <v/>
      </c>
      <c r="L434" s="5">
        <f>IF(A434="","",IFERROR(XLOOKUP(A434,ATTENDANCE_SUMMARY!A:A,ATTENDANCE_SUMMARY!G:G,""),""))</f>
        <v/>
      </c>
      <c r="M434" s="4">
        <f>IF(A434="","",IF(OR(E434&lt;50,AND(L434&lt;0.75,L434&lt;&gt;"" )),"At Risk","On Track"))</f>
        <v/>
      </c>
    </row>
    <row r="435">
      <c r="A435">
        <f>IF(MASTER_REGISTER!E435="","",MASTER_REGISTER!E435)</f>
        <v/>
      </c>
      <c r="B435">
        <f>IF(A435="","",MASTER_REGISTER!F435)</f>
        <v/>
      </c>
      <c r="C435">
        <f>IF(A435="","",MASTER_REGISTER!C435)</f>
        <v/>
      </c>
      <c r="D435">
        <f>IF(A435="","",COUNTIF(ASSESSMENTS!B:B,A435))</f>
        <v/>
      </c>
      <c r="E435" s="4">
        <f>IF(D435=0,"",ROUND(AVERAGEIF(ASSESSMENTS!B:B,A435,ASSESSMENTS!H:H),1))</f>
        <v/>
      </c>
      <c r="F435" s="4">
        <f>IF(A435="","",IFERROR(ROUND(AVERAGEIFS(ASSESSMENTS!H:H,ASSESSMENTS!B:B,A435,ASSESSMENTS!E:E,"Mathematics"),1),""))</f>
        <v/>
      </c>
      <c r="G435" s="4">
        <f>IF(A435="","",IFERROR(ROUND(AVERAGEIFS(ASSESSMENTS!H:H,ASSESSMENTS!B:B,A435,ASSESSMENTS!E:E,"Mathematical Literacy"),1),""))</f>
        <v/>
      </c>
      <c r="H435" s="4">
        <f>IF(A435="","",IFERROR(ROUND(AVERAGEIFS(ASSESSMENTS!H:H,ASSESSMENTS!B:B,A435,ASSESSMENTS!E:E,"Physical Sciences"),1),""))</f>
        <v/>
      </c>
      <c r="I435" s="4">
        <f>IF(A435="","",IFERROR(ROUND(AVERAGEIFS(ASSESSMENTS!H:H,ASSESSMENTS!B:B,A435,ASSESSMENTS!E:E,"Geography"),1),""))</f>
        <v/>
      </c>
      <c r="J435" s="4">
        <f>IF(A435="","",IFERROR(ROUND(AVERAGEIFS(ASSESSMENTS!H:H,ASSESSMENTS!B:B,A435,ASSESSMENTS!E:E,"Accounting"),1),""))</f>
        <v/>
      </c>
      <c r="K435" s="4">
        <f>IF(A435="","",IFERROR(ROUND(AVERAGEIFS(ASSESSMENTS!H:H,ASSESSMENTS!B:B,A435,ASSESSMENTS!E:E,"English"),1),""))</f>
        <v/>
      </c>
      <c r="L435" s="5">
        <f>IF(A435="","",IFERROR(XLOOKUP(A435,ATTENDANCE_SUMMARY!A:A,ATTENDANCE_SUMMARY!G:G,""),""))</f>
        <v/>
      </c>
      <c r="M435" s="4">
        <f>IF(A435="","",IF(OR(E435&lt;50,AND(L435&lt;0.75,L435&lt;&gt;"" )),"At Risk","On Track"))</f>
        <v/>
      </c>
    </row>
    <row r="436">
      <c r="A436">
        <f>IF(MASTER_REGISTER!E436="","",MASTER_REGISTER!E436)</f>
        <v/>
      </c>
      <c r="B436">
        <f>IF(A436="","",MASTER_REGISTER!F436)</f>
        <v/>
      </c>
      <c r="C436">
        <f>IF(A436="","",MASTER_REGISTER!C436)</f>
        <v/>
      </c>
      <c r="D436">
        <f>IF(A436="","",COUNTIF(ASSESSMENTS!B:B,A436))</f>
        <v/>
      </c>
      <c r="E436" s="4">
        <f>IF(D436=0,"",ROUND(AVERAGEIF(ASSESSMENTS!B:B,A436,ASSESSMENTS!H:H),1))</f>
        <v/>
      </c>
      <c r="F436" s="4">
        <f>IF(A436="","",IFERROR(ROUND(AVERAGEIFS(ASSESSMENTS!H:H,ASSESSMENTS!B:B,A436,ASSESSMENTS!E:E,"Mathematics"),1),""))</f>
        <v/>
      </c>
      <c r="G436" s="4">
        <f>IF(A436="","",IFERROR(ROUND(AVERAGEIFS(ASSESSMENTS!H:H,ASSESSMENTS!B:B,A436,ASSESSMENTS!E:E,"Mathematical Literacy"),1),""))</f>
        <v/>
      </c>
      <c r="H436" s="4">
        <f>IF(A436="","",IFERROR(ROUND(AVERAGEIFS(ASSESSMENTS!H:H,ASSESSMENTS!B:B,A436,ASSESSMENTS!E:E,"Physical Sciences"),1),""))</f>
        <v/>
      </c>
      <c r="I436" s="4">
        <f>IF(A436="","",IFERROR(ROUND(AVERAGEIFS(ASSESSMENTS!H:H,ASSESSMENTS!B:B,A436,ASSESSMENTS!E:E,"Geography"),1),""))</f>
        <v/>
      </c>
      <c r="J436" s="4">
        <f>IF(A436="","",IFERROR(ROUND(AVERAGEIFS(ASSESSMENTS!H:H,ASSESSMENTS!B:B,A436,ASSESSMENTS!E:E,"Accounting"),1),""))</f>
        <v/>
      </c>
      <c r="K436" s="4">
        <f>IF(A436="","",IFERROR(ROUND(AVERAGEIFS(ASSESSMENTS!H:H,ASSESSMENTS!B:B,A436,ASSESSMENTS!E:E,"English"),1),""))</f>
        <v/>
      </c>
      <c r="L436" s="5">
        <f>IF(A436="","",IFERROR(XLOOKUP(A436,ATTENDANCE_SUMMARY!A:A,ATTENDANCE_SUMMARY!G:G,""),""))</f>
        <v/>
      </c>
      <c r="M436" s="4">
        <f>IF(A436="","",IF(OR(E436&lt;50,AND(L436&lt;0.75,L436&lt;&gt;"" )),"At Risk","On Track"))</f>
        <v/>
      </c>
    </row>
    <row r="437">
      <c r="A437">
        <f>IF(MASTER_REGISTER!E437="","",MASTER_REGISTER!E437)</f>
        <v/>
      </c>
      <c r="B437">
        <f>IF(A437="","",MASTER_REGISTER!F437)</f>
        <v/>
      </c>
      <c r="C437">
        <f>IF(A437="","",MASTER_REGISTER!C437)</f>
        <v/>
      </c>
      <c r="D437">
        <f>IF(A437="","",COUNTIF(ASSESSMENTS!B:B,A437))</f>
        <v/>
      </c>
      <c r="E437" s="4">
        <f>IF(D437=0,"",ROUND(AVERAGEIF(ASSESSMENTS!B:B,A437,ASSESSMENTS!H:H),1))</f>
        <v/>
      </c>
      <c r="F437" s="4">
        <f>IF(A437="","",IFERROR(ROUND(AVERAGEIFS(ASSESSMENTS!H:H,ASSESSMENTS!B:B,A437,ASSESSMENTS!E:E,"Mathematics"),1),""))</f>
        <v/>
      </c>
      <c r="G437" s="4">
        <f>IF(A437="","",IFERROR(ROUND(AVERAGEIFS(ASSESSMENTS!H:H,ASSESSMENTS!B:B,A437,ASSESSMENTS!E:E,"Mathematical Literacy"),1),""))</f>
        <v/>
      </c>
      <c r="H437" s="4">
        <f>IF(A437="","",IFERROR(ROUND(AVERAGEIFS(ASSESSMENTS!H:H,ASSESSMENTS!B:B,A437,ASSESSMENTS!E:E,"Physical Sciences"),1),""))</f>
        <v/>
      </c>
      <c r="I437" s="4">
        <f>IF(A437="","",IFERROR(ROUND(AVERAGEIFS(ASSESSMENTS!H:H,ASSESSMENTS!B:B,A437,ASSESSMENTS!E:E,"Geography"),1),""))</f>
        <v/>
      </c>
      <c r="J437" s="4">
        <f>IF(A437="","",IFERROR(ROUND(AVERAGEIFS(ASSESSMENTS!H:H,ASSESSMENTS!B:B,A437,ASSESSMENTS!E:E,"Accounting"),1),""))</f>
        <v/>
      </c>
      <c r="K437" s="4">
        <f>IF(A437="","",IFERROR(ROUND(AVERAGEIFS(ASSESSMENTS!H:H,ASSESSMENTS!B:B,A437,ASSESSMENTS!E:E,"English"),1),""))</f>
        <v/>
      </c>
      <c r="L437" s="5">
        <f>IF(A437="","",IFERROR(XLOOKUP(A437,ATTENDANCE_SUMMARY!A:A,ATTENDANCE_SUMMARY!G:G,""),""))</f>
        <v/>
      </c>
      <c r="M437" s="4">
        <f>IF(A437="","",IF(OR(E437&lt;50,AND(L437&lt;0.75,L437&lt;&gt;"" )),"At Risk","On Track"))</f>
        <v/>
      </c>
    </row>
    <row r="438">
      <c r="A438">
        <f>IF(MASTER_REGISTER!E438="","",MASTER_REGISTER!E438)</f>
        <v/>
      </c>
      <c r="B438">
        <f>IF(A438="","",MASTER_REGISTER!F438)</f>
        <v/>
      </c>
      <c r="C438">
        <f>IF(A438="","",MASTER_REGISTER!C438)</f>
        <v/>
      </c>
      <c r="D438">
        <f>IF(A438="","",COUNTIF(ASSESSMENTS!B:B,A438))</f>
        <v/>
      </c>
      <c r="E438" s="4">
        <f>IF(D438=0,"",ROUND(AVERAGEIF(ASSESSMENTS!B:B,A438,ASSESSMENTS!H:H),1))</f>
        <v/>
      </c>
      <c r="F438" s="4">
        <f>IF(A438="","",IFERROR(ROUND(AVERAGEIFS(ASSESSMENTS!H:H,ASSESSMENTS!B:B,A438,ASSESSMENTS!E:E,"Mathematics"),1),""))</f>
        <v/>
      </c>
      <c r="G438" s="4">
        <f>IF(A438="","",IFERROR(ROUND(AVERAGEIFS(ASSESSMENTS!H:H,ASSESSMENTS!B:B,A438,ASSESSMENTS!E:E,"Mathematical Literacy"),1),""))</f>
        <v/>
      </c>
      <c r="H438" s="4">
        <f>IF(A438="","",IFERROR(ROUND(AVERAGEIFS(ASSESSMENTS!H:H,ASSESSMENTS!B:B,A438,ASSESSMENTS!E:E,"Physical Sciences"),1),""))</f>
        <v/>
      </c>
      <c r="I438" s="4">
        <f>IF(A438="","",IFERROR(ROUND(AVERAGEIFS(ASSESSMENTS!H:H,ASSESSMENTS!B:B,A438,ASSESSMENTS!E:E,"Geography"),1),""))</f>
        <v/>
      </c>
      <c r="J438" s="4">
        <f>IF(A438="","",IFERROR(ROUND(AVERAGEIFS(ASSESSMENTS!H:H,ASSESSMENTS!B:B,A438,ASSESSMENTS!E:E,"Accounting"),1),""))</f>
        <v/>
      </c>
      <c r="K438" s="4">
        <f>IF(A438="","",IFERROR(ROUND(AVERAGEIFS(ASSESSMENTS!H:H,ASSESSMENTS!B:B,A438,ASSESSMENTS!E:E,"English"),1),""))</f>
        <v/>
      </c>
      <c r="L438" s="5">
        <f>IF(A438="","",IFERROR(XLOOKUP(A438,ATTENDANCE_SUMMARY!A:A,ATTENDANCE_SUMMARY!G:G,""),""))</f>
        <v/>
      </c>
      <c r="M438" s="4">
        <f>IF(A438="","",IF(OR(E438&lt;50,AND(L438&lt;0.75,L438&lt;&gt;"" )),"At Risk","On Track"))</f>
        <v/>
      </c>
    </row>
    <row r="439">
      <c r="A439">
        <f>IF(MASTER_REGISTER!E439="","",MASTER_REGISTER!E439)</f>
        <v/>
      </c>
      <c r="B439">
        <f>IF(A439="","",MASTER_REGISTER!F439)</f>
        <v/>
      </c>
      <c r="C439">
        <f>IF(A439="","",MASTER_REGISTER!C439)</f>
        <v/>
      </c>
      <c r="D439">
        <f>IF(A439="","",COUNTIF(ASSESSMENTS!B:B,A439))</f>
        <v/>
      </c>
      <c r="E439" s="4">
        <f>IF(D439=0,"",ROUND(AVERAGEIF(ASSESSMENTS!B:B,A439,ASSESSMENTS!H:H),1))</f>
        <v/>
      </c>
      <c r="F439" s="4">
        <f>IF(A439="","",IFERROR(ROUND(AVERAGEIFS(ASSESSMENTS!H:H,ASSESSMENTS!B:B,A439,ASSESSMENTS!E:E,"Mathematics"),1),""))</f>
        <v/>
      </c>
      <c r="G439" s="4">
        <f>IF(A439="","",IFERROR(ROUND(AVERAGEIFS(ASSESSMENTS!H:H,ASSESSMENTS!B:B,A439,ASSESSMENTS!E:E,"Mathematical Literacy"),1),""))</f>
        <v/>
      </c>
      <c r="H439" s="4">
        <f>IF(A439="","",IFERROR(ROUND(AVERAGEIFS(ASSESSMENTS!H:H,ASSESSMENTS!B:B,A439,ASSESSMENTS!E:E,"Physical Sciences"),1),""))</f>
        <v/>
      </c>
      <c r="I439" s="4">
        <f>IF(A439="","",IFERROR(ROUND(AVERAGEIFS(ASSESSMENTS!H:H,ASSESSMENTS!B:B,A439,ASSESSMENTS!E:E,"Geography"),1),""))</f>
        <v/>
      </c>
      <c r="J439" s="4">
        <f>IF(A439="","",IFERROR(ROUND(AVERAGEIFS(ASSESSMENTS!H:H,ASSESSMENTS!B:B,A439,ASSESSMENTS!E:E,"Accounting"),1),""))</f>
        <v/>
      </c>
      <c r="K439" s="4">
        <f>IF(A439="","",IFERROR(ROUND(AVERAGEIFS(ASSESSMENTS!H:H,ASSESSMENTS!B:B,A439,ASSESSMENTS!E:E,"English"),1),""))</f>
        <v/>
      </c>
      <c r="L439" s="5">
        <f>IF(A439="","",IFERROR(XLOOKUP(A439,ATTENDANCE_SUMMARY!A:A,ATTENDANCE_SUMMARY!G:G,""),""))</f>
        <v/>
      </c>
      <c r="M439" s="4">
        <f>IF(A439="","",IF(OR(E439&lt;50,AND(L439&lt;0.75,L439&lt;&gt;"" )),"At Risk","On Track"))</f>
        <v/>
      </c>
    </row>
    <row r="440">
      <c r="A440">
        <f>IF(MASTER_REGISTER!E440="","",MASTER_REGISTER!E440)</f>
        <v/>
      </c>
      <c r="B440">
        <f>IF(A440="","",MASTER_REGISTER!F440)</f>
        <v/>
      </c>
      <c r="C440">
        <f>IF(A440="","",MASTER_REGISTER!C440)</f>
        <v/>
      </c>
      <c r="D440">
        <f>IF(A440="","",COUNTIF(ASSESSMENTS!B:B,A440))</f>
        <v/>
      </c>
      <c r="E440" s="4">
        <f>IF(D440=0,"",ROUND(AVERAGEIF(ASSESSMENTS!B:B,A440,ASSESSMENTS!H:H),1))</f>
        <v/>
      </c>
      <c r="F440" s="4">
        <f>IF(A440="","",IFERROR(ROUND(AVERAGEIFS(ASSESSMENTS!H:H,ASSESSMENTS!B:B,A440,ASSESSMENTS!E:E,"Mathematics"),1),""))</f>
        <v/>
      </c>
      <c r="G440" s="4">
        <f>IF(A440="","",IFERROR(ROUND(AVERAGEIFS(ASSESSMENTS!H:H,ASSESSMENTS!B:B,A440,ASSESSMENTS!E:E,"Mathematical Literacy"),1),""))</f>
        <v/>
      </c>
      <c r="H440" s="4">
        <f>IF(A440="","",IFERROR(ROUND(AVERAGEIFS(ASSESSMENTS!H:H,ASSESSMENTS!B:B,A440,ASSESSMENTS!E:E,"Physical Sciences"),1),""))</f>
        <v/>
      </c>
      <c r="I440" s="4">
        <f>IF(A440="","",IFERROR(ROUND(AVERAGEIFS(ASSESSMENTS!H:H,ASSESSMENTS!B:B,A440,ASSESSMENTS!E:E,"Geography"),1),""))</f>
        <v/>
      </c>
      <c r="J440" s="4">
        <f>IF(A440="","",IFERROR(ROUND(AVERAGEIFS(ASSESSMENTS!H:H,ASSESSMENTS!B:B,A440,ASSESSMENTS!E:E,"Accounting"),1),""))</f>
        <v/>
      </c>
      <c r="K440" s="4">
        <f>IF(A440="","",IFERROR(ROUND(AVERAGEIFS(ASSESSMENTS!H:H,ASSESSMENTS!B:B,A440,ASSESSMENTS!E:E,"English"),1),""))</f>
        <v/>
      </c>
      <c r="L440" s="5">
        <f>IF(A440="","",IFERROR(XLOOKUP(A440,ATTENDANCE_SUMMARY!A:A,ATTENDANCE_SUMMARY!G:G,""),""))</f>
        <v/>
      </c>
      <c r="M440" s="4">
        <f>IF(A440="","",IF(OR(E440&lt;50,AND(L440&lt;0.75,L440&lt;&gt;"" )),"At Risk","On Track"))</f>
        <v/>
      </c>
    </row>
    <row r="441">
      <c r="A441">
        <f>IF(MASTER_REGISTER!E441="","",MASTER_REGISTER!E441)</f>
        <v/>
      </c>
      <c r="B441">
        <f>IF(A441="","",MASTER_REGISTER!F441)</f>
        <v/>
      </c>
      <c r="C441">
        <f>IF(A441="","",MASTER_REGISTER!C441)</f>
        <v/>
      </c>
      <c r="D441">
        <f>IF(A441="","",COUNTIF(ASSESSMENTS!B:B,A441))</f>
        <v/>
      </c>
      <c r="E441" s="4">
        <f>IF(D441=0,"",ROUND(AVERAGEIF(ASSESSMENTS!B:B,A441,ASSESSMENTS!H:H),1))</f>
        <v/>
      </c>
      <c r="F441" s="4">
        <f>IF(A441="","",IFERROR(ROUND(AVERAGEIFS(ASSESSMENTS!H:H,ASSESSMENTS!B:B,A441,ASSESSMENTS!E:E,"Mathematics"),1),""))</f>
        <v/>
      </c>
      <c r="G441" s="4">
        <f>IF(A441="","",IFERROR(ROUND(AVERAGEIFS(ASSESSMENTS!H:H,ASSESSMENTS!B:B,A441,ASSESSMENTS!E:E,"Mathematical Literacy"),1),""))</f>
        <v/>
      </c>
      <c r="H441" s="4">
        <f>IF(A441="","",IFERROR(ROUND(AVERAGEIFS(ASSESSMENTS!H:H,ASSESSMENTS!B:B,A441,ASSESSMENTS!E:E,"Physical Sciences"),1),""))</f>
        <v/>
      </c>
      <c r="I441" s="4">
        <f>IF(A441="","",IFERROR(ROUND(AVERAGEIFS(ASSESSMENTS!H:H,ASSESSMENTS!B:B,A441,ASSESSMENTS!E:E,"Geography"),1),""))</f>
        <v/>
      </c>
      <c r="J441" s="4">
        <f>IF(A441="","",IFERROR(ROUND(AVERAGEIFS(ASSESSMENTS!H:H,ASSESSMENTS!B:B,A441,ASSESSMENTS!E:E,"Accounting"),1),""))</f>
        <v/>
      </c>
      <c r="K441" s="4">
        <f>IF(A441="","",IFERROR(ROUND(AVERAGEIFS(ASSESSMENTS!H:H,ASSESSMENTS!B:B,A441,ASSESSMENTS!E:E,"English"),1),""))</f>
        <v/>
      </c>
      <c r="L441" s="5">
        <f>IF(A441="","",IFERROR(XLOOKUP(A441,ATTENDANCE_SUMMARY!A:A,ATTENDANCE_SUMMARY!G:G,""),""))</f>
        <v/>
      </c>
      <c r="M441" s="4">
        <f>IF(A441="","",IF(OR(E441&lt;50,AND(L441&lt;0.75,L441&lt;&gt;"" )),"At Risk","On Track"))</f>
        <v/>
      </c>
    </row>
    <row r="442">
      <c r="A442">
        <f>IF(MASTER_REGISTER!E442="","",MASTER_REGISTER!E442)</f>
        <v/>
      </c>
      <c r="B442">
        <f>IF(A442="","",MASTER_REGISTER!F442)</f>
        <v/>
      </c>
      <c r="C442">
        <f>IF(A442="","",MASTER_REGISTER!C442)</f>
        <v/>
      </c>
      <c r="D442">
        <f>IF(A442="","",COUNTIF(ASSESSMENTS!B:B,A442))</f>
        <v/>
      </c>
      <c r="E442" s="4">
        <f>IF(D442=0,"",ROUND(AVERAGEIF(ASSESSMENTS!B:B,A442,ASSESSMENTS!H:H),1))</f>
        <v/>
      </c>
      <c r="F442" s="4">
        <f>IF(A442="","",IFERROR(ROUND(AVERAGEIFS(ASSESSMENTS!H:H,ASSESSMENTS!B:B,A442,ASSESSMENTS!E:E,"Mathematics"),1),""))</f>
        <v/>
      </c>
      <c r="G442" s="4">
        <f>IF(A442="","",IFERROR(ROUND(AVERAGEIFS(ASSESSMENTS!H:H,ASSESSMENTS!B:B,A442,ASSESSMENTS!E:E,"Mathematical Literacy"),1),""))</f>
        <v/>
      </c>
      <c r="H442" s="4">
        <f>IF(A442="","",IFERROR(ROUND(AVERAGEIFS(ASSESSMENTS!H:H,ASSESSMENTS!B:B,A442,ASSESSMENTS!E:E,"Physical Sciences"),1),""))</f>
        <v/>
      </c>
      <c r="I442" s="4">
        <f>IF(A442="","",IFERROR(ROUND(AVERAGEIFS(ASSESSMENTS!H:H,ASSESSMENTS!B:B,A442,ASSESSMENTS!E:E,"Geography"),1),""))</f>
        <v/>
      </c>
      <c r="J442" s="4">
        <f>IF(A442="","",IFERROR(ROUND(AVERAGEIFS(ASSESSMENTS!H:H,ASSESSMENTS!B:B,A442,ASSESSMENTS!E:E,"Accounting"),1),""))</f>
        <v/>
      </c>
      <c r="K442" s="4">
        <f>IF(A442="","",IFERROR(ROUND(AVERAGEIFS(ASSESSMENTS!H:H,ASSESSMENTS!B:B,A442,ASSESSMENTS!E:E,"English"),1),""))</f>
        <v/>
      </c>
      <c r="L442" s="5">
        <f>IF(A442="","",IFERROR(XLOOKUP(A442,ATTENDANCE_SUMMARY!A:A,ATTENDANCE_SUMMARY!G:G,""),""))</f>
        <v/>
      </c>
      <c r="M442" s="4">
        <f>IF(A442="","",IF(OR(E442&lt;50,AND(L442&lt;0.75,L442&lt;&gt;"" )),"At Risk","On Track"))</f>
        <v/>
      </c>
    </row>
    <row r="443">
      <c r="A443">
        <f>IF(MASTER_REGISTER!E443="","",MASTER_REGISTER!E443)</f>
        <v/>
      </c>
      <c r="B443">
        <f>IF(A443="","",MASTER_REGISTER!F443)</f>
        <v/>
      </c>
      <c r="C443">
        <f>IF(A443="","",MASTER_REGISTER!C443)</f>
        <v/>
      </c>
      <c r="D443">
        <f>IF(A443="","",COUNTIF(ASSESSMENTS!B:B,A443))</f>
        <v/>
      </c>
      <c r="E443" s="4">
        <f>IF(D443=0,"",ROUND(AVERAGEIF(ASSESSMENTS!B:B,A443,ASSESSMENTS!H:H),1))</f>
        <v/>
      </c>
      <c r="F443" s="4">
        <f>IF(A443="","",IFERROR(ROUND(AVERAGEIFS(ASSESSMENTS!H:H,ASSESSMENTS!B:B,A443,ASSESSMENTS!E:E,"Mathematics"),1),""))</f>
        <v/>
      </c>
      <c r="G443" s="4">
        <f>IF(A443="","",IFERROR(ROUND(AVERAGEIFS(ASSESSMENTS!H:H,ASSESSMENTS!B:B,A443,ASSESSMENTS!E:E,"Mathematical Literacy"),1),""))</f>
        <v/>
      </c>
      <c r="H443" s="4">
        <f>IF(A443="","",IFERROR(ROUND(AVERAGEIFS(ASSESSMENTS!H:H,ASSESSMENTS!B:B,A443,ASSESSMENTS!E:E,"Physical Sciences"),1),""))</f>
        <v/>
      </c>
      <c r="I443" s="4">
        <f>IF(A443="","",IFERROR(ROUND(AVERAGEIFS(ASSESSMENTS!H:H,ASSESSMENTS!B:B,A443,ASSESSMENTS!E:E,"Geography"),1),""))</f>
        <v/>
      </c>
      <c r="J443" s="4">
        <f>IF(A443="","",IFERROR(ROUND(AVERAGEIFS(ASSESSMENTS!H:H,ASSESSMENTS!B:B,A443,ASSESSMENTS!E:E,"Accounting"),1),""))</f>
        <v/>
      </c>
      <c r="K443" s="4">
        <f>IF(A443="","",IFERROR(ROUND(AVERAGEIFS(ASSESSMENTS!H:H,ASSESSMENTS!B:B,A443,ASSESSMENTS!E:E,"English"),1),""))</f>
        <v/>
      </c>
      <c r="L443" s="5">
        <f>IF(A443="","",IFERROR(XLOOKUP(A443,ATTENDANCE_SUMMARY!A:A,ATTENDANCE_SUMMARY!G:G,""),""))</f>
        <v/>
      </c>
      <c r="M443" s="4">
        <f>IF(A443="","",IF(OR(E443&lt;50,AND(L443&lt;0.75,L443&lt;&gt;"" )),"At Risk","On Track"))</f>
        <v/>
      </c>
    </row>
    <row r="444">
      <c r="A444">
        <f>IF(MASTER_REGISTER!E444="","",MASTER_REGISTER!E444)</f>
        <v/>
      </c>
      <c r="B444">
        <f>IF(A444="","",MASTER_REGISTER!F444)</f>
        <v/>
      </c>
      <c r="C444">
        <f>IF(A444="","",MASTER_REGISTER!C444)</f>
        <v/>
      </c>
      <c r="D444">
        <f>IF(A444="","",COUNTIF(ASSESSMENTS!B:B,A444))</f>
        <v/>
      </c>
      <c r="E444" s="4">
        <f>IF(D444=0,"",ROUND(AVERAGEIF(ASSESSMENTS!B:B,A444,ASSESSMENTS!H:H),1))</f>
        <v/>
      </c>
      <c r="F444" s="4">
        <f>IF(A444="","",IFERROR(ROUND(AVERAGEIFS(ASSESSMENTS!H:H,ASSESSMENTS!B:B,A444,ASSESSMENTS!E:E,"Mathematics"),1),""))</f>
        <v/>
      </c>
      <c r="G444" s="4">
        <f>IF(A444="","",IFERROR(ROUND(AVERAGEIFS(ASSESSMENTS!H:H,ASSESSMENTS!B:B,A444,ASSESSMENTS!E:E,"Mathematical Literacy"),1),""))</f>
        <v/>
      </c>
      <c r="H444" s="4">
        <f>IF(A444="","",IFERROR(ROUND(AVERAGEIFS(ASSESSMENTS!H:H,ASSESSMENTS!B:B,A444,ASSESSMENTS!E:E,"Physical Sciences"),1),""))</f>
        <v/>
      </c>
      <c r="I444" s="4">
        <f>IF(A444="","",IFERROR(ROUND(AVERAGEIFS(ASSESSMENTS!H:H,ASSESSMENTS!B:B,A444,ASSESSMENTS!E:E,"Geography"),1),""))</f>
        <v/>
      </c>
      <c r="J444" s="4">
        <f>IF(A444="","",IFERROR(ROUND(AVERAGEIFS(ASSESSMENTS!H:H,ASSESSMENTS!B:B,A444,ASSESSMENTS!E:E,"Accounting"),1),""))</f>
        <v/>
      </c>
      <c r="K444" s="4">
        <f>IF(A444="","",IFERROR(ROUND(AVERAGEIFS(ASSESSMENTS!H:H,ASSESSMENTS!B:B,A444,ASSESSMENTS!E:E,"English"),1),""))</f>
        <v/>
      </c>
      <c r="L444" s="5">
        <f>IF(A444="","",IFERROR(XLOOKUP(A444,ATTENDANCE_SUMMARY!A:A,ATTENDANCE_SUMMARY!G:G,""),""))</f>
        <v/>
      </c>
      <c r="M444" s="4">
        <f>IF(A444="","",IF(OR(E444&lt;50,AND(L444&lt;0.75,L444&lt;&gt;"" )),"At Risk","On Track"))</f>
        <v/>
      </c>
    </row>
    <row r="445">
      <c r="A445">
        <f>IF(MASTER_REGISTER!E445="","",MASTER_REGISTER!E445)</f>
        <v/>
      </c>
      <c r="B445">
        <f>IF(A445="","",MASTER_REGISTER!F445)</f>
        <v/>
      </c>
      <c r="C445">
        <f>IF(A445="","",MASTER_REGISTER!C445)</f>
        <v/>
      </c>
      <c r="D445">
        <f>IF(A445="","",COUNTIF(ASSESSMENTS!B:B,A445))</f>
        <v/>
      </c>
      <c r="E445" s="4">
        <f>IF(D445=0,"",ROUND(AVERAGEIF(ASSESSMENTS!B:B,A445,ASSESSMENTS!H:H),1))</f>
        <v/>
      </c>
      <c r="F445" s="4">
        <f>IF(A445="","",IFERROR(ROUND(AVERAGEIFS(ASSESSMENTS!H:H,ASSESSMENTS!B:B,A445,ASSESSMENTS!E:E,"Mathematics"),1),""))</f>
        <v/>
      </c>
      <c r="G445" s="4">
        <f>IF(A445="","",IFERROR(ROUND(AVERAGEIFS(ASSESSMENTS!H:H,ASSESSMENTS!B:B,A445,ASSESSMENTS!E:E,"Mathematical Literacy"),1),""))</f>
        <v/>
      </c>
      <c r="H445" s="4">
        <f>IF(A445="","",IFERROR(ROUND(AVERAGEIFS(ASSESSMENTS!H:H,ASSESSMENTS!B:B,A445,ASSESSMENTS!E:E,"Physical Sciences"),1),""))</f>
        <v/>
      </c>
      <c r="I445" s="4">
        <f>IF(A445="","",IFERROR(ROUND(AVERAGEIFS(ASSESSMENTS!H:H,ASSESSMENTS!B:B,A445,ASSESSMENTS!E:E,"Geography"),1),""))</f>
        <v/>
      </c>
      <c r="J445" s="4">
        <f>IF(A445="","",IFERROR(ROUND(AVERAGEIFS(ASSESSMENTS!H:H,ASSESSMENTS!B:B,A445,ASSESSMENTS!E:E,"Accounting"),1),""))</f>
        <v/>
      </c>
      <c r="K445" s="4">
        <f>IF(A445="","",IFERROR(ROUND(AVERAGEIFS(ASSESSMENTS!H:H,ASSESSMENTS!B:B,A445,ASSESSMENTS!E:E,"English"),1),""))</f>
        <v/>
      </c>
      <c r="L445" s="5">
        <f>IF(A445="","",IFERROR(XLOOKUP(A445,ATTENDANCE_SUMMARY!A:A,ATTENDANCE_SUMMARY!G:G,""),""))</f>
        <v/>
      </c>
      <c r="M445" s="4">
        <f>IF(A445="","",IF(OR(E445&lt;50,AND(L445&lt;0.75,L445&lt;&gt;"" )),"At Risk","On Track"))</f>
        <v/>
      </c>
    </row>
    <row r="446">
      <c r="A446">
        <f>IF(MASTER_REGISTER!E446="","",MASTER_REGISTER!E446)</f>
        <v/>
      </c>
      <c r="B446">
        <f>IF(A446="","",MASTER_REGISTER!F446)</f>
        <v/>
      </c>
      <c r="C446">
        <f>IF(A446="","",MASTER_REGISTER!C446)</f>
        <v/>
      </c>
      <c r="D446">
        <f>IF(A446="","",COUNTIF(ASSESSMENTS!B:B,A446))</f>
        <v/>
      </c>
      <c r="E446" s="4">
        <f>IF(D446=0,"",ROUND(AVERAGEIF(ASSESSMENTS!B:B,A446,ASSESSMENTS!H:H),1))</f>
        <v/>
      </c>
      <c r="F446" s="4">
        <f>IF(A446="","",IFERROR(ROUND(AVERAGEIFS(ASSESSMENTS!H:H,ASSESSMENTS!B:B,A446,ASSESSMENTS!E:E,"Mathematics"),1),""))</f>
        <v/>
      </c>
      <c r="G446" s="4">
        <f>IF(A446="","",IFERROR(ROUND(AVERAGEIFS(ASSESSMENTS!H:H,ASSESSMENTS!B:B,A446,ASSESSMENTS!E:E,"Mathematical Literacy"),1),""))</f>
        <v/>
      </c>
      <c r="H446" s="4">
        <f>IF(A446="","",IFERROR(ROUND(AVERAGEIFS(ASSESSMENTS!H:H,ASSESSMENTS!B:B,A446,ASSESSMENTS!E:E,"Physical Sciences"),1),""))</f>
        <v/>
      </c>
      <c r="I446" s="4">
        <f>IF(A446="","",IFERROR(ROUND(AVERAGEIFS(ASSESSMENTS!H:H,ASSESSMENTS!B:B,A446,ASSESSMENTS!E:E,"Geography"),1),""))</f>
        <v/>
      </c>
      <c r="J446" s="4">
        <f>IF(A446="","",IFERROR(ROUND(AVERAGEIFS(ASSESSMENTS!H:H,ASSESSMENTS!B:B,A446,ASSESSMENTS!E:E,"Accounting"),1),""))</f>
        <v/>
      </c>
      <c r="K446" s="4">
        <f>IF(A446="","",IFERROR(ROUND(AVERAGEIFS(ASSESSMENTS!H:H,ASSESSMENTS!B:B,A446,ASSESSMENTS!E:E,"English"),1),""))</f>
        <v/>
      </c>
      <c r="L446" s="5">
        <f>IF(A446="","",IFERROR(XLOOKUP(A446,ATTENDANCE_SUMMARY!A:A,ATTENDANCE_SUMMARY!G:G,""),""))</f>
        <v/>
      </c>
      <c r="M446" s="4">
        <f>IF(A446="","",IF(OR(E446&lt;50,AND(L446&lt;0.75,L446&lt;&gt;"" )),"At Risk","On Track"))</f>
        <v/>
      </c>
    </row>
    <row r="447">
      <c r="A447">
        <f>IF(MASTER_REGISTER!E447="","",MASTER_REGISTER!E447)</f>
        <v/>
      </c>
      <c r="B447">
        <f>IF(A447="","",MASTER_REGISTER!F447)</f>
        <v/>
      </c>
      <c r="C447">
        <f>IF(A447="","",MASTER_REGISTER!C447)</f>
        <v/>
      </c>
      <c r="D447">
        <f>IF(A447="","",COUNTIF(ASSESSMENTS!B:B,A447))</f>
        <v/>
      </c>
      <c r="E447" s="4">
        <f>IF(D447=0,"",ROUND(AVERAGEIF(ASSESSMENTS!B:B,A447,ASSESSMENTS!H:H),1))</f>
        <v/>
      </c>
      <c r="F447" s="4">
        <f>IF(A447="","",IFERROR(ROUND(AVERAGEIFS(ASSESSMENTS!H:H,ASSESSMENTS!B:B,A447,ASSESSMENTS!E:E,"Mathematics"),1),""))</f>
        <v/>
      </c>
      <c r="G447" s="4">
        <f>IF(A447="","",IFERROR(ROUND(AVERAGEIFS(ASSESSMENTS!H:H,ASSESSMENTS!B:B,A447,ASSESSMENTS!E:E,"Mathematical Literacy"),1),""))</f>
        <v/>
      </c>
      <c r="H447" s="4">
        <f>IF(A447="","",IFERROR(ROUND(AVERAGEIFS(ASSESSMENTS!H:H,ASSESSMENTS!B:B,A447,ASSESSMENTS!E:E,"Physical Sciences"),1),""))</f>
        <v/>
      </c>
      <c r="I447" s="4">
        <f>IF(A447="","",IFERROR(ROUND(AVERAGEIFS(ASSESSMENTS!H:H,ASSESSMENTS!B:B,A447,ASSESSMENTS!E:E,"Geography"),1),""))</f>
        <v/>
      </c>
      <c r="J447" s="4">
        <f>IF(A447="","",IFERROR(ROUND(AVERAGEIFS(ASSESSMENTS!H:H,ASSESSMENTS!B:B,A447,ASSESSMENTS!E:E,"Accounting"),1),""))</f>
        <v/>
      </c>
      <c r="K447" s="4">
        <f>IF(A447="","",IFERROR(ROUND(AVERAGEIFS(ASSESSMENTS!H:H,ASSESSMENTS!B:B,A447,ASSESSMENTS!E:E,"English"),1),""))</f>
        <v/>
      </c>
      <c r="L447" s="5">
        <f>IF(A447="","",IFERROR(XLOOKUP(A447,ATTENDANCE_SUMMARY!A:A,ATTENDANCE_SUMMARY!G:G,""),""))</f>
        <v/>
      </c>
      <c r="M447" s="4">
        <f>IF(A447="","",IF(OR(E447&lt;50,AND(L447&lt;0.75,L447&lt;&gt;"" )),"At Risk","On Track"))</f>
        <v/>
      </c>
    </row>
    <row r="448">
      <c r="A448">
        <f>IF(MASTER_REGISTER!E448="","",MASTER_REGISTER!E448)</f>
        <v/>
      </c>
      <c r="B448">
        <f>IF(A448="","",MASTER_REGISTER!F448)</f>
        <v/>
      </c>
      <c r="C448">
        <f>IF(A448="","",MASTER_REGISTER!C448)</f>
        <v/>
      </c>
      <c r="D448">
        <f>IF(A448="","",COUNTIF(ASSESSMENTS!B:B,A448))</f>
        <v/>
      </c>
      <c r="E448" s="4">
        <f>IF(D448=0,"",ROUND(AVERAGEIF(ASSESSMENTS!B:B,A448,ASSESSMENTS!H:H),1))</f>
        <v/>
      </c>
      <c r="F448" s="4">
        <f>IF(A448="","",IFERROR(ROUND(AVERAGEIFS(ASSESSMENTS!H:H,ASSESSMENTS!B:B,A448,ASSESSMENTS!E:E,"Mathematics"),1),""))</f>
        <v/>
      </c>
      <c r="G448" s="4">
        <f>IF(A448="","",IFERROR(ROUND(AVERAGEIFS(ASSESSMENTS!H:H,ASSESSMENTS!B:B,A448,ASSESSMENTS!E:E,"Mathematical Literacy"),1),""))</f>
        <v/>
      </c>
      <c r="H448" s="4">
        <f>IF(A448="","",IFERROR(ROUND(AVERAGEIFS(ASSESSMENTS!H:H,ASSESSMENTS!B:B,A448,ASSESSMENTS!E:E,"Physical Sciences"),1),""))</f>
        <v/>
      </c>
      <c r="I448" s="4">
        <f>IF(A448="","",IFERROR(ROUND(AVERAGEIFS(ASSESSMENTS!H:H,ASSESSMENTS!B:B,A448,ASSESSMENTS!E:E,"Geography"),1),""))</f>
        <v/>
      </c>
      <c r="J448" s="4">
        <f>IF(A448="","",IFERROR(ROUND(AVERAGEIFS(ASSESSMENTS!H:H,ASSESSMENTS!B:B,A448,ASSESSMENTS!E:E,"Accounting"),1),""))</f>
        <v/>
      </c>
      <c r="K448" s="4">
        <f>IF(A448="","",IFERROR(ROUND(AVERAGEIFS(ASSESSMENTS!H:H,ASSESSMENTS!B:B,A448,ASSESSMENTS!E:E,"English"),1),""))</f>
        <v/>
      </c>
      <c r="L448" s="5">
        <f>IF(A448="","",IFERROR(XLOOKUP(A448,ATTENDANCE_SUMMARY!A:A,ATTENDANCE_SUMMARY!G:G,""),""))</f>
        <v/>
      </c>
      <c r="M448" s="4">
        <f>IF(A448="","",IF(OR(E448&lt;50,AND(L448&lt;0.75,L448&lt;&gt;"" )),"At Risk","On Track"))</f>
        <v/>
      </c>
    </row>
    <row r="449">
      <c r="A449">
        <f>IF(MASTER_REGISTER!E449="","",MASTER_REGISTER!E449)</f>
        <v/>
      </c>
      <c r="B449">
        <f>IF(A449="","",MASTER_REGISTER!F449)</f>
        <v/>
      </c>
      <c r="C449">
        <f>IF(A449="","",MASTER_REGISTER!C449)</f>
        <v/>
      </c>
      <c r="D449">
        <f>IF(A449="","",COUNTIF(ASSESSMENTS!B:B,A449))</f>
        <v/>
      </c>
      <c r="E449" s="4">
        <f>IF(D449=0,"",ROUND(AVERAGEIF(ASSESSMENTS!B:B,A449,ASSESSMENTS!H:H),1))</f>
        <v/>
      </c>
      <c r="F449" s="4">
        <f>IF(A449="","",IFERROR(ROUND(AVERAGEIFS(ASSESSMENTS!H:H,ASSESSMENTS!B:B,A449,ASSESSMENTS!E:E,"Mathematics"),1),""))</f>
        <v/>
      </c>
      <c r="G449" s="4">
        <f>IF(A449="","",IFERROR(ROUND(AVERAGEIFS(ASSESSMENTS!H:H,ASSESSMENTS!B:B,A449,ASSESSMENTS!E:E,"Mathematical Literacy"),1),""))</f>
        <v/>
      </c>
      <c r="H449" s="4">
        <f>IF(A449="","",IFERROR(ROUND(AVERAGEIFS(ASSESSMENTS!H:H,ASSESSMENTS!B:B,A449,ASSESSMENTS!E:E,"Physical Sciences"),1),""))</f>
        <v/>
      </c>
      <c r="I449" s="4">
        <f>IF(A449="","",IFERROR(ROUND(AVERAGEIFS(ASSESSMENTS!H:H,ASSESSMENTS!B:B,A449,ASSESSMENTS!E:E,"Geography"),1),""))</f>
        <v/>
      </c>
      <c r="J449" s="4">
        <f>IF(A449="","",IFERROR(ROUND(AVERAGEIFS(ASSESSMENTS!H:H,ASSESSMENTS!B:B,A449,ASSESSMENTS!E:E,"Accounting"),1),""))</f>
        <v/>
      </c>
      <c r="K449" s="4">
        <f>IF(A449="","",IFERROR(ROUND(AVERAGEIFS(ASSESSMENTS!H:H,ASSESSMENTS!B:B,A449,ASSESSMENTS!E:E,"English"),1),""))</f>
        <v/>
      </c>
      <c r="L449" s="5">
        <f>IF(A449="","",IFERROR(XLOOKUP(A449,ATTENDANCE_SUMMARY!A:A,ATTENDANCE_SUMMARY!G:G,""),""))</f>
        <v/>
      </c>
      <c r="M449" s="4">
        <f>IF(A449="","",IF(OR(E449&lt;50,AND(L449&lt;0.75,L449&lt;&gt;"" )),"At Risk","On Track"))</f>
        <v/>
      </c>
    </row>
    <row r="450">
      <c r="A450">
        <f>IF(MASTER_REGISTER!E450="","",MASTER_REGISTER!E450)</f>
        <v/>
      </c>
      <c r="B450">
        <f>IF(A450="","",MASTER_REGISTER!F450)</f>
        <v/>
      </c>
      <c r="C450">
        <f>IF(A450="","",MASTER_REGISTER!C450)</f>
        <v/>
      </c>
      <c r="D450">
        <f>IF(A450="","",COUNTIF(ASSESSMENTS!B:B,A450))</f>
        <v/>
      </c>
      <c r="E450" s="4">
        <f>IF(D450=0,"",ROUND(AVERAGEIF(ASSESSMENTS!B:B,A450,ASSESSMENTS!H:H),1))</f>
        <v/>
      </c>
      <c r="F450" s="4">
        <f>IF(A450="","",IFERROR(ROUND(AVERAGEIFS(ASSESSMENTS!H:H,ASSESSMENTS!B:B,A450,ASSESSMENTS!E:E,"Mathematics"),1),""))</f>
        <v/>
      </c>
      <c r="G450" s="4">
        <f>IF(A450="","",IFERROR(ROUND(AVERAGEIFS(ASSESSMENTS!H:H,ASSESSMENTS!B:B,A450,ASSESSMENTS!E:E,"Mathematical Literacy"),1),""))</f>
        <v/>
      </c>
      <c r="H450" s="4">
        <f>IF(A450="","",IFERROR(ROUND(AVERAGEIFS(ASSESSMENTS!H:H,ASSESSMENTS!B:B,A450,ASSESSMENTS!E:E,"Physical Sciences"),1),""))</f>
        <v/>
      </c>
      <c r="I450" s="4">
        <f>IF(A450="","",IFERROR(ROUND(AVERAGEIFS(ASSESSMENTS!H:H,ASSESSMENTS!B:B,A450,ASSESSMENTS!E:E,"Geography"),1),""))</f>
        <v/>
      </c>
      <c r="J450" s="4">
        <f>IF(A450="","",IFERROR(ROUND(AVERAGEIFS(ASSESSMENTS!H:H,ASSESSMENTS!B:B,A450,ASSESSMENTS!E:E,"Accounting"),1),""))</f>
        <v/>
      </c>
      <c r="K450" s="4">
        <f>IF(A450="","",IFERROR(ROUND(AVERAGEIFS(ASSESSMENTS!H:H,ASSESSMENTS!B:B,A450,ASSESSMENTS!E:E,"English"),1),""))</f>
        <v/>
      </c>
      <c r="L450" s="5">
        <f>IF(A450="","",IFERROR(XLOOKUP(A450,ATTENDANCE_SUMMARY!A:A,ATTENDANCE_SUMMARY!G:G,""),""))</f>
        <v/>
      </c>
      <c r="M450" s="4">
        <f>IF(A450="","",IF(OR(E450&lt;50,AND(L450&lt;0.75,L450&lt;&gt;"" )),"At Risk","On Track"))</f>
        <v/>
      </c>
    </row>
    <row r="451">
      <c r="A451">
        <f>IF(MASTER_REGISTER!E451="","",MASTER_REGISTER!E451)</f>
        <v/>
      </c>
      <c r="B451">
        <f>IF(A451="","",MASTER_REGISTER!F451)</f>
        <v/>
      </c>
      <c r="C451">
        <f>IF(A451="","",MASTER_REGISTER!C451)</f>
        <v/>
      </c>
      <c r="D451">
        <f>IF(A451="","",COUNTIF(ASSESSMENTS!B:B,A451))</f>
        <v/>
      </c>
      <c r="E451" s="4">
        <f>IF(D451=0,"",ROUND(AVERAGEIF(ASSESSMENTS!B:B,A451,ASSESSMENTS!H:H),1))</f>
        <v/>
      </c>
      <c r="F451" s="4">
        <f>IF(A451="","",IFERROR(ROUND(AVERAGEIFS(ASSESSMENTS!H:H,ASSESSMENTS!B:B,A451,ASSESSMENTS!E:E,"Mathematics"),1),""))</f>
        <v/>
      </c>
      <c r="G451" s="4">
        <f>IF(A451="","",IFERROR(ROUND(AVERAGEIFS(ASSESSMENTS!H:H,ASSESSMENTS!B:B,A451,ASSESSMENTS!E:E,"Mathematical Literacy"),1),""))</f>
        <v/>
      </c>
      <c r="H451" s="4">
        <f>IF(A451="","",IFERROR(ROUND(AVERAGEIFS(ASSESSMENTS!H:H,ASSESSMENTS!B:B,A451,ASSESSMENTS!E:E,"Physical Sciences"),1),""))</f>
        <v/>
      </c>
      <c r="I451" s="4">
        <f>IF(A451="","",IFERROR(ROUND(AVERAGEIFS(ASSESSMENTS!H:H,ASSESSMENTS!B:B,A451,ASSESSMENTS!E:E,"Geography"),1),""))</f>
        <v/>
      </c>
      <c r="J451" s="4">
        <f>IF(A451="","",IFERROR(ROUND(AVERAGEIFS(ASSESSMENTS!H:H,ASSESSMENTS!B:B,A451,ASSESSMENTS!E:E,"Accounting"),1),""))</f>
        <v/>
      </c>
      <c r="K451" s="4">
        <f>IF(A451="","",IFERROR(ROUND(AVERAGEIFS(ASSESSMENTS!H:H,ASSESSMENTS!B:B,A451,ASSESSMENTS!E:E,"English"),1),""))</f>
        <v/>
      </c>
      <c r="L451" s="5">
        <f>IF(A451="","",IFERROR(XLOOKUP(A451,ATTENDANCE_SUMMARY!A:A,ATTENDANCE_SUMMARY!G:G,""),""))</f>
        <v/>
      </c>
      <c r="M451" s="4">
        <f>IF(A451="","",IF(OR(E451&lt;50,AND(L451&lt;0.75,L451&lt;&gt;"" )),"At Risk","On Track"))</f>
        <v/>
      </c>
    </row>
    <row r="452">
      <c r="A452">
        <f>IF(MASTER_REGISTER!E452="","",MASTER_REGISTER!E452)</f>
        <v/>
      </c>
      <c r="B452">
        <f>IF(A452="","",MASTER_REGISTER!F452)</f>
        <v/>
      </c>
      <c r="C452">
        <f>IF(A452="","",MASTER_REGISTER!C452)</f>
        <v/>
      </c>
      <c r="D452">
        <f>IF(A452="","",COUNTIF(ASSESSMENTS!B:B,A452))</f>
        <v/>
      </c>
      <c r="E452" s="4">
        <f>IF(D452=0,"",ROUND(AVERAGEIF(ASSESSMENTS!B:B,A452,ASSESSMENTS!H:H),1))</f>
        <v/>
      </c>
      <c r="F452" s="4">
        <f>IF(A452="","",IFERROR(ROUND(AVERAGEIFS(ASSESSMENTS!H:H,ASSESSMENTS!B:B,A452,ASSESSMENTS!E:E,"Mathematics"),1),""))</f>
        <v/>
      </c>
      <c r="G452" s="4">
        <f>IF(A452="","",IFERROR(ROUND(AVERAGEIFS(ASSESSMENTS!H:H,ASSESSMENTS!B:B,A452,ASSESSMENTS!E:E,"Mathematical Literacy"),1),""))</f>
        <v/>
      </c>
      <c r="H452" s="4">
        <f>IF(A452="","",IFERROR(ROUND(AVERAGEIFS(ASSESSMENTS!H:H,ASSESSMENTS!B:B,A452,ASSESSMENTS!E:E,"Physical Sciences"),1),""))</f>
        <v/>
      </c>
      <c r="I452" s="4">
        <f>IF(A452="","",IFERROR(ROUND(AVERAGEIFS(ASSESSMENTS!H:H,ASSESSMENTS!B:B,A452,ASSESSMENTS!E:E,"Geography"),1),""))</f>
        <v/>
      </c>
      <c r="J452" s="4">
        <f>IF(A452="","",IFERROR(ROUND(AVERAGEIFS(ASSESSMENTS!H:H,ASSESSMENTS!B:B,A452,ASSESSMENTS!E:E,"Accounting"),1),""))</f>
        <v/>
      </c>
      <c r="K452" s="4">
        <f>IF(A452="","",IFERROR(ROUND(AVERAGEIFS(ASSESSMENTS!H:H,ASSESSMENTS!B:B,A452,ASSESSMENTS!E:E,"English"),1),""))</f>
        <v/>
      </c>
      <c r="L452" s="5">
        <f>IF(A452="","",IFERROR(XLOOKUP(A452,ATTENDANCE_SUMMARY!A:A,ATTENDANCE_SUMMARY!G:G,""),""))</f>
        <v/>
      </c>
      <c r="M452" s="4">
        <f>IF(A452="","",IF(OR(E452&lt;50,AND(L452&lt;0.75,L452&lt;&gt;"" )),"At Risk","On Track"))</f>
        <v/>
      </c>
    </row>
    <row r="453">
      <c r="A453">
        <f>IF(MASTER_REGISTER!E453="","",MASTER_REGISTER!E453)</f>
        <v/>
      </c>
      <c r="B453">
        <f>IF(A453="","",MASTER_REGISTER!F453)</f>
        <v/>
      </c>
      <c r="C453">
        <f>IF(A453="","",MASTER_REGISTER!C453)</f>
        <v/>
      </c>
      <c r="D453">
        <f>IF(A453="","",COUNTIF(ASSESSMENTS!B:B,A453))</f>
        <v/>
      </c>
      <c r="E453" s="4">
        <f>IF(D453=0,"",ROUND(AVERAGEIF(ASSESSMENTS!B:B,A453,ASSESSMENTS!H:H),1))</f>
        <v/>
      </c>
      <c r="F453" s="4">
        <f>IF(A453="","",IFERROR(ROUND(AVERAGEIFS(ASSESSMENTS!H:H,ASSESSMENTS!B:B,A453,ASSESSMENTS!E:E,"Mathematics"),1),""))</f>
        <v/>
      </c>
      <c r="G453" s="4">
        <f>IF(A453="","",IFERROR(ROUND(AVERAGEIFS(ASSESSMENTS!H:H,ASSESSMENTS!B:B,A453,ASSESSMENTS!E:E,"Mathematical Literacy"),1),""))</f>
        <v/>
      </c>
      <c r="H453" s="4">
        <f>IF(A453="","",IFERROR(ROUND(AVERAGEIFS(ASSESSMENTS!H:H,ASSESSMENTS!B:B,A453,ASSESSMENTS!E:E,"Physical Sciences"),1),""))</f>
        <v/>
      </c>
      <c r="I453" s="4">
        <f>IF(A453="","",IFERROR(ROUND(AVERAGEIFS(ASSESSMENTS!H:H,ASSESSMENTS!B:B,A453,ASSESSMENTS!E:E,"Geography"),1),""))</f>
        <v/>
      </c>
      <c r="J453" s="4">
        <f>IF(A453="","",IFERROR(ROUND(AVERAGEIFS(ASSESSMENTS!H:H,ASSESSMENTS!B:B,A453,ASSESSMENTS!E:E,"Accounting"),1),""))</f>
        <v/>
      </c>
      <c r="K453" s="4">
        <f>IF(A453="","",IFERROR(ROUND(AVERAGEIFS(ASSESSMENTS!H:H,ASSESSMENTS!B:B,A453,ASSESSMENTS!E:E,"English"),1),""))</f>
        <v/>
      </c>
      <c r="L453" s="5">
        <f>IF(A453="","",IFERROR(XLOOKUP(A453,ATTENDANCE_SUMMARY!A:A,ATTENDANCE_SUMMARY!G:G,""),""))</f>
        <v/>
      </c>
      <c r="M453" s="4">
        <f>IF(A453="","",IF(OR(E453&lt;50,AND(L453&lt;0.75,L453&lt;&gt;"" )),"At Risk","On Track"))</f>
        <v/>
      </c>
    </row>
    <row r="454">
      <c r="A454">
        <f>IF(MASTER_REGISTER!E454="","",MASTER_REGISTER!E454)</f>
        <v/>
      </c>
      <c r="B454">
        <f>IF(A454="","",MASTER_REGISTER!F454)</f>
        <v/>
      </c>
      <c r="C454">
        <f>IF(A454="","",MASTER_REGISTER!C454)</f>
        <v/>
      </c>
      <c r="D454">
        <f>IF(A454="","",COUNTIF(ASSESSMENTS!B:B,A454))</f>
        <v/>
      </c>
      <c r="E454" s="4">
        <f>IF(D454=0,"",ROUND(AVERAGEIF(ASSESSMENTS!B:B,A454,ASSESSMENTS!H:H),1))</f>
        <v/>
      </c>
      <c r="F454" s="4">
        <f>IF(A454="","",IFERROR(ROUND(AVERAGEIFS(ASSESSMENTS!H:H,ASSESSMENTS!B:B,A454,ASSESSMENTS!E:E,"Mathematics"),1),""))</f>
        <v/>
      </c>
      <c r="G454" s="4">
        <f>IF(A454="","",IFERROR(ROUND(AVERAGEIFS(ASSESSMENTS!H:H,ASSESSMENTS!B:B,A454,ASSESSMENTS!E:E,"Mathematical Literacy"),1),""))</f>
        <v/>
      </c>
      <c r="H454" s="4">
        <f>IF(A454="","",IFERROR(ROUND(AVERAGEIFS(ASSESSMENTS!H:H,ASSESSMENTS!B:B,A454,ASSESSMENTS!E:E,"Physical Sciences"),1),""))</f>
        <v/>
      </c>
      <c r="I454" s="4">
        <f>IF(A454="","",IFERROR(ROUND(AVERAGEIFS(ASSESSMENTS!H:H,ASSESSMENTS!B:B,A454,ASSESSMENTS!E:E,"Geography"),1),""))</f>
        <v/>
      </c>
      <c r="J454" s="4">
        <f>IF(A454="","",IFERROR(ROUND(AVERAGEIFS(ASSESSMENTS!H:H,ASSESSMENTS!B:B,A454,ASSESSMENTS!E:E,"Accounting"),1),""))</f>
        <v/>
      </c>
      <c r="K454" s="4">
        <f>IF(A454="","",IFERROR(ROUND(AVERAGEIFS(ASSESSMENTS!H:H,ASSESSMENTS!B:B,A454,ASSESSMENTS!E:E,"English"),1),""))</f>
        <v/>
      </c>
      <c r="L454" s="5">
        <f>IF(A454="","",IFERROR(XLOOKUP(A454,ATTENDANCE_SUMMARY!A:A,ATTENDANCE_SUMMARY!G:G,""),""))</f>
        <v/>
      </c>
      <c r="M454" s="4">
        <f>IF(A454="","",IF(OR(E454&lt;50,AND(L454&lt;0.75,L454&lt;&gt;"" )),"At Risk","On Track"))</f>
        <v/>
      </c>
    </row>
    <row r="455">
      <c r="A455">
        <f>IF(MASTER_REGISTER!E455="","",MASTER_REGISTER!E455)</f>
        <v/>
      </c>
      <c r="B455">
        <f>IF(A455="","",MASTER_REGISTER!F455)</f>
        <v/>
      </c>
      <c r="C455">
        <f>IF(A455="","",MASTER_REGISTER!C455)</f>
        <v/>
      </c>
      <c r="D455">
        <f>IF(A455="","",COUNTIF(ASSESSMENTS!B:B,A455))</f>
        <v/>
      </c>
      <c r="E455" s="4">
        <f>IF(D455=0,"",ROUND(AVERAGEIF(ASSESSMENTS!B:B,A455,ASSESSMENTS!H:H),1))</f>
        <v/>
      </c>
      <c r="F455" s="4">
        <f>IF(A455="","",IFERROR(ROUND(AVERAGEIFS(ASSESSMENTS!H:H,ASSESSMENTS!B:B,A455,ASSESSMENTS!E:E,"Mathematics"),1),""))</f>
        <v/>
      </c>
      <c r="G455" s="4">
        <f>IF(A455="","",IFERROR(ROUND(AVERAGEIFS(ASSESSMENTS!H:H,ASSESSMENTS!B:B,A455,ASSESSMENTS!E:E,"Mathematical Literacy"),1),""))</f>
        <v/>
      </c>
      <c r="H455" s="4">
        <f>IF(A455="","",IFERROR(ROUND(AVERAGEIFS(ASSESSMENTS!H:H,ASSESSMENTS!B:B,A455,ASSESSMENTS!E:E,"Physical Sciences"),1),""))</f>
        <v/>
      </c>
      <c r="I455" s="4">
        <f>IF(A455="","",IFERROR(ROUND(AVERAGEIFS(ASSESSMENTS!H:H,ASSESSMENTS!B:B,A455,ASSESSMENTS!E:E,"Geography"),1),""))</f>
        <v/>
      </c>
      <c r="J455" s="4">
        <f>IF(A455="","",IFERROR(ROUND(AVERAGEIFS(ASSESSMENTS!H:H,ASSESSMENTS!B:B,A455,ASSESSMENTS!E:E,"Accounting"),1),""))</f>
        <v/>
      </c>
      <c r="K455" s="4">
        <f>IF(A455="","",IFERROR(ROUND(AVERAGEIFS(ASSESSMENTS!H:H,ASSESSMENTS!B:B,A455,ASSESSMENTS!E:E,"English"),1),""))</f>
        <v/>
      </c>
      <c r="L455" s="5">
        <f>IF(A455="","",IFERROR(XLOOKUP(A455,ATTENDANCE_SUMMARY!A:A,ATTENDANCE_SUMMARY!G:G,""),""))</f>
        <v/>
      </c>
      <c r="M455" s="4">
        <f>IF(A455="","",IF(OR(E455&lt;50,AND(L455&lt;0.75,L455&lt;&gt;"" )),"At Risk","On Track"))</f>
        <v/>
      </c>
    </row>
    <row r="456">
      <c r="A456">
        <f>IF(MASTER_REGISTER!E456="","",MASTER_REGISTER!E456)</f>
        <v/>
      </c>
      <c r="B456">
        <f>IF(A456="","",MASTER_REGISTER!F456)</f>
        <v/>
      </c>
      <c r="C456">
        <f>IF(A456="","",MASTER_REGISTER!C456)</f>
        <v/>
      </c>
      <c r="D456">
        <f>IF(A456="","",COUNTIF(ASSESSMENTS!B:B,A456))</f>
        <v/>
      </c>
      <c r="E456" s="4">
        <f>IF(D456=0,"",ROUND(AVERAGEIF(ASSESSMENTS!B:B,A456,ASSESSMENTS!H:H),1))</f>
        <v/>
      </c>
      <c r="F456" s="4">
        <f>IF(A456="","",IFERROR(ROUND(AVERAGEIFS(ASSESSMENTS!H:H,ASSESSMENTS!B:B,A456,ASSESSMENTS!E:E,"Mathematics"),1),""))</f>
        <v/>
      </c>
      <c r="G456" s="4">
        <f>IF(A456="","",IFERROR(ROUND(AVERAGEIFS(ASSESSMENTS!H:H,ASSESSMENTS!B:B,A456,ASSESSMENTS!E:E,"Mathematical Literacy"),1),""))</f>
        <v/>
      </c>
      <c r="H456" s="4">
        <f>IF(A456="","",IFERROR(ROUND(AVERAGEIFS(ASSESSMENTS!H:H,ASSESSMENTS!B:B,A456,ASSESSMENTS!E:E,"Physical Sciences"),1),""))</f>
        <v/>
      </c>
      <c r="I456" s="4">
        <f>IF(A456="","",IFERROR(ROUND(AVERAGEIFS(ASSESSMENTS!H:H,ASSESSMENTS!B:B,A456,ASSESSMENTS!E:E,"Geography"),1),""))</f>
        <v/>
      </c>
      <c r="J456" s="4">
        <f>IF(A456="","",IFERROR(ROUND(AVERAGEIFS(ASSESSMENTS!H:H,ASSESSMENTS!B:B,A456,ASSESSMENTS!E:E,"Accounting"),1),""))</f>
        <v/>
      </c>
      <c r="K456" s="4">
        <f>IF(A456="","",IFERROR(ROUND(AVERAGEIFS(ASSESSMENTS!H:H,ASSESSMENTS!B:B,A456,ASSESSMENTS!E:E,"English"),1),""))</f>
        <v/>
      </c>
      <c r="L456" s="5">
        <f>IF(A456="","",IFERROR(XLOOKUP(A456,ATTENDANCE_SUMMARY!A:A,ATTENDANCE_SUMMARY!G:G,""),""))</f>
        <v/>
      </c>
      <c r="M456" s="4">
        <f>IF(A456="","",IF(OR(E456&lt;50,AND(L456&lt;0.75,L456&lt;&gt;"" )),"At Risk","On Track"))</f>
        <v/>
      </c>
    </row>
    <row r="457">
      <c r="A457">
        <f>IF(MASTER_REGISTER!E457="","",MASTER_REGISTER!E457)</f>
        <v/>
      </c>
      <c r="B457">
        <f>IF(A457="","",MASTER_REGISTER!F457)</f>
        <v/>
      </c>
      <c r="C457">
        <f>IF(A457="","",MASTER_REGISTER!C457)</f>
        <v/>
      </c>
      <c r="D457">
        <f>IF(A457="","",COUNTIF(ASSESSMENTS!B:B,A457))</f>
        <v/>
      </c>
      <c r="E457" s="4">
        <f>IF(D457=0,"",ROUND(AVERAGEIF(ASSESSMENTS!B:B,A457,ASSESSMENTS!H:H),1))</f>
        <v/>
      </c>
      <c r="F457" s="4">
        <f>IF(A457="","",IFERROR(ROUND(AVERAGEIFS(ASSESSMENTS!H:H,ASSESSMENTS!B:B,A457,ASSESSMENTS!E:E,"Mathematics"),1),""))</f>
        <v/>
      </c>
      <c r="G457" s="4">
        <f>IF(A457="","",IFERROR(ROUND(AVERAGEIFS(ASSESSMENTS!H:H,ASSESSMENTS!B:B,A457,ASSESSMENTS!E:E,"Mathematical Literacy"),1),""))</f>
        <v/>
      </c>
      <c r="H457" s="4">
        <f>IF(A457="","",IFERROR(ROUND(AVERAGEIFS(ASSESSMENTS!H:H,ASSESSMENTS!B:B,A457,ASSESSMENTS!E:E,"Physical Sciences"),1),""))</f>
        <v/>
      </c>
      <c r="I457" s="4">
        <f>IF(A457="","",IFERROR(ROUND(AVERAGEIFS(ASSESSMENTS!H:H,ASSESSMENTS!B:B,A457,ASSESSMENTS!E:E,"Geography"),1),""))</f>
        <v/>
      </c>
      <c r="J457" s="4">
        <f>IF(A457="","",IFERROR(ROUND(AVERAGEIFS(ASSESSMENTS!H:H,ASSESSMENTS!B:B,A457,ASSESSMENTS!E:E,"Accounting"),1),""))</f>
        <v/>
      </c>
      <c r="K457" s="4">
        <f>IF(A457="","",IFERROR(ROUND(AVERAGEIFS(ASSESSMENTS!H:H,ASSESSMENTS!B:B,A457,ASSESSMENTS!E:E,"English"),1),""))</f>
        <v/>
      </c>
      <c r="L457" s="5">
        <f>IF(A457="","",IFERROR(XLOOKUP(A457,ATTENDANCE_SUMMARY!A:A,ATTENDANCE_SUMMARY!G:G,""),""))</f>
        <v/>
      </c>
      <c r="M457" s="4">
        <f>IF(A457="","",IF(OR(E457&lt;50,AND(L457&lt;0.75,L457&lt;&gt;"" )),"At Risk","On Track"))</f>
        <v/>
      </c>
    </row>
    <row r="458">
      <c r="A458">
        <f>IF(MASTER_REGISTER!E458="","",MASTER_REGISTER!E458)</f>
        <v/>
      </c>
      <c r="B458">
        <f>IF(A458="","",MASTER_REGISTER!F458)</f>
        <v/>
      </c>
      <c r="C458">
        <f>IF(A458="","",MASTER_REGISTER!C458)</f>
        <v/>
      </c>
      <c r="D458">
        <f>IF(A458="","",COUNTIF(ASSESSMENTS!B:B,A458))</f>
        <v/>
      </c>
      <c r="E458" s="4">
        <f>IF(D458=0,"",ROUND(AVERAGEIF(ASSESSMENTS!B:B,A458,ASSESSMENTS!H:H),1))</f>
        <v/>
      </c>
      <c r="F458" s="4">
        <f>IF(A458="","",IFERROR(ROUND(AVERAGEIFS(ASSESSMENTS!H:H,ASSESSMENTS!B:B,A458,ASSESSMENTS!E:E,"Mathematics"),1),""))</f>
        <v/>
      </c>
      <c r="G458" s="4">
        <f>IF(A458="","",IFERROR(ROUND(AVERAGEIFS(ASSESSMENTS!H:H,ASSESSMENTS!B:B,A458,ASSESSMENTS!E:E,"Mathematical Literacy"),1),""))</f>
        <v/>
      </c>
      <c r="H458" s="4">
        <f>IF(A458="","",IFERROR(ROUND(AVERAGEIFS(ASSESSMENTS!H:H,ASSESSMENTS!B:B,A458,ASSESSMENTS!E:E,"Physical Sciences"),1),""))</f>
        <v/>
      </c>
      <c r="I458" s="4">
        <f>IF(A458="","",IFERROR(ROUND(AVERAGEIFS(ASSESSMENTS!H:H,ASSESSMENTS!B:B,A458,ASSESSMENTS!E:E,"Geography"),1),""))</f>
        <v/>
      </c>
      <c r="J458" s="4">
        <f>IF(A458="","",IFERROR(ROUND(AVERAGEIFS(ASSESSMENTS!H:H,ASSESSMENTS!B:B,A458,ASSESSMENTS!E:E,"Accounting"),1),""))</f>
        <v/>
      </c>
      <c r="K458" s="4">
        <f>IF(A458="","",IFERROR(ROUND(AVERAGEIFS(ASSESSMENTS!H:H,ASSESSMENTS!B:B,A458,ASSESSMENTS!E:E,"English"),1),""))</f>
        <v/>
      </c>
      <c r="L458" s="5">
        <f>IF(A458="","",IFERROR(XLOOKUP(A458,ATTENDANCE_SUMMARY!A:A,ATTENDANCE_SUMMARY!G:G,""),""))</f>
        <v/>
      </c>
      <c r="M458" s="4">
        <f>IF(A458="","",IF(OR(E458&lt;50,AND(L458&lt;0.75,L458&lt;&gt;"" )),"At Risk","On Track"))</f>
        <v/>
      </c>
    </row>
    <row r="459">
      <c r="A459">
        <f>IF(MASTER_REGISTER!E459="","",MASTER_REGISTER!E459)</f>
        <v/>
      </c>
      <c r="B459">
        <f>IF(A459="","",MASTER_REGISTER!F459)</f>
        <v/>
      </c>
      <c r="C459">
        <f>IF(A459="","",MASTER_REGISTER!C459)</f>
        <v/>
      </c>
      <c r="D459">
        <f>IF(A459="","",COUNTIF(ASSESSMENTS!B:B,A459))</f>
        <v/>
      </c>
      <c r="E459" s="4">
        <f>IF(D459=0,"",ROUND(AVERAGEIF(ASSESSMENTS!B:B,A459,ASSESSMENTS!H:H),1))</f>
        <v/>
      </c>
      <c r="F459" s="4">
        <f>IF(A459="","",IFERROR(ROUND(AVERAGEIFS(ASSESSMENTS!H:H,ASSESSMENTS!B:B,A459,ASSESSMENTS!E:E,"Mathematics"),1),""))</f>
        <v/>
      </c>
      <c r="G459" s="4">
        <f>IF(A459="","",IFERROR(ROUND(AVERAGEIFS(ASSESSMENTS!H:H,ASSESSMENTS!B:B,A459,ASSESSMENTS!E:E,"Mathematical Literacy"),1),""))</f>
        <v/>
      </c>
      <c r="H459" s="4">
        <f>IF(A459="","",IFERROR(ROUND(AVERAGEIFS(ASSESSMENTS!H:H,ASSESSMENTS!B:B,A459,ASSESSMENTS!E:E,"Physical Sciences"),1),""))</f>
        <v/>
      </c>
      <c r="I459" s="4">
        <f>IF(A459="","",IFERROR(ROUND(AVERAGEIFS(ASSESSMENTS!H:H,ASSESSMENTS!B:B,A459,ASSESSMENTS!E:E,"Geography"),1),""))</f>
        <v/>
      </c>
      <c r="J459" s="4">
        <f>IF(A459="","",IFERROR(ROUND(AVERAGEIFS(ASSESSMENTS!H:H,ASSESSMENTS!B:B,A459,ASSESSMENTS!E:E,"Accounting"),1),""))</f>
        <v/>
      </c>
      <c r="K459" s="4">
        <f>IF(A459="","",IFERROR(ROUND(AVERAGEIFS(ASSESSMENTS!H:H,ASSESSMENTS!B:B,A459,ASSESSMENTS!E:E,"English"),1),""))</f>
        <v/>
      </c>
      <c r="L459" s="5">
        <f>IF(A459="","",IFERROR(XLOOKUP(A459,ATTENDANCE_SUMMARY!A:A,ATTENDANCE_SUMMARY!G:G,""),""))</f>
        <v/>
      </c>
      <c r="M459" s="4">
        <f>IF(A459="","",IF(OR(E459&lt;50,AND(L459&lt;0.75,L459&lt;&gt;"" )),"At Risk","On Track"))</f>
        <v/>
      </c>
    </row>
    <row r="460">
      <c r="A460">
        <f>IF(MASTER_REGISTER!E460="","",MASTER_REGISTER!E460)</f>
        <v/>
      </c>
      <c r="B460">
        <f>IF(A460="","",MASTER_REGISTER!F460)</f>
        <v/>
      </c>
      <c r="C460">
        <f>IF(A460="","",MASTER_REGISTER!C460)</f>
        <v/>
      </c>
      <c r="D460">
        <f>IF(A460="","",COUNTIF(ASSESSMENTS!B:B,A460))</f>
        <v/>
      </c>
      <c r="E460" s="4">
        <f>IF(D460=0,"",ROUND(AVERAGEIF(ASSESSMENTS!B:B,A460,ASSESSMENTS!H:H),1))</f>
        <v/>
      </c>
      <c r="F460" s="4">
        <f>IF(A460="","",IFERROR(ROUND(AVERAGEIFS(ASSESSMENTS!H:H,ASSESSMENTS!B:B,A460,ASSESSMENTS!E:E,"Mathematics"),1),""))</f>
        <v/>
      </c>
      <c r="G460" s="4">
        <f>IF(A460="","",IFERROR(ROUND(AVERAGEIFS(ASSESSMENTS!H:H,ASSESSMENTS!B:B,A460,ASSESSMENTS!E:E,"Mathematical Literacy"),1),""))</f>
        <v/>
      </c>
      <c r="H460" s="4">
        <f>IF(A460="","",IFERROR(ROUND(AVERAGEIFS(ASSESSMENTS!H:H,ASSESSMENTS!B:B,A460,ASSESSMENTS!E:E,"Physical Sciences"),1),""))</f>
        <v/>
      </c>
      <c r="I460" s="4">
        <f>IF(A460="","",IFERROR(ROUND(AVERAGEIFS(ASSESSMENTS!H:H,ASSESSMENTS!B:B,A460,ASSESSMENTS!E:E,"Geography"),1),""))</f>
        <v/>
      </c>
      <c r="J460" s="4">
        <f>IF(A460="","",IFERROR(ROUND(AVERAGEIFS(ASSESSMENTS!H:H,ASSESSMENTS!B:B,A460,ASSESSMENTS!E:E,"Accounting"),1),""))</f>
        <v/>
      </c>
      <c r="K460" s="4">
        <f>IF(A460="","",IFERROR(ROUND(AVERAGEIFS(ASSESSMENTS!H:H,ASSESSMENTS!B:B,A460,ASSESSMENTS!E:E,"English"),1),""))</f>
        <v/>
      </c>
      <c r="L460" s="5">
        <f>IF(A460="","",IFERROR(XLOOKUP(A460,ATTENDANCE_SUMMARY!A:A,ATTENDANCE_SUMMARY!G:G,""),""))</f>
        <v/>
      </c>
      <c r="M460" s="4">
        <f>IF(A460="","",IF(OR(E460&lt;50,AND(L460&lt;0.75,L460&lt;&gt;"" )),"At Risk","On Track"))</f>
        <v/>
      </c>
    </row>
    <row r="461">
      <c r="A461">
        <f>IF(MASTER_REGISTER!E461="","",MASTER_REGISTER!E461)</f>
        <v/>
      </c>
      <c r="B461">
        <f>IF(A461="","",MASTER_REGISTER!F461)</f>
        <v/>
      </c>
      <c r="C461">
        <f>IF(A461="","",MASTER_REGISTER!C461)</f>
        <v/>
      </c>
      <c r="D461">
        <f>IF(A461="","",COUNTIF(ASSESSMENTS!B:B,A461))</f>
        <v/>
      </c>
      <c r="E461" s="4">
        <f>IF(D461=0,"",ROUND(AVERAGEIF(ASSESSMENTS!B:B,A461,ASSESSMENTS!H:H),1))</f>
        <v/>
      </c>
      <c r="F461" s="4">
        <f>IF(A461="","",IFERROR(ROUND(AVERAGEIFS(ASSESSMENTS!H:H,ASSESSMENTS!B:B,A461,ASSESSMENTS!E:E,"Mathematics"),1),""))</f>
        <v/>
      </c>
      <c r="G461" s="4">
        <f>IF(A461="","",IFERROR(ROUND(AVERAGEIFS(ASSESSMENTS!H:H,ASSESSMENTS!B:B,A461,ASSESSMENTS!E:E,"Mathematical Literacy"),1),""))</f>
        <v/>
      </c>
      <c r="H461" s="4">
        <f>IF(A461="","",IFERROR(ROUND(AVERAGEIFS(ASSESSMENTS!H:H,ASSESSMENTS!B:B,A461,ASSESSMENTS!E:E,"Physical Sciences"),1),""))</f>
        <v/>
      </c>
      <c r="I461" s="4">
        <f>IF(A461="","",IFERROR(ROUND(AVERAGEIFS(ASSESSMENTS!H:H,ASSESSMENTS!B:B,A461,ASSESSMENTS!E:E,"Geography"),1),""))</f>
        <v/>
      </c>
      <c r="J461" s="4">
        <f>IF(A461="","",IFERROR(ROUND(AVERAGEIFS(ASSESSMENTS!H:H,ASSESSMENTS!B:B,A461,ASSESSMENTS!E:E,"Accounting"),1),""))</f>
        <v/>
      </c>
      <c r="K461" s="4">
        <f>IF(A461="","",IFERROR(ROUND(AVERAGEIFS(ASSESSMENTS!H:H,ASSESSMENTS!B:B,A461,ASSESSMENTS!E:E,"English"),1),""))</f>
        <v/>
      </c>
      <c r="L461" s="5">
        <f>IF(A461="","",IFERROR(XLOOKUP(A461,ATTENDANCE_SUMMARY!A:A,ATTENDANCE_SUMMARY!G:G,""),""))</f>
        <v/>
      </c>
      <c r="M461" s="4">
        <f>IF(A461="","",IF(OR(E461&lt;50,AND(L461&lt;0.75,L461&lt;&gt;"" )),"At Risk","On Track"))</f>
        <v/>
      </c>
    </row>
    <row r="462">
      <c r="A462">
        <f>IF(MASTER_REGISTER!E462="","",MASTER_REGISTER!E462)</f>
        <v/>
      </c>
      <c r="B462">
        <f>IF(A462="","",MASTER_REGISTER!F462)</f>
        <v/>
      </c>
      <c r="C462">
        <f>IF(A462="","",MASTER_REGISTER!C462)</f>
        <v/>
      </c>
      <c r="D462">
        <f>IF(A462="","",COUNTIF(ASSESSMENTS!B:B,A462))</f>
        <v/>
      </c>
      <c r="E462" s="4">
        <f>IF(D462=0,"",ROUND(AVERAGEIF(ASSESSMENTS!B:B,A462,ASSESSMENTS!H:H),1))</f>
        <v/>
      </c>
      <c r="F462" s="4">
        <f>IF(A462="","",IFERROR(ROUND(AVERAGEIFS(ASSESSMENTS!H:H,ASSESSMENTS!B:B,A462,ASSESSMENTS!E:E,"Mathematics"),1),""))</f>
        <v/>
      </c>
      <c r="G462" s="4">
        <f>IF(A462="","",IFERROR(ROUND(AVERAGEIFS(ASSESSMENTS!H:H,ASSESSMENTS!B:B,A462,ASSESSMENTS!E:E,"Mathematical Literacy"),1),""))</f>
        <v/>
      </c>
      <c r="H462" s="4">
        <f>IF(A462="","",IFERROR(ROUND(AVERAGEIFS(ASSESSMENTS!H:H,ASSESSMENTS!B:B,A462,ASSESSMENTS!E:E,"Physical Sciences"),1),""))</f>
        <v/>
      </c>
      <c r="I462" s="4">
        <f>IF(A462="","",IFERROR(ROUND(AVERAGEIFS(ASSESSMENTS!H:H,ASSESSMENTS!B:B,A462,ASSESSMENTS!E:E,"Geography"),1),""))</f>
        <v/>
      </c>
      <c r="J462" s="4">
        <f>IF(A462="","",IFERROR(ROUND(AVERAGEIFS(ASSESSMENTS!H:H,ASSESSMENTS!B:B,A462,ASSESSMENTS!E:E,"Accounting"),1),""))</f>
        <v/>
      </c>
      <c r="K462" s="4">
        <f>IF(A462="","",IFERROR(ROUND(AVERAGEIFS(ASSESSMENTS!H:H,ASSESSMENTS!B:B,A462,ASSESSMENTS!E:E,"English"),1),""))</f>
        <v/>
      </c>
      <c r="L462" s="5">
        <f>IF(A462="","",IFERROR(XLOOKUP(A462,ATTENDANCE_SUMMARY!A:A,ATTENDANCE_SUMMARY!G:G,""),""))</f>
        <v/>
      </c>
      <c r="M462" s="4">
        <f>IF(A462="","",IF(OR(E462&lt;50,AND(L462&lt;0.75,L462&lt;&gt;"" )),"At Risk","On Track"))</f>
        <v/>
      </c>
    </row>
    <row r="463">
      <c r="A463">
        <f>IF(MASTER_REGISTER!E463="","",MASTER_REGISTER!E463)</f>
        <v/>
      </c>
      <c r="B463">
        <f>IF(A463="","",MASTER_REGISTER!F463)</f>
        <v/>
      </c>
      <c r="C463">
        <f>IF(A463="","",MASTER_REGISTER!C463)</f>
        <v/>
      </c>
      <c r="D463">
        <f>IF(A463="","",COUNTIF(ASSESSMENTS!B:B,A463))</f>
        <v/>
      </c>
      <c r="E463" s="4">
        <f>IF(D463=0,"",ROUND(AVERAGEIF(ASSESSMENTS!B:B,A463,ASSESSMENTS!H:H),1))</f>
        <v/>
      </c>
      <c r="F463" s="4">
        <f>IF(A463="","",IFERROR(ROUND(AVERAGEIFS(ASSESSMENTS!H:H,ASSESSMENTS!B:B,A463,ASSESSMENTS!E:E,"Mathematics"),1),""))</f>
        <v/>
      </c>
      <c r="G463" s="4">
        <f>IF(A463="","",IFERROR(ROUND(AVERAGEIFS(ASSESSMENTS!H:H,ASSESSMENTS!B:B,A463,ASSESSMENTS!E:E,"Mathematical Literacy"),1),""))</f>
        <v/>
      </c>
      <c r="H463" s="4">
        <f>IF(A463="","",IFERROR(ROUND(AVERAGEIFS(ASSESSMENTS!H:H,ASSESSMENTS!B:B,A463,ASSESSMENTS!E:E,"Physical Sciences"),1),""))</f>
        <v/>
      </c>
      <c r="I463" s="4">
        <f>IF(A463="","",IFERROR(ROUND(AVERAGEIFS(ASSESSMENTS!H:H,ASSESSMENTS!B:B,A463,ASSESSMENTS!E:E,"Geography"),1),""))</f>
        <v/>
      </c>
      <c r="J463" s="4">
        <f>IF(A463="","",IFERROR(ROUND(AVERAGEIFS(ASSESSMENTS!H:H,ASSESSMENTS!B:B,A463,ASSESSMENTS!E:E,"Accounting"),1),""))</f>
        <v/>
      </c>
      <c r="K463" s="4">
        <f>IF(A463="","",IFERROR(ROUND(AVERAGEIFS(ASSESSMENTS!H:H,ASSESSMENTS!B:B,A463,ASSESSMENTS!E:E,"English"),1),""))</f>
        <v/>
      </c>
      <c r="L463" s="5">
        <f>IF(A463="","",IFERROR(XLOOKUP(A463,ATTENDANCE_SUMMARY!A:A,ATTENDANCE_SUMMARY!G:G,""),""))</f>
        <v/>
      </c>
      <c r="M463" s="4">
        <f>IF(A463="","",IF(OR(E463&lt;50,AND(L463&lt;0.75,L463&lt;&gt;"" )),"At Risk","On Track"))</f>
        <v/>
      </c>
    </row>
    <row r="464">
      <c r="A464">
        <f>IF(MASTER_REGISTER!E464="","",MASTER_REGISTER!E464)</f>
        <v/>
      </c>
      <c r="B464">
        <f>IF(A464="","",MASTER_REGISTER!F464)</f>
        <v/>
      </c>
      <c r="C464">
        <f>IF(A464="","",MASTER_REGISTER!C464)</f>
        <v/>
      </c>
      <c r="D464">
        <f>IF(A464="","",COUNTIF(ASSESSMENTS!B:B,A464))</f>
        <v/>
      </c>
      <c r="E464" s="4">
        <f>IF(D464=0,"",ROUND(AVERAGEIF(ASSESSMENTS!B:B,A464,ASSESSMENTS!H:H),1))</f>
        <v/>
      </c>
      <c r="F464" s="4">
        <f>IF(A464="","",IFERROR(ROUND(AVERAGEIFS(ASSESSMENTS!H:H,ASSESSMENTS!B:B,A464,ASSESSMENTS!E:E,"Mathematics"),1),""))</f>
        <v/>
      </c>
      <c r="G464" s="4">
        <f>IF(A464="","",IFERROR(ROUND(AVERAGEIFS(ASSESSMENTS!H:H,ASSESSMENTS!B:B,A464,ASSESSMENTS!E:E,"Mathematical Literacy"),1),""))</f>
        <v/>
      </c>
      <c r="H464" s="4">
        <f>IF(A464="","",IFERROR(ROUND(AVERAGEIFS(ASSESSMENTS!H:H,ASSESSMENTS!B:B,A464,ASSESSMENTS!E:E,"Physical Sciences"),1),""))</f>
        <v/>
      </c>
      <c r="I464" s="4">
        <f>IF(A464="","",IFERROR(ROUND(AVERAGEIFS(ASSESSMENTS!H:H,ASSESSMENTS!B:B,A464,ASSESSMENTS!E:E,"Geography"),1),""))</f>
        <v/>
      </c>
      <c r="J464" s="4">
        <f>IF(A464="","",IFERROR(ROUND(AVERAGEIFS(ASSESSMENTS!H:H,ASSESSMENTS!B:B,A464,ASSESSMENTS!E:E,"Accounting"),1),""))</f>
        <v/>
      </c>
      <c r="K464" s="4">
        <f>IF(A464="","",IFERROR(ROUND(AVERAGEIFS(ASSESSMENTS!H:H,ASSESSMENTS!B:B,A464,ASSESSMENTS!E:E,"English"),1),""))</f>
        <v/>
      </c>
      <c r="L464" s="5">
        <f>IF(A464="","",IFERROR(XLOOKUP(A464,ATTENDANCE_SUMMARY!A:A,ATTENDANCE_SUMMARY!G:G,""),""))</f>
        <v/>
      </c>
      <c r="M464" s="4">
        <f>IF(A464="","",IF(OR(E464&lt;50,AND(L464&lt;0.75,L464&lt;&gt;"" )),"At Risk","On Track"))</f>
        <v/>
      </c>
    </row>
    <row r="465">
      <c r="A465">
        <f>IF(MASTER_REGISTER!E465="","",MASTER_REGISTER!E465)</f>
        <v/>
      </c>
      <c r="B465">
        <f>IF(A465="","",MASTER_REGISTER!F465)</f>
        <v/>
      </c>
      <c r="C465">
        <f>IF(A465="","",MASTER_REGISTER!C465)</f>
        <v/>
      </c>
      <c r="D465">
        <f>IF(A465="","",COUNTIF(ASSESSMENTS!B:B,A465))</f>
        <v/>
      </c>
      <c r="E465" s="4">
        <f>IF(D465=0,"",ROUND(AVERAGEIF(ASSESSMENTS!B:B,A465,ASSESSMENTS!H:H),1))</f>
        <v/>
      </c>
      <c r="F465" s="4">
        <f>IF(A465="","",IFERROR(ROUND(AVERAGEIFS(ASSESSMENTS!H:H,ASSESSMENTS!B:B,A465,ASSESSMENTS!E:E,"Mathematics"),1),""))</f>
        <v/>
      </c>
      <c r="G465" s="4">
        <f>IF(A465="","",IFERROR(ROUND(AVERAGEIFS(ASSESSMENTS!H:H,ASSESSMENTS!B:B,A465,ASSESSMENTS!E:E,"Mathematical Literacy"),1),""))</f>
        <v/>
      </c>
      <c r="H465" s="4">
        <f>IF(A465="","",IFERROR(ROUND(AVERAGEIFS(ASSESSMENTS!H:H,ASSESSMENTS!B:B,A465,ASSESSMENTS!E:E,"Physical Sciences"),1),""))</f>
        <v/>
      </c>
      <c r="I465" s="4">
        <f>IF(A465="","",IFERROR(ROUND(AVERAGEIFS(ASSESSMENTS!H:H,ASSESSMENTS!B:B,A465,ASSESSMENTS!E:E,"Geography"),1),""))</f>
        <v/>
      </c>
      <c r="J465" s="4">
        <f>IF(A465="","",IFERROR(ROUND(AVERAGEIFS(ASSESSMENTS!H:H,ASSESSMENTS!B:B,A465,ASSESSMENTS!E:E,"Accounting"),1),""))</f>
        <v/>
      </c>
      <c r="K465" s="4">
        <f>IF(A465="","",IFERROR(ROUND(AVERAGEIFS(ASSESSMENTS!H:H,ASSESSMENTS!B:B,A465,ASSESSMENTS!E:E,"English"),1),""))</f>
        <v/>
      </c>
      <c r="L465" s="5">
        <f>IF(A465="","",IFERROR(XLOOKUP(A465,ATTENDANCE_SUMMARY!A:A,ATTENDANCE_SUMMARY!G:G,""),""))</f>
        <v/>
      </c>
      <c r="M465" s="4">
        <f>IF(A465="","",IF(OR(E465&lt;50,AND(L465&lt;0.75,L465&lt;&gt;"" )),"At Risk","On Track"))</f>
        <v/>
      </c>
    </row>
    <row r="466">
      <c r="A466">
        <f>IF(MASTER_REGISTER!E466="","",MASTER_REGISTER!E466)</f>
        <v/>
      </c>
      <c r="B466">
        <f>IF(A466="","",MASTER_REGISTER!F466)</f>
        <v/>
      </c>
      <c r="C466">
        <f>IF(A466="","",MASTER_REGISTER!C466)</f>
        <v/>
      </c>
      <c r="D466">
        <f>IF(A466="","",COUNTIF(ASSESSMENTS!B:B,A466))</f>
        <v/>
      </c>
      <c r="E466" s="4">
        <f>IF(D466=0,"",ROUND(AVERAGEIF(ASSESSMENTS!B:B,A466,ASSESSMENTS!H:H),1))</f>
        <v/>
      </c>
      <c r="F466" s="4">
        <f>IF(A466="","",IFERROR(ROUND(AVERAGEIFS(ASSESSMENTS!H:H,ASSESSMENTS!B:B,A466,ASSESSMENTS!E:E,"Mathematics"),1),""))</f>
        <v/>
      </c>
      <c r="G466" s="4">
        <f>IF(A466="","",IFERROR(ROUND(AVERAGEIFS(ASSESSMENTS!H:H,ASSESSMENTS!B:B,A466,ASSESSMENTS!E:E,"Mathematical Literacy"),1),""))</f>
        <v/>
      </c>
      <c r="H466" s="4">
        <f>IF(A466="","",IFERROR(ROUND(AVERAGEIFS(ASSESSMENTS!H:H,ASSESSMENTS!B:B,A466,ASSESSMENTS!E:E,"Physical Sciences"),1),""))</f>
        <v/>
      </c>
      <c r="I466" s="4">
        <f>IF(A466="","",IFERROR(ROUND(AVERAGEIFS(ASSESSMENTS!H:H,ASSESSMENTS!B:B,A466,ASSESSMENTS!E:E,"Geography"),1),""))</f>
        <v/>
      </c>
      <c r="J466" s="4">
        <f>IF(A466="","",IFERROR(ROUND(AVERAGEIFS(ASSESSMENTS!H:H,ASSESSMENTS!B:B,A466,ASSESSMENTS!E:E,"Accounting"),1),""))</f>
        <v/>
      </c>
      <c r="K466" s="4">
        <f>IF(A466="","",IFERROR(ROUND(AVERAGEIFS(ASSESSMENTS!H:H,ASSESSMENTS!B:B,A466,ASSESSMENTS!E:E,"English"),1),""))</f>
        <v/>
      </c>
      <c r="L466" s="5">
        <f>IF(A466="","",IFERROR(XLOOKUP(A466,ATTENDANCE_SUMMARY!A:A,ATTENDANCE_SUMMARY!G:G,""),""))</f>
        <v/>
      </c>
      <c r="M466" s="4">
        <f>IF(A466="","",IF(OR(E466&lt;50,AND(L466&lt;0.75,L466&lt;&gt;"" )),"At Risk","On Track"))</f>
        <v/>
      </c>
    </row>
    <row r="467">
      <c r="A467">
        <f>IF(MASTER_REGISTER!E467="","",MASTER_REGISTER!E467)</f>
        <v/>
      </c>
      <c r="B467">
        <f>IF(A467="","",MASTER_REGISTER!F467)</f>
        <v/>
      </c>
      <c r="C467">
        <f>IF(A467="","",MASTER_REGISTER!C467)</f>
        <v/>
      </c>
      <c r="D467">
        <f>IF(A467="","",COUNTIF(ASSESSMENTS!B:B,A467))</f>
        <v/>
      </c>
      <c r="E467" s="4">
        <f>IF(D467=0,"",ROUND(AVERAGEIF(ASSESSMENTS!B:B,A467,ASSESSMENTS!H:H),1))</f>
        <v/>
      </c>
      <c r="F467" s="4">
        <f>IF(A467="","",IFERROR(ROUND(AVERAGEIFS(ASSESSMENTS!H:H,ASSESSMENTS!B:B,A467,ASSESSMENTS!E:E,"Mathematics"),1),""))</f>
        <v/>
      </c>
      <c r="G467" s="4">
        <f>IF(A467="","",IFERROR(ROUND(AVERAGEIFS(ASSESSMENTS!H:H,ASSESSMENTS!B:B,A467,ASSESSMENTS!E:E,"Mathematical Literacy"),1),""))</f>
        <v/>
      </c>
      <c r="H467" s="4">
        <f>IF(A467="","",IFERROR(ROUND(AVERAGEIFS(ASSESSMENTS!H:H,ASSESSMENTS!B:B,A467,ASSESSMENTS!E:E,"Physical Sciences"),1),""))</f>
        <v/>
      </c>
      <c r="I467" s="4">
        <f>IF(A467="","",IFERROR(ROUND(AVERAGEIFS(ASSESSMENTS!H:H,ASSESSMENTS!B:B,A467,ASSESSMENTS!E:E,"Geography"),1),""))</f>
        <v/>
      </c>
      <c r="J467" s="4">
        <f>IF(A467="","",IFERROR(ROUND(AVERAGEIFS(ASSESSMENTS!H:H,ASSESSMENTS!B:B,A467,ASSESSMENTS!E:E,"Accounting"),1),""))</f>
        <v/>
      </c>
      <c r="K467" s="4">
        <f>IF(A467="","",IFERROR(ROUND(AVERAGEIFS(ASSESSMENTS!H:H,ASSESSMENTS!B:B,A467,ASSESSMENTS!E:E,"English"),1),""))</f>
        <v/>
      </c>
      <c r="L467" s="5">
        <f>IF(A467="","",IFERROR(XLOOKUP(A467,ATTENDANCE_SUMMARY!A:A,ATTENDANCE_SUMMARY!G:G,""),""))</f>
        <v/>
      </c>
      <c r="M467" s="4">
        <f>IF(A467="","",IF(OR(E467&lt;50,AND(L467&lt;0.75,L467&lt;&gt;"" )),"At Risk","On Track"))</f>
        <v/>
      </c>
    </row>
    <row r="468">
      <c r="A468">
        <f>IF(MASTER_REGISTER!E468="","",MASTER_REGISTER!E468)</f>
        <v/>
      </c>
      <c r="B468">
        <f>IF(A468="","",MASTER_REGISTER!F468)</f>
        <v/>
      </c>
      <c r="C468">
        <f>IF(A468="","",MASTER_REGISTER!C468)</f>
        <v/>
      </c>
      <c r="D468">
        <f>IF(A468="","",COUNTIF(ASSESSMENTS!B:B,A468))</f>
        <v/>
      </c>
      <c r="E468" s="4">
        <f>IF(D468=0,"",ROUND(AVERAGEIF(ASSESSMENTS!B:B,A468,ASSESSMENTS!H:H),1))</f>
        <v/>
      </c>
      <c r="F468" s="4">
        <f>IF(A468="","",IFERROR(ROUND(AVERAGEIFS(ASSESSMENTS!H:H,ASSESSMENTS!B:B,A468,ASSESSMENTS!E:E,"Mathematics"),1),""))</f>
        <v/>
      </c>
      <c r="G468" s="4">
        <f>IF(A468="","",IFERROR(ROUND(AVERAGEIFS(ASSESSMENTS!H:H,ASSESSMENTS!B:B,A468,ASSESSMENTS!E:E,"Mathematical Literacy"),1),""))</f>
        <v/>
      </c>
      <c r="H468" s="4">
        <f>IF(A468="","",IFERROR(ROUND(AVERAGEIFS(ASSESSMENTS!H:H,ASSESSMENTS!B:B,A468,ASSESSMENTS!E:E,"Physical Sciences"),1),""))</f>
        <v/>
      </c>
      <c r="I468" s="4">
        <f>IF(A468="","",IFERROR(ROUND(AVERAGEIFS(ASSESSMENTS!H:H,ASSESSMENTS!B:B,A468,ASSESSMENTS!E:E,"Geography"),1),""))</f>
        <v/>
      </c>
      <c r="J468" s="4">
        <f>IF(A468="","",IFERROR(ROUND(AVERAGEIFS(ASSESSMENTS!H:H,ASSESSMENTS!B:B,A468,ASSESSMENTS!E:E,"Accounting"),1),""))</f>
        <v/>
      </c>
      <c r="K468" s="4">
        <f>IF(A468="","",IFERROR(ROUND(AVERAGEIFS(ASSESSMENTS!H:H,ASSESSMENTS!B:B,A468,ASSESSMENTS!E:E,"English"),1),""))</f>
        <v/>
      </c>
      <c r="L468" s="5">
        <f>IF(A468="","",IFERROR(XLOOKUP(A468,ATTENDANCE_SUMMARY!A:A,ATTENDANCE_SUMMARY!G:G,""),""))</f>
        <v/>
      </c>
      <c r="M468" s="4">
        <f>IF(A468="","",IF(OR(E468&lt;50,AND(L468&lt;0.75,L468&lt;&gt;"" )),"At Risk","On Track"))</f>
        <v/>
      </c>
    </row>
    <row r="469">
      <c r="A469">
        <f>IF(MASTER_REGISTER!E469="","",MASTER_REGISTER!E469)</f>
        <v/>
      </c>
      <c r="B469">
        <f>IF(A469="","",MASTER_REGISTER!F469)</f>
        <v/>
      </c>
      <c r="C469">
        <f>IF(A469="","",MASTER_REGISTER!C469)</f>
        <v/>
      </c>
      <c r="D469">
        <f>IF(A469="","",COUNTIF(ASSESSMENTS!B:B,A469))</f>
        <v/>
      </c>
      <c r="E469" s="4">
        <f>IF(D469=0,"",ROUND(AVERAGEIF(ASSESSMENTS!B:B,A469,ASSESSMENTS!H:H),1))</f>
        <v/>
      </c>
      <c r="F469" s="4">
        <f>IF(A469="","",IFERROR(ROUND(AVERAGEIFS(ASSESSMENTS!H:H,ASSESSMENTS!B:B,A469,ASSESSMENTS!E:E,"Mathematics"),1),""))</f>
        <v/>
      </c>
      <c r="G469" s="4">
        <f>IF(A469="","",IFERROR(ROUND(AVERAGEIFS(ASSESSMENTS!H:H,ASSESSMENTS!B:B,A469,ASSESSMENTS!E:E,"Mathematical Literacy"),1),""))</f>
        <v/>
      </c>
      <c r="H469" s="4">
        <f>IF(A469="","",IFERROR(ROUND(AVERAGEIFS(ASSESSMENTS!H:H,ASSESSMENTS!B:B,A469,ASSESSMENTS!E:E,"Physical Sciences"),1),""))</f>
        <v/>
      </c>
      <c r="I469" s="4">
        <f>IF(A469="","",IFERROR(ROUND(AVERAGEIFS(ASSESSMENTS!H:H,ASSESSMENTS!B:B,A469,ASSESSMENTS!E:E,"Geography"),1),""))</f>
        <v/>
      </c>
      <c r="J469" s="4">
        <f>IF(A469="","",IFERROR(ROUND(AVERAGEIFS(ASSESSMENTS!H:H,ASSESSMENTS!B:B,A469,ASSESSMENTS!E:E,"Accounting"),1),""))</f>
        <v/>
      </c>
      <c r="K469" s="4">
        <f>IF(A469="","",IFERROR(ROUND(AVERAGEIFS(ASSESSMENTS!H:H,ASSESSMENTS!B:B,A469,ASSESSMENTS!E:E,"English"),1),""))</f>
        <v/>
      </c>
      <c r="L469" s="5">
        <f>IF(A469="","",IFERROR(XLOOKUP(A469,ATTENDANCE_SUMMARY!A:A,ATTENDANCE_SUMMARY!G:G,""),""))</f>
        <v/>
      </c>
      <c r="M469" s="4">
        <f>IF(A469="","",IF(OR(E469&lt;50,AND(L469&lt;0.75,L469&lt;&gt;"" )),"At Risk","On Track"))</f>
        <v/>
      </c>
    </row>
    <row r="470">
      <c r="A470">
        <f>IF(MASTER_REGISTER!E470="","",MASTER_REGISTER!E470)</f>
        <v/>
      </c>
      <c r="B470">
        <f>IF(A470="","",MASTER_REGISTER!F470)</f>
        <v/>
      </c>
      <c r="C470">
        <f>IF(A470="","",MASTER_REGISTER!C470)</f>
        <v/>
      </c>
      <c r="D470">
        <f>IF(A470="","",COUNTIF(ASSESSMENTS!B:B,A470))</f>
        <v/>
      </c>
      <c r="E470" s="4">
        <f>IF(D470=0,"",ROUND(AVERAGEIF(ASSESSMENTS!B:B,A470,ASSESSMENTS!H:H),1))</f>
        <v/>
      </c>
      <c r="F470" s="4">
        <f>IF(A470="","",IFERROR(ROUND(AVERAGEIFS(ASSESSMENTS!H:H,ASSESSMENTS!B:B,A470,ASSESSMENTS!E:E,"Mathematics"),1),""))</f>
        <v/>
      </c>
      <c r="G470" s="4">
        <f>IF(A470="","",IFERROR(ROUND(AVERAGEIFS(ASSESSMENTS!H:H,ASSESSMENTS!B:B,A470,ASSESSMENTS!E:E,"Mathematical Literacy"),1),""))</f>
        <v/>
      </c>
      <c r="H470" s="4">
        <f>IF(A470="","",IFERROR(ROUND(AVERAGEIFS(ASSESSMENTS!H:H,ASSESSMENTS!B:B,A470,ASSESSMENTS!E:E,"Physical Sciences"),1),""))</f>
        <v/>
      </c>
      <c r="I470" s="4">
        <f>IF(A470="","",IFERROR(ROUND(AVERAGEIFS(ASSESSMENTS!H:H,ASSESSMENTS!B:B,A470,ASSESSMENTS!E:E,"Geography"),1),""))</f>
        <v/>
      </c>
      <c r="J470" s="4">
        <f>IF(A470="","",IFERROR(ROUND(AVERAGEIFS(ASSESSMENTS!H:H,ASSESSMENTS!B:B,A470,ASSESSMENTS!E:E,"Accounting"),1),""))</f>
        <v/>
      </c>
      <c r="K470" s="4">
        <f>IF(A470="","",IFERROR(ROUND(AVERAGEIFS(ASSESSMENTS!H:H,ASSESSMENTS!B:B,A470,ASSESSMENTS!E:E,"English"),1),""))</f>
        <v/>
      </c>
      <c r="L470" s="5">
        <f>IF(A470="","",IFERROR(XLOOKUP(A470,ATTENDANCE_SUMMARY!A:A,ATTENDANCE_SUMMARY!G:G,""),""))</f>
        <v/>
      </c>
      <c r="M470" s="4">
        <f>IF(A470="","",IF(OR(E470&lt;50,AND(L470&lt;0.75,L470&lt;&gt;"" )),"At Risk","On Track"))</f>
        <v/>
      </c>
    </row>
    <row r="471">
      <c r="A471">
        <f>IF(MASTER_REGISTER!E471="","",MASTER_REGISTER!E471)</f>
        <v/>
      </c>
      <c r="B471">
        <f>IF(A471="","",MASTER_REGISTER!F471)</f>
        <v/>
      </c>
      <c r="C471">
        <f>IF(A471="","",MASTER_REGISTER!C471)</f>
        <v/>
      </c>
      <c r="D471">
        <f>IF(A471="","",COUNTIF(ASSESSMENTS!B:B,A471))</f>
        <v/>
      </c>
      <c r="E471" s="4">
        <f>IF(D471=0,"",ROUND(AVERAGEIF(ASSESSMENTS!B:B,A471,ASSESSMENTS!H:H),1))</f>
        <v/>
      </c>
      <c r="F471" s="4">
        <f>IF(A471="","",IFERROR(ROUND(AVERAGEIFS(ASSESSMENTS!H:H,ASSESSMENTS!B:B,A471,ASSESSMENTS!E:E,"Mathematics"),1),""))</f>
        <v/>
      </c>
      <c r="G471" s="4">
        <f>IF(A471="","",IFERROR(ROUND(AVERAGEIFS(ASSESSMENTS!H:H,ASSESSMENTS!B:B,A471,ASSESSMENTS!E:E,"Mathematical Literacy"),1),""))</f>
        <v/>
      </c>
      <c r="H471" s="4">
        <f>IF(A471="","",IFERROR(ROUND(AVERAGEIFS(ASSESSMENTS!H:H,ASSESSMENTS!B:B,A471,ASSESSMENTS!E:E,"Physical Sciences"),1),""))</f>
        <v/>
      </c>
      <c r="I471" s="4">
        <f>IF(A471="","",IFERROR(ROUND(AVERAGEIFS(ASSESSMENTS!H:H,ASSESSMENTS!B:B,A471,ASSESSMENTS!E:E,"Geography"),1),""))</f>
        <v/>
      </c>
      <c r="J471" s="4">
        <f>IF(A471="","",IFERROR(ROUND(AVERAGEIFS(ASSESSMENTS!H:H,ASSESSMENTS!B:B,A471,ASSESSMENTS!E:E,"Accounting"),1),""))</f>
        <v/>
      </c>
      <c r="K471" s="4">
        <f>IF(A471="","",IFERROR(ROUND(AVERAGEIFS(ASSESSMENTS!H:H,ASSESSMENTS!B:B,A471,ASSESSMENTS!E:E,"English"),1),""))</f>
        <v/>
      </c>
      <c r="L471" s="5">
        <f>IF(A471="","",IFERROR(XLOOKUP(A471,ATTENDANCE_SUMMARY!A:A,ATTENDANCE_SUMMARY!G:G,""),""))</f>
        <v/>
      </c>
      <c r="M471" s="4">
        <f>IF(A471="","",IF(OR(E471&lt;50,AND(L471&lt;0.75,L471&lt;&gt;"" )),"At Risk","On Track"))</f>
        <v/>
      </c>
    </row>
    <row r="472">
      <c r="A472">
        <f>IF(MASTER_REGISTER!E472="","",MASTER_REGISTER!E472)</f>
        <v/>
      </c>
      <c r="B472">
        <f>IF(A472="","",MASTER_REGISTER!F472)</f>
        <v/>
      </c>
      <c r="C472">
        <f>IF(A472="","",MASTER_REGISTER!C472)</f>
        <v/>
      </c>
      <c r="D472">
        <f>IF(A472="","",COUNTIF(ASSESSMENTS!B:B,A472))</f>
        <v/>
      </c>
      <c r="E472" s="4">
        <f>IF(D472=0,"",ROUND(AVERAGEIF(ASSESSMENTS!B:B,A472,ASSESSMENTS!H:H),1))</f>
        <v/>
      </c>
      <c r="F472" s="4">
        <f>IF(A472="","",IFERROR(ROUND(AVERAGEIFS(ASSESSMENTS!H:H,ASSESSMENTS!B:B,A472,ASSESSMENTS!E:E,"Mathematics"),1),""))</f>
        <v/>
      </c>
      <c r="G472" s="4">
        <f>IF(A472="","",IFERROR(ROUND(AVERAGEIFS(ASSESSMENTS!H:H,ASSESSMENTS!B:B,A472,ASSESSMENTS!E:E,"Mathematical Literacy"),1),""))</f>
        <v/>
      </c>
      <c r="H472" s="4">
        <f>IF(A472="","",IFERROR(ROUND(AVERAGEIFS(ASSESSMENTS!H:H,ASSESSMENTS!B:B,A472,ASSESSMENTS!E:E,"Physical Sciences"),1),""))</f>
        <v/>
      </c>
      <c r="I472" s="4">
        <f>IF(A472="","",IFERROR(ROUND(AVERAGEIFS(ASSESSMENTS!H:H,ASSESSMENTS!B:B,A472,ASSESSMENTS!E:E,"Geography"),1),""))</f>
        <v/>
      </c>
      <c r="J472" s="4">
        <f>IF(A472="","",IFERROR(ROUND(AVERAGEIFS(ASSESSMENTS!H:H,ASSESSMENTS!B:B,A472,ASSESSMENTS!E:E,"Accounting"),1),""))</f>
        <v/>
      </c>
      <c r="K472" s="4">
        <f>IF(A472="","",IFERROR(ROUND(AVERAGEIFS(ASSESSMENTS!H:H,ASSESSMENTS!B:B,A472,ASSESSMENTS!E:E,"English"),1),""))</f>
        <v/>
      </c>
      <c r="L472" s="5">
        <f>IF(A472="","",IFERROR(XLOOKUP(A472,ATTENDANCE_SUMMARY!A:A,ATTENDANCE_SUMMARY!G:G,""),""))</f>
        <v/>
      </c>
      <c r="M472" s="4">
        <f>IF(A472="","",IF(OR(E472&lt;50,AND(L472&lt;0.75,L472&lt;&gt;"" )),"At Risk","On Track"))</f>
        <v/>
      </c>
    </row>
    <row r="473">
      <c r="A473">
        <f>IF(MASTER_REGISTER!E473="","",MASTER_REGISTER!E473)</f>
        <v/>
      </c>
      <c r="B473">
        <f>IF(A473="","",MASTER_REGISTER!F473)</f>
        <v/>
      </c>
      <c r="C473">
        <f>IF(A473="","",MASTER_REGISTER!C473)</f>
        <v/>
      </c>
      <c r="D473">
        <f>IF(A473="","",COUNTIF(ASSESSMENTS!B:B,A473))</f>
        <v/>
      </c>
      <c r="E473" s="4">
        <f>IF(D473=0,"",ROUND(AVERAGEIF(ASSESSMENTS!B:B,A473,ASSESSMENTS!H:H),1))</f>
        <v/>
      </c>
      <c r="F473" s="4">
        <f>IF(A473="","",IFERROR(ROUND(AVERAGEIFS(ASSESSMENTS!H:H,ASSESSMENTS!B:B,A473,ASSESSMENTS!E:E,"Mathematics"),1),""))</f>
        <v/>
      </c>
      <c r="G473" s="4">
        <f>IF(A473="","",IFERROR(ROUND(AVERAGEIFS(ASSESSMENTS!H:H,ASSESSMENTS!B:B,A473,ASSESSMENTS!E:E,"Mathematical Literacy"),1),""))</f>
        <v/>
      </c>
      <c r="H473" s="4">
        <f>IF(A473="","",IFERROR(ROUND(AVERAGEIFS(ASSESSMENTS!H:H,ASSESSMENTS!B:B,A473,ASSESSMENTS!E:E,"Physical Sciences"),1),""))</f>
        <v/>
      </c>
      <c r="I473" s="4">
        <f>IF(A473="","",IFERROR(ROUND(AVERAGEIFS(ASSESSMENTS!H:H,ASSESSMENTS!B:B,A473,ASSESSMENTS!E:E,"Geography"),1),""))</f>
        <v/>
      </c>
      <c r="J473" s="4">
        <f>IF(A473="","",IFERROR(ROUND(AVERAGEIFS(ASSESSMENTS!H:H,ASSESSMENTS!B:B,A473,ASSESSMENTS!E:E,"Accounting"),1),""))</f>
        <v/>
      </c>
      <c r="K473" s="4">
        <f>IF(A473="","",IFERROR(ROUND(AVERAGEIFS(ASSESSMENTS!H:H,ASSESSMENTS!B:B,A473,ASSESSMENTS!E:E,"English"),1),""))</f>
        <v/>
      </c>
      <c r="L473" s="5">
        <f>IF(A473="","",IFERROR(XLOOKUP(A473,ATTENDANCE_SUMMARY!A:A,ATTENDANCE_SUMMARY!G:G,""),""))</f>
        <v/>
      </c>
      <c r="M473" s="4">
        <f>IF(A473="","",IF(OR(E473&lt;50,AND(L473&lt;0.75,L473&lt;&gt;"" )),"At Risk","On Track"))</f>
        <v/>
      </c>
    </row>
    <row r="474">
      <c r="A474">
        <f>IF(MASTER_REGISTER!E474="","",MASTER_REGISTER!E474)</f>
        <v/>
      </c>
      <c r="B474">
        <f>IF(A474="","",MASTER_REGISTER!F474)</f>
        <v/>
      </c>
      <c r="C474">
        <f>IF(A474="","",MASTER_REGISTER!C474)</f>
        <v/>
      </c>
      <c r="D474">
        <f>IF(A474="","",COUNTIF(ASSESSMENTS!B:B,A474))</f>
        <v/>
      </c>
      <c r="E474" s="4">
        <f>IF(D474=0,"",ROUND(AVERAGEIF(ASSESSMENTS!B:B,A474,ASSESSMENTS!H:H),1))</f>
        <v/>
      </c>
      <c r="F474" s="4">
        <f>IF(A474="","",IFERROR(ROUND(AVERAGEIFS(ASSESSMENTS!H:H,ASSESSMENTS!B:B,A474,ASSESSMENTS!E:E,"Mathematics"),1),""))</f>
        <v/>
      </c>
      <c r="G474" s="4">
        <f>IF(A474="","",IFERROR(ROUND(AVERAGEIFS(ASSESSMENTS!H:H,ASSESSMENTS!B:B,A474,ASSESSMENTS!E:E,"Mathematical Literacy"),1),""))</f>
        <v/>
      </c>
      <c r="H474" s="4">
        <f>IF(A474="","",IFERROR(ROUND(AVERAGEIFS(ASSESSMENTS!H:H,ASSESSMENTS!B:B,A474,ASSESSMENTS!E:E,"Physical Sciences"),1),""))</f>
        <v/>
      </c>
      <c r="I474" s="4">
        <f>IF(A474="","",IFERROR(ROUND(AVERAGEIFS(ASSESSMENTS!H:H,ASSESSMENTS!B:B,A474,ASSESSMENTS!E:E,"Geography"),1),""))</f>
        <v/>
      </c>
      <c r="J474" s="4">
        <f>IF(A474="","",IFERROR(ROUND(AVERAGEIFS(ASSESSMENTS!H:H,ASSESSMENTS!B:B,A474,ASSESSMENTS!E:E,"Accounting"),1),""))</f>
        <v/>
      </c>
      <c r="K474" s="4">
        <f>IF(A474="","",IFERROR(ROUND(AVERAGEIFS(ASSESSMENTS!H:H,ASSESSMENTS!B:B,A474,ASSESSMENTS!E:E,"English"),1),""))</f>
        <v/>
      </c>
      <c r="L474" s="5">
        <f>IF(A474="","",IFERROR(XLOOKUP(A474,ATTENDANCE_SUMMARY!A:A,ATTENDANCE_SUMMARY!G:G,""),""))</f>
        <v/>
      </c>
      <c r="M474" s="4">
        <f>IF(A474="","",IF(OR(E474&lt;50,AND(L474&lt;0.75,L474&lt;&gt;"" )),"At Risk","On Track"))</f>
        <v/>
      </c>
    </row>
    <row r="475">
      <c r="A475">
        <f>IF(MASTER_REGISTER!E475="","",MASTER_REGISTER!E475)</f>
        <v/>
      </c>
      <c r="B475">
        <f>IF(A475="","",MASTER_REGISTER!F475)</f>
        <v/>
      </c>
      <c r="C475">
        <f>IF(A475="","",MASTER_REGISTER!C475)</f>
        <v/>
      </c>
      <c r="D475">
        <f>IF(A475="","",COUNTIF(ASSESSMENTS!B:B,A475))</f>
        <v/>
      </c>
      <c r="E475" s="4">
        <f>IF(D475=0,"",ROUND(AVERAGEIF(ASSESSMENTS!B:B,A475,ASSESSMENTS!H:H),1))</f>
        <v/>
      </c>
      <c r="F475" s="4">
        <f>IF(A475="","",IFERROR(ROUND(AVERAGEIFS(ASSESSMENTS!H:H,ASSESSMENTS!B:B,A475,ASSESSMENTS!E:E,"Mathematics"),1),""))</f>
        <v/>
      </c>
      <c r="G475" s="4">
        <f>IF(A475="","",IFERROR(ROUND(AVERAGEIFS(ASSESSMENTS!H:H,ASSESSMENTS!B:B,A475,ASSESSMENTS!E:E,"Mathematical Literacy"),1),""))</f>
        <v/>
      </c>
      <c r="H475" s="4">
        <f>IF(A475="","",IFERROR(ROUND(AVERAGEIFS(ASSESSMENTS!H:H,ASSESSMENTS!B:B,A475,ASSESSMENTS!E:E,"Physical Sciences"),1),""))</f>
        <v/>
      </c>
      <c r="I475" s="4">
        <f>IF(A475="","",IFERROR(ROUND(AVERAGEIFS(ASSESSMENTS!H:H,ASSESSMENTS!B:B,A475,ASSESSMENTS!E:E,"Geography"),1),""))</f>
        <v/>
      </c>
      <c r="J475" s="4">
        <f>IF(A475="","",IFERROR(ROUND(AVERAGEIFS(ASSESSMENTS!H:H,ASSESSMENTS!B:B,A475,ASSESSMENTS!E:E,"Accounting"),1),""))</f>
        <v/>
      </c>
      <c r="K475" s="4">
        <f>IF(A475="","",IFERROR(ROUND(AVERAGEIFS(ASSESSMENTS!H:H,ASSESSMENTS!B:B,A475,ASSESSMENTS!E:E,"English"),1),""))</f>
        <v/>
      </c>
      <c r="L475" s="5">
        <f>IF(A475="","",IFERROR(XLOOKUP(A475,ATTENDANCE_SUMMARY!A:A,ATTENDANCE_SUMMARY!G:G,""),""))</f>
        <v/>
      </c>
      <c r="M475" s="4">
        <f>IF(A475="","",IF(OR(E475&lt;50,AND(L475&lt;0.75,L475&lt;&gt;"" )),"At Risk","On Track"))</f>
        <v/>
      </c>
    </row>
    <row r="476">
      <c r="A476">
        <f>IF(MASTER_REGISTER!E476="","",MASTER_REGISTER!E476)</f>
        <v/>
      </c>
      <c r="B476">
        <f>IF(A476="","",MASTER_REGISTER!F476)</f>
        <v/>
      </c>
      <c r="C476">
        <f>IF(A476="","",MASTER_REGISTER!C476)</f>
        <v/>
      </c>
      <c r="D476">
        <f>IF(A476="","",COUNTIF(ASSESSMENTS!B:B,A476))</f>
        <v/>
      </c>
      <c r="E476" s="4">
        <f>IF(D476=0,"",ROUND(AVERAGEIF(ASSESSMENTS!B:B,A476,ASSESSMENTS!H:H),1))</f>
        <v/>
      </c>
      <c r="F476" s="4">
        <f>IF(A476="","",IFERROR(ROUND(AVERAGEIFS(ASSESSMENTS!H:H,ASSESSMENTS!B:B,A476,ASSESSMENTS!E:E,"Mathematics"),1),""))</f>
        <v/>
      </c>
      <c r="G476" s="4">
        <f>IF(A476="","",IFERROR(ROUND(AVERAGEIFS(ASSESSMENTS!H:H,ASSESSMENTS!B:B,A476,ASSESSMENTS!E:E,"Mathematical Literacy"),1),""))</f>
        <v/>
      </c>
      <c r="H476" s="4">
        <f>IF(A476="","",IFERROR(ROUND(AVERAGEIFS(ASSESSMENTS!H:H,ASSESSMENTS!B:B,A476,ASSESSMENTS!E:E,"Physical Sciences"),1),""))</f>
        <v/>
      </c>
      <c r="I476" s="4">
        <f>IF(A476="","",IFERROR(ROUND(AVERAGEIFS(ASSESSMENTS!H:H,ASSESSMENTS!B:B,A476,ASSESSMENTS!E:E,"Geography"),1),""))</f>
        <v/>
      </c>
      <c r="J476" s="4">
        <f>IF(A476="","",IFERROR(ROUND(AVERAGEIFS(ASSESSMENTS!H:H,ASSESSMENTS!B:B,A476,ASSESSMENTS!E:E,"Accounting"),1),""))</f>
        <v/>
      </c>
      <c r="K476" s="4">
        <f>IF(A476="","",IFERROR(ROUND(AVERAGEIFS(ASSESSMENTS!H:H,ASSESSMENTS!B:B,A476,ASSESSMENTS!E:E,"English"),1),""))</f>
        <v/>
      </c>
      <c r="L476" s="5">
        <f>IF(A476="","",IFERROR(XLOOKUP(A476,ATTENDANCE_SUMMARY!A:A,ATTENDANCE_SUMMARY!G:G,""),""))</f>
        <v/>
      </c>
      <c r="M476" s="4">
        <f>IF(A476="","",IF(OR(E476&lt;50,AND(L476&lt;0.75,L476&lt;&gt;"" )),"At Risk","On Track"))</f>
        <v/>
      </c>
    </row>
    <row r="477">
      <c r="A477">
        <f>IF(MASTER_REGISTER!E477="","",MASTER_REGISTER!E477)</f>
        <v/>
      </c>
      <c r="B477">
        <f>IF(A477="","",MASTER_REGISTER!F477)</f>
        <v/>
      </c>
      <c r="C477">
        <f>IF(A477="","",MASTER_REGISTER!C477)</f>
        <v/>
      </c>
      <c r="D477">
        <f>IF(A477="","",COUNTIF(ASSESSMENTS!B:B,A477))</f>
        <v/>
      </c>
      <c r="E477" s="4">
        <f>IF(D477=0,"",ROUND(AVERAGEIF(ASSESSMENTS!B:B,A477,ASSESSMENTS!H:H),1))</f>
        <v/>
      </c>
      <c r="F477" s="4">
        <f>IF(A477="","",IFERROR(ROUND(AVERAGEIFS(ASSESSMENTS!H:H,ASSESSMENTS!B:B,A477,ASSESSMENTS!E:E,"Mathematics"),1),""))</f>
        <v/>
      </c>
      <c r="G477" s="4">
        <f>IF(A477="","",IFERROR(ROUND(AVERAGEIFS(ASSESSMENTS!H:H,ASSESSMENTS!B:B,A477,ASSESSMENTS!E:E,"Mathematical Literacy"),1),""))</f>
        <v/>
      </c>
      <c r="H477" s="4">
        <f>IF(A477="","",IFERROR(ROUND(AVERAGEIFS(ASSESSMENTS!H:H,ASSESSMENTS!B:B,A477,ASSESSMENTS!E:E,"Physical Sciences"),1),""))</f>
        <v/>
      </c>
      <c r="I477" s="4">
        <f>IF(A477="","",IFERROR(ROUND(AVERAGEIFS(ASSESSMENTS!H:H,ASSESSMENTS!B:B,A477,ASSESSMENTS!E:E,"Geography"),1),""))</f>
        <v/>
      </c>
      <c r="J477" s="4">
        <f>IF(A477="","",IFERROR(ROUND(AVERAGEIFS(ASSESSMENTS!H:H,ASSESSMENTS!B:B,A477,ASSESSMENTS!E:E,"Accounting"),1),""))</f>
        <v/>
      </c>
      <c r="K477" s="4">
        <f>IF(A477="","",IFERROR(ROUND(AVERAGEIFS(ASSESSMENTS!H:H,ASSESSMENTS!B:B,A477,ASSESSMENTS!E:E,"English"),1),""))</f>
        <v/>
      </c>
      <c r="L477" s="5">
        <f>IF(A477="","",IFERROR(XLOOKUP(A477,ATTENDANCE_SUMMARY!A:A,ATTENDANCE_SUMMARY!G:G,""),""))</f>
        <v/>
      </c>
      <c r="M477" s="4">
        <f>IF(A477="","",IF(OR(E477&lt;50,AND(L477&lt;0.75,L477&lt;&gt;"" )),"At Risk","On Track"))</f>
        <v/>
      </c>
    </row>
    <row r="478">
      <c r="A478">
        <f>IF(MASTER_REGISTER!E478="","",MASTER_REGISTER!E478)</f>
        <v/>
      </c>
      <c r="B478">
        <f>IF(A478="","",MASTER_REGISTER!F478)</f>
        <v/>
      </c>
      <c r="C478">
        <f>IF(A478="","",MASTER_REGISTER!C478)</f>
        <v/>
      </c>
      <c r="D478">
        <f>IF(A478="","",COUNTIF(ASSESSMENTS!B:B,A478))</f>
        <v/>
      </c>
      <c r="E478" s="4">
        <f>IF(D478=0,"",ROUND(AVERAGEIF(ASSESSMENTS!B:B,A478,ASSESSMENTS!H:H),1))</f>
        <v/>
      </c>
      <c r="F478" s="4">
        <f>IF(A478="","",IFERROR(ROUND(AVERAGEIFS(ASSESSMENTS!H:H,ASSESSMENTS!B:B,A478,ASSESSMENTS!E:E,"Mathematics"),1),""))</f>
        <v/>
      </c>
      <c r="G478" s="4">
        <f>IF(A478="","",IFERROR(ROUND(AVERAGEIFS(ASSESSMENTS!H:H,ASSESSMENTS!B:B,A478,ASSESSMENTS!E:E,"Mathematical Literacy"),1),""))</f>
        <v/>
      </c>
      <c r="H478" s="4">
        <f>IF(A478="","",IFERROR(ROUND(AVERAGEIFS(ASSESSMENTS!H:H,ASSESSMENTS!B:B,A478,ASSESSMENTS!E:E,"Physical Sciences"),1),""))</f>
        <v/>
      </c>
      <c r="I478" s="4">
        <f>IF(A478="","",IFERROR(ROUND(AVERAGEIFS(ASSESSMENTS!H:H,ASSESSMENTS!B:B,A478,ASSESSMENTS!E:E,"Geography"),1),""))</f>
        <v/>
      </c>
      <c r="J478" s="4">
        <f>IF(A478="","",IFERROR(ROUND(AVERAGEIFS(ASSESSMENTS!H:H,ASSESSMENTS!B:B,A478,ASSESSMENTS!E:E,"Accounting"),1),""))</f>
        <v/>
      </c>
      <c r="K478" s="4">
        <f>IF(A478="","",IFERROR(ROUND(AVERAGEIFS(ASSESSMENTS!H:H,ASSESSMENTS!B:B,A478,ASSESSMENTS!E:E,"English"),1),""))</f>
        <v/>
      </c>
      <c r="L478" s="5">
        <f>IF(A478="","",IFERROR(XLOOKUP(A478,ATTENDANCE_SUMMARY!A:A,ATTENDANCE_SUMMARY!G:G,""),""))</f>
        <v/>
      </c>
      <c r="M478" s="4">
        <f>IF(A478="","",IF(OR(E478&lt;50,AND(L478&lt;0.75,L478&lt;&gt;"" )),"At Risk","On Track"))</f>
        <v/>
      </c>
    </row>
    <row r="479">
      <c r="A479">
        <f>IF(MASTER_REGISTER!E479="","",MASTER_REGISTER!E479)</f>
        <v/>
      </c>
      <c r="B479">
        <f>IF(A479="","",MASTER_REGISTER!F479)</f>
        <v/>
      </c>
      <c r="C479">
        <f>IF(A479="","",MASTER_REGISTER!C479)</f>
        <v/>
      </c>
      <c r="D479">
        <f>IF(A479="","",COUNTIF(ASSESSMENTS!B:B,A479))</f>
        <v/>
      </c>
      <c r="E479" s="4">
        <f>IF(D479=0,"",ROUND(AVERAGEIF(ASSESSMENTS!B:B,A479,ASSESSMENTS!H:H),1))</f>
        <v/>
      </c>
      <c r="F479" s="4">
        <f>IF(A479="","",IFERROR(ROUND(AVERAGEIFS(ASSESSMENTS!H:H,ASSESSMENTS!B:B,A479,ASSESSMENTS!E:E,"Mathematics"),1),""))</f>
        <v/>
      </c>
      <c r="G479" s="4">
        <f>IF(A479="","",IFERROR(ROUND(AVERAGEIFS(ASSESSMENTS!H:H,ASSESSMENTS!B:B,A479,ASSESSMENTS!E:E,"Mathematical Literacy"),1),""))</f>
        <v/>
      </c>
      <c r="H479" s="4">
        <f>IF(A479="","",IFERROR(ROUND(AVERAGEIFS(ASSESSMENTS!H:H,ASSESSMENTS!B:B,A479,ASSESSMENTS!E:E,"Physical Sciences"),1),""))</f>
        <v/>
      </c>
      <c r="I479" s="4">
        <f>IF(A479="","",IFERROR(ROUND(AVERAGEIFS(ASSESSMENTS!H:H,ASSESSMENTS!B:B,A479,ASSESSMENTS!E:E,"Geography"),1),""))</f>
        <v/>
      </c>
      <c r="J479" s="4">
        <f>IF(A479="","",IFERROR(ROUND(AVERAGEIFS(ASSESSMENTS!H:H,ASSESSMENTS!B:B,A479,ASSESSMENTS!E:E,"Accounting"),1),""))</f>
        <v/>
      </c>
      <c r="K479" s="4">
        <f>IF(A479="","",IFERROR(ROUND(AVERAGEIFS(ASSESSMENTS!H:H,ASSESSMENTS!B:B,A479,ASSESSMENTS!E:E,"English"),1),""))</f>
        <v/>
      </c>
      <c r="L479" s="5">
        <f>IF(A479="","",IFERROR(XLOOKUP(A479,ATTENDANCE_SUMMARY!A:A,ATTENDANCE_SUMMARY!G:G,""),""))</f>
        <v/>
      </c>
      <c r="M479" s="4">
        <f>IF(A479="","",IF(OR(E479&lt;50,AND(L479&lt;0.75,L479&lt;&gt;"" )),"At Risk","On Track"))</f>
        <v/>
      </c>
    </row>
    <row r="480">
      <c r="A480">
        <f>IF(MASTER_REGISTER!E480="","",MASTER_REGISTER!E480)</f>
        <v/>
      </c>
      <c r="B480">
        <f>IF(A480="","",MASTER_REGISTER!F480)</f>
        <v/>
      </c>
      <c r="C480">
        <f>IF(A480="","",MASTER_REGISTER!C480)</f>
        <v/>
      </c>
      <c r="D480">
        <f>IF(A480="","",COUNTIF(ASSESSMENTS!B:B,A480))</f>
        <v/>
      </c>
      <c r="E480" s="4">
        <f>IF(D480=0,"",ROUND(AVERAGEIF(ASSESSMENTS!B:B,A480,ASSESSMENTS!H:H),1))</f>
        <v/>
      </c>
      <c r="F480" s="4">
        <f>IF(A480="","",IFERROR(ROUND(AVERAGEIFS(ASSESSMENTS!H:H,ASSESSMENTS!B:B,A480,ASSESSMENTS!E:E,"Mathematics"),1),""))</f>
        <v/>
      </c>
      <c r="G480" s="4">
        <f>IF(A480="","",IFERROR(ROUND(AVERAGEIFS(ASSESSMENTS!H:H,ASSESSMENTS!B:B,A480,ASSESSMENTS!E:E,"Mathematical Literacy"),1),""))</f>
        <v/>
      </c>
      <c r="H480" s="4">
        <f>IF(A480="","",IFERROR(ROUND(AVERAGEIFS(ASSESSMENTS!H:H,ASSESSMENTS!B:B,A480,ASSESSMENTS!E:E,"Physical Sciences"),1),""))</f>
        <v/>
      </c>
      <c r="I480" s="4">
        <f>IF(A480="","",IFERROR(ROUND(AVERAGEIFS(ASSESSMENTS!H:H,ASSESSMENTS!B:B,A480,ASSESSMENTS!E:E,"Geography"),1),""))</f>
        <v/>
      </c>
      <c r="J480" s="4">
        <f>IF(A480="","",IFERROR(ROUND(AVERAGEIFS(ASSESSMENTS!H:H,ASSESSMENTS!B:B,A480,ASSESSMENTS!E:E,"Accounting"),1),""))</f>
        <v/>
      </c>
      <c r="K480" s="4">
        <f>IF(A480="","",IFERROR(ROUND(AVERAGEIFS(ASSESSMENTS!H:H,ASSESSMENTS!B:B,A480,ASSESSMENTS!E:E,"English"),1),""))</f>
        <v/>
      </c>
      <c r="L480" s="5">
        <f>IF(A480="","",IFERROR(XLOOKUP(A480,ATTENDANCE_SUMMARY!A:A,ATTENDANCE_SUMMARY!G:G,""),""))</f>
        <v/>
      </c>
      <c r="M480" s="4">
        <f>IF(A480="","",IF(OR(E480&lt;50,AND(L480&lt;0.75,L480&lt;&gt;"" )),"At Risk","On Track"))</f>
        <v/>
      </c>
    </row>
    <row r="481">
      <c r="A481">
        <f>IF(MASTER_REGISTER!E481="","",MASTER_REGISTER!E481)</f>
        <v/>
      </c>
      <c r="B481">
        <f>IF(A481="","",MASTER_REGISTER!F481)</f>
        <v/>
      </c>
      <c r="C481">
        <f>IF(A481="","",MASTER_REGISTER!C481)</f>
        <v/>
      </c>
      <c r="D481">
        <f>IF(A481="","",COUNTIF(ASSESSMENTS!B:B,A481))</f>
        <v/>
      </c>
      <c r="E481" s="4">
        <f>IF(D481=0,"",ROUND(AVERAGEIF(ASSESSMENTS!B:B,A481,ASSESSMENTS!H:H),1))</f>
        <v/>
      </c>
      <c r="F481" s="4">
        <f>IF(A481="","",IFERROR(ROUND(AVERAGEIFS(ASSESSMENTS!H:H,ASSESSMENTS!B:B,A481,ASSESSMENTS!E:E,"Mathematics"),1),""))</f>
        <v/>
      </c>
      <c r="G481" s="4">
        <f>IF(A481="","",IFERROR(ROUND(AVERAGEIFS(ASSESSMENTS!H:H,ASSESSMENTS!B:B,A481,ASSESSMENTS!E:E,"Mathematical Literacy"),1),""))</f>
        <v/>
      </c>
      <c r="H481" s="4">
        <f>IF(A481="","",IFERROR(ROUND(AVERAGEIFS(ASSESSMENTS!H:H,ASSESSMENTS!B:B,A481,ASSESSMENTS!E:E,"Physical Sciences"),1),""))</f>
        <v/>
      </c>
      <c r="I481" s="4">
        <f>IF(A481="","",IFERROR(ROUND(AVERAGEIFS(ASSESSMENTS!H:H,ASSESSMENTS!B:B,A481,ASSESSMENTS!E:E,"Geography"),1),""))</f>
        <v/>
      </c>
      <c r="J481" s="4">
        <f>IF(A481="","",IFERROR(ROUND(AVERAGEIFS(ASSESSMENTS!H:H,ASSESSMENTS!B:B,A481,ASSESSMENTS!E:E,"Accounting"),1),""))</f>
        <v/>
      </c>
      <c r="K481" s="4">
        <f>IF(A481="","",IFERROR(ROUND(AVERAGEIFS(ASSESSMENTS!H:H,ASSESSMENTS!B:B,A481,ASSESSMENTS!E:E,"English"),1),""))</f>
        <v/>
      </c>
      <c r="L481" s="5">
        <f>IF(A481="","",IFERROR(XLOOKUP(A481,ATTENDANCE_SUMMARY!A:A,ATTENDANCE_SUMMARY!G:G,""),""))</f>
        <v/>
      </c>
      <c r="M481" s="4">
        <f>IF(A481="","",IF(OR(E481&lt;50,AND(L481&lt;0.75,L481&lt;&gt;"" )),"At Risk","On Track"))</f>
        <v/>
      </c>
    </row>
    <row r="482">
      <c r="A482">
        <f>IF(MASTER_REGISTER!E482="","",MASTER_REGISTER!E482)</f>
        <v/>
      </c>
      <c r="B482">
        <f>IF(A482="","",MASTER_REGISTER!F482)</f>
        <v/>
      </c>
      <c r="C482">
        <f>IF(A482="","",MASTER_REGISTER!C482)</f>
        <v/>
      </c>
      <c r="D482">
        <f>IF(A482="","",COUNTIF(ASSESSMENTS!B:B,A482))</f>
        <v/>
      </c>
      <c r="E482" s="4">
        <f>IF(D482=0,"",ROUND(AVERAGEIF(ASSESSMENTS!B:B,A482,ASSESSMENTS!H:H),1))</f>
        <v/>
      </c>
      <c r="F482" s="4">
        <f>IF(A482="","",IFERROR(ROUND(AVERAGEIFS(ASSESSMENTS!H:H,ASSESSMENTS!B:B,A482,ASSESSMENTS!E:E,"Mathematics"),1),""))</f>
        <v/>
      </c>
      <c r="G482" s="4">
        <f>IF(A482="","",IFERROR(ROUND(AVERAGEIFS(ASSESSMENTS!H:H,ASSESSMENTS!B:B,A482,ASSESSMENTS!E:E,"Mathematical Literacy"),1),""))</f>
        <v/>
      </c>
      <c r="H482" s="4">
        <f>IF(A482="","",IFERROR(ROUND(AVERAGEIFS(ASSESSMENTS!H:H,ASSESSMENTS!B:B,A482,ASSESSMENTS!E:E,"Physical Sciences"),1),""))</f>
        <v/>
      </c>
      <c r="I482" s="4">
        <f>IF(A482="","",IFERROR(ROUND(AVERAGEIFS(ASSESSMENTS!H:H,ASSESSMENTS!B:B,A482,ASSESSMENTS!E:E,"Geography"),1),""))</f>
        <v/>
      </c>
      <c r="J482" s="4">
        <f>IF(A482="","",IFERROR(ROUND(AVERAGEIFS(ASSESSMENTS!H:H,ASSESSMENTS!B:B,A482,ASSESSMENTS!E:E,"Accounting"),1),""))</f>
        <v/>
      </c>
      <c r="K482" s="4">
        <f>IF(A482="","",IFERROR(ROUND(AVERAGEIFS(ASSESSMENTS!H:H,ASSESSMENTS!B:B,A482,ASSESSMENTS!E:E,"English"),1),""))</f>
        <v/>
      </c>
      <c r="L482" s="5">
        <f>IF(A482="","",IFERROR(XLOOKUP(A482,ATTENDANCE_SUMMARY!A:A,ATTENDANCE_SUMMARY!G:G,""),""))</f>
        <v/>
      </c>
      <c r="M482" s="4">
        <f>IF(A482="","",IF(OR(E482&lt;50,AND(L482&lt;0.75,L482&lt;&gt;"" )),"At Risk","On Track"))</f>
        <v/>
      </c>
    </row>
    <row r="483">
      <c r="A483">
        <f>IF(MASTER_REGISTER!E483="","",MASTER_REGISTER!E483)</f>
        <v/>
      </c>
      <c r="B483">
        <f>IF(A483="","",MASTER_REGISTER!F483)</f>
        <v/>
      </c>
      <c r="C483">
        <f>IF(A483="","",MASTER_REGISTER!C483)</f>
        <v/>
      </c>
      <c r="D483">
        <f>IF(A483="","",COUNTIF(ASSESSMENTS!B:B,A483))</f>
        <v/>
      </c>
      <c r="E483" s="4">
        <f>IF(D483=0,"",ROUND(AVERAGEIF(ASSESSMENTS!B:B,A483,ASSESSMENTS!H:H),1))</f>
        <v/>
      </c>
      <c r="F483" s="4">
        <f>IF(A483="","",IFERROR(ROUND(AVERAGEIFS(ASSESSMENTS!H:H,ASSESSMENTS!B:B,A483,ASSESSMENTS!E:E,"Mathematics"),1),""))</f>
        <v/>
      </c>
      <c r="G483" s="4">
        <f>IF(A483="","",IFERROR(ROUND(AVERAGEIFS(ASSESSMENTS!H:H,ASSESSMENTS!B:B,A483,ASSESSMENTS!E:E,"Mathematical Literacy"),1),""))</f>
        <v/>
      </c>
      <c r="H483" s="4">
        <f>IF(A483="","",IFERROR(ROUND(AVERAGEIFS(ASSESSMENTS!H:H,ASSESSMENTS!B:B,A483,ASSESSMENTS!E:E,"Physical Sciences"),1),""))</f>
        <v/>
      </c>
      <c r="I483" s="4">
        <f>IF(A483="","",IFERROR(ROUND(AVERAGEIFS(ASSESSMENTS!H:H,ASSESSMENTS!B:B,A483,ASSESSMENTS!E:E,"Geography"),1),""))</f>
        <v/>
      </c>
      <c r="J483" s="4">
        <f>IF(A483="","",IFERROR(ROUND(AVERAGEIFS(ASSESSMENTS!H:H,ASSESSMENTS!B:B,A483,ASSESSMENTS!E:E,"Accounting"),1),""))</f>
        <v/>
      </c>
      <c r="K483" s="4">
        <f>IF(A483="","",IFERROR(ROUND(AVERAGEIFS(ASSESSMENTS!H:H,ASSESSMENTS!B:B,A483,ASSESSMENTS!E:E,"English"),1),""))</f>
        <v/>
      </c>
      <c r="L483" s="5">
        <f>IF(A483="","",IFERROR(XLOOKUP(A483,ATTENDANCE_SUMMARY!A:A,ATTENDANCE_SUMMARY!G:G,""),""))</f>
        <v/>
      </c>
      <c r="M483" s="4">
        <f>IF(A483="","",IF(OR(E483&lt;50,AND(L483&lt;0.75,L483&lt;&gt;"" )),"At Risk","On Track"))</f>
        <v/>
      </c>
    </row>
    <row r="484">
      <c r="A484">
        <f>IF(MASTER_REGISTER!E484="","",MASTER_REGISTER!E484)</f>
        <v/>
      </c>
      <c r="B484">
        <f>IF(A484="","",MASTER_REGISTER!F484)</f>
        <v/>
      </c>
      <c r="C484">
        <f>IF(A484="","",MASTER_REGISTER!C484)</f>
        <v/>
      </c>
      <c r="D484">
        <f>IF(A484="","",COUNTIF(ASSESSMENTS!B:B,A484))</f>
        <v/>
      </c>
      <c r="E484" s="4">
        <f>IF(D484=0,"",ROUND(AVERAGEIF(ASSESSMENTS!B:B,A484,ASSESSMENTS!H:H),1))</f>
        <v/>
      </c>
      <c r="F484" s="4">
        <f>IF(A484="","",IFERROR(ROUND(AVERAGEIFS(ASSESSMENTS!H:H,ASSESSMENTS!B:B,A484,ASSESSMENTS!E:E,"Mathematics"),1),""))</f>
        <v/>
      </c>
      <c r="G484" s="4">
        <f>IF(A484="","",IFERROR(ROUND(AVERAGEIFS(ASSESSMENTS!H:H,ASSESSMENTS!B:B,A484,ASSESSMENTS!E:E,"Mathematical Literacy"),1),""))</f>
        <v/>
      </c>
      <c r="H484" s="4">
        <f>IF(A484="","",IFERROR(ROUND(AVERAGEIFS(ASSESSMENTS!H:H,ASSESSMENTS!B:B,A484,ASSESSMENTS!E:E,"Physical Sciences"),1),""))</f>
        <v/>
      </c>
      <c r="I484" s="4">
        <f>IF(A484="","",IFERROR(ROUND(AVERAGEIFS(ASSESSMENTS!H:H,ASSESSMENTS!B:B,A484,ASSESSMENTS!E:E,"Geography"),1),""))</f>
        <v/>
      </c>
      <c r="J484" s="4">
        <f>IF(A484="","",IFERROR(ROUND(AVERAGEIFS(ASSESSMENTS!H:H,ASSESSMENTS!B:B,A484,ASSESSMENTS!E:E,"Accounting"),1),""))</f>
        <v/>
      </c>
      <c r="K484" s="4">
        <f>IF(A484="","",IFERROR(ROUND(AVERAGEIFS(ASSESSMENTS!H:H,ASSESSMENTS!B:B,A484,ASSESSMENTS!E:E,"English"),1),""))</f>
        <v/>
      </c>
      <c r="L484" s="5">
        <f>IF(A484="","",IFERROR(XLOOKUP(A484,ATTENDANCE_SUMMARY!A:A,ATTENDANCE_SUMMARY!G:G,""),""))</f>
        <v/>
      </c>
      <c r="M484" s="4">
        <f>IF(A484="","",IF(OR(E484&lt;50,AND(L484&lt;0.75,L484&lt;&gt;"" )),"At Risk","On Track"))</f>
        <v/>
      </c>
    </row>
    <row r="485">
      <c r="A485">
        <f>IF(MASTER_REGISTER!E485="","",MASTER_REGISTER!E485)</f>
        <v/>
      </c>
      <c r="B485">
        <f>IF(A485="","",MASTER_REGISTER!F485)</f>
        <v/>
      </c>
      <c r="C485">
        <f>IF(A485="","",MASTER_REGISTER!C485)</f>
        <v/>
      </c>
      <c r="D485">
        <f>IF(A485="","",COUNTIF(ASSESSMENTS!B:B,A485))</f>
        <v/>
      </c>
      <c r="E485" s="4">
        <f>IF(D485=0,"",ROUND(AVERAGEIF(ASSESSMENTS!B:B,A485,ASSESSMENTS!H:H),1))</f>
        <v/>
      </c>
      <c r="F485" s="4">
        <f>IF(A485="","",IFERROR(ROUND(AVERAGEIFS(ASSESSMENTS!H:H,ASSESSMENTS!B:B,A485,ASSESSMENTS!E:E,"Mathematics"),1),""))</f>
        <v/>
      </c>
      <c r="G485" s="4">
        <f>IF(A485="","",IFERROR(ROUND(AVERAGEIFS(ASSESSMENTS!H:H,ASSESSMENTS!B:B,A485,ASSESSMENTS!E:E,"Mathematical Literacy"),1),""))</f>
        <v/>
      </c>
      <c r="H485" s="4">
        <f>IF(A485="","",IFERROR(ROUND(AVERAGEIFS(ASSESSMENTS!H:H,ASSESSMENTS!B:B,A485,ASSESSMENTS!E:E,"Physical Sciences"),1),""))</f>
        <v/>
      </c>
      <c r="I485" s="4">
        <f>IF(A485="","",IFERROR(ROUND(AVERAGEIFS(ASSESSMENTS!H:H,ASSESSMENTS!B:B,A485,ASSESSMENTS!E:E,"Geography"),1),""))</f>
        <v/>
      </c>
      <c r="J485" s="4">
        <f>IF(A485="","",IFERROR(ROUND(AVERAGEIFS(ASSESSMENTS!H:H,ASSESSMENTS!B:B,A485,ASSESSMENTS!E:E,"Accounting"),1),""))</f>
        <v/>
      </c>
      <c r="K485" s="4">
        <f>IF(A485="","",IFERROR(ROUND(AVERAGEIFS(ASSESSMENTS!H:H,ASSESSMENTS!B:B,A485,ASSESSMENTS!E:E,"English"),1),""))</f>
        <v/>
      </c>
      <c r="L485" s="5">
        <f>IF(A485="","",IFERROR(XLOOKUP(A485,ATTENDANCE_SUMMARY!A:A,ATTENDANCE_SUMMARY!G:G,""),""))</f>
        <v/>
      </c>
      <c r="M485" s="4">
        <f>IF(A485="","",IF(OR(E485&lt;50,AND(L485&lt;0.75,L485&lt;&gt;"" )),"At Risk","On Track"))</f>
        <v/>
      </c>
    </row>
    <row r="486">
      <c r="A486">
        <f>IF(MASTER_REGISTER!E486="","",MASTER_REGISTER!E486)</f>
        <v/>
      </c>
      <c r="B486">
        <f>IF(A486="","",MASTER_REGISTER!F486)</f>
        <v/>
      </c>
      <c r="C486">
        <f>IF(A486="","",MASTER_REGISTER!C486)</f>
        <v/>
      </c>
      <c r="D486">
        <f>IF(A486="","",COUNTIF(ASSESSMENTS!B:B,A486))</f>
        <v/>
      </c>
      <c r="E486" s="4">
        <f>IF(D486=0,"",ROUND(AVERAGEIF(ASSESSMENTS!B:B,A486,ASSESSMENTS!H:H),1))</f>
        <v/>
      </c>
      <c r="F486" s="4">
        <f>IF(A486="","",IFERROR(ROUND(AVERAGEIFS(ASSESSMENTS!H:H,ASSESSMENTS!B:B,A486,ASSESSMENTS!E:E,"Mathematics"),1),""))</f>
        <v/>
      </c>
      <c r="G486" s="4">
        <f>IF(A486="","",IFERROR(ROUND(AVERAGEIFS(ASSESSMENTS!H:H,ASSESSMENTS!B:B,A486,ASSESSMENTS!E:E,"Mathematical Literacy"),1),""))</f>
        <v/>
      </c>
      <c r="H486" s="4">
        <f>IF(A486="","",IFERROR(ROUND(AVERAGEIFS(ASSESSMENTS!H:H,ASSESSMENTS!B:B,A486,ASSESSMENTS!E:E,"Physical Sciences"),1),""))</f>
        <v/>
      </c>
      <c r="I486" s="4">
        <f>IF(A486="","",IFERROR(ROUND(AVERAGEIFS(ASSESSMENTS!H:H,ASSESSMENTS!B:B,A486,ASSESSMENTS!E:E,"Geography"),1),""))</f>
        <v/>
      </c>
      <c r="J486" s="4">
        <f>IF(A486="","",IFERROR(ROUND(AVERAGEIFS(ASSESSMENTS!H:H,ASSESSMENTS!B:B,A486,ASSESSMENTS!E:E,"Accounting"),1),""))</f>
        <v/>
      </c>
      <c r="K486" s="4">
        <f>IF(A486="","",IFERROR(ROUND(AVERAGEIFS(ASSESSMENTS!H:H,ASSESSMENTS!B:B,A486,ASSESSMENTS!E:E,"English"),1),""))</f>
        <v/>
      </c>
      <c r="L486" s="5">
        <f>IF(A486="","",IFERROR(XLOOKUP(A486,ATTENDANCE_SUMMARY!A:A,ATTENDANCE_SUMMARY!G:G,""),""))</f>
        <v/>
      </c>
      <c r="M486" s="4">
        <f>IF(A486="","",IF(OR(E486&lt;50,AND(L486&lt;0.75,L486&lt;&gt;"" )),"At Risk","On Track"))</f>
        <v/>
      </c>
    </row>
    <row r="487">
      <c r="A487">
        <f>IF(MASTER_REGISTER!E487="","",MASTER_REGISTER!E487)</f>
        <v/>
      </c>
      <c r="B487">
        <f>IF(A487="","",MASTER_REGISTER!F487)</f>
        <v/>
      </c>
      <c r="C487">
        <f>IF(A487="","",MASTER_REGISTER!C487)</f>
        <v/>
      </c>
      <c r="D487">
        <f>IF(A487="","",COUNTIF(ASSESSMENTS!B:B,A487))</f>
        <v/>
      </c>
      <c r="E487" s="4">
        <f>IF(D487=0,"",ROUND(AVERAGEIF(ASSESSMENTS!B:B,A487,ASSESSMENTS!H:H),1))</f>
        <v/>
      </c>
      <c r="F487" s="4">
        <f>IF(A487="","",IFERROR(ROUND(AVERAGEIFS(ASSESSMENTS!H:H,ASSESSMENTS!B:B,A487,ASSESSMENTS!E:E,"Mathematics"),1),""))</f>
        <v/>
      </c>
      <c r="G487" s="4">
        <f>IF(A487="","",IFERROR(ROUND(AVERAGEIFS(ASSESSMENTS!H:H,ASSESSMENTS!B:B,A487,ASSESSMENTS!E:E,"Mathematical Literacy"),1),""))</f>
        <v/>
      </c>
      <c r="H487" s="4">
        <f>IF(A487="","",IFERROR(ROUND(AVERAGEIFS(ASSESSMENTS!H:H,ASSESSMENTS!B:B,A487,ASSESSMENTS!E:E,"Physical Sciences"),1),""))</f>
        <v/>
      </c>
      <c r="I487" s="4">
        <f>IF(A487="","",IFERROR(ROUND(AVERAGEIFS(ASSESSMENTS!H:H,ASSESSMENTS!B:B,A487,ASSESSMENTS!E:E,"Geography"),1),""))</f>
        <v/>
      </c>
      <c r="J487" s="4">
        <f>IF(A487="","",IFERROR(ROUND(AVERAGEIFS(ASSESSMENTS!H:H,ASSESSMENTS!B:B,A487,ASSESSMENTS!E:E,"Accounting"),1),""))</f>
        <v/>
      </c>
      <c r="K487" s="4">
        <f>IF(A487="","",IFERROR(ROUND(AVERAGEIFS(ASSESSMENTS!H:H,ASSESSMENTS!B:B,A487,ASSESSMENTS!E:E,"English"),1),""))</f>
        <v/>
      </c>
      <c r="L487" s="5">
        <f>IF(A487="","",IFERROR(XLOOKUP(A487,ATTENDANCE_SUMMARY!A:A,ATTENDANCE_SUMMARY!G:G,""),""))</f>
        <v/>
      </c>
      <c r="M487" s="4">
        <f>IF(A487="","",IF(OR(E487&lt;50,AND(L487&lt;0.75,L487&lt;&gt;"" )),"At Risk","On Track"))</f>
        <v/>
      </c>
    </row>
    <row r="488">
      <c r="A488">
        <f>IF(MASTER_REGISTER!E488="","",MASTER_REGISTER!E488)</f>
        <v/>
      </c>
      <c r="B488">
        <f>IF(A488="","",MASTER_REGISTER!F488)</f>
        <v/>
      </c>
      <c r="C488">
        <f>IF(A488="","",MASTER_REGISTER!C488)</f>
        <v/>
      </c>
      <c r="D488">
        <f>IF(A488="","",COUNTIF(ASSESSMENTS!B:B,A488))</f>
        <v/>
      </c>
      <c r="E488" s="4">
        <f>IF(D488=0,"",ROUND(AVERAGEIF(ASSESSMENTS!B:B,A488,ASSESSMENTS!H:H),1))</f>
        <v/>
      </c>
      <c r="F488" s="4">
        <f>IF(A488="","",IFERROR(ROUND(AVERAGEIFS(ASSESSMENTS!H:H,ASSESSMENTS!B:B,A488,ASSESSMENTS!E:E,"Mathematics"),1),""))</f>
        <v/>
      </c>
      <c r="G488" s="4">
        <f>IF(A488="","",IFERROR(ROUND(AVERAGEIFS(ASSESSMENTS!H:H,ASSESSMENTS!B:B,A488,ASSESSMENTS!E:E,"Mathematical Literacy"),1),""))</f>
        <v/>
      </c>
      <c r="H488" s="4">
        <f>IF(A488="","",IFERROR(ROUND(AVERAGEIFS(ASSESSMENTS!H:H,ASSESSMENTS!B:B,A488,ASSESSMENTS!E:E,"Physical Sciences"),1),""))</f>
        <v/>
      </c>
      <c r="I488" s="4">
        <f>IF(A488="","",IFERROR(ROUND(AVERAGEIFS(ASSESSMENTS!H:H,ASSESSMENTS!B:B,A488,ASSESSMENTS!E:E,"Geography"),1),""))</f>
        <v/>
      </c>
      <c r="J488" s="4">
        <f>IF(A488="","",IFERROR(ROUND(AVERAGEIFS(ASSESSMENTS!H:H,ASSESSMENTS!B:B,A488,ASSESSMENTS!E:E,"Accounting"),1),""))</f>
        <v/>
      </c>
      <c r="K488" s="4">
        <f>IF(A488="","",IFERROR(ROUND(AVERAGEIFS(ASSESSMENTS!H:H,ASSESSMENTS!B:B,A488,ASSESSMENTS!E:E,"English"),1),""))</f>
        <v/>
      </c>
      <c r="L488" s="5">
        <f>IF(A488="","",IFERROR(XLOOKUP(A488,ATTENDANCE_SUMMARY!A:A,ATTENDANCE_SUMMARY!G:G,""),""))</f>
        <v/>
      </c>
      <c r="M488" s="4">
        <f>IF(A488="","",IF(OR(E488&lt;50,AND(L488&lt;0.75,L488&lt;&gt;"" )),"At Risk","On Track"))</f>
        <v/>
      </c>
    </row>
    <row r="489">
      <c r="A489">
        <f>IF(MASTER_REGISTER!E489="","",MASTER_REGISTER!E489)</f>
        <v/>
      </c>
      <c r="B489">
        <f>IF(A489="","",MASTER_REGISTER!F489)</f>
        <v/>
      </c>
      <c r="C489">
        <f>IF(A489="","",MASTER_REGISTER!C489)</f>
        <v/>
      </c>
      <c r="D489">
        <f>IF(A489="","",COUNTIF(ASSESSMENTS!B:B,A489))</f>
        <v/>
      </c>
      <c r="E489" s="4">
        <f>IF(D489=0,"",ROUND(AVERAGEIF(ASSESSMENTS!B:B,A489,ASSESSMENTS!H:H),1))</f>
        <v/>
      </c>
      <c r="F489" s="4">
        <f>IF(A489="","",IFERROR(ROUND(AVERAGEIFS(ASSESSMENTS!H:H,ASSESSMENTS!B:B,A489,ASSESSMENTS!E:E,"Mathematics"),1),""))</f>
        <v/>
      </c>
      <c r="G489" s="4">
        <f>IF(A489="","",IFERROR(ROUND(AVERAGEIFS(ASSESSMENTS!H:H,ASSESSMENTS!B:B,A489,ASSESSMENTS!E:E,"Mathematical Literacy"),1),""))</f>
        <v/>
      </c>
      <c r="H489" s="4">
        <f>IF(A489="","",IFERROR(ROUND(AVERAGEIFS(ASSESSMENTS!H:H,ASSESSMENTS!B:B,A489,ASSESSMENTS!E:E,"Physical Sciences"),1),""))</f>
        <v/>
      </c>
      <c r="I489" s="4">
        <f>IF(A489="","",IFERROR(ROUND(AVERAGEIFS(ASSESSMENTS!H:H,ASSESSMENTS!B:B,A489,ASSESSMENTS!E:E,"Geography"),1),""))</f>
        <v/>
      </c>
      <c r="J489" s="4">
        <f>IF(A489="","",IFERROR(ROUND(AVERAGEIFS(ASSESSMENTS!H:H,ASSESSMENTS!B:B,A489,ASSESSMENTS!E:E,"Accounting"),1),""))</f>
        <v/>
      </c>
      <c r="K489" s="4">
        <f>IF(A489="","",IFERROR(ROUND(AVERAGEIFS(ASSESSMENTS!H:H,ASSESSMENTS!B:B,A489,ASSESSMENTS!E:E,"English"),1),""))</f>
        <v/>
      </c>
      <c r="L489" s="5">
        <f>IF(A489="","",IFERROR(XLOOKUP(A489,ATTENDANCE_SUMMARY!A:A,ATTENDANCE_SUMMARY!G:G,""),""))</f>
        <v/>
      </c>
      <c r="M489" s="4">
        <f>IF(A489="","",IF(OR(E489&lt;50,AND(L489&lt;0.75,L489&lt;&gt;"" )),"At Risk","On Track"))</f>
        <v/>
      </c>
    </row>
    <row r="490">
      <c r="A490">
        <f>IF(MASTER_REGISTER!E490="","",MASTER_REGISTER!E490)</f>
        <v/>
      </c>
      <c r="B490">
        <f>IF(A490="","",MASTER_REGISTER!F490)</f>
        <v/>
      </c>
      <c r="C490">
        <f>IF(A490="","",MASTER_REGISTER!C490)</f>
        <v/>
      </c>
      <c r="D490">
        <f>IF(A490="","",COUNTIF(ASSESSMENTS!B:B,A490))</f>
        <v/>
      </c>
      <c r="E490" s="4">
        <f>IF(D490=0,"",ROUND(AVERAGEIF(ASSESSMENTS!B:B,A490,ASSESSMENTS!H:H),1))</f>
        <v/>
      </c>
      <c r="F490" s="4">
        <f>IF(A490="","",IFERROR(ROUND(AVERAGEIFS(ASSESSMENTS!H:H,ASSESSMENTS!B:B,A490,ASSESSMENTS!E:E,"Mathematics"),1),""))</f>
        <v/>
      </c>
      <c r="G490" s="4">
        <f>IF(A490="","",IFERROR(ROUND(AVERAGEIFS(ASSESSMENTS!H:H,ASSESSMENTS!B:B,A490,ASSESSMENTS!E:E,"Mathematical Literacy"),1),""))</f>
        <v/>
      </c>
      <c r="H490" s="4">
        <f>IF(A490="","",IFERROR(ROUND(AVERAGEIFS(ASSESSMENTS!H:H,ASSESSMENTS!B:B,A490,ASSESSMENTS!E:E,"Physical Sciences"),1),""))</f>
        <v/>
      </c>
      <c r="I490" s="4">
        <f>IF(A490="","",IFERROR(ROUND(AVERAGEIFS(ASSESSMENTS!H:H,ASSESSMENTS!B:B,A490,ASSESSMENTS!E:E,"Geography"),1),""))</f>
        <v/>
      </c>
      <c r="J490" s="4">
        <f>IF(A490="","",IFERROR(ROUND(AVERAGEIFS(ASSESSMENTS!H:H,ASSESSMENTS!B:B,A490,ASSESSMENTS!E:E,"Accounting"),1),""))</f>
        <v/>
      </c>
      <c r="K490" s="4">
        <f>IF(A490="","",IFERROR(ROUND(AVERAGEIFS(ASSESSMENTS!H:H,ASSESSMENTS!B:B,A490,ASSESSMENTS!E:E,"English"),1),""))</f>
        <v/>
      </c>
      <c r="L490" s="5">
        <f>IF(A490="","",IFERROR(XLOOKUP(A490,ATTENDANCE_SUMMARY!A:A,ATTENDANCE_SUMMARY!G:G,""),""))</f>
        <v/>
      </c>
      <c r="M490" s="4">
        <f>IF(A490="","",IF(OR(E490&lt;50,AND(L490&lt;0.75,L490&lt;&gt;"" )),"At Risk","On Track"))</f>
        <v/>
      </c>
    </row>
    <row r="491">
      <c r="A491">
        <f>IF(MASTER_REGISTER!E491="","",MASTER_REGISTER!E491)</f>
        <v/>
      </c>
      <c r="B491">
        <f>IF(A491="","",MASTER_REGISTER!F491)</f>
        <v/>
      </c>
      <c r="C491">
        <f>IF(A491="","",MASTER_REGISTER!C491)</f>
        <v/>
      </c>
      <c r="D491">
        <f>IF(A491="","",COUNTIF(ASSESSMENTS!B:B,A491))</f>
        <v/>
      </c>
      <c r="E491" s="4">
        <f>IF(D491=0,"",ROUND(AVERAGEIF(ASSESSMENTS!B:B,A491,ASSESSMENTS!H:H),1))</f>
        <v/>
      </c>
      <c r="F491" s="4">
        <f>IF(A491="","",IFERROR(ROUND(AVERAGEIFS(ASSESSMENTS!H:H,ASSESSMENTS!B:B,A491,ASSESSMENTS!E:E,"Mathematics"),1),""))</f>
        <v/>
      </c>
      <c r="G491" s="4">
        <f>IF(A491="","",IFERROR(ROUND(AVERAGEIFS(ASSESSMENTS!H:H,ASSESSMENTS!B:B,A491,ASSESSMENTS!E:E,"Mathematical Literacy"),1),""))</f>
        <v/>
      </c>
      <c r="H491" s="4">
        <f>IF(A491="","",IFERROR(ROUND(AVERAGEIFS(ASSESSMENTS!H:H,ASSESSMENTS!B:B,A491,ASSESSMENTS!E:E,"Physical Sciences"),1),""))</f>
        <v/>
      </c>
      <c r="I491" s="4">
        <f>IF(A491="","",IFERROR(ROUND(AVERAGEIFS(ASSESSMENTS!H:H,ASSESSMENTS!B:B,A491,ASSESSMENTS!E:E,"Geography"),1),""))</f>
        <v/>
      </c>
      <c r="J491" s="4">
        <f>IF(A491="","",IFERROR(ROUND(AVERAGEIFS(ASSESSMENTS!H:H,ASSESSMENTS!B:B,A491,ASSESSMENTS!E:E,"Accounting"),1),""))</f>
        <v/>
      </c>
      <c r="K491" s="4">
        <f>IF(A491="","",IFERROR(ROUND(AVERAGEIFS(ASSESSMENTS!H:H,ASSESSMENTS!B:B,A491,ASSESSMENTS!E:E,"English"),1),""))</f>
        <v/>
      </c>
      <c r="L491" s="5">
        <f>IF(A491="","",IFERROR(XLOOKUP(A491,ATTENDANCE_SUMMARY!A:A,ATTENDANCE_SUMMARY!G:G,""),""))</f>
        <v/>
      </c>
      <c r="M491" s="4">
        <f>IF(A491="","",IF(OR(E491&lt;50,AND(L491&lt;0.75,L491&lt;&gt;"" )),"At Risk","On Track"))</f>
        <v/>
      </c>
    </row>
    <row r="492">
      <c r="A492">
        <f>IF(MASTER_REGISTER!E492="","",MASTER_REGISTER!E492)</f>
        <v/>
      </c>
      <c r="B492">
        <f>IF(A492="","",MASTER_REGISTER!F492)</f>
        <v/>
      </c>
      <c r="C492">
        <f>IF(A492="","",MASTER_REGISTER!C492)</f>
        <v/>
      </c>
      <c r="D492">
        <f>IF(A492="","",COUNTIF(ASSESSMENTS!B:B,A492))</f>
        <v/>
      </c>
      <c r="E492" s="4">
        <f>IF(D492=0,"",ROUND(AVERAGEIF(ASSESSMENTS!B:B,A492,ASSESSMENTS!H:H),1))</f>
        <v/>
      </c>
      <c r="F492" s="4">
        <f>IF(A492="","",IFERROR(ROUND(AVERAGEIFS(ASSESSMENTS!H:H,ASSESSMENTS!B:B,A492,ASSESSMENTS!E:E,"Mathematics"),1),""))</f>
        <v/>
      </c>
      <c r="G492" s="4">
        <f>IF(A492="","",IFERROR(ROUND(AVERAGEIFS(ASSESSMENTS!H:H,ASSESSMENTS!B:B,A492,ASSESSMENTS!E:E,"Mathematical Literacy"),1),""))</f>
        <v/>
      </c>
      <c r="H492" s="4">
        <f>IF(A492="","",IFERROR(ROUND(AVERAGEIFS(ASSESSMENTS!H:H,ASSESSMENTS!B:B,A492,ASSESSMENTS!E:E,"Physical Sciences"),1),""))</f>
        <v/>
      </c>
      <c r="I492" s="4">
        <f>IF(A492="","",IFERROR(ROUND(AVERAGEIFS(ASSESSMENTS!H:H,ASSESSMENTS!B:B,A492,ASSESSMENTS!E:E,"Geography"),1),""))</f>
        <v/>
      </c>
      <c r="J492" s="4">
        <f>IF(A492="","",IFERROR(ROUND(AVERAGEIFS(ASSESSMENTS!H:H,ASSESSMENTS!B:B,A492,ASSESSMENTS!E:E,"Accounting"),1),""))</f>
        <v/>
      </c>
      <c r="K492" s="4">
        <f>IF(A492="","",IFERROR(ROUND(AVERAGEIFS(ASSESSMENTS!H:H,ASSESSMENTS!B:B,A492,ASSESSMENTS!E:E,"English"),1),""))</f>
        <v/>
      </c>
      <c r="L492" s="5">
        <f>IF(A492="","",IFERROR(XLOOKUP(A492,ATTENDANCE_SUMMARY!A:A,ATTENDANCE_SUMMARY!G:G,""),""))</f>
        <v/>
      </c>
      <c r="M492" s="4">
        <f>IF(A492="","",IF(OR(E492&lt;50,AND(L492&lt;0.75,L492&lt;&gt;"" )),"At Risk","On Track"))</f>
        <v/>
      </c>
    </row>
    <row r="493">
      <c r="A493">
        <f>IF(MASTER_REGISTER!E493="","",MASTER_REGISTER!E493)</f>
        <v/>
      </c>
      <c r="B493">
        <f>IF(A493="","",MASTER_REGISTER!F493)</f>
        <v/>
      </c>
      <c r="C493">
        <f>IF(A493="","",MASTER_REGISTER!C493)</f>
        <v/>
      </c>
      <c r="D493">
        <f>IF(A493="","",COUNTIF(ASSESSMENTS!B:B,A493))</f>
        <v/>
      </c>
      <c r="E493" s="4">
        <f>IF(D493=0,"",ROUND(AVERAGEIF(ASSESSMENTS!B:B,A493,ASSESSMENTS!H:H),1))</f>
        <v/>
      </c>
      <c r="F493" s="4">
        <f>IF(A493="","",IFERROR(ROUND(AVERAGEIFS(ASSESSMENTS!H:H,ASSESSMENTS!B:B,A493,ASSESSMENTS!E:E,"Mathematics"),1),""))</f>
        <v/>
      </c>
      <c r="G493" s="4">
        <f>IF(A493="","",IFERROR(ROUND(AVERAGEIFS(ASSESSMENTS!H:H,ASSESSMENTS!B:B,A493,ASSESSMENTS!E:E,"Mathematical Literacy"),1),""))</f>
        <v/>
      </c>
      <c r="H493" s="4">
        <f>IF(A493="","",IFERROR(ROUND(AVERAGEIFS(ASSESSMENTS!H:H,ASSESSMENTS!B:B,A493,ASSESSMENTS!E:E,"Physical Sciences"),1),""))</f>
        <v/>
      </c>
      <c r="I493" s="4">
        <f>IF(A493="","",IFERROR(ROUND(AVERAGEIFS(ASSESSMENTS!H:H,ASSESSMENTS!B:B,A493,ASSESSMENTS!E:E,"Geography"),1),""))</f>
        <v/>
      </c>
      <c r="J493" s="4">
        <f>IF(A493="","",IFERROR(ROUND(AVERAGEIFS(ASSESSMENTS!H:H,ASSESSMENTS!B:B,A493,ASSESSMENTS!E:E,"Accounting"),1),""))</f>
        <v/>
      </c>
      <c r="K493" s="4">
        <f>IF(A493="","",IFERROR(ROUND(AVERAGEIFS(ASSESSMENTS!H:H,ASSESSMENTS!B:B,A493,ASSESSMENTS!E:E,"English"),1),""))</f>
        <v/>
      </c>
      <c r="L493" s="5">
        <f>IF(A493="","",IFERROR(XLOOKUP(A493,ATTENDANCE_SUMMARY!A:A,ATTENDANCE_SUMMARY!G:G,""),""))</f>
        <v/>
      </c>
      <c r="M493" s="4">
        <f>IF(A493="","",IF(OR(E493&lt;50,AND(L493&lt;0.75,L493&lt;&gt;"" )),"At Risk","On Track"))</f>
        <v/>
      </c>
    </row>
    <row r="494">
      <c r="A494">
        <f>IF(MASTER_REGISTER!E494="","",MASTER_REGISTER!E494)</f>
        <v/>
      </c>
      <c r="B494">
        <f>IF(A494="","",MASTER_REGISTER!F494)</f>
        <v/>
      </c>
      <c r="C494">
        <f>IF(A494="","",MASTER_REGISTER!C494)</f>
        <v/>
      </c>
      <c r="D494">
        <f>IF(A494="","",COUNTIF(ASSESSMENTS!B:B,A494))</f>
        <v/>
      </c>
      <c r="E494" s="4">
        <f>IF(D494=0,"",ROUND(AVERAGEIF(ASSESSMENTS!B:B,A494,ASSESSMENTS!H:H),1))</f>
        <v/>
      </c>
      <c r="F494" s="4">
        <f>IF(A494="","",IFERROR(ROUND(AVERAGEIFS(ASSESSMENTS!H:H,ASSESSMENTS!B:B,A494,ASSESSMENTS!E:E,"Mathematics"),1),""))</f>
        <v/>
      </c>
      <c r="G494" s="4">
        <f>IF(A494="","",IFERROR(ROUND(AVERAGEIFS(ASSESSMENTS!H:H,ASSESSMENTS!B:B,A494,ASSESSMENTS!E:E,"Mathematical Literacy"),1),""))</f>
        <v/>
      </c>
      <c r="H494" s="4">
        <f>IF(A494="","",IFERROR(ROUND(AVERAGEIFS(ASSESSMENTS!H:H,ASSESSMENTS!B:B,A494,ASSESSMENTS!E:E,"Physical Sciences"),1),""))</f>
        <v/>
      </c>
      <c r="I494" s="4">
        <f>IF(A494="","",IFERROR(ROUND(AVERAGEIFS(ASSESSMENTS!H:H,ASSESSMENTS!B:B,A494,ASSESSMENTS!E:E,"Geography"),1),""))</f>
        <v/>
      </c>
      <c r="J494" s="4">
        <f>IF(A494="","",IFERROR(ROUND(AVERAGEIFS(ASSESSMENTS!H:H,ASSESSMENTS!B:B,A494,ASSESSMENTS!E:E,"Accounting"),1),""))</f>
        <v/>
      </c>
      <c r="K494" s="4">
        <f>IF(A494="","",IFERROR(ROUND(AVERAGEIFS(ASSESSMENTS!H:H,ASSESSMENTS!B:B,A494,ASSESSMENTS!E:E,"English"),1),""))</f>
        <v/>
      </c>
      <c r="L494" s="5">
        <f>IF(A494="","",IFERROR(XLOOKUP(A494,ATTENDANCE_SUMMARY!A:A,ATTENDANCE_SUMMARY!G:G,""),""))</f>
        <v/>
      </c>
      <c r="M494" s="4">
        <f>IF(A494="","",IF(OR(E494&lt;50,AND(L494&lt;0.75,L494&lt;&gt;"" )),"At Risk","On Track"))</f>
        <v/>
      </c>
    </row>
    <row r="495">
      <c r="A495">
        <f>IF(MASTER_REGISTER!E495="","",MASTER_REGISTER!E495)</f>
        <v/>
      </c>
      <c r="B495">
        <f>IF(A495="","",MASTER_REGISTER!F495)</f>
        <v/>
      </c>
      <c r="C495">
        <f>IF(A495="","",MASTER_REGISTER!C495)</f>
        <v/>
      </c>
      <c r="D495">
        <f>IF(A495="","",COUNTIF(ASSESSMENTS!B:B,A495))</f>
        <v/>
      </c>
      <c r="E495" s="4">
        <f>IF(D495=0,"",ROUND(AVERAGEIF(ASSESSMENTS!B:B,A495,ASSESSMENTS!H:H),1))</f>
        <v/>
      </c>
      <c r="F495" s="4">
        <f>IF(A495="","",IFERROR(ROUND(AVERAGEIFS(ASSESSMENTS!H:H,ASSESSMENTS!B:B,A495,ASSESSMENTS!E:E,"Mathematics"),1),""))</f>
        <v/>
      </c>
      <c r="G495" s="4">
        <f>IF(A495="","",IFERROR(ROUND(AVERAGEIFS(ASSESSMENTS!H:H,ASSESSMENTS!B:B,A495,ASSESSMENTS!E:E,"Mathematical Literacy"),1),""))</f>
        <v/>
      </c>
      <c r="H495" s="4">
        <f>IF(A495="","",IFERROR(ROUND(AVERAGEIFS(ASSESSMENTS!H:H,ASSESSMENTS!B:B,A495,ASSESSMENTS!E:E,"Physical Sciences"),1),""))</f>
        <v/>
      </c>
      <c r="I495" s="4">
        <f>IF(A495="","",IFERROR(ROUND(AVERAGEIFS(ASSESSMENTS!H:H,ASSESSMENTS!B:B,A495,ASSESSMENTS!E:E,"Geography"),1),""))</f>
        <v/>
      </c>
      <c r="J495" s="4">
        <f>IF(A495="","",IFERROR(ROUND(AVERAGEIFS(ASSESSMENTS!H:H,ASSESSMENTS!B:B,A495,ASSESSMENTS!E:E,"Accounting"),1),""))</f>
        <v/>
      </c>
      <c r="K495" s="4">
        <f>IF(A495="","",IFERROR(ROUND(AVERAGEIFS(ASSESSMENTS!H:H,ASSESSMENTS!B:B,A495,ASSESSMENTS!E:E,"English"),1),""))</f>
        <v/>
      </c>
      <c r="L495" s="5">
        <f>IF(A495="","",IFERROR(XLOOKUP(A495,ATTENDANCE_SUMMARY!A:A,ATTENDANCE_SUMMARY!G:G,""),""))</f>
        <v/>
      </c>
      <c r="M495" s="4">
        <f>IF(A495="","",IF(OR(E495&lt;50,AND(L495&lt;0.75,L495&lt;&gt;"" )),"At Risk","On Track"))</f>
        <v/>
      </c>
    </row>
    <row r="496">
      <c r="A496">
        <f>IF(MASTER_REGISTER!E496="","",MASTER_REGISTER!E496)</f>
        <v/>
      </c>
      <c r="B496">
        <f>IF(A496="","",MASTER_REGISTER!F496)</f>
        <v/>
      </c>
      <c r="C496">
        <f>IF(A496="","",MASTER_REGISTER!C496)</f>
        <v/>
      </c>
      <c r="D496">
        <f>IF(A496="","",COUNTIF(ASSESSMENTS!B:B,A496))</f>
        <v/>
      </c>
      <c r="E496" s="4">
        <f>IF(D496=0,"",ROUND(AVERAGEIF(ASSESSMENTS!B:B,A496,ASSESSMENTS!H:H),1))</f>
        <v/>
      </c>
      <c r="F496" s="4">
        <f>IF(A496="","",IFERROR(ROUND(AVERAGEIFS(ASSESSMENTS!H:H,ASSESSMENTS!B:B,A496,ASSESSMENTS!E:E,"Mathematics"),1),""))</f>
        <v/>
      </c>
      <c r="G496" s="4">
        <f>IF(A496="","",IFERROR(ROUND(AVERAGEIFS(ASSESSMENTS!H:H,ASSESSMENTS!B:B,A496,ASSESSMENTS!E:E,"Mathematical Literacy"),1),""))</f>
        <v/>
      </c>
      <c r="H496" s="4">
        <f>IF(A496="","",IFERROR(ROUND(AVERAGEIFS(ASSESSMENTS!H:H,ASSESSMENTS!B:B,A496,ASSESSMENTS!E:E,"Physical Sciences"),1),""))</f>
        <v/>
      </c>
      <c r="I496" s="4">
        <f>IF(A496="","",IFERROR(ROUND(AVERAGEIFS(ASSESSMENTS!H:H,ASSESSMENTS!B:B,A496,ASSESSMENTS!E:E,"Geography"),1),""))</f>
        <v/>
      </c>
      <c r="J496" s="4">
        <f>IF(A496="","",IFERROR(ROUND(AVERAGEIFS(ASSESSMENTS!H:H,ASSESSMENTS!B:B,A496,ASSESSMENTS!E:E,"Accounting"),1),""))</f>
        <v/>
      </c>
      <c r="K496" s="4">
        <f>IF(A496="","",IFERROR(ROUND(AVERAGEIFS(ASSESSMENTS!H:H,ASSESSMENTS!B:B,A496,ASSESSMENTS!E:E,"English"),1),""))</f>
        <v/>
      </c>
      <c r="L496" s="5">
        <f>IF(A496="","",IFERROR(XLOOKUP(A496,ATTENDANCE_SUMMARY!A:A,ATTENDANCE_SUMMARY!G:G,""),""))</f>
        <v/>
      </c>
      <c r="M496" s="4">
        <f>IF(A496="","",IF(OR(E496&lt;50,AND(L496&lt;0.75,L496&lt;&gt;"" )),"At Risk","On Track"))</f>
        <v/>
      </c>
    </row>
    <row r="497">
      <c r="A497">
        <f>IF(MASTER_REGISTER!E497="","",MASTER_REGISTER!E497)</f>
        <v/>
      </c>
      <c r="B497">
        <f>IF(A497="","",MASTER_REGISTER!F497)</f>
        <v/>
      </c>
      <c r="C497">
        <f>IF(A497="","",MASTER_REGISTER!C497)</f>
        <v/>
      </c>
      <c r="D497">
        <f>IF(A497="","",COUNTIF(ASSESSMENTS!B:B,A497))</f>
        <v/>
      </c>
      <c r="E497" s="4">
        <f>IF(D497=0,"",ROUND(AVERAGEIF(ASSESSMENTS!B:B,A497,ASSESSMENTS!H:H),1))</f>
        <v/>
      </c>
      <c r="F497" s="4">
        <f>IF(A497="","",IFERROR(ROUND(AVERAGEIFS(ASSESSMENTS!H:H,ASSESSMENTS!B:B,A497,ASSESSMENTS!E:E,"Mathematics"),1),""))</f>
        <v/>
      </c>
      <c r="G497" s="4">
        <f>IF(A497="","",IFERROR(ROUND(AVERAGEIFS(ASSESSMENTS!H:H,ASSESSMENTS!B:B,A497,ASSESSMENTS!E:E,"Mathematical Literacy"),1),""))</f>
        <v/>
      </c>
      <c r="H497" s="4">
        <f>IF(A497="","",IFERROR(ROUND(AVERAGEIFS(ASSESSMENTS!H:H,ASSESSMENTS!B:B,A497,ASSESSMENTS!E:E,"Physical Sciences"),1),""))</f>
        <v/>
      </c>
      <c r="I497" s="4">
        <f>IF(A497="","",IFERROR(ROUND(AVERAGEIFS(ASSESSMENTS!H:H,ASSESSMENTS!B:B,A497,ASSESSMENTS!E:E,"Geography"),1),""))</f>
        <v/>
      </c>
      <c r="J497" s="4">
        <f>IF(A497="","",IFERROR(ROUND(AVERAGEIFS(ASSESSMENTS!H:H,ASSESSMENTS!B:B,A497,ASSESSMENTS!E:E,"Accounting"),1),""))</f>
        <v/>
      </c>
      <c r="K497" s="4">
        <f>IF(A497="","",IFERROR(ROUND(AVERAGEIFS(ASSESSMENTS!H:H,ASSESSMENTS!B:B,A497,ASSESSMENTS!E:E,"English"),1),""))</f>
        <v/>
      </c>
      <c r="L497" s="5">
        <f>IF(A497="","",IFERROR(XLOOKUP(A497,ATTENDANCE_SUMMARY!A:A,ATTENDANCE_SUMMARY!G:G,""),""))</f>
        <v/>
      </c>
      <c r="M497" s="4">
        <f>IF(A497="","",IF(OR(E497&lt;50,AND(L497&lt;0.75,L497&lt;&gt;"" )),"At Risk","On Track"))</f>
        <v/>
      </c>
    </row>
    <row r="498">
      <c r="A498">
        <f>IF(MASTER_REGISTER!E498="","",MASTER_REGISTER!E498)</f>
        <v/>
      </c>
      <c r="B498">
        <f>IF(A498="","",MASTER_REGISTER!F498)</f>
        <v/>
      </c>
      <c r="C498">
        <f>IF(A498="","",MASTER_REGISTER!C498)</f>
        <v/>
      </c>
      <c r="D498">
        <f>IF(A498="","",COUNTIF(ASSESSMENTS!B:B,A498))</f>
        <v/>
      </c>
      <c r="E498" s="4">
        <f>IF(D498=0,"",ROUND(AVERAGEIF(ASSESSMENTS!B:B,A498,ASSESSMENTS!H:H),1))</f>
        <v/>
      </c>
      <c r="F498" s="4">
        <f>IF(A498="","",IFERROR(ROUND(AVERAGEIFS(ASSESSMENTS!H:H,ASSESSMENTS!B:B,A498,ASSESSMENTS!E:E,"Mathematics"),1),""))</f>
        <v/>
      </c>
      <c r="G498" s="4">
        <f>IF(A498="","",IFERROR(ROUND(AVERAGEIFS(ASSESSMENTS!H:H,ASSESSMENTS!B:B,A498,ASSESSMENTS!E:E,"Mathematical Literacy"),1),""))</f>
        <v/>
      </c>
      <c r="H498" s="4">
        <f>IF(A498="","",IFERROR(ROUND(AVERAGEIFS(ASSESSMENTS!H:H,ASSESSMENTS!B:B,A498,ASSESSMENTS!E:E,"Physical Sciences"),1),""))</f>
        <v/>
      </c>
      <c r="I498" s="4">
        <f>IF(A498="","",IFERROR(ROUND(AVERAGEIFS(ASSESSMENTS!H:H,ASSESSMENTS!B:B,A498,ASSESSMENTS!E:E,"Geography"),1),""))</f>
        <v/>
      </c>
      <c r="J498" s="4">
        <f>IF(A498="","",IFERROR(ROUND(AVERAGEIFS(ASSESSMENTS!H:H,ASSESSMENTS!B:B,A498,ASSESSMENTS!E:E,"Accounting"),1),""))</f>
        <v/>
      </c>
      <c r="K498" s="4">
        <f>IF(A498="","",IFERROR(ROUND(AVERAGEIFS(ASSESSMENTS!H:H,ASSESSMENTS!B:B,A498,ASSESSMENTS!E:E,"English"),1),""))</f>
        <v/>
      </c>
      <c r="L498" s="5">
        <f>IF(A498="","",IFERROR(XLOOKUP(A498,ATTENDANCE_SUMMARY!A:A,ATTENDANCE_SUMMARY!G:G,""),""))</f>
        <v/>
      </c>
      <c r="M498" s="4">
        <f>IF(A498="","",IF(OR(E498&lt;50,AND(L498&lt;0.75,L498&lt;&gt;"" )),"At Risk","On Track"))</f>
        <v/>
      </c>
    </row>
    <row r="499">
      <c r="A499">
        <f>IF(MASTER_REGISTER!E499="","",MASTER_REGISTER!E499)</f>
        <v/>
      </c>
      <c r="B499">
        <f>IF(A499="","",MASTER_REGISTER!F499)</f>
        <v/>
      </c>
      <c r="C499">
        <f>IF(A499="","",MASTER_REGISTER!C499)</f>
        <v/>
      </c>
      <c r="D499">
        <f>IF(A499="","",COUNTIF(ASSESSMENTS!B:B,A499))</f>
        <v/>
      </c>
      <c r="E499" s="4">
        <f>IF(D499=0,"",ROUND(AVERAGEIF(ASSESSMENTS!B:B,A499,ASSESSMENTS!H:H),1))</f>
        <v/>
      </c>
      <c r="F499" s="4">
        <f>IF(A499="","",IFERROR(ROUND(AVERAGEIFS(ASSESSMENTS!H:H,ASSESSMENTS!B:B,A499,ASSESSMENTS!E:E,"Mathematics"),1),""))</f>
        <v/>
      </c>
      <c r="G499" s="4">
        <f>IF(A499="","",IFERROR(ROUND(AVERAGEIFS(ASSESSMENTS!H:H,ASSESSMENTS!B:B,A499,ASSESSMENTS!E:E,"Mathematical Literacy"),1),""))</f>
        <v/>
      </c>
      <c r="H499" s="4">
        <f>IF(A499="","",IFERROR(ROUND(AVERAGEIFS(ASSESSMENTS!H:H,ASSESSMENTS!B:B,A499,ASSESSMENTS!E:E,"Physical Sciences"),1),""))</f>
        <v/>
      </c>
      <c r="I499" s="4">
        <f>IF(A499="","",IFERROR(ROUND(AVERAGEIFS(ASSESSMENTS!H:H,ASSESSMENTS!B:B,A499,ASSESSMENTS!E:E,"Geography"),1),""))</f>
        <v/>
      </c>
      <c r="J499" s="4">
        <f>IF(A499="","",IFERROR(ROUND(AVERAGEIFS(ASSESSMENTS!H:H,ASSESSMENTS!B:B,A499,ASSESSMENTS!E:E,"Accounting"),1),""))</f>
        <v/>
      </c>
      <c r="K499" s="4">
        <f>IF(A499="","",IFERROR(ROUND(AVERAGEIFS(ASSESSMENTS!H:H,ASSESSMENTS!B:B,A499,ASSESSMENTS!E:E,"English"),1),""))</f>
        <v/>
      </c>
      <c r="L499" s="5">
        <f>IF(A499="","",IFERROR(XLOOKUP(A499,ATTENDANCE_SUMMARY!A:A,ATTENDANCE_SUMMARY!G:G,""),""))</f>
        <v/>
      </c>
      <c r="M499" s="4">
        <f>IF(A499="","",IF(OR(E499&lt;50,AND(L499&lt;0.75,L499&lt;&gt;"" )),"At Risk","On Track"))</f>
        <v/>
      </c>
    </row>
    <row r="500">
      <c r="A500">
        <f>IF(MASTER_REGISTER!E500="","",MASTER_REGISTER!E500)</f>
        <v/>
      </c>
      <c r="B500">
        <f>IF(A500="","",MASTER_REGISTER!F500)</f>
        <v/>
      </c>
      <c r="C500">
        <f>IF(A500="","",MASTER_REGISTER!C500)</f>
        <v/>
      </c>
      <c r="D500">
        <f>IF(A500="","",COUNTIF(ASSESSMENTS!B:B,A500))</f>
        <v/>
      </c>
      <c r="E500" s="4">
        <f>IF(D500=0,"",ROUND(AVERAGEIF(ASSESSMENTS!B:B,A500,ASSESSMENTS!H:H),1))</f>
        <v/>
      </c>
      <c r="F500" s="4">
        <f>IF(A500="","",IFERROR(ROUND(AVERAGEIFS(ASSESSMENTS!H:H,ASSESSMENTS!B:B,A500,ASSESSMENTS!E:E,"Mathematics"),1),""))</f>
        <v/>
      </c>
      <c r="G500" s="4">
        <f>IF(A500="","",IFERROR(ROUND(AVERAGEIFS(ASSESSMENTS!H:H,ASSESSMENTS!B:B,A500,ASSESSMENTS!E:E,"Mathematical Literacy"),1),""))</f>
        <v/>
      </c>
      <c r="H500" s="4">
        <f>IF(A500="","",IFERROR(ROUND(AVERAGEIFS(ASSESSMENTS!H:H,ASSESSMENTS!B:B,A500,ASSESSMENTS!E:E,"Physical Sciences"),1),""))</f>
        <v/>
      </c>
      <c r="I500" s="4">
        <f>IF(A500="","",IFERROR(ROUND(AVERAGEIFS(ASSESSMENTS!H:H,ASSESSMENTS!B:B,A500,ASSESSMENTS!E:E,"Geography"),1),""))</f>
        <v/>
      </c>
      <c r="J500" s="4">
        <f>IF(A500="","",IFERROR(ROUND(AVERAGEIFS(ASSESSMENTS!H:H,ASSESSMENTS!B:B,A500,ASSESSMENTS!E:E,"Accounting"),1),""))</f>
        <v/>
      </c>
      <c r="K500" s="4">
        <f>IF(A500="","",IFERROR(ROUND(AVERAGEIFS(ASSESSMENTS!H:H,ASSESSMENTS!B:B,A500,ASSESSMENTS!E:E,"English"),1),""))</f>
        <v/>
      </c>
      <c r="L500" s="5">
        <f>IF(A500="","",IFERROR(XLOOKUP(A500,ATTENDANCE_SUMMARY!A:A,ATTENDANCE_SUMMARY!G:G,""),""))</f>
        <v/>
      </c>
      <c r="M500" s="4">
        <f>IF(A500="","",IF(OR(E500&lt;50,AND(L500&lt;0.75,L500&lt;&gt;"" )),"At Risk","On Track"))</f>
        <v/>
      </c>
    </row>
    <row r="501">
      <c r="A501">
        <f>IF(MASTER_REGISTER!E501="","",MASTER_REGISTER!E501)</f>
        <v/>
      </c>
      <c r="B501">
        <f>IF(A501="","",MASTER_REGISTER!F501)</f>
        <v/>
      </c>
      <c r="C501">
        <f>IF(A501="","",MASTER_REGISTER!C501)</f>
        <v/>
      </c>
      <c r="D501">
        <f>IF(A501="","",COUNTIF(ASSESSMENTS!B:B,A501))</f>
        <v/>
      </c>
      <c r="E501" s="4">
        <f>IF(D501=0,"",ROUND(AVERAGEIF(ASSESSMENTS!B:B,A501,ASSESSMENTS!H:H),1))</f>
        <v/>
      </c>
      <c r="F501" s="4">
        <f>IF(A501="","",IFERROR(ROUND(AVERAGEIFS(ASSESSMENTS!H:H,ASSESSMENTS!B:B,A501,ASSESSMENTS!E:E,"Mathematics"),1),""))</f>
        <v/>
      </c>
      <c r="G501" s="4">
        <f>IF(A501="","",IFERROR(ROUND(AVERAGEIFS(ASSESSMENTS!H:H,ASSESSMENTS!B:B,A501,ASSESSMENTS!E:E,"Mathematical Literacy"),1),""))</f>
        <v/>
      </c>
      <c r="H501" s="4">
        <f>IF(A501="","",IFERROR(ROUND(AVERAGEIFS(ASSESSMENTS!H:H,ASSESSMENTS!B:B,A501,ASSESSMENTS!E:E,"Physical Sciences"),1),""))</f>
        <v/>
      </c>
      <c r="I501" s="4">
        <f>IF(A501="","",IFERROR(ROUND(AVERAGEIFS(ASSESSMENTS!H:H,ASSESSMENTS!B:B,A501,ASSESSMENTS!E:E,"Geography"),1),""))</f>
        <v/>
      </c>
      <c r="J501" s="4">
        <f>IF(A501="","",IFERROR(ROUND(AVERAGEIFS(ASSESSMENTS!H:H,ASSESSMENTS!B:B,A501,ASSESSMENTS!E:E,"Accounting"),1),""))</f>
        <v/>
      </c>
      <c r="K501" s="4">
        <f>IF(A501="","",IFERROR(ROUND(AVERAGEIFS(ASSESSMENTS!H:H,ASSESSMENTS!B:B,A501,ASSESSMENTS!E:E,"English"),1),""))</f>
        <v/>
      </c>
      <c r="L501" s="5">
        <f>IF(A501="","",IFERROR(XLOOKUP(A501,ATTENDANCE_SUMMARY!A:A,ATTENDANCE_SUMMARY!G:G,""),""))</f>
        <v/>
      </c>
      <c r="M501" s="4">
        <f>IF(A501="","",IF(OR(E501&lt;50,AND(L501&lt;0.75,L501&lt;&gt;"" )),"At Risk","On Track"))</f>
        <v/>
      </c>
    </row>
  </sheetData>
  <conditionalFormatting sqref="E2:E501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M2:M501">
    <cfRule type="cellIs" priority="2" operator="equal" dxfId="1">
      <formula>"At Risk"</formula>
    </cfRule>
    <cfRule type="cellIs" priority="3" operator="equal" dxfId="0">
      <formula>"On Track"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4.4"/>
  <cols>
    <col width="24" customWidth="1" style="10" min="1" max="1"/>
    <col width="22" customWidth="1" style="10" min="2" max="2"/>
    <col width="20" customWidth="1" style="10" min="3" max="6"/>
  </cols>
  <sheetData>
    <row r="1" ht="18" customHeight="1" s="10">
      <c r="A1" s="11" t="inlineStr">
        <is>
          <t>Math &amp; Sciences Hub – Learner Progress Report</t>
        </is>
      </c>
    </row>
    <row r="2"/>
    <row r="3">
      <c r="A3" s="1" t="inlineStr">
        <is>
          <t>Enter Student Number:</t>
        </is>
      </c>
    </row>
    <row r="4">
      <c r="A4" s="1" t="inlineStr">
        <is>
          <t>Learner Name:</t>
        </is>
      </c>
      <c r="B4">
        <f>IFERROR(XLOOKUP($B$3,PROGRESS_SUMMARY!A:A,PROGRESS_SUMMARY!B:B,""),"")</f>
        <v/>
      </c>
    </row>
    <row r="5">
      <c r="A5" s="1" t="inlineStr">
        <is>
          <t>Grade:</t>
        </is>
      </c>
      <c r="B5">
        <f>IFERROR(XLOOKUP($B$3,PROGRESS_SUMMARY!A:A,PROGRESS_SUMMARY!C:C,""),"")</f>
        <v/>
      </c>
    </row>
    <row r="6">
      <c r="A6" s="1" t="inlineStr">
        <is>
          <t>Report Period:</t>
        </is>
      </c>
    </row>
    <row r="7">
      <c r="A7" s="1" t="inlineStr">
        <is>
          <t>Attendance %:</t>
        </is>
      </c>
      <c r="B7" s="8">
        <f>IFERROR(XLOOKUP($B$3,PROGRESS_SUMMARY!A:A,PROGRESS_SUMMARY!L:L,""),"")</f>
        <v/>
      </c>
    </row>
    <row r="8">
      <c r="A8" s="1" t="inlineStr">
        <is>
          <t>Overall Average (%):</t>
        </is>
      </c>
      <c r="B8">
        <f>IFERROR(XLOOKUP($B$3,PROGRESS_SUMMARY!A:A,PROGRESS_SUMMARY!E:E,""),"")</f>
        <v/>
      </c>
    </row>
    <row r="9">
      <c r="A9" s="1" t="inlineStr">
        <is>
          <t>Progress Status:</t>
        </is>
      </c>
      <c r="B9">
        <f>IFERROR(XLOOKUP($B$3,PROGRESS_SUMMARY!A:A,PROGRESS_SUMMARY!M:M,""),"")</f>
        <v/>
      </c>
    </row>
    <row r="10"/>
    <row r="11">
      <c r="A11" s="1" t="inlineStr">
        <is>
          <t>Subject</t>
        </is>
      </c>
      <c r="B11" s="1" t="inlineStr">
        <is>
          <t>Average (%)</t>
        </is>
      </c>
    </row>
    <row r="12">
      <c r="A12" t="inlineStr">
        <is>
          <t>Mathematics</t>
        </is>
      </c>
      <c r="B12" s="4">
        <f>IF($B$3="","",IFERROR(XLOOKUP($B$3,PROGRESS_SUMMARY!A:A,PROGRESS_SUMMARY!F:F,""),""))</f>
        <v/>
      </c>
    </row>
    <row r="13">
      <c r="A13" t="inlineStr">
        <is>
          <t>Mathematical Literacy</t>
        </is>
      </c>
      <c r="B13" s="4">
        <f>IF($B$3="","",IFERROR(XLOOKUP($B$3,PROGRESS_SUMMARY!A:A,PROGRESS_SUMMARY!G:G,""),""))</f>
        <v/>
      </c>
    </row>
    <row r="14">
      <c r="A14" t="inlineStr">
        <is>
          <t>Physical Sciences</t>
        </is>
      </c>
      <c r="B14" s="4">
        <f>IF($B$3="","",IFERROR(XLOOKUP($B$3,PROGRESS_SUMMARY!A:A,PROGRESS_SUMMARY!H:H,""),""))</f>
        <v/>
      </c>
    </row>
    <row r="15">
      <c r="A15" t="inlineStr">
        <is>
          <t>Geography</t>
        </is>
      </c>
      <c r="B15" s="4">
        <f>IF($B$3="","",IFERROR(XLOOKUP($B$3,PROGRESS_SUMMARY!A:A,PROGRESS_SUMMARY!I:I,""),""))</f>
        <v/>
      </c>
    </row>
    <row r="16">
      <c r="A16" t="inlineStr">
        <is>
          <t>Accounting</t>
        </is>
      </c>
      <c r="B16" s="4">
        <f>IF($B$3="","",IFERROR(XLOOKUP($B$3,PROGRESS_SUMMARY!A:A,PROGRESS_SUMMARY!J:J,""),""))</f>
        <v/>
      </c>
    </row>
    <row r="17">
      <c r="A17" t="inlineStr">
        <is>
          <t>English</t>
        </is>
      </c>
      <c r="B17" s="4">
        <f>IF($B$3="","",IFERROR(XLOOKUP($B$3,PROGRESS_SUMMARY!A:A,PROGRESS_SUMMARY!K:K,""),""))</f>
        <v/>
      </c>
    </row>
    <row r="18"/>
    <row r="19"/>
    <row r="20">
      <c r="A20" s="1" t="inlineStr">
        <is>
          <t>Tutor Notes:</t>
        </is>
      </c>
    </row>
    <row r="21">
      <c r="A21" s="9" t="n"/>
    </row>
    <row r="22"/>
    <row r="23"/>
    <row r="24"/>
    <row r="25"/>
    <row r="26"/>
  </sheetData>
  <mergeCells count="2">
    <mergeCell ref="A21:F26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4" customWidth="1" style="10" min="1" max="1"/>
    <col width="18" customWidth="1" style="10" min="2" max="2"/>
    <col width="16" customWidth="1" style="10" min="3" max="3"/>
    <col width="28" customWidth="1" style="10" min="4" max="4"/>
    <col width="24" customWidth="1" style="10" min="5" max="5"/>
    <col width="22" customWidth="1" style="10" min="6" max="6"/>
    <col width="24" customWidth="1" style="10" min="7" max="7"/>
    <col width="18" customWidth="1" style="10" min="8" max="8"/>
    <col width="18" customWidth="1" style="10" min="9" max="9"/>
    <col width="20" customWidth="1" style="10" min="10" max="10"/>
    <col width="14" customWidth="1" style="10" min="11" max="11"/>
    <col width="14" customWidth="1" style="10" min="12" max="12"/>
    <col width="22" customWidth="1" style="10" min="13" max="13"/>
  </cols>
  <sheetData>
    <row r="1" ht="28.8" customHeight="1" s="10">
      <c r="A1" s="12" t="inlineStr">
        <is>
          <t>Tutor Name</t>
        </is>
      </c>
      <c r="B1" s="12" t="inlineStr">
        <is>
          <t>ID Number</t>
        </is>
      </c>
      <c r="C1" s="12" t="inlineStr">
        <is>
          <t>Contact Number</t>
        </is>
      </c>
      <c r="D1" s="12" t="inlineStr">
        <is>
          <t>Email</t>
        </is>
      </c>
      <c r="E1" s="12" t="inlineStr">
        <is>
          <t>Subject Specialty</t>
        </is>
      </c>
      <c r="F1" s="12" t="inlineStr">
        <is>
          <t>Highest Qualification</t>
        </is>
      </c>
      <c r="G1" s="12" t="inlineStr">
        <is>
          <t>University/Institution</t>
        </is>
      </c>
      <c r="H1" s="12" t="inlineStr">
        <is>
          <t>Status (Active/Inactive)</t>
        </is>
      </c>
      <c r="I1" s="34" t="inlineStr">
        <is>
          <t>Verification Code</t>
        </is>
      </c>
      <c r="J1" s="34" t="inlineStr">
        <is>
          <t>Verification Status</t>
        </is>
      </c>
      <c r="K1" s="34" t="inlineStr">
        <is>
          <t>Verified Date</t>
        </is>
      </c>
      <c r="L1" s="34" t="inlineStr">
        <is>
          <t>Expiry Date</t>
        </is>
      </c>
      <c r="M1" s="34" t="inlineStr">
        <is>
          <t>Role / Position</t>
        </is>
      </c>
    </row>
    <row r="2">
      <c r="I2">
        <f>IF($A2="","","MSH-TUT-"&amp;TEXT(YEAR(TODAY()),"0000")&amp;"-"&amp;TEXT(ROW()-1,"000"))</f>
        <v/>
      </c>
      <c r="J2">
        <f>IF($A2="","","Pending")</f>
        <v/>
      </c>
    </row>
    <row r="3">
      <c r="I3">
        <f>IF($A3="","","MSH-TUT-"&amp;TEXT(YEAR(TODAY()),"0000")&amp;"-"&amp;TEXT(ROW()-1,"000"))</f>
        <v/>
      </c>
      <c r="J3">
        <f>IF($A3="","","Pending")</f>
        <v/>
      </c>
    </row>
    <row r="4">
      <c r="I4">
        <f>IF($A4="","","MSH-TUT-"&amp;TEXT(YEAR(TODAY()),"0000")&amp;"-"&amp;TEXT(ROW()-1,"000"))</f>
        <v/>
      </c>
      <c r="J4">
        <f>IF($A4="","","Pending")</f>
        <v/>
      </c>
    </row>
    <row r="5">
      <c r="I5">
        <f>IF($A5="","","MSH-TUT-"&amp;TEXT(YEAR(TODAY()),"0000")&amp;"-"&amp;TEXT(ROW()-1,"000"))</f>
        <v/>
      </c>
      <c r="J5">
        <f>IF($A5="","","Pending")</f>
        <v/>
      </c>
    </row>
    <row r="6">
      <c r="I6">
        <f>IF($A6="","","MSH-TUT-"&amp;TEXT(YEAR(TODAY()),"0000")&amp;"-"&amp;TEXT(ROW()-1,"000"))</f>
        <v/>
      </c>
      <c r="J6">
        <f>IF($A6="","","Pending")</f>
        <v/>
      </c>
    </row>
    <row r="7">
      <c r="I7">
        <f>IF($A7="","","MSH-TUT-"&amp;TEXT(YEAR(TODAY()),"0000")&amp;"-"&amp;TEXT(ROW()-1,"000"))</f>
        <v/>
      </c>
      <c r="J7">
        <f>IF($A7="","","Pending")</f>
        <v/>
      </c>
    </row>
    <row r="8">
      <c r="I8">
        <f>IF($A8="","","MSH-TUT-"&amp;TEXT(YEAR(TODAY()),"0000")&amp;"-"&amp;TEXT(ROW()-1,"000"))</f>
        <v/>
      </c>
      <c r="J8">
        <f>IF($A8="","","Pending")</f>
        <v/>
      </c>
    </row>
    <row r="9">
      <c r="I9">
        <f>IF($A9="","","MSH-TUT-"&amp;TEXT(YEAR(TODAY()),"0000")&amp;"-"&amp;TEXT(ROW()-1,"000"))</f>
        <v/>
      </c>
      <c r="J9">
        <f>IF($A9="","","Pending")</f>
        <v/>
      </c>
    </row>
    <row r="10">
      <c r="I10">
        <f>IF($A10="","","MSH-TUT-"&amp;TEXT(YEAR(TODAY()),"0000")&amp;"-"&amp;TEXT(ROW()-1,"000"))</f>
        <v/>
      </c>
      <c r="J10">
        <f>IF($A10="","","Pending")</f>
        <v/>
      </c>
    </row>
    <row r="11">
      <c r="I11">
        <f>IF($A11="","","MSH-TUT-"&amp;TEXT(YEAR(TODAY()),"0000")&amp;"-"&amp;TEXT(ROW()-1,"000"))</f>
        <v/>
      </c>
      <c r="J11">
        <f>IF($A11="","","Pending")</f>
        <v/>
      </c>
    </row>
    <row r="12">
      <c r="I12">
        <f>IF($A12="","","MSH-TUT-"&amp;TEXT(YEAR(TODAY()),"0000")&amp;"-"&amp;TEXT(ROW()-1,"000"))</f>
        <v/>
      </c>
      <c r="J12">
        <f>IF($A12="","","Pending")</f>
        <v/>
      </c>
    </row>
    <row r="13">
      <c r="I13">
        <f>IF($A13="","","MSH-TUT-"&amp;TEXT(YEAR(TODAY()),"0000")&amp;"-"&amp;TEXT(ROW()-1,"000"))</f>
        <v/>
      </c>
      <c r="J13">
        <f>IF($A13="","","Pending")</f>
        <v/>
      </c>
    </row>
    <row r="14">
      <c r="I14">
        <f>IF($A14="","","MSH-TUT-"&amp;TEXT(YEAR(TODAY()),"0000")&amp;"-"&amp;TEXT(ROW()-1,"000"))</f>
        <v/>
      </c>
      <c r="J14">
        <f>IF($A14="","","Pending")</f>
        <v/>
      </c>
    </row>
    <row r="15">
      <c r="I15">
        <f>IF($A15="","","MSH-TUT-"&amp;TEXT(YEAR(TODAY()),"0000")&amp;"-"&amp;TEXT(ROW()-1,"000"))</f>
        <v/>
      </c>
      <c r="J15">
        <f>IF($A15="","","Pending")</f>
        <v/>
      </c>
    </row>
    <row r="16">
      <c r="I16">
        <f>IF($A16="","","MSH-TUT-"&amp;TEXT(YEAR(TODAY()),"0000")&amp;"-"&amp;TEXT(ROW()-1,"000"))</f>
        <v/>
      </c>
      <c r="J16">
        <f>IF($A16="","","Pending")</f>
        <v/>
      </c>
    </row>
    <row r="17">
      <c r="I17">
        <f>IF($A17="","","MSH-TUT-"&amp;TEXT(YEAR(TODAY()),"0000")&amp;"-"&amp;TEXT(ROW()-1,"000"))</f>
        <v/>
      </c>
      <c r="J17">
        <f>IF($A17="","","Pending")</f>
        <v/>
      </c>
    </row>
    <row r="18">
      <c r="I18">
        <f>IF($A18="","","MSH-TUT-"&amp;TEXT(YEAR(TODAY()),"0000")&amp;"-"&amp;TEXT(ROW()-1,"000"))</f>
        <v/>
      </c>
      <c r="J18">
        <f>IF($A18="","","Pending")</f>
        <v/>
      </c>
    </row>
    <row r="19">
      <c r="I19">
        <f>IF($A19="","","MSH-TUT-"&amp;TEXT(YEAR(TODAY()),"0000")&amp;"-"&amp;TEXT(ROW()-1,"000"))</f>
        <v/>
      </c>
      <c r="J19">
        <f>IF($A19="","","Pending")</f>
        <v/>
      </c>
    </row>
    <row r="20">
      <c r="I20">
        <f>IF($A20="","","MSH-TUT-"&amp;TEXT(YEAR(TODAY()),"0000")&amp;"-"&amp;TEXT(ROW()-1,"000"))</f>
        <v/>
      </c>
      <c r="J20">
        <f>IF($A20="","","Pending")</f>
        <v/>
      </c>
    </row>
    <row r="21">
      <c r="I21">
        <f>IF($A21="","","MSH-TUT-"&amp;TEXT(YEAR(TODAY()),"0000")&amp;"-"&amp;TEXT(ROW()-1,"000"))</f>
        <v/>
      </c>
      <c r="J21">
        <f>IF($A21="","","Pending")</f>
        <v/>
      </c>
    </row>
    <row r="22">
      <c r="I22">
        <f>IF($A22="","","MSH-TUT-"&amp;TEXT(YEAR(TODAY()),"0000")&amp;"-"&amp;TEXT(ROW()-1,"000"))</f>
        <v/>
      </c>
      <c r="J22">
        <f>IF($A22="","","Pending")</f>
        <v/>
      </c>
    </row>
    <row r="23">
      <c r="I23">
        <f>IF($A23="","","MSH-TUT-"&amp;TEXT(YEAR(TODAY()),"0000")&amp;"-"&amp;TEXT(ROW()-1,"000"))</f>
        <v/>
      </c>
      <c r="J23">
        <f>IF($A23="","","Pending")</f>
        <v/>
      </c>
    </row>
    <row r="24">
      <c r="I24">
        <f>IF($A24="","","MSH-TUT-"&amp;TEXT(YEAR(TODAY()),"0000")&amp;"-"&amp;TEXT(ROW()-1,"000"))</f>
        <v/>
      </c>
      <c r="J24">
        <f>IF($A24="","","Pending")</f>
        <v/>
      </c>
    </row>
    <row r="25">
      <c r="I25">
        <f>IF($A25="","","MSH-TUT-"&amp;TEXT(YEAR(TODAY()),"0000")&amp;"-"&amp;TEXT(ROW()-1,"000"))</f>
        <v/>
      </c>
      <c r="J25">
        <f>IF($A25="","","Pending")</f>
        <v/>
      </c>
    </row>
    <row r="26">
      <c r="I26">
        <f>IF($A26="","","MSH-TUT-"&amp;TEXT(YEAR(TODAY()),"0000")&amp;"-"&amp;TEXT(ROW()-1,"000"))</f>
        <v/>
      </c>
      <c r="J26">
        <f>IF($A26="","","Pending")</f>
        <v/>
      </c>
    </row>
    <row r="27">
      <c r="I27">
        <f>IF($A27="","","MSH-TUT-"&amp;TEXT(YEAR(TODAY()),"0000")&amp;"-"&amp;TEXT(ROW()-1,"000"))</f>
        <v/>
      </c>
      <c r="J27">
        <f>IF($A27="","","Pending")</f>
        <v/>
      </c>
    </row>
    <row r="28">
      <c r="I28">
        <f>IF($A28="","","MSH-TUT-"&amp;TEXT(YEAR(TODAY()),"0000")&amp;"-"&amp;TEXT(ROW()-1,"000"))</f>
        <v/>
      </c>
      <c r="J28">
        <f>IF($A28="","","Pending")</f>
        <v/>
      </c>
    </row>
    <row r="29">
      <c r="I29">
        <f>IF($A29="","","MSH-TUT-"&amp;TEXT(YEAR(TODAY()),"0000")&amp;"-"&amp;TEXT(ROW()-1,"000"))</f>
        <v/>
      </c>
      <c r="J29">
        <f>IF($A29="","","Pending")</f>
        <v/>
      </c>
    </row>
    <row r="30">
      <c r="I30">
        <f>IF($A30="","","MSH-TUT-"&amp;TEXT(YEAR(TODAY()),"0000")&amp;"-"&amp;TEXT(ROW()-1,"000"))</f>
        <v/>
      </c>
      <c r="J30">
        <f>IF($A30="","","Pending")</f>
        <v/>
      </c>
    </row>
    <row r="31">
      <c r="I31">
        <f>IF($A31="","","MSH-TUT-"&amp;TEXT(YEAR(TODAY()),"0000")&amp;"-"&amp;TEXT(ROW()-1,"000"))</f>
        <v/>
      </c>
      <c r="J31">
        <f>IF($A31="","","Pending")</f>
        <v/>
      </c>
    </row>
    <row r="32">
      <c r="I32">
        <f>IF($A32="","","MSH-TUT-"&amp;TEXT(YEAR(TODAY()),"0000")&amp;"-"&amp;TEXT(ROW()-1,"000"))</f>
        <v/>
      </c>
      <c r="J32">
        <f>IF($A32="","","Pending")</f>
        <v/>
      </c>
    </row>
    <row r="33">
      <c r="I33">
        <f>IF($A33="","","MSH-TUT-"&amp;TEXT(YEAR(TODAY()),"0000")&amp;"-"&amp;TEXT(ROW()-1,"000"))</f>
        <v/>
      </c>
      <c r="J33">
        <f>IF($A33="","","Pending")</f>
        <v/>
      </c>
    </row>
    <row r="34">
      <c r="I34">
        <f>IF($A34="","","MSH-TUT-"&amp;TEXT(YEAR(TODAY()),"0000")&amp;"-"&amp;TEXT(ROW()-1,"000"))</f>
        <v/>
      </c>
      <c r="J34">
        <f>IF($A34="","","Pending")</f>
        <v/>
      </c>
    </row>
    <row r="35">
      <c r="I35">
        <f>IF($A35="","","MSH-TUT-"&amp;TEXT(YEAR(TODAY()),"0000")&amp;"-"&amp;TEXT(ROW()-1,"000"))</f>
        <v/>
      </c>
      <c r="J35">
        <f>IF($A35="","","Pending")</f>
        <v/>
      </c>
    </row>
    <row r="36">
      <c r="I36">
        <f>IF($A36="","","MSH-TUT-"&amp;TEXT(YEAR(TODAY()),"0000")&amp;"-"&amp;TEXT(ROW()-1,"000"))</f>
        <v/>
      </c>
      <c r="J36">
        <f>IF($A36="","","Pending")</f>
        <v/>
      </c>
    </row>
    <row r="37">
      <c r="I37">
        <f>IF($A37="","","MSH-TUT-"&amp;TEXT(YEAR(TODAY()),"0000")&amp;"-"&amp;TEXT(ROW()-1,"000"))</f>
        <v/>
      </c>
      <c r="J37">
        <f>IF($A37="","","Pending")</f>
        <v/>
      </c>
    </row>
    <row r="38">
      <c r="I38">
        <f>IF($A38="","","MSH-TUT-"&amp;TEXT(YEAR(TODAY()),"0000")&amp;"-"&amp;TEXT(ROW()-1,"000"))</f>
        <v/>
      </c>
      <c r="J38">
        <f>IF($A38="","","Pending")</f>
        <v/>
      </c>
    </row>
    <row r="39">
      <c r="I39">
        <f>IF($A39="","","MSH-TUT-"&amp;TEXT(YEAR(TODAY()),"0000")&amp;"-"&amp;TEXT(ROW()-1,"000"))</f>
        <v/>
      </c>
      <c r="J39">
        <f>IF($A39="","","Pending")</f>
        <v/>
      </c>
    </row>
    <row r="40">
      <c r="I40">
        <f>IF($A40="","","MSH-TUT-"&amp;TEXT(YEAR(TODAY()),"0000")&amp;"-"&amp;TEXT(ROW()-1,"000"))</f>
        <v/>
      </c>
      <c r="J40">
        <f>IF($A40="","","Pending")</f>
        <v/>
      </c>
    </row>
    <row r="41">
      <c r="I41">
        <f>IF($A41="","","MSH-TUT-"&amp;TEXT(YEAR(TODAY()),"0000")&amp;"-"&amp;TEXT(ROW()-1,"000"))</f>
        <v/>
      </c>
      <c r="J41">
        <f>IF($A41="","","Pending")</f>
        <v/>
      </c>
    </row>
    <row r="42">
      <c r="I42">
        <f>IF($A42="","","MSH-TUT-"&amp;TEXT(YEAR(TODAY()),"0000")&amp;"-"&amp;TEXT(ROW()-1,"000"))</f>
        <v/>
      </c>
      <c r="J42">
        <f>IF($A42="","","Pending")</f>
        <v/>
      </c>
    </row>
    <row r="43">
      <c r="I43">
        <f>IF($A43="","","MSH-TUT-"&amp;TEXT(YEAR(TODAY()),"0000")&amp;"-"&amp;TEXT(ROW()-1,"000"))</f>
        <v/>
      </c>
      <c r="J43">
        <f>IF($A43="","","Pending")</f>
        <v/>
      </c>
    </row>
    <row r="44">
      <c r="I44">
        <f>IF($A44="","","MSH-TUT-"&amp;TEXT(YEAR(TODAY()),"0000")&amp;"-"&amp;TEXT(ROW()-1,"000"))</f>
        <v/>
      </c>
      <c r="J44">
        <f>IF($A44="","","Pending")</f>
        <v/>
      </c>
    </row>
    <row r="45">
      <c r="I45">
        <f>IF($A45="","","MSH-TUT-"&amp;TEXT(YEAR(TODAY()),"0000")&amp;"-"&amp;TEXT(ROW()-1,"000"))</f>
        <v/>
      </c>
      <c r="J45">
        <f>IF($A45="","","Pending")</f>
        <v/>
      </c>
    </row>
    <row r="46">
      <c r="I46">
        <f>IF($A46="","","MSH-TUT-"&amp;TEXT(YEAR(TODAY()),"0000")&amp;"-"&amp;TEXT(ROW()-1,"000"))</f>
        <v/>
      </c>
      <c r="J46">
        <f>IF($A46="","","Pending")</f>
        <v/>
      </c>
    </row>
    <row r="47">
      <c r="I47">
        <f>IF($A47="","","MSH-TUT-"&amp;TEXT(YEAR(TODAY()),"0000")&amp;"-"&amp;TEXT(ROW()-1,"000"))</f>
        <v/>
      </c>
      <c r="J47">
        <f>IF($A47="","","Pending")</f>
        <v/>
      </c>
    </row>
    <row r="48">
      <c r="I48">
        <f>IF($A48="","","MSH-TUT-"&amp;TEXT(YEAR(TODAY()),"0000")&amp;"-"&amp;TEXT(ROW()-1,"000"))</f>
        <v/>
      </c>
      <c r="J48">
        <f>IF($A48="","","Pending")</f>
        <v/>
      </c>
    </row>
    <row r="49">
      <c r="I49">
        <f>IF($A49="","","MSH-TUT-"&amp;TEXT(YEAR(TODAY()),"0000")&amp;"-"&amp;TEXT(ROW()-1,"000"))</f>
        <v/>
      </c>
      <c r="J49">
        <f>IF($A49="","","Pending")</f>
        <v/>
      </c>
    </row>
    <row r="50">
      <c r="I50">
        <f>IF($A50="","","MSH-TUT-"&amp;TEXT(YEAR(TODAY()),"0000")&amp;"-"&amp;TEXT(ROW()-1,"000"))</f>
        <v/>
      </c>
      <c r="J50">
        <f>IF($A50="","","Pending")</f>
        <v/>
      </c>
    </row>
    <row r="51">
      <c r="I51">
        <f>IF($A51="","","MSH-TUT-"&amp;TEXT(YEAR(TODAY()),"0000")&amp;"-"&amp;TEXT(ROW()-1,"000"))</f>
        <v/>
      </c>
      <c r="J51">
        <f>IF($A51="","","Pending")</f>
        <v/>
      </c>
    </row>
    <row r="52">
      <c r="I52">
        <f>IF($A52="","","MSH-TUT-"&amp;TEXT(YEAR(TODAY()),"0000")&amp;"-"&amp;TEXT(ROW()-1,"000"))</f>
        <v/>
      </c>
      <c r="J52">
        <f>IF($A52="","","Pending")</f>
        <v/>
      </c>
    </row>
    <row r="53">
      <c r="I53">
        <f>IF($A53="","","MSH-TUT-"&amp;TEXT(YEAR(TODAY()),"0000")&amp;"-"&amp;TEXT(ROW()-1,"000"))</f>
        <v/>
      </c>
      <c r="J53">
        <f>IF($A53="","","Pending")</f>
        <v/>
      </c>
    </row>
    <row r="54">
      <c r="I54">
        <f>IF($A54="","","MSH-TUT-"&amp;TEXT(YEAR(TODAY()),"0000")&amp;"-"&amp;TEXT(ROW()-1,"000"))</f>
        <v/>
      </c>
      <c r="J54">
        <f>IF($A54="","","Pending")</f>
        <v/>
      </c>
    </row>
    <row r="55">
      <c r="I55">
        <f>IF($A55="","","MSH-TUT-"&amp;TEXT(YEAR(TODAY()),"0000")&amp;"-"&amp;TEXT(ROW()-1,"000"))</f>
        <v/>
      </c>
      <c r="J55">
        <f>IF($A55="","","Pending")</f>
        <v/>
      </c>
    </row>
    <row r="56">
      <c r="I56">
        <f>IF($A56="","","MSH-TUT-"&amp;TEXT(YEAR(TODAY()),"0000")&amp;"-"&amp;TEXT(ROW()-1,"000"))</f>
        <v/>
      </c>
      <c r="J56">
        <f>IF($A56="","","Pending")</f>
        <v/>
      </c>
    </row>
    <row r="57">
      <c r="I57">
        <f>IF($A57="","","MSH-TUT-"&amp;TEXT(YEAR(TODAY()),"0000")&amp;"-"&amp;TEXT(ROW()-1,"000"))</f>
        <v/>
      </c>
      <c r="J57">
        <f>IF($A57="","","Pending")</f>
        <v/>
      </c>
    </row>
    <row r="58">
      <c r="I58">
        <f>IF($A58="","","MSH-TUT-"&amp;TEXT(YEAR(TODAY()),"0000")&amp;"-"&amp;TEXT(ROW()-1,"000"))</f>
        <v/>
      </c>
      <c r="J58">
        <f>IF($A58="","","Pending")</f>
        <v/>
      </c>
    </row>
    <row r="59">
      <c r="I59">
        <f>IF($A59="","","MSH-TUT-"&amp;TEXT(YEAR(TODAY()),"0000")&amp;"-"&amp;TEXT(ROW()-1,"000"))</f>
        <v/>
      </c>
      <c r="J59">
        <f>IF($A59="","","Pending")</f>
        <v/>
      </c>
    </row>
    <row r="60">
      <c r="I60">
        <f>IF($A60="","","MSH-TUT-"&amp;TEXT(YEAR(TODAY()),"0000")&amp;"-"&amp;TEXT(ROW()-1,"000"))</f>
        <v/>
      </c>
      <c r="J60">
        <f>IF($A60="","","Pending")</f>
        <v/>
      </c>
    </row>
    <row r="61">
      <c r="I61">
        <f>IF($A61="","","MSH-TUT-"&amp;TEXT(YEAR(TODAY()),"0000")&amp;"-"&amp;TEXT(ROW()-1,"000"))</f>
        <v/>
      </c>
      <c r="J61">
        <f>IF($A61="","","Pending")</f>
        <v/>
      </c>
    </row>
    <row r="62">
      <c r="I62">
        <f>IF($A62="","","MSH-TUT-"&amp;TEXT(YEAR(TODAY()),"0000")&amp;"-"&amp;TEXT(ROW()-1,"000"))</f>
        <v/>
      </c>
      <c r="J62">
        <f>IF($A62="","","Pending")</f>
        <v/>
      </c>
    </row>
    <row r="63">
      <c r="I63">
        <f>IF($A63="","","MSH-TUT-"&amp;TEXT(YEAR(TODAY()),"0000")&amp;"-"&amp;TEXT(ROW()-1,"000"))</f>
        <v/>
      </c>
      <c r="J63">
        <f>IF($A63="","","Pending")</f>
        <v/>
      </c>
    </row>
    <row r="64">
      <c r="I64">
        <f>IF($A64="","","MSH-TUT-"&amp;TEXT(YEAR(TODAY()),"0000")&amp;"-"&amp;TEXT(ROW()-1,"000"))</f>
        <v/>
      </c>
      <c r="J64">
        <f>IF($A64="","","Pending")</f>
        <v/>
      </c>
    </row>
    <row r="65">
      <c r="I65">
        <f>IF($A65="","","MSH-TUT-"&amp;TEXT(YEAR(TODAY()),"0000")&amp;"-"&amp;TEXT(ROW()-1,"000"))</f>
        <v/>
      </c>
      <c r="J65">
        <f>IF($A65="","","Pending")</f>
        <v/>
      </c>
    </row>
    <row r="66">
      <c r="I66">
        <f>IF($A66="","","MSH-TUT-"&amp;TEXT(YEAR(TODAY()),"0000")&amp;"-"&amp;TEXT(ROW()-1,"000"))</f>
        <v/>
      </c>
      <c r="J66">
        <f>IF($A66="","","Pending")</f>
        <v/>
      </c>
    </row>
    <row r="67">
      <c r="I67">
        <f>IF($A67="","","MSH-TUT-"&amp;TEXT(YEAR(TODAY()),"0000")&amp;"-"&amp;TEXT(ROW()-1,"000"))</f>
        <v/>
      </c>
      <c r="J67">
        <f>IF($A67="","","Pending")</f>
        <v/>
      </c>
    </row>
    <row r="68">
      <c r="I68">
        <f>IF($A68="","","MSH-TUT-"&amp;TEXT(YEAR(TODAY()),"0000")&amp;"-"&amp;TEXT(ROW()-1,"000"))</f>
        <v/>
      </c>
      <c r="J68">
        <f>IF($A68="","","Pending")</f>
        <v/>
      </c>
    </row>
    <row r="69">
      <c r="I69">
        <f>IF($A69="","","MSH-TUT-"&amp;TEXT(YEAR(TODAY()),"0000")&amp;"-"&amp;TEXT(ROW()-1,"000"))</f>
        <v/>
      </c>
      <c r="J69">
        <f>IF($A69="","","Pending")</f>
        <v/>
      </c>
    </row>
    <row r="70">
      <c r="I70">
        <f>IF($A70="","","MSH-TUT-"&amp;TEXT(YEAR(TODAY()),"0000")&amp;"-"&amp;TEXT(ROW()-1,"000"))</f>
        <v/>
      </c>
      <c r="J70">
        <f>IF($A70="","","Pending")</f>
        <v/>
      </c>
    </row>
    <row r="71">
      <c r="I71">
        <f>IF($A71="","","MSH-TUT-"&amp;TEXT(YEAR(TODAY()),"0000")&amp;"-"&amp;TEXT(ROW()-1,"000"))</f>
        <v/>
      </c>
      <c r="J71">
        <f>IF($A71="","","Pending")</f>
        <v/>
      </c>
    </row>
    <row r="72">
      <c r="I72">
        <f>IF($A72="","","MSH-TUT-"&amp;TEXT(YEAR(TODAY()),"0000")&amp;"-"&amp;TEXT(ROW()-1,"000"))</f>
        <v/>
      </c>
      <c r="J72">
        <f>IF($A72="","","Pending")</f>
        <v/>
      </c>
    </row>
    <row r="73">
      <c r="I73">
        <f>IF($A73="","","MSH-TUT-"&amp;TEXT(YEAR(TODAY()),"0000")&amp;"-"&amp;TEXT(ROW()-1,"000"))</f>
        <v/>
      </c>
      <c r="J73">
        <f>IF($A73="","","Pending")</f>
        <v/>
      </c>
    </row>
    <row r="74">
      <c r="I74">
        <f>IF($A74="","","MSH-TUT-"&amp;TEXT(YEAR(TODAY()),"0000")&amp;"-"&amp;TEXT(ROW()-1,"000"))</f>
        <v/>
      </c>
      <c r="J74">
        <f>IF($A74="","","Pending")</f>
        <v/>
      </c>
    </row>
    <row r="75">
      <c r="I75">
        <f>IF($A75="","","MSH-TUT-"&amp;TEXT(YEAR(TODAY()),"0000")&amp;"-"&amp;TEXT(ROW()-1,"000"))</f>
        <v/>
      </c>
      <c r="J75">
        <f>IF($A75="","","Pending")</f>
        <v/>
      </c>
    </row>
    <row r="76">
      <c r="I76">
        <f>IF($A76="","","MSH-TUT-"&amp;TEXT(YEAR(TODAY()),"0000")&amp;"-"&amp;TEXT(ROW()-1,"000"))</f>
        <v/>
      </c>
      <c r="J76">
        <f>IF($A76="","","Pending")</f>
        <v/>
      </c>
    </row>
    <row r="77">
      <c r="I77">
        <f>IF($A77="","","MSH-TUT-"&amp;TEXT(YEAR(TODAY()),"0000")&amp;"-"&amp;TEXT(ROW()-1,"000"))</f>
        <v/>
      </c>
      <c r="J77">
        <f>IF($A77="","","Pending")</f>
        <v/>
      </c>
    </row>
    <row r="78">
      <c r="I78">
        <f>IF($A78="","","MSH-TUT-"&amp;TEXT(YEAR(TODAY()),"0000")&amp;"-"&amp;TEXT(ROW()-1,"000"))</f>
        <v/>
      </c>
      <c r="J78">
        <f>IF($A78="","","Pending")</f>
        <v/>
      </c>
    </row>
    <row r="79">
      <c r="I79">
        <f>IF($A79="","","MSH-TUT-"&amp;TEXT(YEAR(TODAY()),"0000")&amp;"-"&amp;TEXT(ROW()-1,"000"))</f>
        <v/>
      </c>
      <c r="J79">
        <f>IF($A79="","","Pending")</f>
        <v/>
      </c>
    </row>
    <row r="80">
      <c r="I80">
        <f>IF($A80="","","MSH-TUT-"&amp;TEXT(YEAR(TODAY()),"0000")&amp;"-"&amp;TEXT(ROW()-1,"000"))</f>
        <v/>
      </c>
      <c r="J80">
        <f>IF($A80="","","Pending")</f>
        <v/>
      </c>
    </row>
    <row r="81">
      <c r="I81">
        <f>IF($A81="","","MSH-TUT-"&amp;TEXT(YEAR(TODAY()),"0000")&amp;"-"&amp;TEXT(ROW()-1,"000"))</f>
        <v/>
      </c>
      <c r="J81">
        <f>IF($A81="","","Pending")</f>
        <v/>
      </c>
    </row>
    <row r="82">
      <c r="I82">
        <f>IF($A82="","","MSH-TUT-"&amp;TEXT(YEAR(TODAY()),"0000")&amp;"-"&amp;TEXT(ROW()-1,"000"))</f>
        <v/>
      </c>
      <c r="J82">
        <f>IF($A82="","","Pending")</f>
        <v/>
      </c>
    </row>
    <row r="83">
      <c r="I83">
        <f>IF($A83="","","MSH-TUT-"&amp;TEXT(YEAR(TODAY()),"0000")&amp;"-"&amp;TEXT(ROW()-1,"000"))</f>
        <v/>
      </c>
      <c r="J83">
        <f>IF($A83="","","Pending")</f>
        <v/>
      </c>
    </row>
    <row r="84">
      <c r="I84">
        <f>IF($A84="","","MSH-TUT-"&amp;TEXT(YEAR(TODAY()),"0000")&amp;"-"&amp;TEXT(ROW()-1,"000"))</f>
        <v/>
      </c>
      <c r="J84">
        <f>IF($A84="","","Pending")</f>
        <v/>
      </c>
    </row>
    <row r="85">
      <c r="I85">
        <f>IF($A85="","","MSH-TUT-"&amp;TEXT(YEAR(TODAY()),"0000")&amp;"-"&amp;TEXT(ROW()-1,"000"))</f>
        <v/>
      </c>
      <c r="J85">
        <f>IF($A85="","","Pending")</f>
        <v/>
      </c>
    </row>
    <row r="86">
      <c r="I86">
        <f>IF($A86="","","MSH-TUT-"&amp;TEXT(YEAR(TODAY()),"0000")&amp;"-"&amp;TEXT(ROW()-1,"000"))</f>
        <v/>
      </c>
      <c r="J86">
        <f>IF($A86="","","Pending")</f>
        <v/>
      </c>
    </row>
    <row r="87">
      <c r="I87">
        <f>IF($A87="","","MSH-TUT-"&amp;TEXT(YEAR(TODAY()),"0000")&amp;"-"&amp;TEXT(ROW()-1,"000"))</f>
        <v/>
      </c>
      <c r="J87">
        <f>IF($A87="","","Pending")</f>
        <v/>
      </c>
    </row>
    <row r="88">
      <c r="I88">
        <f>IF($A88="","","MSH-TUT-"&amp;TEXT(YEAR(TODAY()),"0000")&amp;"-"&amp;TEXT(ROW()-1,"000"))</f>
        <v/>
      </c>
      <c r="J88">
        <f>IF($A88="","","Pending")</f>
        <v/>
      </c>
    </row>
    <row r="89">
      <c r="I89">
        <f>IF($A89="","","MSH-TUT-"&amp;TEXT(YEAR(TODAY()),"0000")&amp;"-"&amp;TEXT(ROW()-1,"000"))</f>
        <v/>
      </c>
      <c r="J89">
        <f>IF($A89="","","Pending")</f>
        <v/>
      </c>
    </row>
    <row r="90">
      <c r="I90">
        <f>IF($A90="","","MSH-TUT-"&amp;TEXT(YEAR(TODAY()),"0000")&amp;"-"&amp;TEXT(ROW()-1,"000"))</f>
        <v/>
      </c>
      <c r="J90">
        <f>IF($A90="","","Pending")</f>
        <v/>
      </c>
    </row>
    <row r="91">
      <c r="I91">
        <f>IF($A91="","","MSH-TUT-"&amp;TEXT(YEAR(TODAY()),"0000")&amp;"-"&amp;TEXT(ROW()-1,"000"))</f>
        <v/>
      </c>
      <c r="J91">
        <f>IF($A91="","","Pending")</f>
        <v/>
      </c>
    </row>
    <row r="92">
      <c r="I92">
        <f>IF($A92="","","MSH-TUT-"&amp;TEXT(YEAR(TODAY()),"0000")&amp;"-"&amp;TEXT(ROW()-1,"000"))</f>
        <v/>
      </c>
      <c r="J92">
        <f>IF($A92="","","Pending")</f>
        <v/>
      </c>
    </row>
    <row r="93">
      <c r="I93">
        <f>IF($A93="","","MSH-TUT-"&amp;TEXT(YEAR(TODAY()),"0000")&amp;"-"&amp;TEXT(ROW()-1,"000"))</f>
        <v/>
      </c>
      <c r="J93">
        <f>IF($A93="","","Pending")</f>
        <v/>
      </c>
    </row>
    <row r="94">
      <c r="I94">
        <f>IF($A94="","","MSH-TUT-"&amp;TEXT(YEAR(TODAY()),"0000")&amp;"-"&amp;TEXT(ROW()-1,"000"))</f>
        <v/>
      </c>
      <c r="J94">
        <f>IF($A94="","","Pending")</f>
        <v/>
      </c>
    </row>
    <row r="95">
      <c r="I95">
        <f>IF($A95="","","MSH-TUT-"&amp;TEXT(YEAR(TODAY()),"0000")&amp;"-"&amp;TEXT(ROW()-1,"000"))</f>
        <v/>
      </c>
      <c r="J95">
        <f>IF($A95="","","Pending")</f>
        <v/>
      </c>
    </row>
    <row r="96">
      <c r="I96">
        <f>IF($A96="","","MSH-TUT-"&amp;TEXT(YEAR(TODAY()),"0000")&amp;"-"&amp;TEXT(ROW()-1,"000"))</f>
        <v/>
      </c>
      <c r="J96">
        <f>IF($A96="","","Pending")</f>
        <v/>
      </c>
    </row>
    <row r="97">
      <c r="I97">
        <f>IF($A97="","","MSH-TUT-"&amp;TEXT(YEAR(TODAY()),"0000")&amp;"-"&amp;TEXT(ROW()-1,"000"))</f>
        <v/>
      </c>
      <c r="J97">
        <f>IF($A97="","","Pending")</f>
        <v/>
      </c>
    </row>
    <row r="98">
      <c r="I98">
        <f>IF($A98="","","MSH-TUT-"&amp;TEXT(YEAR(TODAY()),"0000")&amp;"-"&amp;TEXT(ROW()-1,"000"))</f>
        <v/>
      </c>
      <c r="J98">
        <f>IF($A98="","","Pending")</f>
        <v/>
      </c>
    </row>
    <row r="99">
      <c r="I99">
        <f>IF($A99="","","MSH-TUT-"&amp;TEXT(YEAR(TODAY()),"0000")&amp;"-"&amp;TEXT(ROW()-1,"000"))</f>
        <v/>
      </c>
      <c r="J99">
        <f>IF($A99="","","Pending")</f>
        <v/>
      </c>
    </row>
    <row r="100">
      <c r="I100">
        <f>IF($A100="","","MSH-TUT-"&amp;TEXT(YEAR(TODAY()),"0000")&amp;"-"&amp;TEXT(ROW()-1,"000"))</f>
        <v/>
      </c>
      <c r="J100">
        <f>IF($A100="","","Pending")</f>
        <v/>
      </c>
    </row>
    <row r="101">
      <c r="I101">
        <f>IF($A101="","","MSH-TUT-"&amp;TEXT(YEAR(TODAY()),"0000")&amp;"-"&amp;TEXT(ROW()-1,"000"))</f>
        <v/>
      </c>
      <c r="J101">
        <f>IF($A101="","","Pending")</f>
        <v/>
      </c>
    </row>
    <row r="102">
      <c r="I102">
        <f>IF($A102="","","MSH-TUT-"&amp;TEXT(YEAR(TODAY()),"0000")&amp;"-"&amp;TEXT(ROW()-1,"000"))</f>
        <v/>
      </c>
      <c r="J102">
        <f>IF($A102="","","Pending")</f>
        <v/>
      </c>
    </row>
    <row r="103">
      <c r="I103">
        <f>IF($A103="","","MSH-TUT-"&amp;TEXT(YEAR(TODAY()),"0000")&amp;"-"&amp;TEXT(ROW()-1,"000"))</f>
        <v/>
      </c>
      <c r="J103">
        <f>IF($A103="","","Pending")</f>
        <v/>
      </c>
    </row>
    <row r="104">
      <c r="I104">
        <f>IF($A104="","","MSH-TUT-"&amp;TEXT(YEAR(TODAY()),"0000")&amp;"-"&amp;TEXT(ROW()-1,"000"))</f>
        <v/>
      </c>
      <c r="J104">
        <f>IF($A104="","","Pending")</f>
        <v/>
      </c>
    </row>
    <row r="105">
      <c r="I105">
        <f>IF($A105="","","MSH-TUT-"&amp;TEXT(YEAR(TODAY()),"0000")&amp;"-"&amp;TEXT(ROW()-1,"000"))</f>
        <v/>
      </c>
      <c r="J105">
        <f>IF($A105="","","Pending")</f>
        <v/>
      </c>
    </row>
    <row r="106">
      <c r="I106">
        <f>IF($A106="","","MSH-TUT-"&amp;TEXT(YEAR(TODAY()),"0000")&amp;"-"&amp;TEXT(ROW()-1,"000"))</f>
        <v/>
      </c>
      <c r="J106">
        <f>IF($A106="","","Pending")</f>
        <v/>
      </c>
    </row>
    <row r="107">
      <c r="I107">
        <f>IF($A107="","","MSH-TUT-"&amp;TEXT(YEAR(TODAY()),"0000")&amp;"-"&amp;TEXT(ROW()-1,"000"))</f>
        <v/>
      </c>
      <c r="J107">
        <f>IF($A107="","","Pending")</f>
        <v/>
      </c>
    </row>
    <row r="108">
      <c r="I108">
        <f>IF($A108="","","MSH-TUT-"&amp;TEXT(YEAR(TODAY()),"0000")&amp;"-"&amp;TEXT(ROW()-1,"000"))</f>
        <v/>
      </c>
      <c r="J108">
        <f>IF($A108="","","Pending")</f>
        <v/>
      </c>
    </row>
    <row r="109">
      <c r="I109">
        <f>IF($A109="","","MSH-TUT-"&amp;TEXT(YEAR(TODAY()),"0000")&amp;"-"&amp;TEXT(ROW()-1,"000"))</f>
        <v/>
      </c>
      <c r="J109">
        <f>IF($A109="","","Pending")</f>
        <v/>
      </c>
    </row>
    <row r="110">
      <c r="I110">
        <f>IF($A110="","","MSH-TUT-"&amp;TEXT(YEAR(TODAY()),"0000")&amp;"-"&amp;TEXT(ROW()-1,"000"))</f>
        <v/>
      </c>
      <c r="J110">
        <f>IF($A110="","","Pending")</f>
        <v/>
      </c>
    </row>
    <row r="111">
      <c r="I111">
        <f>IF($A111="","","MSH-TUT-"&amp;TEXT(YEAR(TODAY()),"0000")&amp;"-"&amp;TEXT(ROW()-1,"000"))</f>
        <v/>
      </c>
      <c r="J111">
        <f>IF($A111="","","Pending")</f>
        <v/>
      </c>
    </row>
    <row r="112">
      <c r="I112">
        <f>IF($A112="","","MSH-TUT-"&amp;TEXT(YEAR(TODAY()),"0000")&amp;"-"&amp;TEXT(ROW()-1,"000"))</f>
        <v/>
      </c>
      <c r="J112">
        <f>IF($A112="","","Pending")</f>
        <v/>
      </c>
    </row>
    <row r="113">
      <c r="I113">
        <f>IF($A113="","","MSH-TUT-"&amp;TEXT(YEAR(TODAY()),"0000")&amp;"-"&amp;TEXT(ROW()-1,"000"))</f>
        <v/>
      </c>
      <c r="J113">
        <f>IF($A113="","","Pending")</f>
        <v/>
      </c>
    </row>
    <row r="114">
      <c r="I114">
        <f>IF($A114="","","MSH-TUT-"&amp;TEXT(YEAR(TODAY()),"0000")&amp;"-"&amp;TEXT(ROW()-1,"000"))</f>
        <v/>
      </c>
      <c r="J114">
        <f>IF($A114="","","Pending")</f>
        <v/>
      </c>
    </row>
    <row r="115">
      <c r="I115">
        <f>IF($A115="","","MSH-TUT-"&amp;TEXT(YEAR(TODAY()),"0000")&amp;"-"&amp;TEXT(ROW()-1,"000"))</f>
        <v/>
      </c>
      <c r="J115">
        <f>IF($A115="","","Pending")</f>
        <v/>
      </c>
    </row>
    <row r="116">
      <c r="I116">
        <f>IF($A116="","","MSH-TUT-"&amp;TEXT(YEAR(TODAY()),"0000")&amp;"-"&amp;TEXT(ROW()-1,"000"))</f>
        <v/>
      </c>
      <c r="J116">
        <f>IF($A116="","","Pending")</f>
        <v/>
      </c>
    </row>
    <row r="117">
      <c r="I117">
        <f>IF($A117="","","MSH-TUT-"&amp;TEXT(YEAR(TODAY()),"0000")&amp;"-"&amp;TEXT(ROW()-1,"000"))</f>
        <v/>
      </c>
      <c r="J117">
        <f>IF($A117="","","Pending")</f>
        <v/>
      </c>
    </row>
    <row r="118">
      <c r="I118">
        <f>IF($A118="","","MSH-TUT-"&amp;TEXT(YEAR(TODAY()),"0000")&amp;"-"&amp;TEXT(ROW()-1,"000"))</f>
        <v/>
      </c>
      <c r="J118">
        <f>IF($A118="","","Pending")</f>
        <v/>
      </c>
    </row>
    <row r="119">
      <c r="I119">
        <f>IF($A119="","","MSH-TUT-"&amp;TEXT(YEAR(TODAY()),"0000")&amp;"-"&amp;TEXT(ROW()-1,"000"))</f>
        <v/>
      </c>
      <c r="J119">
        <f>IF($A119="","","Pending")</f>
        <v/>
      </c>
    </row>
    <row r="120">
      <c r="I120">
        <f>IF($A120="","","MSH-TUT-"&amp;TEXT(YEAR(TODAY()),"0000")&amp;"-"&amp;TEXT(ROW()-1,"000"))</f>
        <v/>
      </c>
      <c r="J120">
        <f>IF($A120="","","Pending")</f>
        <v/>
      </c>
    </row>
    <row r="121">
      <c r="I121">
        <f>IF($A121="","","MSH-TUT-"&amp;TEXT(YEAR(TODAY()),"0000")&amp;"-"&amp;TEXT(ROW()-1,"000"))</f>
        <v/>
      </c>
      <c r="J121">
        <f>IF($A121="","","Pending")</f>
        <v/>
      </c>
    </row>
    <row r="122">
      <c r="I122">
        <f>IF($A122="","","MSH-TUT-"&amp;TEXT(YEAR(TODAY()),"0000")&amp;"-"&amp;TEXT(ROW()-1,"000"))</f>
        <v/>
      </c>
      <c r="J122">
        <f>IF($A122="","","Pending")</f>
        <v/>
      </c>
    </row>
    <row r="123">
      <c r="I123">
        <f>IF($A123="","","MSH-TUT-"&amp;TEXT(YEAR(TODAY()),"0000")&amp;"-"&amp;TEXT(ROW()-1,"000"))</f>
        <v/>
      </c>
      <c r="J123">
        <f>IF($A123="","","Pending")</f>
        <v/>
      </c>
    </row>
    <row r="124">
      <c r="I124">
        <f>IF($A124="","","MSH-TUT-"&amp;TEXT(YEAR(TODAY()),"0000")&amp;"-"&amp;TEXT(ROW()-1,"000"))</f>
        <v/>
      </c>
      <c r="J124">
        <f>IF($A124="","","Pending")</f>
        <v/>
      </c>
    </row>
    <row r="125">
      <c r="I125">
        <f>IF($A125="","","MSH-TUT-"&amp;TEXT(YEAR(TODAY()),"0000")&amp;"-"&amp;TEXT(ROW()-1,"000"))</f>
        <v/>
      </c>
      <c r="J125">
        <f>IF($A125="","","Pending")</f>
        <v/>
      </c>
    </row>
    <row r="126">
      <c r="I126">
        <f>IF($A126="","","MSH-TUT-"&amp;TEXT(YEAR(TODAY()),"0000")&amp;"-"&amp;TEXT(ROW()-1,"000"))</f>
        <v/>
      </c>
      <c r="J126">
        <f>IF($A126="","","Pending")</f>
        <v/>
      </c>
    </row>
    <row r="127">
      <c r="I127">
        <f>IF($A127="","","MSH-TUT-"&amp;TEXT(YEAR(TODAY()),"0000")&amp;"-"&amp;TEXT(ROW()-1,"000"))</f>
        <v/>
      </c>
      <c r="J127">
        <f>IF($A127="","","Pending")</f>
        <v/>
      </c>
    </row>
    <row r="128">
      <c r="I128">
        <f>IF($A128="","","MSH-TUT-"&amp;TEXT(YEAR(TODAY()),"0000")&amp;"-"&amp;TEXT(ROW()-1,"000"))</f>
        <v/>
      </c>
      <c r="J128">
        <f>IF($A128="","","Pending")</f>
        <v/>
      </c>
    </row>
    <row r="129">
      <c r="I129">
        <f>IF($A129="","","MSH-TUT-"&amp;TEXT(YEAR(TODAY()),"0000")&amp;"-"&amp;TEXT(ROW()-1,"000"))</f>
        <v/>
      </c>
      <c r="J129">
        <f>IF($A129="","","Pending")</f>
        <v/>
      </c>
    </row>
    <row r="130">
      <c r="I130">
        <f>IF($A130="","","MSH-TUT-"&amp;TEXT(YEAR(TODAY()),"0000")&amp;"-"&amp;TEXT(ROW()-1,"000"))</f>
        <v/>
      </c>
      <c r="J130">
        <f>IF($A130="","","Pending")</f>
        <v/>
      </c>
    </row>
    <row r="131">
      <c r="I131">
        <f>IF($A131="","","MSH-TUT-"&amp;TEXT(YEAR(TODAY()),"0000")&amp;"-"&amp;TEXT(ROW()-1,"000"))</f>
        <v/>
      </c>
      <c r="J131">
        <f>IF($A131="","","Pending")</f>
        <v/>
      </c>
    </row>
    <row r="132">
      <c r="I132">
        <f>IF($A132="","","MSH-TUT-"&amp;TEXT(YEAR(TODAY()),"0000")&amp;"-"&amp;TEXT(ROW()-1,"000"))</f>
        <v/>
      </c>
      <c r="J132">
        <f>IF($A132="","","Pending")</f>
        <v/>
      </c>
    </row>
    <row r="133">
      <c r="I133">
        <f>IF($A133="","","MSH-TUT-"&amp;TEXT(YEAR(TODAY()),"0000")&amp;"-"&amp;TEXT(ROW()-1,"000"))</f>
        <v/>
      </c>
      <c r="J133">
        <f>IF($A133="","","Pending")</f>
        <v/>
      </c>
    </row>
    <row r="134">
      <c r="I134">
        <f>IF($A134="","","MSH-TUT-"&amp;TEXT(YEAR(TODAY()),"0000")&amp;"-"&amp;TEXT(ROW()-1,"000"))</f>
        <v/>
      </c>
      <c r="J134">
        <f>IF($A134="","","Pending")</f>
        <v/>
      </c>
    </row>
    <row r="135">
      <c r="I135">
        <f>IF($A135="","","MSH-TUT-"&amp;TEXT(YEAR(TODAY()),"0000")&amp;"-"&amp;TEXT(ROW()-1,"000"))</f>
        <v/>
      </c>
      <c r="J135">
        <f>IF($A135="","","Pending")</f>
        <v/>
      </c>
    </row>
    <row r="136">
      <c r="I136">
        <f>IF($A136="","","MSH-TUT-"&amp;TEXT(YEAR(TODAY()),"0000")&amp;"-"&amp;TEXT(ROW()-1,"000"))</f>
        <v/>
      </c>
      <c r="J136">
        <f>IF($A136="","","Pending")</f>
        <v/>
      </c>
    </row>
    <row r="137">
      <c r="I137">
        <f>IF($A137="","","MSH-TUT-"&amp;TEXT(YEAR(TODAY()),"0000")&amp;"-"&amp;TEXT(ROW()-1,"000"))</f>
        <v/>
      </c>
      <c r="J137">
        <f>IF($A137="","","Pending")</f>
        <v/>
      </c>
    </row>
    <row r="138">
      <c r="I138">
        <f>IF($A138="","","MSH-TUT-"&amp;TEXT(YEAR(TODAY()),"0000")&amp;"-"&amp;TEXT(ROW()-1,"000"))</f>
        <v/>
      </c>
      <c r="J138">
        <f>IF($A138="","","Pending")</f>
        <v/>
      </c>
    </row>
    <row r="139">
      <c r="I139">
        <f>IF($A139="","","MSH-TUT-"&amp;TEXT(YEAR(TODAY()),"0000")&amp;"-"&amp;TEXT(ROW()-1,"000"))</f>
        <v/>
      </c>
      <c r="J139">
        <f>IF($A139="","","Pending")</f>
        <v/>
      </c>
    </row>
    <row r="140">
      <c r="I140">
        <f>IF($A140="","","MSH-TUT-"&amp;TEXT(YEAR(TODAY()),"0000")&amp;"-"&amp;TEXT(ROW()-1,"000"))</f>
        <v/>
      </c>
      <c r="J140">
        <f>IF($A140="","","Pending")</f>
        <v/>
      </c>
    </row>
    <row r="141">
      <c r="I141">
        <f>IF($A141="","","MSH-TUT-"&amp;TEXT(YEAR(TODAY()),"0000")&amp;"-"&amp;TEXT(ROW()-1,"000"))</f>
        <v/>
      </c>
      <c r="J141">
        <f>IF($A141="","","Pending")</f>
        <v/>
      </c>
    </row>
    <row r="142">
      <c r="I142">
        <f>IF($A142="","","MSH-TUT-"&amp;TEXT(YEAR(TODAY()),"0000")&amp;"-"&amp;TEXT(ROW()-1,"000"))</f>
        <v/>
      </c>
      <c r="J142">
        <f>IF($A142="","","Pending")</f>
        <v/>
      </c>
    </row>
    <row r="143">
      <c r="I143">
        <f>IF($A143="","","MSH-TUT-"&amp;TEXT(YEAR(TODAY()),"0000")&amp;"-"&amp;TEXT(ROW()-1,"000"))</f>
        <v/>
      </c>
      <c r="J143">
        <f>IF($A143="","","Pending")</f>
        <v/>
      </c>
    </row>
    <row r="144">
      <c r="I144">
        <f>IF($A144="","","MSH-TUT-"&amp;TEXT(YEAR(TODAY()),"0000")&amp;"-"&amp;TEXT(ROW()-1,"000"))</f>
        <v/>
      </c>
      <c r="J144">
        <f>IF($A144="","","Pending")</f>
        <v/>
      </c>
    </row>
    <row r="145">
      <c r="I145">
        <f>IF($A145="","","MSH-TUT-"&amp;TEXT(YEAR(TODAY()),"0000")&amp;"-"&amp;TEXT(ROW()-1,"000"))</f>
        <v/>
      </c>
      <c r="J145">
        <f>IF($A145="","","Pending")</f>
        <v/>
      </c>
    </row>
    <row r="146">
      <c r="I146">
        <f>IF($A146="","","MSH-TUT-"&amp;TEXT(YEAR(TODAY()),"0000")&amp;"-"&amp;TEXT(ROW()-1,"000"))</f>
        <v/>
      </c>
      <c r="J146">
        <f>IF($A146="","","Pending")</f>
        <v/>
      </c>
    </row>
    <row r="147">
      <c r="I147">
        <f>IF($A147="","","MSH-TUT-"&amp;TEXT(YEAR(TODAY()),"0000")&amp;"-"&amp;TEXT(ROW()-1,"000"))</f>
        <v/>
      </c>
      <c r="J147">
        <f>IF($A147="","","Pending")</f>
        <v/>
      </c>
    </row>
    <row r="148">
      <c r="I148">
        <f>IF($A148="","","MSH-TUT-"&amp;TEXT(YEAR(TODAY()),"0000")&amp;"-"&amp;TEXT(ROW()-1,"000"))</f>
        <v/>
      </c>
      <c r="J148">
        <f>IF($A148="","","Pending")</f>
        <v/>
      </c>
    </row>
    <row r="149">
      <c r="I149">
        <f>IF($A149="","","MSH-TUT-"&amp;TEXT(YEAR(TODAY()),"0000")&amp;"-"&amp;TEXT(ROW()-1,"000"))</f>
        <v/>
      </c>
      <c r="J149">
        <f>IF($A149="","","Pending")</f>
        <v/>
      </c>
    </row>
    <row r="150">
      <c r="I150">
        <f>IF($A150="","","MSH-TUT-"&amp;TEXT(YEAR(TODAY()),"0000")&amp;"-"&amp;TEXT(ROW()-1,"000"))</f>
        <v/>
      </c>
      <c r="J150">
        <f>IF($A150="","","Pending")</f>
        <v/>
      </c>
    </row>
    <row r="151">
      <c r="I151">
        <f>IF($A151="","","MSH-TUT-"&amp;TEXT(YEAR(TODAY()),"0000")&amp;"-"&amp;TEXT(ROW()-1,"000"))</f>
        <v/>
      </c>
      <c r="J151">
        <f>IF($A151="","","Pending")</f>
        <v/>
      </c>
    </row>
    <row r="152">
      <c r="I152">
        <f>IF($A152="","","MSH-TUT-"&amp;TEXT(YEAR(TODAY()),"0000")&amp;"-"&amp;TEXT(ROW()-1,"000"))</f>
        <v/>
      </c>
      <c r="J152">
        <f>IF($A152="","","Pending")</f>
        <v/>
      </c>
    </row>
    <row r="153">
      <c r="I153">
        <f>IF($A153="","","MSH-TUT-"&amp;TEXT(YEAR(TODAY()),"0000")&amp;"-"&amp;TEXT(ROW()-1,"000"))</f>
        <v/>
      </c>
      <c r="J153">
        <f>IF($A153="","","Pending")</f>
        <v/>
      </c>
    </row>
    <row r="154">
      <c r="I154">
        <f>IF($A154="","","MSH-TUT-"&amp;TEXT(YEAR(TODAY()),"0000")&amp;"-"&amp;TEXT(ROW()-1,"000"))</f>
        <v/>
      </c>
      <c r="J154">
        <f>IF($A154="","","Pending")</f>
        <v/>
      </c>
    </row>
    <row r="155">
      <c r="I155">
        <f>IF($A155="","","MSH-TUT-"&amp;TEXT(YEAR(TODAY()),"0000")&amp;"-"&amp;TEXT(ROW()-1,"000"))</f>
        <v/>
      </c>
      <c r="J155">
        <f>IF($A155="","","Pending")</f>
        <v/>
      </c>
    </row>
    <row r="156">
      <c r="I156">
        <f>IF($A156="","","MSH-TUT-"&amp;TEXT(YEAR(TODAY()),"0000")&amp;"-"&amp;TEXT(ROW()-1,"000"))</f>
        <v/>
      </c>
      <c r="J156">
        <f>IF($A156="","","Pending")</f>
        <v/>
      </c>
    </row>
    <row r="157">
      <c r="I157">
        <f>IF($A157="","","MSH-TUT-"&amp;TEXT(YEAR(TODAY()),"0000")&amp;"-"&amp;TEXT(ROW()-1,"000"))</f>
        <v/>
      </c>
      <c r="J157">
        <f>IF($A157="","","Pending")</f>
        <v/>
      </c>
    </row>
    <row r="158">
      <c r="I158">
        <f>IF($A158="","","MSH-TUT-"&amp;TEXT(YEAR(TODAY()),"0000")&amp;"-"&amp;TEXT(ROW()-1,"000"))</f>
        <v/>
      </c>
      <c r="J158">
        <f>IF($A158="","","Pending")</f>
        <v/>
      </c>
    </row>
    <row r="159">
      <c r="I159">
        <f>IF($A159="","","MSH-TUT-"&amp;TEXT(YEAR(TODAY()),"0000")&amp;"-"&amp;TEXT(ROW()-1,"000"))</f>
        <v/>
      </c>
      <c r="J159">
        <f>IF($A159="","","Pending")</f>
        <v/>
      </c>
    </row>
    <row r="160">
      <c r="I160">
        <f>IF($A160="","","MSH-TUT-"&amp;TEXT(YEAR(TODAY()),"0000")&amp;"-"&amp;TEXT(ROW()-1,"000"))</f>
        <v/>
      </c>
      <c r="J160">
        <f>IF($A160="","","Pending")</f>
        <v/>
      </c>
    </row>
    <row r="161">
      <c r="I161">
        <f>IF($A161="","","MSH-TUT-"&amp;TEXT(YEAR(TODAY()),"0000")&amp;"-"&amp;TEXT(ROW()-1,"000"))</f>
        <v/>
      </c>
      <c r="J161">
        <f>IF($A161="","","Pending")</f>
        <v/>
      </c>
    </row>
    <row r="162">
      <c r="I162">
        <f>IF($A162="","","MSH-TUT-"&amp;TEXT(YEAR(TODAY()),"0000")&amp;"-"&amp;TEXT(ROW()-1,"000"))</f>
        <v/>
      </c>
      <c r="J162">
        <f>IF($A162="","","Pending")</f>
        <v/>
      </c>
    </row>
    <row r="163">
      <c r="I163">
        <f>IF($A163="","","MSH-TUT-"&amp;TEXT(YEAR(TODAY()),"0000")&amp;"-"&amp;TEXT(ROW()-1,"000"))</f>
        <v/>
      </c>
      <c r="J163">
        <f>IF($A163="","","Pending")</f>
        <v/>
      </c>
    </row>
    <row r="164">
      <c r="I164">
        <f>IF($A164="","","MSH-TUT-"&amp;TEXT(YEAR(TODAY()),"0000")&amp;"-"&amp;TEXT(ROW()-1,"000"))</f>
        <v/>
      </c>
      <c r="J164">
        <f>IF($A164="","","Pending")</f>
        <v/>
      </c>
    </row>
    <row r="165">
      <c r="I165">
        <f>IF($A165="","","MSH-TUT-"&amp;TEXT(YEAR(TODAY()),"0000")&amp;"-"&amp;TEXT(ROW()-1,"000"))</f>
        <v/>
      </c>
      <c r="J165">
        <f>IF($A165="","","Pending")</f>
        <v/>
      </c>
    </row>
    <row r="166">
      <c r="I166">
        <f>IF($A166="","","MSH-TUT-"&amp;TEXT(YEAR(TODAY()),"0000")&amp;"-"&amp;TEXT(ROW()-1,"000"))</f>
        <v/>
      </c>
      <c r="J166">
        <f>IF($A166="","","Pending")</f>
        <v/>
      </c>
    </row>
    <row r="167">
      <c r="I167">
        <f>IF($A167="","","MSH-TUT-"&amp;TEXT(YEAR(TODAY()),"0000")&amp;"-"&amp;TEXT(ROW()-1,"000"))</f>
        <v/>
      </c>
      <c r="J167">
        <f>IF($A167="","","Pending")</f>
        <v/>
      </c>
    </row>
    <row r="168">
      <c r="I168">
        <f>IF($A168="","","MSH-TUT-"&amp;TEXT(YEAR(TODAY()),"0000")&amp;"-"&amp;TEXT(ROW()-1,"000"))</f>
        <v/>
      </c>
      <c r="J168">
        <f>IF($A168="","","Pending")</f>
        <v/>
      </c>
    </row>
    <row r="169">
      <c r="I169">
        <f>IF($A169="","","MSH-TUT-"&amp;TEXT(YEAR(TODAY()),"0000")&amp;"-"&amp;TEXT(ROW()-1,"000"))</f>
        <v/>
      </c>
      <c r="J169">
        <f>IF($A169="","","Pending")</f>
        <v/>
      </c>
    </row>
    <row r="170">
      <c r="I170">
        <f>IF($A170="","","MSH-TUT-"&amp;TEXT(YEAR(TODAY()),"0000")&amp;"-"&amp;TEXT(ROW()-1,"000"))</f>
        <v/>
      </c>
      <c r="J170">
        <f>IF($A170="","","Pending")</f>
        <v/>
      </c>
    </row>
    <row r="171">
      <c r="I171">
        <f>IF($A171="","","MSH-TUT-"&amp;TEXT(YEAR(TODAY()),"0000")&amp;"-"&amp;TEXT(ROW()-1,"000"))</f>
        <v/>
      </c>
      <c r="J171">
        <f>IF($A171="","","Pending")</f>
        <v/>
      </c>
    </row>
    <row r="172">
      <c r="I172">
        <f>IF($A172="","","MSH-TUT-"&amp;TEXT(YEAR(TODAY()),"0000")&amp;"-"&amp;TEXT(ROW()-1,"000"))</f>
        <v/>
      </c>
      <c r="J172">
        <f>IF($A172="","","Pending")</f>
        <v/>
      </c>
    </row>
    <row r="173">
      <c r="I173">
        <f>IF($A173="","","MSH-TUT-"&amp;TEXT(YEAR(TODAY()),"0000")&amp;"-"&amp;TEXT(ROW()-1,"000"))</f>
        <v/>
      </c>
      <c r="J173">
        <f>IF($A173="","","Pending")</f>
        <v/>
      </c>
    </row>
    <row r="174">
      <c r="I174">
        <f>IF($A174="","","MSH-TUT-"&amp;TEXT(YEAR(TODAY()),"0000")&amp;"-"&amp;TEXT(ROW()-1,"000"))</f>
        <v/>
      </c>
      <c r="J174">
        <f>IF($A174="","","Pending")</f>
        <v/>
      </c>
    </row>
    <row r="175">
      <c r="I175">
        <f>IF($A175="","","MSH-TUT-"&amp;TEXT(YEAR(TODAY()),"0000")&amp;"-"&amp;TEXT(ROW()-1,"000"))</f>
        <v/>
      </c>
      <c r="J175">
        <f>IF($A175="","","Pending")</f>
        <v/>
      </c>
    </row>
    <row r="176">
      <c r="I176">
        <f>IF($A176="","","MSH-TUT-"&amp;TEXT(YEAR(TODAY()),"0000")&amp;"-"&amp;TEXT(ROW()-1,"000"))</f>
        <v/>
      </c>
      <c r="J176">
        <f>IF($A176="","","Pending")</f>
        <v/>
      </c>
    </row>
    <row r="177">
      <c r="I177">
        <f>IF($A177="","","MSH-TUT-"&amp;TEXT(YEAR(TODAY()),"0000")&amp;"-"&amp;TEXT(ROW()-1,"000"))</f>
        <v/>
      </c>
      <c r="J177">
        <f>IF($A177="","","Pending")</f>
        <v/>
      </c>
    </row>
    <row r="178">
      <c r="I178">
        <f>IF($A178="","","MSH-TUT-"&amp;TEXT(YEAR(TODAY()),"0000")&amp;"-"&amp;TEXT(ROW()-1,"000"))</f>
        <v/>
      </c>
      <c r="J178">
        <f>IF($A178="","","Pending")</f>
        <v/>
      </c>
    </row>
    <row r="179">
      <c r="I179">
        <f>IF($A179="","","MSH-TUT-"&amp;TEXT(YEAR(TODAY()),"0000")&amp;"-"&amp;TEXT(ROW()-1,"000"))</f>
        <v/>
      </c>
      <c r="J179">
        <f>IF($A179="","","Pending")</f>
        <v/>
      </c>
    </row>
    <row r="180">
      <c r="I180">
        <f>IF($A180="","","MSH-TUT-"&amp;TEXT(YEAR(TODAY()),"0000")&amp;"-"&amp;TEXT(ROW()-1,"000"))</f>
        <v/>
      </c>
      <c r="J180">
        <f>IF($A180="","","Pending")</f>
        <v/>
      </c>
    </row>
    <row r="181">
      <c r="I181">
        <f>IF($A181="","","MSH-TUT-"&amp;TEXT(YEAR(TODAY()),"0000")&amp;"-"&amp;TEXT(ROW()-1,"000"))</f>
        <v/>
      </c>
      <c r="J181">
        <f>IF($A181="","","Pending")</f>
        <v/>
      </c>
    </row>
    <row r="182">
      <c r="I182">
        <f>IF($A182="","","MSH-TUT-"&amp;TEXT(YEAR(TODAY()),"0000")&amp;"-"&amp;TEXT(ROW()-1,"000"))</f>
        <v/>
      </c>
      <c r="J182">
        <f>IF($A182="","","Pending")</f>
        <v/>
      </c>
    </row>
    <row r="183">
      <c r="I183">
        <f>IF($A183="","","MSH-TUT-"&amp;TEXT(YEAR(TODAY()),"0000")&amp;"-"&amp;TEXT(ROW()-1,"000"))</f>
        <v/>
      </c>
      <c r="J183">
        <f>IF($A183="","","Pending")</f>
        <v/>
      </c>
    </row>
    <row r="184">
      <c r="I184">
        <f>IF($A184="","","MSH-TUT-"&amp;TEXT(YEAR(TODAY()),"0000")&amp;"-"&amp;TEXT(ROW()-1,"000"))</f>
        <v/>
      </c>
      <c r="J184">
        <f>IF($A184="","","Pending")</f>
        <v/>
      </c>
    </row>
    <row r="185">
      <c r="I185">
        <f>IF($A185="","","MSH-TUT-"&amp;TEXT(YEAR(TODAY()),"0000")&amp;"-"&amp;TEXT(ROW()-1,"000"))</f>
        <v/>
      </c>
      <c r="J185">
        <f>IF($A185="","","Pending")</f>
        <v/>
      </c>
    </row>
    <row r="186">
      <c r="I186">
        <f>IF($A186="","","MSH-TUT-"&amp;TEXT(YEAR(TODAY()),"0000")&amp;"-"&amp;TEXT(ROW()-1,"000"))</f>
        <v/>
      </c>
      <c r="J186">
        <f>IF($A186="","","Pending")</f>
        <v/>
      </c>
    </row>
    <row r="187">
      <c r="I187">
        <f>IF($A187="","","MSH-TUT-"&amp;TEXT(YEAR(TODAY()),"0000")&amp;"-"&amp;TEXT(ROW()-1,"000"))</f>
        <v/>
      </c>
      <c r="J187">
        <f>IF($A187="","","Pending")</f>
        <v/>
      </c>
    </row>
    <row r="188">
      <c r="I188">
        <f>IF($A188="","","MSH-TUT-"&amp;TEXT(YEAR(TODAY()),"0000")&amp;"-"&amp;TEXT(ROW()-1,"000"))</f>
        <v/>
      </c>
      <c r="J188">
        <f>IF($A188="","","Pending")</f>
        <v/>
      </c>
    </row>
    <row r="189">
      <c r="I189">
        <f>IF($A189="","","MSH-TUT-"&amp;TEXT(YEAR(TODAY()),"0000")&amp;"-"&amp;TEXT(ROW()-1,"000"))</f>
        <v/>
      </c>
      <c r="J189">
        <f>IF($A189="","","Pending")</f>
        <v/>
      </c>
    </row>
    <row r="190">
      <c r="I190">
        <f>IF($A190="","","MSH-TUT-"&amp;TEXT(YEAR(TODAY()),"0000")&amp;"-"&amp;TEXT(ROW()-1,"000"))</f>
        <v/>
      </c>
      <c r="J190">
        <f>IF($A190="","","Pending")</f>
        <v/>
      </c>
    </row>
    <row r="191">
      <c r="I191">
        <f>IF($A191="","","MSH-TUT-"&amp;TEXT(YEAR(TODAY()),"0000")&amp;"-"&amp;TEXT(ROW()-1,"000"))</f>
        <v/>
      </c>
      <c r="J191">
        <f>IF($A191="","","Pending")</f>
        <v/>
      </c>
    </row>
    <row r="192">
      <c r="I192">
        <f>IF($A192="","","MSH-TUT-"&amp;TEXT(YEAR(TODAY()),"0000")&amp;"-"&amp;TEXT(ROW()-1,"000"))</f>
        <v/>
      </c>
      <c r="J192">
        <f>IF($A192="","","Pending")</f>
        <v/>
      </c>
    </row>
    <row r="193">
      <c r="I193">
        <f>IF($A193="","","MSH-TUT-"&amp;TEXT(YEAR(TODAY()),"0000")&amp;"-"&amp;TEXT(ROW()-1,"000"))</f>
        <v/>
      </c>
      <c r="J193">
        <f>IF($A193="","","Pending")</f>
        <v/>
      </c>
    </row>
    <row r="194">
      <c r="I194">
        <f>IF($A194="","","MSH-TUT-"&amp;TEXT(YEAR(TODAY()),"0000")&amp;"-"&amp;TEXT(ROW()-1,"000"))</f>
        <v/>
      </c>
      <c r="J194">
        <f>IF($A194="","","Pending")</f>
        <v/>
      </c>
    </row>
    <row r="195">
      <c r="I195">
        <f>IF($A195="","","MSH-TUT-"&amp;TEXT(YEAR(TODAY()),"0000")&amp;"-"&amp;TEXT(ROW()-1,"000"))</f>
        <v/>
      </c>
      <c r="J195">
        <f>IF($A195="","","Pending")</f>
        <v/>
      </c>
    </row>
    <row r="196">
      <c r="I196">
        <f>IF($A196="","","MSH-TUT-"&amp;TEXT(YEAR(TODAY()),"0000")&amp;"-"&amp;TEXT(ROW()-1,"000"))</f>
        <v/>
      </c>
      <c r="J196">
        <f>IF($A196="","","Pending")</f>
        <v/>
      </c>
    </row>
    <row r="197">
      <c r="I197">
        <f>IF($A197="","","MSH-TUT-"&amp;TEXT(YEAR(TODAY()),"0000")&amp;"-"&amp;TEXT(ROW()-1,"000"))</f>
        <v/>
      </c>
      <c r="J197">
        <f>IF($A197="","","Pending")</f>
        <v/>
      </c>
    </row>
    <row r="198">
      <c r="I198">
        <f>IF($A198="","","MSH-TUT-"&amp;TEXT(YEAR(TODAY()),"0000")&amp;"-"&amp;TEXT(ROW()-1,"000"))</f>
        <v/>
      </c>
      <c r="J198">
        <f>IF($A198="","","Pending")</f>
        <v/>
      </c>
    </row>
    <row r="199">
      <c r="I199">
        <f>IF($A199="","","MSH-TUT-"&amp;TEXT(YEAR(TODAY()),"0000")&amp;"-"&amp;TEXT(ROW()-1,"000"))</f>
        <v/>
      </c>
      <c r="J199">
        <f>IF($A199="","","Pending")</f>
        <v/>
      </c>
    </row>
    <row r="200">
      <c r="I200">
        <f>IF($A200="","","MSH-TUT-"&amp;TEXT(YEAR(TODAY()),"0000")&amp;"-"&amp;TEXT(ROW()-1,"000"))</f>
        <v/>
      </c>
      <c r="J200">
        <f>IF($A200="","","Pending")</f>
        <v/>
      </c>
    </row>
    <row r="201">
      <c r="I201">
        <f>IF($A201="","","MSH-TUT-"&amp;TEXT(YEAR(TODAY()),"0000")&amp;"-"&amp;TEXT(ROW()-1,"000"))</f>
        <v/>
      </c>
      <c r="J201">
        <f>IF($A201="","","Pending")</f>
        <v/>
      </c>
    </row>
    <row r="202">
      <c r="I202">
        <f>IF($A202="","","MSH-TUT-"&amp;TEXT(YEAR(TODAY()),"0000")&amp;"-"&amp;TEXT(ROW()-1,"000"))</f>
        <v/>
      </c>
      <c r="J202">
        <f>IF($A202="","","Pending")</f>
        <v/>
      </c>
    </row>
    <row r="203">
      <c r="I203">
        <f>IF($A203="","","MSH-TUT-"&amp;TEXT(YEAR(TODAY()),"0000")&amp;"-"&amp;TEXT(ROW()-1,"000"))</f>
        <v/>
      </c>
      <c r="J203">
        <f>IF($A203="","","Pending")</f>
        <v/>
      </c>
    </row>
    <row r="204">
      <c r="I204">
        <f>IF($A204="","","MSH-TUT-"&amp;TEXT(YEAR(TODAY()),"0000")&amp;"-"&amp;TEXT(ROW()-1,"000"))</f>
        <v/>
      </c>
      <c r="J204">
        <f>IF($A204="","","Pending")</f>
        <v/>
      </c>
    </row>
    <row r="205">
      <c r="I205">
        <f>IF($A205="","","MSH-TUT-"&amp;TEXT(YEAR(TODAY()),"0000")&amp;"-"&amp;TEXT(ROW()-1,"000"))</f>
        <v/>
      </c>
      <c r="J205">
        <f>IF($A205="","","Pending")</f>
        <v/>
      </c>
    </row>
    <row r="206">
      <c r="I206">
        <f>IF($A206="","","MSH-TUT-"&amp;TEXT(YEAR(TODAY()),"0000")&amp;"-"&amp;TEXT(ROW()-1,"000"))</f>
        <v/>
      </c>
      <c r="J206">
        <f>IF($A206="","","Pending")</f>
        <v/>
      </c>
    </row>
    <row r="207">
      <c r="I207">
        <f>IF($A207="","","MSH-TUT-"&amp;TEXT(YEAR(TODAY()),"0000")&amp;"-"&amp;TEXT(ROW()-1,"000"))</f>
        <v/>
      </c>
      <c r="J207">
        <f>IF($A207="","","Pending")</f>
        <v/>
      </c>
    </row>
    <row r="208">
      <c r="I208">
        <f>IF($A208="","","MSH-TUT-"&amp;TEXT(YEAR(TODAY()),"0000")&amp;"-"&amp;TEXT(ROW()-1,"000"))</f>
        <v/>
      </c>
      <c r="J208">
        <f>IF($A208="","","Pending")</f>
        <v/>
      </c>
    </row>
    <row r="209">
      <c r="I209">
        <f>IF($A209="","","MSH-TUT-"&amp;TEXT(YEAR(TODAY()),"0000")&amp;"-"&amp;TEXT(ROW()-1,"000"))</f>
        <v/>
      </c>
      <c r="J209">
        <f>IF($A209="","","Pending")</f>
        <v/>
      </c>
    </row>
    <row r="210">
      <c r="I210">
        <f>IF($A210="","","MSH-TUT-"&amp;TEXT(YEAR(TODAY()),"0000")&amp;"-"&amp;TEXT(ROW()-1,"000"))</f>
        <v/>
      </c>
      <c r="J210">
        <f>IF($A210="","","Pending")</f>
        <v/>
      </c>
    </row>
    <row r="211">
      <c r="I211">
        <f>IF($A211="","","MSH-TUT-"&amp;TEXT(YEAR(TODAY()),"0000")&amp;"-"&amp;TEXT(ROW()-1,"000"))</f>
        <v/>
      </c>
      <c r="J211">
        <f>IF($A211="","","Pending")</f>
        <v/>
      </c>
    </row>
    <row r="212">
      <c r="I212">
        <f>IF($A212="","","MSH-TUT-"&amp;TEXT(YEAR(TODAY()),"0000")&amp;"-"&amp;TEXT(ROW()-1,"000"))</f>
        <v/>
      </c>
      <c r="J212">
        <f>IF($A212="","","Pending")</f>
        <v/>
      </c>
    </row>
    <row r="213">
      <c r="I213">
        <f>IF($A213="","","MSH-TUT-"&amp;TEXT(YEAR(TODAY()),"0000")&amp;"-"&amp;TEXT(ROW()-1,"000"))</f>
        <v/>
      </c>
      <c r="J213">
        <f>IF($A213="","","Pending")</f>
        <v/>
      </c>
    </row>
    <row r="214">
      <c r="I214">
        <f>IF($A214="","","MSH-TUT-"&amp;TEXT(YEAR(TODAY()),"0000")&amp;"-"&amp;TEXT(ROW()-1,"000"))</f>
        <v/>
      </c>
      <c r="J214">
        <f>IF($A214="","","Pending")</f>
        <v/>
      </c>
    </row>
    <row r="215">
      <c r="I215">
        <f>IF($A215="","","MSH-TUT-"&amp;TEXT(YEAR(TODAY()),"0000")&amp;"-"&amp;TEXT(ROW()-1,"000"))</f>
        <v/>
      </c>
      <c r="J215">
        <f>IF($A215="","","Pending")</f>
        <v/>
      </c>
    </row>
    <row r="216">
      <c r="I216">
        <f>IF($A216="","","MSH-TUT-"&amp;TEXT(YEAR(TODAY()),"0000")&amp;"-"&amp;TEXT(ROW()-1,"000"))</f>
        <v/>
      </c>
      <c r="J216">
        <f>IF($A216="","","Pending")</f>
        <v/>
      </c>
    </row>
    <row r="217">
      <c r="I217">
        <f>IF($A217="","","MSH-TUT-"&amp;TEXT(YEAR(TODAY()),"0000")&amp;"-"&amp;TEXT(ROW()-1,"000"))</f>
        <v/>
      </c>
      <c r="J217">
        <f>IF($A217="","","Pending")</f>
        <v/>
      </c>
    </row>
    <row r="218">
      <c r="I218">
        <f>IF($A218="","","MSH-TUT-"&amp;TEXT(YEAR(TODAY()),"0000")&amp;"-"&amp;TEXT(ROW()-1,"000"))</f>
        <v/>
      </c>
      <c r="J218">
        <f>IF($A218="","","Pending")</f>
        <v/>
      </c>
    </row>
    <row r="219">
      <c r="I219">
        <f>IF($A219="","","MSH-TUT-"&amp;TEXT(YEAR(TODAY()),"0000")&amp;"-"&amp;TEXT(ROW()-1,"000"))</f>
        <v/>
      </c>
      <c r="J219">
        <f>IF($A219="","","Pending")</f>
        <v/>
      </c>
    </row>
    <row r="220">
      <c r="I220">
        <f>IF($A220="","","MSH-TUT-"&amp;TEXT(YEAR(TODAY()),"0000")&amp;"-"&amp;TEXT(ROW()-1,"000"))</f>
        <v/>
      </c>
      <c r="J220">
        <f>IF($A220="","","Pending")</f>
        <v/>
      </c>
    </row>
    <row r="221">
      <c r="I221">
        <f>IF($A221="","","MSH-TUT-"&amp;TEXT(YEAR(TODAY()),"0000")&amp;"-"&amp;TEXT(ROW()-1,"000"))</f>
        <v/>
      </c>
      <c r="J221">
        <f>IF($A221="","","Pending")</f>
        <v/>
      </c>
    </row>
    <row r="222">
      <c r="I222">
        <f>IF($A222="","","MSH-TUT-"&amp;TEXT(YEAR(TODAY()),"0000")&amp;"-"&amp;TEXT(ROW()-1,"000"))</f>
        <v/>
      </c>
      <c r="J222">
        <f>IF($A222="","","Pending")</f>
        <v/>
      </c>
    </row>
    <row r="223">
      <c r="I223">
        <f>IF($A223="","","MSH-TUT-"&amp;TEXT(YEAR(TODAY()),"0000")&amp;"-"&amp;TEXT(ROW()-1,"000"))</f>
        <v/>
      </c>
      <c r="J223">
        <f>IF($A223="","","Pending")</f>
        <v/>
      </c>
    </row>
    <row r="224">
      <c r="I224">
        <f>IF($A224="","","MSH-TUT-"&amp;TEXT(YEAR(TODAY()),"0000")&amp;"-"&amp;TEXT(ROW()-1,"000"))</f>
        <v/>
      </c>
      <c r="J224">
        <f>IF($A224="","","Pending")</f>
        <v/>
      </c>
    </row>
    <row r="225">
      <c r="I225">
        <f>IF($A225="","","MSH-TUT-"&amp;TEXT(YEAR(TODAY()),"0000")&amp;"-"&amp;TEXT(ROW()-1,"000"))</f>
        <v/>
      </c>
      <c r="J225">
        <f>IF($A225="","","Pending")</f>
        <v/>
      </c>
    </row>
    <row r="226">
      <c r="I226">
        <f>IF($A226="","","MSH-TUT-"&amp;TEXT(YEAR(TODAY()),"0000")&amp;"-"&amp;TEXT(ROW()-1,"000"))</f>
        <v/>
      </c>
      <c r="J226">
        <f>IF($A226="","","Pending")</f>
        <v/>
      </c>
    </row>
    <row r="227">
      <c r="I227">
        <f>IF($A227="","","MSH-TUT-"&amp;TEXT(YEAR(TODAY()),"0000")&amp;"-"&amp;TEXT(ROW()-1,"000"))</f>
        <v/>
      </c>
      <c r="J227">
        <f>IF($A227="","","Pending")</f>
        <v/>
      </c>
    </row>
    <row r="228">
      <c r="I228">
        <f>IF($A228="","","MSH-TUT-"&amp;TEXT(YEAR(TODAY()),"0000")&amp;"-"&amp;TEXT(ROW()-1,"000"))</f>
        <v/>
      </c>
      <c r="J228">
        <f>IF($A228="","","Pending")</f>
        <v/>
      </c>
    </row>
    <row r="229">
      <c r="I229">
        <f>IF($A229="","","MSH-TUT-"&amp;TEXT(YEAR(TODAY()),"0000")&amp;"-"&amp;TEXT(ROW()-1,"000"))</f>
        <v/>
      </c>
      <c r="J229">
        <f>IF($A229="","","Pending")</f>
        <v/>
      </c>
    </row>
    <row r="230">
      <c r="I230">
        <f>IF($A230="","","MSH-TUT-"&amp;TEXT(YEAR(TODAY()),"0000")&amp;"-"&amp;TEXT(ROW()-1,"000"))</f>
        <v/>
      </c>
      <c r="J230">
        <f>IF($A230="","","Pending")</f>
        <v/>
      </c>
    </row>
    <row r="231">
      <c r="I231">
        <f>IF($A231="","","MSH-TUT-"&amp;TEXT(YEAR(TODAY()),"0000")&amp;"-"&amp;TEXT(ROW()-1,"000"))</f>
        <v/>
      </c>
      <c r="J231">
        <f>IF($A231="","","Pending")</f>
        <v/>
      </c>
    </row>
    <row r="232">
      <c r="I232">
        <f>IF($A232="","","MSH-TUT-"&amp;TEXT(YEAR(TODAY()),"0000")&amp;"-"&amp;TEXT(ROW()-1,"000"))</f>
        <v/>
      </c>
      <c r="J232">
        <f>IF($A232="","","Pending")</f>
        <v/>
      </c>
    </row>
    <row r="233">
      <c r="I233">
        <f>IF($A233="","","MSH-TUT-"&amp;TEXT(YEAR(TODAY()),"0000")&amp;"-"&amp;TEXT(ROW()-1,"000"))</f>
        <v/>
      </c>
      <c r="J233">
        <f>IF($A233="","","Pending")</f>
        <v/>
      </c>
    </row>
    <row r="234">
      <c r="I234">
        <f>IF($A234="","","MSH-TUT-"&amp;TEXT(YEAR(TODAY()),"0000")&amp;"-"&amp;TEXT(ROW()-1,"000"))</f>
        <v/>
      </c>
      <c r="J234">
        <f>IF($A234="","","Pending")</f>
        <v/>
      </c>
    </row>
    <row r="235">
      <c r="I235">
        <f>IF($A235="","","MSH-TUT-"&amp;TEXT(YEAR(TODAY()),"0000")&amp;"-"&amp;TEXT(ROW()-1,"000"))</f>
        <v/>
      </c>
      <c r="J235">
        <f>IF($A235="","","Pending")</f>
        <v/>
      </c>
    </row>
    <row r="236">
      <c r="I236">
        <f>IF($A236="","","MSH-TUT-"&amp;TEXT(YEAR(TODAY()),"0000")&amp;"-"&amp;TEXT(ROW()-1,"000"))</f>
        <v/>
      </c>
      <c r="J236">
        <f>IF($A236="","","Pending")</f>
        <v/>
      </c>
    </row>
    <row r="237">
      <c r="I237">
        <f>IF($A237="","","MSH-TUT-"&amp;TEXT(YEAR(TODAY()),"0000")&amp;"-"&amp;TEXT(ROW()-1,"000"))</f>
        <v/>
      </c>
      <c r="J237">
        <f>IF($A237="","","Pending")</f>
        <v/>
      </c>
    </row>
    <row r="238">
      <c r="I238">
        <f>IF($A238="","","MSH-TUT-"&amp;TEXT(YEAR(TODAY()),"0000")&amp;"-"&amp;TEXT(ROW()-1,"000"))</f>
        <v/>
      </c>
      <c r="J238">
        <f>IF($A238="","","Pending")</f>
        <v/>
      </c>
    </row>
    <row r="239">
      <c r="I239">
        <f>IF($A239="","","MSH-TUT-"&amp;TEXT(YEAR(TODAY()),"0000")&amp;"-"&amp;TEXT(ROW()-1,"000"))</f>
        <v/>
      </c>
      <c r="J239">
        <f>IF($A239="","","Pending")</f>
        <v/>
      </c>
    </row>
    <row r="240">
      <c r="I240">
        <f>IF($A240="","","MSH-TUT-"&amp;TEXT(YEAR(TODAY()),"0000")&amp;"-"&amp;TEXT(ROW()-1,"000"))</f>
        <v/>
      </c>
      <c r="J240">
        <f>IF($A240="","","Pending")</f>
        <v/>
      </c>
    </row>
    <row r="241">
      <c r="I241">
        <f>IF($A241="","","MSH-TUT-"&amp;TEXT(YEAR(TODAY()),"0000")&amp;"-"&amp;TEXT(ROW()-1,"000"))</f>
        <v/>
      </c>
      <c r="J241">
        <f>IF($A241="","","Pending")</f>
        <v/>
      </c>
    </row>
    <row r="242">
      <c r="I242">
        <f>IF($A242="","","MSH-TUT-"&amp;TEXT(YEAR(TODAY()),"0000")&amp;"-"&amp;TEXT(ROW()-1,"000"))</f>
        <v/>
      </c>
      <c r="J242">
        <f>IF($A242="","","Pending")</f>
        <v/>
      </c>
    </row>
    <row r="243">
      <c r="I243">
        <f>IF($A243="","","MSH-TUT-"&amp;TEXT(YEAR(TODAY()),"0000")&amp;"-"&amp;TEXT(ROW()-1,"000"))</f>
        <v/>
      </c>
      <c r="J243">
        <f>IF($A243="","","Pending")</f>
        <v/>
      </c>
    </row>
    <row r="244">
      <c r="I244">
        <f>IF($A244="","","MSH-TUT-"&amp;TEXT(YEAR(TODAY()),"0000")&amp;"-"&amp;TEXT(ROW()-1,"000"))</f>
        <v/>
      </c>
      <c r="J244">
        <f>IF($A244="","","Pending")</f>
        <v/>
      </c>
    </row>
    <row r="245">
      <c r="I245">
        <f>IF($A245="","","MSH-TUT-"&amp;TEXT(YEAR(TODAY()),"0000")&amp;"-"&amp;TEXT(ROW()-1,"000"))</f>
        <v/>
      </c>
      <c r="J245">
        <f>IF($A245="","","Pending")</f>
        <v/>
      </c>
    </row>
    <row r="246">
      <c r="I246">
        <f>IF($A246="","","MSH-TUT-"&amp;TEXT(YEAR(TODAY()),"0000")&amp;"-"&amp;TEXT(ROW()-1,"000"))</f>
        <v/>
      </c>
      <c r="J246">
        <f>IF($A246="","","Pending")</f>
        <v/>
      </c>
    </row>
    <row r="247">
      <c r="I247">
        <f>IF($A247="","","MSH-TUT-"&amp;TEXT(YEAR(TODAY()),"0000")&amp;"-"&amp;TEXT(ROW()-1,"000"))</f>
        <v/>
      </c>
      <c r="J247">
        <f>IF($A247="","","Pending")</f>
        <v/>
      </c>
    </row>
    <row r="248">
      <c r="I248">
        <f>IF($A248="","","MSH-TUT-"&amp;TEXT(YEAR(TODAY()),"0000")&amp;"-"&amp;TEXT(ROW()-1,"000"))</f>
        <v/>
      </c>
      <c r="J248">
        <f>IF($A248="","","Pending")</f>
        <v/>
      </c>
    </row>
    <row r="249">
      <c r="I249">
        <f>IF($A249="","","MSH-TUT-"&amp;TEXT(YEAR(TODAY()),"0000")&amp;"-"&amp;TEXT(ROW()-1,"000"))</f>
        <v/>
      </c>
      <c r="J249">
        <f>IF($A249="","","Pending")</f>
        <v/>
      </c>
    </row>
    <row r="250">
      <c r="I250">
        <f>IF($A250="","","MSH-TUT-"&amp;TEXT(YEAR(TODAY()),"0000")&amp;"-"&amp;TEXT(ROW()-1,"000"))</f>
        <v/>
      </c>
      <c r="J250">
        <f>IF($A250="","","Pending")</f>
        <v/>
      </c>
    </row>
    <row r="251">
      <c r="I251">
        <f>IF($A251="","","MSH-TUT-"&amp;TEXT(YEAR(TODAY()),"0000")&amp;"-"&amp;TEXT(ROW()-1,"000"))</f>
        <v/>
      </c>
      <c r="J251">
        <f>IF($A251="","","Pending")</f>
        <v/>
      </c>
    </row>
    <row r="252">
      <c r="I252">
        <f>IF($A252="","","MSH-TUT-"&amp;TEXT(YEAR(TODAY()),"0000")&amp;"-"&amp;TEXT(ROW()-1,"000"))</f>
        <v/>
      </c>
      <c r="J252">
        <f>IF($A252="","","Pending")</f>
        <v/>
      </c>
    </row>
    <row r="253">
      <c r="I253">
        <f>IF($A253="","","MSH-TUT-"&amp;TEXT(YEAR(TODAY()),"0000")&amp;"-"&amp;TEXT(ROW()-1,"000"))</f>
        <v/>
      </c>
      <c r="J253">
        <f>IF($A253="","","Pending")</f>
        <v/>
      </c>
    </row>
    <row r="254">
      <c r="I254">
        <f>IF($A254="","","MSH-TUT-"&amp;TEXT(YEAR(TODAY()),"0000")&amp;"-"&amp;TEXT(ROW()-1,"000"))</f>
        <v/>
      </c>
      <c r="J254">
        <f>IF($A254="","","Pending")</f>
        <v/>
      </c>
    </row>
    <row r="255">
      <c r="I255">
        <f>IF($A255="","","MSH-TUT-"&amp;TEXT(YEAR(TODAY()),"0000")&amp;"-"&amp;TEXT(ROW()-1,"000"))</f>
        <v/>
      </c>
      <c r="J255">
        <f>IF($A255="","","Pending")</f>
        <v/>
      </c>
    </row>
    <row r="256">
      <c r="I256">
        <f>IF($A256="","","MSH-TUT-"&amp;TEXT(YEAR(TODAY()),"0000")&amp;"-"&amp;TEXT(ROW()-1,"000"))</f>
        <v/>
      </c>
      <c r="J256">
        <f>IF($A256="","","Pending")</f>
        <v/>
      </c>
    </row>
    <row r="257">
      <c r="I257">
        <f>IF($A257="","","MSH-TUT-"&amp;TEXT(YEAR(TODAY()),"0000")&amp;"-"&amp;TEXT(ROW()-1,"000"))</f>
        <v/>
      </c>
      <c r="J257">
        <f>IF($A257="","","Pending")</f>
        <v/>
      </c>
    </row>
    <row r="258">
      <c r="I258">
        <f>IF($A258="","","MSH-TUT-"&amp;TEXT(YEAR(TODAY()),"0000")&amp;"-"&amp;TEXT(ROW()-1,"000"))</f>
        <v/>
      </c>
      <c r="J258">
        <f>IF($A258="","","Pending")</f>
        <v/>
      </c>
    </row>
    <row r="259">
      <c r="I259">
        <f>IF($A259="","","MSH-TUT-"&amp;TEXT(YEAR(TODAY()),"0000")&amp;"-"&amp;TEXT(ROW()-1,"000"))</f>
        <v/>
      </c>
      <c r="J259">
        <f>IF($A259="","","Pending")</f>
        <v/>
      </c>
    </row>
    <row r="260">
      <c r="I260">
        <f>IF($A260="","","MSH-TUT-"&amp;TEXT(YEAR(TODAY()),"0000")&amp;"-"&amp;TEXT(ROW()-1,"000"))</f>
        <v/>
      </c>
      <c r="J260">
        <f>IF($A260="","","Pending")</f>
        <v/>
      </c>
    </row>
    <row r="261">
      <c r="I261">
        <f>IF($A261="","","MSH-TUT-"&amp;TEXT(YEAR(TODAY()),"0000")&amp;"-"&amp;TEXT(ROW()-1,"000"))</f>
        <v/>
      </c>
      <c r="J261">
        <f>IF($A261="","","Pending")</f>
        <v/>
      </c>
    </row>
    <row r="262">
      <c r="I262">
        <f>IF($A262="","","MSH-TUT-"&amp;TEXT(YEAR(TODAY()),"0000")&amp;"-"&amp;TEXT(ROW()-1,"000"))</f>
        <v/>
      </c>
      <c r="J262">
        <f>IF($A262="","","Pending")</f>
        <v/>
      </c>
    </row>
    <row r="263">
      <c r="I263">
        <f>IF($A263="","","MSH-TUT-"&amp;TEXT(YEAR(TODAY()),"0000")&amp;"-"&amp;TEXT(ROW()-1,"000"))</f>
        <v/>
      </c>
      <c r="J263">
        <f>IF($A263="","","Pending")</f>
        <v/>
      </c>
    </row>
    <row r="264">
      <c r="I264">
        <f>IF($A264="","","MSH-TUT-"&amp;TEXT(YEAR(TODAY()),"0000")&amp;"-"&amp;TEXT(ROW()-1,"000"))</f>
        <v/>
      </c>
      <c r="J264">
        <f>IF($A264="","","Pending")</f>
        <v/>
      </c>
    </row>
    <row r="265">
      <c r="I265">
        <f>IF($A265="","","MSH-TUT-"&amp;TEXT(YEAR(TODAY()),"0000")&amp;"-"&amp;TEXT(ROW()-1,"000"))</f>
        <v/>
      </c>
      <c r="J265">
        <f>IF($A265="","","Pending")</f>
        <v/>
      </c>
    </row>
    <row r="266">
      <c r="I266">
        <f>IF($A266="","","MSH-TUT-"&amp;TEXT(YEAR(TODAY()),"0000")&amp;"-"&amp;TEXT(ROW()-1,"000"))</f>
        <v/>
      </c>
      <c r="J266">
        <f>IF($A266="","","Pending")</f>
        <v/>
      </c>
    </row>
    <row r="267">
      <c r="I267">
        <f>IF($A267="","","MSH-TUT-"&amp;TEXT(YEAR(TODAY()),"0000")&amp;"-"&amp;TEXT(ROW()-1,"000"))</f>
        <v/>
      </c>
      <c r="J267">
        <f>IF($A267="","","Pending")</f>
        <v/>
      </c>
    </row>
    <row r="268">
      <c r="I268">
        <f>IF($A268="","","MSH-TUT-"&amp;TEXT(YEAR(TODAY()),"0000")&amp;"-"&amp;TEXT(ROW()-1,"000"))</f>
        <v/>
      </c>
      <c r="J268">
        <f>IF($A268="","","Pending")</f>
        <v/>
      </c>
    </row>
    <row r="269">
      <c r="I269">
        <f>IF($A269="","","MSH-TUT-"&amp;TEXT(YEAR(TODAY()),"0000")&amp;"-"&amp;TEXT(ROW()-1,"000"))</f>
        <v/>
      </c>
      <c r="J269">
        <f>IF($A269="","","Pending")</f>
        <v/>
      </c>
    </row>
    <row r="270">
      <c r="I270">
        <f>IF($A270="","","MSH-TUT-"&amp;TEXT(YEAR(TODAY()),"0000")&amp;"-"&amp;TEXT(ROW()-1,"000"))</f>
        <v/>
      </c>
      <c r="J270">
        <f>IF($A270="","","Pending")</f>
        <v/>
      </c>
    </row>
    <row r="271">
      <c r="I271">
        <f>IF($A271="","","MSH-TUT-"&amp;TEXT(YEAR(TODAY()),"0000")&amp;"-"&amp;TEXT(ROW()-1,"000"))</f>
        <v/>
      </c>
      <c r="J271">
        <f>IF($A271="","","Pending")</f>
        <v/>
      </c>
    </row>
    <row r="272">
      <c r="I272">
        <f>IF($A272="","","MSH-TUT-"&amp;TEXT(YEAR(TODAY()),"0000")&amp;"-"&amp;TEXT(ROW()-1,"000"))</f>
        <v/>
      </c>
      <c r="J272">
        <f>IF($A272="","","Pending")</f>
        <v/>
      </c>
    </row>
    <row r="273">
      <c r="I273">
        <f>IF($A273="","","MSH-TUT-"&amp;TEXT(YEAR(TODAY()),"0000")&amp;"-"&amp;TEXT(ROW()-1,"000"))</f>
        <v/>
      </c>
      <c r="J273">
        <f>IF($A273="","","Pending")</f>
        <v/>
      </c>
    </row>
    <row r="274">
      <c r="I274">
        <f>IF($A274="","","MSH-TUT-"&amp;TEXT(YEAR(TODAY()),"0000")&amp;"-"&amp;TEXT(ROW()-1,"000"))</f>
        <v/>
      </c>
      <c r="J274">
        <f>IF($A274="","","Pending")</f>
        <v/>
      </c>
    </row>
    <row r="275">
      <c r="I275">
        <f>IF($A275="","","MSH-TUT-"&amp;TEXT(YEAR(TODAY()),"0000")&amp;"-"&amp;TEXT(ROW()-1,"000"))</f>
        <v/>
      </c>
      <c r="J275">
        <f>IF($A275="","","Pending")</f>
        <v/>
      </c>
    </row>
    <row r="276">
      <c r="I276">
        <f>IF($A276="","","MSH-TUT-"&amp;TEXT(YEAR(TODAY()),"0000")&amp;"-"&amp;TEXT(ROW()-1,"000"))</f>
        <v/>
      </c>
      <c r="J276">
        <f>IF($A276="","","Pending")</f>
        <v/>
      </c>
    </row>
    <row r="277">
      <c r="I277">
        <f>IF($A277="","","MSH-TUT-"&amp;TEXT(YEAR(TODAY()),"0000")&amp;"-"&amp;TEXT(ROW()-1,"000"))</f>
        <v/>
      </c>
      <c r="J277">
        <f>IF($A277="","","Pending")</f>
        <v/>
      </c>
    </row>
    <row r="278">
      <c r="I278">
        <f>IF($A278="","","MSH-TUT-"&amp;TEXT(YEAR(TODAY()),"0000")&amp;"-"&amp;TEXT(ROW()-1,"000"))</f>
        <v/>
      </c>
      <c r="J278">
        <f>IF($A278="","","Pending")</f>
        <v/>
      </c>
    </row>
    <row r="279">
      <c r="I279">
        <f>IF($A279="","","MSH-TUT-"&amp;TEXT(YEAR(TODAY()),"0000")&amp;"-"&amp;TEXT(ROW()-1,"000"))</f>
        <v/>
      </c>
      <c r="J279">
        <f>IF($A279="","","Pending")</f>
        <v/>
      </c>
    </row>
    <row r="280">
      <c r="I280">
        <f>IF($A280="","","MSH-TUT-"&amp;TEXT(YEAR(TODAY()),"0000")&amp;"-"&amp;TEXT(ROW()-1,"000"))</f>
        <v/>
      </c>
      <c r="J280">
        <f>IF($A280="","","Pending")</f>
        <v/>
      </c>
    </row>
    <row r="281">
      <c r="I281">
        <f>IF($A281="","","MSH-TUT-"&amp;TEXT(YEAR(TODAY()),"0000")&amp;"-"&amp;TEXT(ROW()-1,"000"))</f>
        <v/>
      </c>
      <c r="J281">
        <f>IF($A281="","","Pending")</f>
        <v/>
      </c>
    </row>
    <row r="282">
      <c r="I282">
        <f>IF($A282="","","MSH-TUT-"&amp;TEXT(YEAR(TODAY()),"0000")&amp;"-"&amp;TEXT(ROW()-1,"000"))</f>
        <v/>
      </c>
      <c r="J282">
        <f>IF($A282="","","Pending")</f>
        <v/>
      </c>
    </row>
    <row r="283">
      <c r="I283">
        <f>IF($A283="","","MSH-TUT-"&amp;TEXT(YEAR(TODAY()),"0000")&amp;"-"&amp;TEXT(ROW()-1,"000"))</f>
        <v/>
      </c>
      <c r="J283">
        <f>IF($A283="","","Pending")</f>
        <v/>
      </c>
    </row>
    <row r="284">
      <c r="I284">
        <f>IF($A284="","","MSH-TUT-"&amp;TEXT(YEAR(TODAY()),"0000")&amp;"-"&amp;TEXT(ROW()-1,"000"))</f>
        <v/>
      </c>
      <c r="J284">
        <f>IF($A284="","","Pending")</f>
        <v/>
      </c>
    </row>
    <row r="285">
      <c r="I285">
        <f>IF($A285="","","MSH-TUT-"&amp;TEXT(YEAR(TODAY()),"0000")&amp;"-"&amp;TEXT(ROW()-1,"000"))</f>
        <v/>
      </c>
      <c r="J285">
        <f>IF($A285="","","Pending")</f>
        <v/>
      </c>
    </row>
    <row r="286">
      <c r="I286">
        <f>IF($A286="","","MSH-TUT-"&amp;TEXT(YEAR(TODAY()),"0000")&amp;"-"&amp;TEXT(ROW()-1,"000"))</f>
        <v/>
      </c>
      <c r="J286">
        <f>IF($A286="","","Pending")</f>
        <v/>
      </c>
    </row>
    <row r="287">
      <c r="I287">
        <f>IF($A287="","","MSH-TUT-"&amp;TEXT(YEAR(TODAY()),"0000")&amp;"-"&amp;TEXT(ROW()-1,"000"))</f>
        <v/>
      </c>
      <c r="J287">
        <f>IF($A287="","","Pending")</f>
        <v/>
      </c>
    </row>
    <row r="288">
      <c r="I288">
        <f>IF($A288="","","MSH-TUT-"&amp;TEXT(YEAR(TODAY()),"0000")&amp;"-"&amp;TEXT(ROW()-1,"000"))</f>
        <v/>
      </c>
      <c r="J288">
        <f>IF($A288="","","Pending")</f>
        <v/>
      </c>
    </row>
    <row r="289">
      <c r="I289">
        <f>IF($A289="","","MSH-TUT-"&amp;TEXT(YEAR(TODAY()),"0000")&amp;"-"&amp;TEXT(ROW()-1,"000"))</f>
        <v/>
      </c>
      <c r="J289">
        <f>IF($A289="","","Pending")</f>
        <v/>
      </c>
    </row>
    <row r="290">
      <c r="I290">
        <f>IF($A290="","","MSH-TUT-"&amp;TEXT(YEAR(TODAY()),"0000")&amp;"-"&amp;TEXT(ROW()-1,"000"))</f>
        <v/>
      </c>
      <c r="J290">
        <f>IF($A290="","","Pending")</f>
        <v/>
      </c>
    </row>
    <row r="291">
      <c r="I291">
        <f>IF($A291="","","MSH-TUT-"&amp;TEXT(YEAR(TODAY()),"0000")&amp;"-"&amp;TEXT(ROW()-1,"000"))</f>
        <v/>
      </c>
      <c r="J291">
        <f>IF($A291="","","Pending")</f>
        <v/>
      </c>
    </row>
    <row r="292">
      <c r="I292">
        <f>IF($A292="","","MSH-TUT-"&amp;TEXT(YEAR(TODAY()),"0000")&amp;"-"&amp;TEXT(ROW()-1,"000"))</f>
        <v/>
      </c>
      <c r="J292">
        <f>IF($A292="","","Pending")</f>
        <v/>
      </c>
    </row>
    <row r="293">
      <c r="I293">
        <f>IF($A293="","","MSH-TUT-"&amp;TEXT(YEAR(TODAY()),"0000")&amp;"-"&amp;TEXT(ROW()-1,"000"))</f>
        <v/>
      </c>
      <c r="J293">
        <f>IF($A293="","","Pending")</f>
        <v/>
      </c>
    </row>
    <row r="294">
      <c r="I294">
        <f>IF($A294="","","MSH-TUT-"&amp;TEXT(YEAR(TODAY()),"0000")&amp;"-"&amp;TEXT(ROW()-1,"000"))</f>
        <v/>
      </c>
      <c r="J294">
        <f>IF($A294="","","Pending")</f>
        <v/>
      </c>
    </row>
    <row r="295">
      <c r="I295">
        <f>IF($A295="","","MSH-TUT-"&amp;TEXT(YEAR(TODAY()),"0000")&amp;"-"&amp;TEXT(ROW()-1,"000"))</f>
        <v/>
      </c>
      <c r="J295">
        <f>IF($A295="","","Pending")</f>
        <v/>
      </c>
    </row>
    <row r="296">
      <c r="I296">
        <f>IF($A296="","","MSH-TUT-"&amp;TEXT(YEAR(TODAY()),"0000")&amp;"-"&amp;TEXT(ROW()-1,"000"))</f>
        <v/>
      </c>
      <c r="J296">
        <f>IF($A296="","","Pending")</f>
        <v/>
      </c>
    </row>
    <row r="297">
      <c r="I297">
        <f>IF($A297="","","MSH-TUT-"&amp;TEXT(YEAR(TODAY()),"0000")&amp;"-"&amp;TEXT(ROW()-1,"000"))</f>
        <v/>
      </c>
      <c r="J297">
        <f>IF($A297="","","Pending")</f>
        <v/>
      </c>
    </row>
    <row r="298">
      <c r="I298">
        <f>IF($A298="","","MSH-TUT-"&amp;TEXT(YEAR(TODAY()),"0000")&amp;"-"&amp;TEXT(ROW()-1,"000"))</f>
        <v/>
      </c>
      <c r="J298">
        <f>IF($A298="","","Pending")</f>
        <v/>
      </c>
    </row>
    <row r="299">
      <c r="I299">
        <f>IF($A299="","","MSH-TUT-"&amp;TEXT(YEAR(TODAY()),"0000")&amp;"-"&amp;TEXT(ROW()-1,"000"))</f>
        <v/>
      </c>
      <c r="J299">
        <f>IF($A299="","","Pending")</f>
        <v/>
      </c>
    </row>
    <row r="300">
      <c r="I300">
        <f>IF($A300="","","MSH-TUT-"&amp;TEXT(YEAR(TODAY()),"0000")&amp;"-"&amp;TEXT(ROW()-1,"000"))</f>
        <v/>
      </c>
      <c r="J300">
        <f>IF($A300="","","Pending")</f>
        <v/>
      </c>
    </row>
    <row r="301">
      <c r="I301">
        <f>IF($A301="","","MSH-TUT-"&amp;TEXT(YEAR(TODAY()),"0000")&amp;"-"&amp;TEXT(ROW()-1,"000"))</f>
        <v/>
      </c>
      <c r="J301">
        <f>IF($A301="","","Pending")</f>
        <v/>
      </c>
    </row>
    <row r="302">
      <c r="I302">
        <f>IF($A302="","","MSH-TUT-"&amp;TEXT(YEAR(TODAY()),"0000")&amp;"-"&amp;TEXT(ROW()-1,"000"))</f>
        <v/>
      </c>
      <c r="J302">
        <f>IF($A302="","","Pending")</f>
        <v/>
      </c>
    </row>
    <row r="303">
      <c r="I303">
        <f>IF($A303="","","MSH-TUT-"&amp;TEXT(YEAR(TODAY()),"0000")&amp;"-"&amp;TEXT(ROW()-1,"000"))</f>
        <v/>
      </c>
      <c r="J303">
        <f>IF($A303="","","Pending")</f>
        <v/>
      </c>
    </row>
    <row r="304">
      <c r="I304">
        <f>IF($A304="","","MSH-TUT-"&amp;TEXT(YEAR(TODAY()),"0000")&amp;"-"&amp;TEXT(ROW()-1,"000"))</f>
        <v/>
      </c>
      <c r="J304">
        <f>IF($A304="","","Pending")</f>
        <v/>
      </c>
    </row>
    <row r="305">
      <c r="I305">
        <f>IF($A305="","","MSH-TUT-"&amp;TEXT(YEAR(TODAY()),"0000")&amp;"-"&amp;TEXT(ROW()-1,"000"))</f>
        <v/>
      </c>
      <c r="J305">
        <f>IF($A305="","","Pending")</f>
        <v/>
      </c>
    </row>
    <row r="306">
      <c r="I306">
        <f>IF($A306="","","MSH-TUT-"&amp;TEXT(YEAR(TODAY()),"0000")&amp;"-"&amp;TEXT(ROW()-1,"000"))</f>
        <v/>
      </c>
      <c r="J306">
        <f>IF($A306="","","Pending")</f>
        <v/>
      </c>
    </row>
    <row r="307">
      <c r="I307">
        <f>IF($A307="","","MSH-TUT-"&amp;TEXT(YEAR(TODAY()),"0000")&amp;"-"&amp;TEXT(ROW()-1,"000"))</f>
        <v/>
      </c>
      <c r="J307">
        <f>IF($A307="","","Pending")</f>
        <v/>
      </c>
    </row>
    <row r="308">
      <c r="I308">
        <f>IF($A308="","","MSH-TUT-"&amp;TEXT(YEAR(TODAY()),"0000")&amp;"-"&amp;TEXT(ROW()-1,"000"))</f>
        <v/>
      </c>
      <c r="J308">
        <f>IF($A308="","","Pending")</f>
        <v/>
      </c>
    </row>
    <row r="309">
      <c r="I309">
        <f>IF($A309="","","MSH-TUT-"&amp;TEXT(YEAR(TODAY()),"0000")&amp;"-"&amp;TEXT(ROW()-1,"000"))</f>
        <v/>
      </c>
      <c r="J309">
        <f>IF($A309="","","Pending")</f>
        <v/>
      </c>
    </row>
    <row r="310">
      <c r="I310">
        <f>IF($A310="","","MSH-TUT-"&amp;TEXT(YEAR(TODAY()),"0000")&amp;"-"&amp;TEXT(ROW()-1,"000"))</f>
        <v/>
      </c>
      <c r="J310">
        <f>IF($A310="","","Pending")</f>
        <v/>
      </c>
    </row>
    <row r="311">
      <c r="I311">
        <f>IF($A311="","","MSH-TUT-"&amp;TEXT(YEAR(TODAY()),"0000")&amp;"-"&amp;TEXT(ROW()-1,"000"))</f>
        <v/>
      </c>
      <c r="J311">
        <f>IF($A311="","","Pending")</f>
        <v/>
      </c>
    </row>
    <row r="312">
      <c r="I312">
        <f>IF($A312="","","MSH-TUT-"&amp;TEXT(YEAR(TODAY()),"0000")&amp;"-"&amp;TEXT(ROW()-1,"000"))</f>
        <v/>
      </c>
      <c r="J312">
        <f>IF($A312="","","Pending")</f>
        <v/>
      </c>
    </row>
    <row r="313">
      <c r="I313">
        <f>IF($A313="","","MSH-TUT-"&amp;TEXT(YEAR(TODAY()),"0000")&amp;"-"&amp;TEXT(ROW()-1,"000"))</f>
        <v/>
      </c>
      <c r="J313">
        <f>IF($A313="","","Pending")</f>
        <v/>
      </c>
    </row>
    <row r="314">
      <c r="I314">
        <f>IF($A314="","","MSH-TUT-"&amp;TEXT(YEAR(TODAY()),"0000")&amp;"-"&amp;TEXT(ROW()-1,"000"))</f>
        <v/>
      </c>
      <c r="J314">
        <f>IF($A314="","","Pending")</f>
        <v/>
      </c>
    </row>
    <row r="315">
      <c r="I315">
        <f>IF($A315="","","MSH-TUT-"&amp;TEXT(YEAR(TODAY()),"0000")&amp;"-"&amp;TEXT(ROW()-1,"000"))</f>
        <v/>
      </c>
      <c r="J315">
        <f>IF($A315="","","Pending")</f>
        <v/>
      </c>
    </row>
    <row r="316">
      <c r="I316">
        <f>IF($A316="","","MSH-TUT-"&amp;TEXT(YEAR(TODAY()),"0000")&amp;"-"&amp;TEXT(ROW()-1,"000"))</f>
        <v/>
      </c>
      <c r="J316">
        <f>IF($A316="","","Pending")</f>
        <v/>
      </c>
    </row>
    <row r="317">
      <c r="I317">
        <f>IF($A317="","","MSH-TUT-"&amp;TEXT(YEAR(TODAY()),"0000")&amp;"-"&amp;TEXT(ROW()-1,"000"))</f>
        <v/>
      </c>
      <c r="J317">
        <f>IF($A317="","","Pending")</f>
        <v/>
      </c>
    </row>
    <row r="318">
      <c r="I318">
        <f>IF($A318="","","MSH-TUT-"&amp;TEXT(YEAR(TODAY()),"0000")&amp;"-"&amp;TEXT(ROW()-1,"000"))</f>
        <v/>
      </c>
      <c r="J318">
        <f>IF($A318="","","Pending")</f>
        <v/>
      </c>
    </row>
    <row r="319">
      <c r="I319">
        <f>IF($A319="","","MSH-TUT-"&amp;TEXT(YEAR(TODAY()),"0000")&amp;"-"&amp;TEXT(ROW()-1,"000"))</f>
        <v/>
      </c>
      <c r="J319">
        <f>IF($A319="","","Pending")</f>
        <v/>
      </c>
    </row>
    <row r="320">
      <c r="I320">
        <f>IF($A320="","","MSH-TUT-"&amp;TEXT(YEAR(TODAY()),"0000")&amp;"-"&amp;TEXT(ROW()-1,"000"))</f>
        <v/>
      </c>
      <c r="J320">
        <f>IF($A320="","","Pending")</f>
        <v/>
      </c>
    </row>
    <row r="321">
      <c r="I321">
        <f>IF($A321="","","MSH-TUT-"&amp;TEXT(YEAR(TODAY()),"0000")&amp;"-"&amp;TEXT(ROW()-1,"000"))</f>
        <v/>
      </c>
      <c r="J321">
        <f>IF($A321="","","Pending")</f>
        <v/>
      </c>
    </row>
    <row r="322">
      <c r="I322">
        <f>IF($A322="","","MSH-TUT-"&amp;TEXT(YEAR(TODAY()),"0000")&amp;"-"&amp;TEXT(ROW()-1,"000"))</f>
        <v/>
      </c>
      <c r="J322">
        <f>IF($A322="","","Pending")</f>
        <v/>
      </c>
    </row>
    <row r="323">
      <c r="I323">
        <f>IF($A323="","","MSH-TUT-"&amp;TEXT(YEAR(TODAY()),"0000")&amp;"-"&amp;TEXT(ROW()-1,"000"))</f>
        <v/>
      </c>
      <c r="J323">
        <f>IF($A323="","","Pending")</f>
        <v/>
      </c>
    </row>
    <row r="324">
      <c r="I324">
        <f>IF($A324="","","MSH-TUT-"&amp;TEXT(YEAR(TODAY()),"0000")&amp;"-"&amp;TEXT(ROW()-1,"000"))</f>
        <v/>
      </c>
      <c r="J324">
        <f>IF($A324="","","Pending")</f>
        <v/>
      </c>
    </row>
    <row r="325">
      <c r="I325">
        <f>IF($A325="","","MSH-TUT-"&amp;TEXT(YEAR(TODAY()),"0000")&amp;"-"&amp;TEXT(ROW()-1,"000"))</f>
        <v/>
      </c>
      <c r="J325">
        <f>IF($A325="","","Pending")</f>
        <v/>
      </c>
    </row>
    <row r="326">
      <c r="I326">
        <f>IF($A326="","","MSH-TUT-"&amp;TEXT(YEAR(TODAY()),"0000")&amp;"-"&amp;TEXT(ROW()-1,"000"))</f>
        <v/>
      </c>
      <c r="J326">
        <f>IF($A326="","","Pending")</f>
        <v/>
      </c>
    </row>
    <row r="327">
      <c r="I327">
        <f>IF($A327="","","MSH-TUT-"&amp;TEXT(YEAR(TODAY()),"0000")&amp;"-"&amp;TEXT(ROW()-1,"000"))</f>
        <v/>
      </c>
      <c r="J327">
        <f>IF($A327="","","Pending")</f>
        <v/>
      </c>
    </row>
    <row r="328">
      <c r="I328">
        <f>IF($A328="","","MSH-TUT-"&amp;TEXT(YEAR(TODAY()),"0000")&amp;"-"&amp;TEXT(ROW()-1,"000"))</f>
        <v/>
      </c>
      <c r="J328">
        <f>IF($A328="","","Pending")</f>
        <v/>
      </c>
    </row>
    <row r="329">
      <c r="I329">
        <f>IF($A329="","","MSH-TUT-"&amp;TEXT(YEAR(TODAY()),"0000")&amp;"-"&amp;TEXT(ROW()-1,"000"))</f>
        <v/>
      </c>
      <c r="J329">
        <f>IF($A329="","","Pending")</f>
        <v/>
      </c>
    </row>
    <row r="330">
      <c r="I330">
        <f>IF($A330="","","MSH-TUT-"&amp;TEXT(YEAR(TODAY()),"0000")&amp;"-"&amp;TEXT(ROW()-1,"000"))</f>
        <v/>
      </c>
      <c r="J330">
        <f>IF($A330="","","Pending")</f>
        <v/>
      </c>
    </row>
    <row r="331">
      <c r="I331">
        <f>IF($A331="","","MSH-TUT-"&amp;TEXT(YEAR(TODAY()),"0000")&amp;"-"&amp;TEXT(ROW()-1,"000"))</f>
        <v/>
      </c>
      <c r="J331">
        <f>IF($A331="","","Pending")</f>
        <v/>
      </c>
    </row>
    <row r="332">
      <c r="I332">
        <f>IF($A332="","","MSH-TUT-"&amp;TEXT(YEAR(TODAY()),"0000")&amp;"-"&amp;TEXT(ROW()-1,"000"))</f>
        <v/>
      </c>
      <c r="J332">
        <f>IF($A332="","","Pending")</f>
        <v/>
      </c>
    </row>
    <row r="333">
      <c r="I333">
        <f>IF($A333="","","MSH-TUT-"&amp;TEXT(YEAR(TODAY()),"0000")&amp;"-"&amp;TEXT(ROW()-1,"000"))</f>
        <v/>
      </c>
      <c r="J333">
        <f>IF($A333="","","Pending")</f>
        <v/>
      </c>
    </row>
    <row r="334">
      <c r="I334">
        <f>IF($A334="","","MSH-TUT-"&amp;TEXT(YEAR(TODAY()),"0000")&amp;"-"&amp;TEXT(ROW()-1,"000"))</f>
        <v/>
      </c>
      <c r="J334">
        <f>IF($A334="","","Pending")</f>
        <v/>
      </c>
    </row>
    <row r="335">
      <c r="I335">
        <f>IF($A335="","","MSH-TUT-"&amp;TEXT(YEAR(TODAY()),"0000")&amp;"-"&amp;TEXT(ROW()-1,"000"))</f>
        <v/>
      </c>
      <c r="J335">
        <f>IF($A335="","","Pending")</f>
        <v/>
      </c>
    </row>
    <row r="336">
      <c r="I336">
        <f>IF($A336="","","MSH-TUT-"&amp;TEXT(YEAR(TODAY()),"0000")&amp;"-"&amp;TEXT(ROW()-1,"000"))</f>
        <v/>
      </c>
      <c r="J336">
        <f>IF($A336="","","Pending")</f>
        <v/>
      </c>
    </row>
    <row r="337">
      <c r="I337">
        <f>IF($A337="","","MSH-TUT-"&amp;TEXT(YEAR(TODAY()),"0000")&amp;"-"&amp;TEXT(ROW()-1,"000"))</f>
        <v/>
      </c>
      <c r="J337">
        <f>IF($A337="","","Pending")</f>
        <v/>
      </c>
    </row>
    <row r="338">
      <c r="I338">
        <f>IF($A338="","","MSH-TUT-"&amp;TEXT(YEAR(TODAY()),"0000")&amp;"-"&amp;TEXT(ROW()-1,"000"))</f>
        <v/>
      </c>
      <c r="J338">
        <f>IF($A338="","","Pending")</f>
        <v/>
      </c>
    </row>
    <row r="339">
      <c r="I339">
        <f>IF($A339="","","MSH-TUT-"&amp;TEXT(YEAR(TODAY()),"0000")&amp;"-"&amp;TEXT(ROW()-1,"000"))</f>
        <v/>
      </c>
      <c r="J339">
        <f>IF($A339="","","Pending")</f>
        <v/>
      </c>
    </row>
    <row r="340">
      <c r="I340">
        <f>IF($A340="","","MSH-TUT-"&amp;TEXT(YEAR(TODAY()),"0000")&amp;"-"&amp;TEXT(ROW()-1,"000"))</f>
        <v/>
      </c>
      <c r="J340">
        <f>IF($A340="","","Pending")</f>
        <v/>
      </c>
    </row>
    <row r="341">
      <c r="I341">
        <f>IF($A341="","","MSH-TUT-"&amp;TEXT(YEAR(TODAY()),"0000")&amp;"-"&amp;TEXT(ROW()-1,"000"))</f>
        <v/>
      </c>
      <c r="J341">
        <f>IF($A341="","","Pending")</f>
        <v/>
      </c>
    </row>
    <row r="342">
      <c r="I342">
        <f>IF($A342="","","MSH-TUT-"&amp;TEXT(YEAR(TODAY()),"0000")&amp;"-"&amp;TEXT(ROW()-1,"000"))</f>
        <v/>
      </c>
      <c r="J342">
        <f>IF($A342="","","Pending")</f>
        <v/>
      </c>
    </row>
    <row r="343">
      <c r="I343">
        <f>IF($A343="","","MSH-TUT-"&amp;TEXT(YEAR(TODAY()),"0000")&amp;"-"&amp;TEXT(ROW()-1,"000"))</f>
        <v/>
      </c>
      <c r="J343">
        <f>IF($A343="","","Pending")</f>
        <v/>
      </c>
    </row>
    <row r="344">
      <c r="I344">
        <f>IF($A344="","","MSH-TUT-"&amp;TEXT(YEAR(TODAY()),"0000")&amp;"-"&amp;TEXT(ROW()-1,"000"))</f>
        <v/>
      </c>
      <c r="J344">
        <f>IF($A344="","","Pending")</f>
        <v/>
      </c>
    </row>
    <row r="345">
      <c r="I345">
        <f>IF($A345="","","MSH-TUT-"&amp;TEXT(YEAR(TODAY()),"0000")&amp;"-"&amp;TEXT(ROW()-1,"000"))</f>
        <v/>
      </c>
      <c r="J345">
        <f>IF($A345="","","Pending")</f>
        <v/>
      </c>
    </row>
    <row r="346">
      <c r="I346">
        <f>IF($A346="","","MSH-TUT-"&amp;TEXT(YEAR(TODAY()),"0000")&amp;"-"&amp;TEXT(ROW()-1,"000"))</f>
        <v/>
      </c>
      <c r="J346">
        <f>IF($A346="","","Pending")</f>
        <v/>
      </c>
    </row>
    <row r="347">
      <c r="I347">
        <f>IF($A347="","","MSH-TUT-"&amp;TEXT(YEAR(TODAY()),"0000")&amp;"-"&amp;TEXT(ROW()-1,"000"))</f>
        <v/>
      </c>
      <c r="J347">
        <f>IF($A347="","","Pending")</f>
        <v/>
      </c>
    </row>
    <row r="348">
      <c r="I348">
        <f>IF($A348="","","MSH-TUT-"&amp;TEXT(YEAR(TODAY()),"0000")&amp;"-"&amp;TEXT(ROW()-1,"000"))</f>
        <v/>
      </c>
      <c r="J348">
        <f>IF($A348="","","Pending")</f>
        <v/>
      </c>
    </row>
    <row r="349">
      <c r="I349">
        <f>IF($A349="","","MSH-TUT-"&amp;TEXT(YEAR(TODAY()),"0000")&amp;"-"&amp;TEXT(ROW()-1,"000"))</f>
        <v/>
      </c>
      <c r="J349">
        <f>IF($A349="","","Pending")</f>
        <v/>
      </c>
    </row>
    <row r="350">
      <c r="I350">
        <f>IF($A350="","","MSH-TUT-"&amp;TEXT(YEAR(TODAY()),"0000")&amp;"-"&amp;TEXT(ROW()-1,"000"))</f>
        <v/>
      </c>
      <c r="J350">
        <f>IF($A350="","","Pending")</f>
        <v/>
      </c>
    </row>
    <row r="351">
      <c r="I351">
        <f>IF($A351="","","MSH-TUT-"&amp;TEXT(YEAR(TODAY()),"0000")&amp;"-"&amp;TEXT(ROW()-1,"000"))</f>
        <v/>
      </c>
      <c r="J351">
        <f>IF($A351="","","Pending")</f>
        <v/>
      </c>
    </row>
    <row r="352">
      <c r="I352">
        <f>IF($A352="","","MSH-TUT-"&amp;TEXT(YEAR(TODAY()),"0000")&amp;"-"&amp;TEXT(ROW()-1,"000"))</f>
        <v/>
      </c>
      <c r="J352">
        <f>IF($A352="","","Pending")</f>
        <v/>
      </c>
    </row>
    <row r="353">
      <c r="I353">
        <f>IF($A353="","","MSH-TUT-"&amp;TEXT(YEAR(TODAY()),"0000")&amp;"-"&amp;TEXT(ROW()-1,"000"))</f>
        <v/>
      </c>
      <c r="J353">
        <f>IF($A353="","","Pending")</f>
        <v/>
      </c>
    </row>
    <row r="354">
      <c r="I354">
        <f>IF($A354="","","MSH-TUT-"&amp;TEXT(YEAR(TODAY()),"0000")&amp;"-"&amp;TEXT(ROW()-1,"000"))</f>
        <v/>
      </c>
      <c r="J354">
        <f>IF($A354="","","Pending")</f>
        <v/>
      </c>
    </row>
    <row r="355">
      <c r="I355">
        <f>IF($A355="","","MSH-TUT-"&amp;TEXT(YEAR(TODAY()),"0000")&amp;"-"&amp;TEXT(ROW()-1,"000"))</f>
        <v/>
      </c>
      <c r="J355">
        <f>IF($A355="","","Pending")</f>
        <v/>
      </c>
    </row>
    <row r="356">
      <c r="I356">
        <f>IF($A356="","","MSH-TUT-"&amp;TEXT(YEAR(TODAY()),"0000")&amp;"-"&amp;TEXT(ROW()-1,"000"))</f>
        <v/>
      </c>
      <c r="J356">
        <f>IF($A356="","","Pending")</f>
        <v/>
      </c>
    </row>
    <row r="357">
      <c r="I357">
        <f>IF($A357="","","MSH-TUT-"&amp;TEXT(YEAR(TODAY()),"0000")&amp;"-"&amp;TEXT(ROW()-1,"000"))</f>
        <v/>
      </c>
      <c r="J357">
        <f>IF($A357="","","Pending")</f>
        <v/>
      </c>
    </row>
    <row r="358">
      <c r="I358">
        <f>IF($A358="","","MSH-TUT-"&amp;TEXT(YEAR(TODAY()),"0000")&amp;"-"&amp;TEXT(ROW()-1,"000"))</f>
        <v/>
      </c>
      <c r="J358">
        <f>IF($A358="","","Pending")</f>
        <v/>
      </c>
    </row>
    <row r="359">
      <c r="I359">
        <f>IF($A359="","","MSH-TUT-"&amp;TEXT(YEAR(TODAY()),"0000")&amp;"-"&amp;TEXT(ROW()-1,"000"))</f>
        <v/>
      </c>
      <c r="J359">
        <f>IF($A359="","","Pending")</f>
        <v/>
      </c>
    </row>
    <row r="360">
      <c r="I360">
        <f>IF($A360="","","MSH-TUT-"&amp;TEXT(YEAR(TODAY()),"0000")&amp;"-"&amp;TEXT(ROW()-1,"000"))</f>
        <v/>
      </c>
      <c r="J360">
        <f>IF($A360="","","Pending")</f>
        <v/>
      </c>
    </row>
    <row r="361">
      <c r="I361">
        <f>IF($A361="","","MSH-TUT-"&amp;TEXT(YEAR(TODAY()),"0000")&amp;"-"&amp;TEXT(ROW()-1,"000"))</f>
        <v/>
      </c>
      <c r="J361">
        <f>IF($A361="","","Pending")</f>
        <v/>
      </c>
    </row>
    <row r="362">
      <c r="I362">
        <f>IF($A362="","","MSH-TUT-"&amp;TEXT(YEAR(TODAY()),"0000")&amp;"-"&amp;TEXT(ROW()-1,"000"))</f>
        <v/>
      </c>
      <c r="J362">
        <f>IF($A362="","","Pending")</f>
        <v/>
      </c>
    </row>
    <row r="363">
      <c r="I363">
        <f>IF($A363="","","MSH-TUT-"&amp;TEXT(YEAR(TODAY()),"0000")&amp;"-"&amp;TEXT(ROW()-1,"000"))</f>
        <v/>
      </c>
      <c r="J363">
        <f>IF($A363="","","Pending")</f>
        <v/>
      </c>
    </row>
    <row r="364">
      <c r="I364">
        <f>IF($A364="","","MSH-TUT-"&amp;TEXT(YEAR(TODAY()),"0000")&amp;"-"&amp;TEXT(ROW()-1,"000"))</f>
        <v/>
      </c>
      <c r="J364">
        <f>IF($A364="","","Pending")</f>
        <v/>
      </c>
    </row>
    <row r="365">
      <c r="I365">
        <f>IF($A365="","","MSH-TUT-"&amp;TEXT(YEAR(TODAY()),"0000")&amp;"-"&amp;TEXT(ROW()-1,"000"))</f>
        <v/>
      </c>
      <c r="J365">
        <f>IF($A365="","","Pending")</f>
        <v/>
      </c>
    </row>
    <row r="366">
      <c r="I366">
        <f>IF($A366="","","MSH-TUT-"&amp;TEXT(YEAR(TODAY()),"0000")&amp;"-"&amp;TEXT(ROW()-1,"000"))</f>
        <v/>
      </c>
      <c r="J366">
        <f>IF($A366="","","Pending")</f>
        <v/>
      </c>
    </row>
    <row r="367">
      <c r="I367">
        <f>IF($A367="","","MSH-TUT-"&amp;TEXT(YEAR(TODAY()),"0000")&amp;"-"&amp;TEXT(ROW()-1,"000"))</f>
        <v/>
      </c>
      <c r="J367">
        <f>IF($A367="","","Pending")</f>
        <v/>
      </c>
    </row>
    <row r="368">
      <c r="I368">
        <f>IF($A368="","","MSH-TUT-"&amp;TEXT(YEAR(TODAY()),"0000")&amp;"-"&amp;TEXT(ROW()-1,"000"))</f>
        <v/>
      </c>
      <c r="J368">
        <f>IF($A368="","","Pending")</f>
        <v/>
      </c>
    </row>
    <row r="369">
      <c r="I369">
        <f>IF($A369="","","MSH-TUT-"&amp;TEXT(YEAR(TODAY()),"0000")&amp;"-"&amp;TEXT(ROW()-1,"000"))</f>
        <v/>
      </c>
      <c r="J369">
        <f>IF($A369="","","Pending")</f>
        <v/>
      </c>
    </row>
    <row r="370">
      <c r="I370">
        <f>IF($A370="","","MSH-TUT-"&amp;TEXT(YEAR(TODAY()),"0000")&amp;"-"&amp;TEXT(ROW()-1,"000"))</f>
        <v/>
      </c>
      <c r="J370">
        <f>IF($A370="","","Pending")</f>
        <v/>
      </c>
    </row>
    <row r="371">
      <c r="I371">
        <f>IF($A371="","","MSH-TUT-"&amp;TEXT(YEAR(TODAY()),"0000")&amp;"-"&amp;TEXT(ROW()-1,"000"))</f>
        <v/>
      </c>
      <c r="J371">
        <f>IF($A371="","","Pending")</f>
        <v/>
      </c>
    </row>
    <row r="372">
      <c r="I372">
        <f>IF($A372="","","MSH-TUT-"&amp;TEXT(YEAR(TODAY()),"0000")&amp;"-"&amp;TEXT(ROW()-1,"000"))</f>
        <v/>
      </c>
      <c r="J372">
        <f>IF($A372="","","Pending")</f>
        <v/>
      </c>
    </row>
    <row r="373">
      <c r="I373">
        <f>IF($A373="","","MSH-TUT-"&amp;TEXT(YEAR(TODAY()),"0000")&amp;"-"&amp;TEXT(ROW()-1,"000"))</f>
        <v/>
      </c>
      <c r="J373">
        <f>IF($A373="","","Pending")</f>
        <v/>
      </c>
    </row>
    <row r="374">
      <c r="I374">
        <f>IF($A374="","","MSH-TUT-"&amp;TEXT(YEAR(TODAY()),"0000")&amp;"-"&amp;TEXT(ROW()-1,"000"))</f>
        <v/>
      </c>
      <c r="J374">
        <f>IF($A374="","","Pending")</f>
        <v/>
      </c>
    </row>
    <row r="375">
      <c r="I375">
        <f>IF($A375="","","MSH-TUT-"&amp;TEXT(YEAR(TODAY()),"0000")&amp;"-"&amp;TEXT(ROW()-1,"000"))</f>
        <v/>
      </c>
      <c r="J375">
        <f>IF($A375="","","Pending")</f>
        <v/>
      </c>
    </row>
    <row r="376">
      <c r="I376">
        <f>IF($A376="","","MSH-TUT-"&amp;TEXT(YEAR(TODAY()),"0000")&amp;"-"&amp;TEXT(ROW()-1,"000"))</f>
        <v/>
      </c>
      <c r="J376">
        <f>IF($A376="","","Pending")</f>
        <v/>
      </c>
    </row>
    <row r="377">
      <c r="I377">
        <f>IF($A377="","","MSH-TUT-"&amp;TEXT(YEAR(TODAY()),"0000")&amp;"-"&amp;TEXT(ROW()-1,"000"))</f>
        <v/>
      </c>
      <c r="J377">
        <f>IF($A377="","","Pending")</f>
        <v/>
      </c>
    </row>
    <row r="378">
      <c r="I378">
        <f>IF($A378="","","MSH-TUT-"&amp;TEXT(YEAR(TODAY()),"0000")&amp;"-"&amp;TEXT(ROW()-1,"000"))</f>
        <v/>
      </c>
      <c r="J378">
        <f>IF($A378="","","Pending")</f>
        <v/>
      </c>
    </row>
    <row r="379">
      <c r="I379">
        <f>IF($A379="","","MSH-TUT-"&amp;TEXT(YEAR(TODAY()),"0000")&amp;"-"&amp;TEXT(ROW()-1,"000"))</f>
        <v/>
      </c>
      <c r="J379">
        <f>IF($A379="","","Pending")</f>
        <v/>
      </c>
    </row>
    <row r="380">
      <c r="I380">
        <f>IF($A380="","","MSH-TUT-"&amp;TEXT(YEAR(TODAY()),"0000")&amp;"-"&amp;TEXT(ROW()-1,"000"))</f>
        <v/>
      </c>
      <c r="J380">
        <f>IF($A380="","","Pending")</f>
        <v/>
      </c>
    </row>
    <row r="381">
      <c r="I381">
        <f>IF($A381="","","MSH-TUT-"&amp;TEXT(YEAR(TODAY()),"0000")&amp;"-"&amp;TEXT(ROW()-1,"000"))</f>
        <v/>
      </c>
      <c r="J381">
        <f>IF($A381="","","Pending")</f>
        <v/>
      </c>
    </row>
    <row r="382">
      <c r="I382">
        <f>IF($A382="","","MSH-TUT-"&amp;TEXT(YEAR(TODAY()),"0000")&amp;"-"&amp;TEXT(ROW()-1,"000"))</f>
        <v/>
      </c>
      <c r="J382">
        <f>IF($A382="","","Pending")</f>
        <v/>
      </c>
    </row>
    <row r="383">
      <c r="I383">
        <f>IF($A383="","","MSH-TUT-"&amp;TEXT(YEAR(TODAY()),"0000")&amp;"-"&amp;TEXT(ROW()-1,"000"))</f>
        <v/>
      </c>
      <c r="J383">
        <f>IF($A383="","","Pending")</f>
        <v/>
      </c>
    </row>
    <row r="384">
      <c r="I384">
        <f>IF($A384="","","MSH-TUT-"&amp;TEXT(YEAR(TODAY()),"0000")&amp;"-"&amp;TEXT(ROW()-1,"000"))</f>
        <v/>
      </c>
      <c r="J384">
        <f>IF($A384="","","Pending")</f>
        <v/>
      </c>
    </row>
    <row r="385">
      <c r="I385">
        <f>IF($A385="","","MSH-TUT-"&amp;TEXT(YEAR(TODAY()),"0000")&amp;"-"&amp;TEXT(ROW()-1,"000"))</f>
        <v/>
      </c>
      <c r="J385">
        <f>IF($A385="","","Pending")</f>
        <v/>
      </c>
    </row>
    <row r="386">
      <c r="I386">
        <f>IF($A386="","","MSH-TUT-"&amp;TEXT(YEAR(TODAY()),"0000")&amp;"-"&amp;TEXT(ROW()-1,"000"))</f>
        <v/>
      </c>
      <c r="J386">
        <f>IF($A386="","","Pending")</f>
        <v/>
      </c>
    </row>
    <row r="387">
      <c r="I387">
        <f>IF($A387="","","MSH-TUT-"&amp;TEXT(YEAR(TODAY()),"0000")&amp;"-"&amp;TEXT(ROW()-1,"000"))</f>
        <v/>
      </c>
      <c r="J387">
        <f>IF($A387="","","Pending")</f>
        <v/>
      </c>
    </row>
    <row r="388">
      <c r="I388">
        <f>IF($A388="","","MSH-TUT-"&amp;TEXT(YEAR(TODAY()),"0000")&amp;"-"&amp;TEXT(ROW()-1,"000"))</f>
        <v/>
      </c>
      <c r="J388">
        <f>IF($A388="","","Pending")</f>
        <v/>
      </c>
    </row>
    <row r="389">
      <c r="I389">
        <f>IF($A389="","","MSH-TUT-"&amp;TEXT(YEAR(TODAY()),"0000")&amp;"-"&amp;TEXT(ROW()-1,"000"))</f>
        <v/>
      </c>
      <c r="J389">
        <f>IF($A389="","","Pending")</f>
        <v/>
      </c>
    </row>
    <row r="390">
      <c r="I390">
        <f>IF($A390="","","MSH-TUT-"&amp;TEXT(YEAR(TODAY()),"0000")&amp;"-"&amp;TEXT(ROW()-1,"000"))</f>
        <v/>
      </c>
      <c r="J390">
        <f>IF($A390="","","Pending")</f>
        <v/>
      </c>
    </row>
    <row r="391">
      <c r="I391">
        <f>IF($A391="","","MSH-TUT-"&amp;TEXT(YEAR(TODAY()),"0000")&amp;"-"&amp;TEXT(ROW()-1,"000"))</f>
        <v/>
      </c>
      <c r="J391">
        <f>IF($A391="","","Pending")</f>
        <v/>
      </c>
    </row>
    <row r="392">
      <c r="I392">
        <f>IF($A392="","","MSH-TUT-"&amp;TEXT(YEAR(TODAY()),"0000")&amp;"-"&amp;TEXT(ROW()-1,"000"))</f>
        <v/>
      </c>
      <c r="J392">
        <f>IF($A392="","","Pending")</f>
        <v/>
      </c>
    </row>
    <row r="393">
      <c r="I393">
        <f>IF($A393="","","MSH-TUT-"&amp;TEXT(YEAR(TODAY()),"0000")&amp;"-"&amp;TEXT(ROW()-1,"000"))</f>
        <v/>
      </c>
      <c r="J393">
        <f>IF($A393="","","Pending")</f>
        <v/>
      </c>
    </row>
    <row r="394">
      <c r="I394">
        <f>IF($A394="","","MSH-TUT-"&amp;TEXT(YEAR(TODAY()),"0000")&amp;"-"&amp;TEXT(ROW()-1,"000"))</f>
        <v/>
      </c>
      <c r="J394">
        <f>IF($A394="","","Pending")</f>
        <v/>
      </c>
    </row>
    <row r="395">
      <c r="I395">
        <f>IF($A395="","","MSH-TUT-"&amp;TEXT(YEAR(TODAY()),"0000")&amp;"-"&amp;TEXT(ROW()-1,"000"))</f>
        <v/>
      </c>
      <c r="J395">
        <f>IF($A395="","","Pending")</f>
        <v/>
      </c>
    </row>
    <row r="396">
      <c r="I396">
        <f>IF($A396="","","MSH-TUT-"&amp;TEXT(YEAR(TODAY()),"0000")&amp;"-"&amp;TEXT(ROW()-1,"000"))</f>
        <v/>
      </c>
      <c r="J396">
        <f>IF($A396="","","Pending")</f>
        <v/>
      </c>
    </row>
    <row r="397">
      <c r="I397">
        <f>IF($A397="","","MSH-TUT-"&amp;TEXT(YEAR(TODAY()),"0000")&amp;"-"&amp;TEXT(ROW()-1,"000"))</f>
        <v/>
      </c>
      <c r="J397">
        <f>IF($A397="","","Pending")</f>
        <v/>
      </c>
    </row>
    <row r="398">
      <c r="I398">
        <f>IF($A398="","","MSH-TUT-"&amp;TEXT(YEAR(TODAY()),"0000")&amp;"-"&amp;TEXT(ROW()-1,"000"))</f>
        <v/>
      </c>
      <c r="J398">
        <f>IF($A398="","","Pending")</f>
        <v/>
      </c>
    </row>
    <row r="399">
      <c r="I399">
        <f>IF($A399="","","MSH-TUT-"&amp;TEXT(YEAR(TODAY()),"0000")&amp;"-"&amp;TEXT(ROW()-1,"000"))</f>
        <v/>
      </c>
      <c r="J399">
        <f>IF($A399="","","Pending")</f>
        <v/>
      </c>
    </row>
    <row r="400">
      <c r="I400">
        <f>IF($A400="","","MSH-TUT-"&amp;TEXT(YEAR(TODAY()),"0000")&amp;"-"&amp;TEXT(ROW()-1,"000"))</f>
        <v/>
      </c>
      <c r="J400">
        <f>IF($A400="","","Pending")</f>
        <v/>
      </c>
    </row>
    <row r="401">
      <c r="I401">
        <f>IF($A401="","","MSH-TUT-"&amp;TEXT(YEAR(TODAY()),"0000")&amp;"-"&amp;TEXT(ROW()-1,"000"))</f>
        <v/>
      </c>
      <c r="J401">
        <f>IF($A401="","","Pending")</f>
        <v/>
      </c>
    </row>
    <row r="402">
      <c r="I402">
        <f>IF($A402="","","MSH-TUT-"&amp;TEXT(YEAR(TODAY()),"0000")&amp;"-"&amp;TEXT(ROW()-1,"000"))</f>
        <v/>
      </c>
      <c r="J402">
        <f>IF($A402="","","Pending")</f>
        <v/>
      </c>
    </row>
    <row r="403">
      <c r="I403">
        <f>IF($A403="","","MSH-TUT-"&amp;TEXT(YEAR(TODAY()),"0000")&amp;"-"&amp;TEXT(ROW()-1,"000"))</f>
        <v/>
      </c>
      <c r="J403">
        <f>IF($A403="","","Pending")</f>
        <v/>
      </c>
    </row>
    <row r="404">
      <c r="I404">
        <f>IF($A404="","","MSH-TUT-"&amp;TEXT(YEAR(TODAY()),"0000")&amp;"-"&amp;TEXT(ROW()-1,"000"))</f>
        <v/>
      </c>
      <c r="J404">
        <f>IF($A404="","","Pending")</f>
        <v/>
      </c>
    </row>
    <row r="405">
      <c r="I405">
        <f>IF($A405="","","MSH-TUT-"&amp;TEXT(YEAR(TODAY()),"0000")&amp;"-"&amp;TEXT(ROW()-1,"000"))</f>
        <v/>
      </c>
      <c r="J405">
        <f>IF($A405="","","Pending")</f>
        <v/>
      </c>
    </row>
    <row r="406">
      <c r="I406">
        <f>IF($A406="","","MSH-TUT-"&amp;TEXT(YEAR(TODAY()),"0000")&amp;"-"&amp;TEXT(ROW()-1,"000"))</f>
        <v/>
      </c>
      <c r="J406">
        <f>IF($A406="","","Pending")</f>
        <v/>
      </c>
    </row>
    <row r="407">
      <c r="I407">
        <f>IF($A407="","","MSH-TUT-"&amp;TEXT(YEAR(TODAY()),"0000")&amp;"-"&amp;TEXT(ROW()-1,"000"))</f>
        <v/>
      </c>
      <c r="J407">
        <f>IF($A407="","","Pending")</f>
        <v/>
      </c>
    </row>
    <row r="408">
      <c r="I408">
        <f>IF($A408="","","MSH-TUT-"&amp;TEXT(YEAR(TODAY()),"0000")&amp;"-"&amp;TEXT(ROW()-1,"000"))</f>
        <v/>
      </c>
      <c r="J408">
        <f>IF($A408="","","Pending")</f>
        <v/>
      </c>
    </row>
    <row r="409">
      <c r="I409">
        <f>IF($A409="","","MSH-TUT-"&amp;TEXT(YEAR(TODAY()),"0000")&amp;"-"&amp;TEXT(ROW()-1,"000"))</f>
        <v/>
      </c>
      <c r="J409">
        <f>IF($A409="","","Pending")</f>
        <v/>
      </c>
    </row>
    <row r="410">
      <c r="I410">
        <f>IF($A410="","","MSH-TUT-"&amp;TEXT(YEAR(TODAY()),"0000")&amp;"-"&amp;TEXT(ROW()-1,"000"))</f>
        <v/>
      </c>
      <c r="J410">
        <f>IF($A410="","","Pending")</f>
        <v/>
      </c>
    </row>
    <row r="411">
      <c r="I411">
        <f>IF($A411="","","MSH-TUT-"&amp;TEXT(YEAR(TODAY()),"0000")&amp;"-"&amp;TEXT(ROW()-1,"000"))</f>
        <v/>
      </c>
      <c r="J411">
        <f>IF($A411="","","Pending")</f>
        <v/>
      </c>
    </row>
    <row r="412">
      <c r="I412">
        <f>IF($A412="","","MSH-TUT-"&amp;TEXT(YEAR(TODAY()),"0000")&amp;"-"&amp;TEXT(ROW()-1,"000"))</f>
        <v/>
      </c>
      <c r="J412">
        <f>IF($A412="","","Pending")</f>
        <v/>
      </c>
    </row>
    <row r="413">
      <c r="I413">
        <f>IF($A413="","","MSH-TUT-"&amp;TEXT(YEAR(TODAY()),"0000")&amp;"-"&amp;TEXT(ROW()-1,"000"))</f>
        <v/>
      </c>
      <c r="J413">
        <f>IF($A413="","","Pending")</f>
        <v/>
      </c>
    </row>
    <row r="414">
      <c r="I414">
        <f>IF($A414="","","MSH-TUT-"&amp;TEXT(YEAR(TODAY()),"0000")&amp;"-"&amp;TEXT(ROW()-1,"000"))</f>
        <v/>
      </c>
      <c r="J414">
        <f>IF($A414="","","Pending")</f>
        <v/>
      </c>
    </row>
    <row r="415">
      <c r="I415">
        <f>IF($A415="","","MSH-TUT-"&amp;TEXT(YEAR(TODAY()),"0000")&amp;"-"&amp;TEXT(ROW()-1,"000"))</f>
        <v/>
      </c>
      <c r="J415">
        <f>IF($A415="","","Pending")</f>
        <v/>
      </c>
    </row>
    <row r="416">
      <c r="I416">
        <f>IF($A416="","","MSH-TUT-"&amp;TEXT(YEAR(TODAY()),"0000")&amp;"-"&amp;TEXT(ROW()-1,"000"))</f>
        <v/>
      </c>
      <c r="J416">
        <f>IF($A416="","","Pending")</f>
        <v/>
      </c>
    </row>
    <row r="417">
      <c r="I417">
        <f>IF($A417="","","MSH-TUT-"&amp;TEXT(YEAR(TODAY()),"0000")&amp;"-"&amp;TEXT(ROW()-1,"000"))</f>
        <v/>
      </c>
      <c r="J417">
        <f>IF($A417="","","Pending")</f>
        <v/>
      </c>
    </row>
    <row r="418">
      <c r="I418">
        <f>IF($A418="","","MSH-TUT-"&amp;TEXT(YEAR(TODAY()),"0000")&amp;"-"&amp;TEXT(ROW()-1,"000"))</f>
        <v/>
      </c>
      <c r="J418">
        <f>IF($A418="","","Pending")</f>
        <v/>
      </c>
    </row>
    <row r="419">
      <c r="I419">
        <f>IF($A419="","","MSH-TUT-"&amp;TEXT(YEAR(TODAY()),"0000")&amp;"-"&amp;TEXT(ROW()-1,"000"))</f>
        <v/>
      </c>
      <c r="J419">
        <f>IF($A419="","","Pending")</f>
        <v/>
      </c>
    </row>
    <row r="420">
      <c r="I420">
        <f>IF($A420="","","MSH-TUT-"&amp;TEXT(YEAR(TODAY()),"0000")&amp;"-"&amp;TEXT(ROW()-1,"000"))</f>
        <v/>
      </c>
      <c r="J420">
        <f>IF($A420="","","Pending")</f>
        <v/>
      </c>
    </row>
    <row r="421">
      <c r="I421">
        <f>IF($A421="","","MSH-TUT-"&amp;TEXT(YEAR(TODAY()),"0000")&amp;"-"&amp;TEXT(ROW()-1,"000"))</f>
        <v/>
      </c>
      <c r="J421">
        <f>IF($A421="","","Pending")</f>
        <v/>
      </c>
    </row>
    <row r="422">
      <c r="I422">
        <f>IF($A422="","","MSH-TUT-"&amp;TEXT(YEAR(TODAY()),"0000")&amp;"-"&amp;TEXT(ROW()-1,"000"))</f>
        <v/>
      </c>
      <c r="J422">
        <f>IF($A422="","","Pending")</f>
        <v/>
      </c>
    </row>
    <row r="423">
      <c r="I423">
        <f>IF($A423="","","MSH-TUT-"&amp;TEXT(YEAR(TODAY()),"0000")&amp;"-"&amp;TEXT(ROW()-1,"000"))</f>
        <v/>
      </c>
      <c r="J423">
        <f>IF($A423="","","Pending")</f>
        <v/>
      </c>
    </row>
    <row r="424">
      <c r="I424">
        <f>IF($A424="","","MSH-TUT-"&amp;TEXT(YEAR(TODAY()),"0000")&amp;"-"&amp;TEXT(ROW()-1,"000"))</f>
        <v/>
      </c>
      <c r="J424">
        <f>IF($A424="","","Pending")</f>
        <v/>
      </c>
    </row>
    <row r="425">
      <c r="I425">
        <f>IF($A425="","","MSH-TUT-"&amp;TEXT(YEAR(TODAY()),"0000")&amp;"-"&amp;TEXT(ROW()-1,"000"))</f>
        <v/>
      </c>
      <c r="J425">
        <f>IF($A425="","","Pending")</f>
        <v/>
      </c>
    </row>
    <row r="426">
      <c r="I426">
        <f>IF($A426="","","MSH-TUT-"&amp;TEXT(YEAR(TODAY()),"0000")&amp;"-"&amp;TEXT(ROW()-1,"000"))</f>
        <v/>
      </c>
      <c r="J426">
        <f>IF($A426="","","Pending")</f>
        <v/>
      </c>
    </row>
    <row r="427">
      <c r="I427">
        <f>IF($A427="","","MSH-TUT-"&amp;TEXT(YEAR(TODAY()),"0000")&amp;"-"&amp;TEXT(ROW()-1,"000"))</f>
        <v/>
      </c>
      <c r="J427">
        <f>IF($A427="","","Pending")</f>
        <v/>
      </c>
    </row>
    <row r="428">
      <c r="I428">
        <f>IF($A428="","","MSH-TUT-"&amp;TEXT(YEAR(TODAY()),"0000")&amp;"-"&amp;TEXT(ROW()-1,"000"))</f>
        <v/>
      </c>
      <c r="J428">
        <f>IF($A428="","","Pending")</f>
        <v/>
      </c>
    </row>
    <row r="429">
      <c r="I429">
        <f>IF($A429="","","MSH-TUT-"&amp;TEXT(YEAR(TODAY()),"0000")&amp;"-"&amp;TEXT(ROW()-1,"000"))</f>
        <v/>
      </c>
      <c r="J429">
        <f>IF($A429="","","Pending")</f>
        <v/>
      </c>
    </row>
    <row r="430">
      <c r="I430">
        <f>IF($A430="","","MSH-TUT-"&amp;TEXT(YEAR(TODAY()),"0000")&amp;"-"&amp;TEXT(ROW()-1,"000"))</f>
        <v/>
      </c>
      <c r="J430">
        <f>IF($A430="","","Pending")</f>
        <v/>
      </c>
    </row>
    <row r="431">
      <c r="I431">
        <f>IF($A431="","","MSH-TUT-"&amp;TEXT(YEAR(TODAY()),"0000")&amp;"-"&amp;TEXT(ROW()-1,"000"))</f>
        <v/>
      </c>
      <c r="J431">
        <f>IF($A431="","","Pending")</f>
        <v/>
      </c>
    </row>
    <row r="432">
      <c r="I432">
        <f>IF($A432="","","MSH-TUT-"&amp;TEXT(YEAR(TODAY()),"0000")&amp;"-"&amp;TEXT(ROW()-1,"000"))</f>
        <v/>
      </c>
      <c r="J432">
        <f>IF($A432="","","Pending")</f>
        <v/>
      </c>
    </row>
    <row r="433">
      <c r="I433">
        <f>IF($A433="","","MSH-TUT-"&amp;TEXT(YEAR(TODAY()),"0000")&amp;"-"&amp;TEXT(ROW()-1,"000"))</f>
        <v/>
      </c>
      <c r="J433">
        <f>IF($A433="","","Pending")</f>
        <v/>
      </c>
    </row>
    <row r="434">
      <c r="I434">
        <f>IF($A434="","","MSH-TUT-"&amp;TEXT(YEAR(TODAY()),"0000")&amp;"-"&amp;TEXT(ROW()-1,"000"))</f>
        <v/>
      </c>
      <c r="J434">
        <f>IF($A434="","","Pending")</f>
        <v/>
      </c>
    </row>
    <row r="435">
      <c r="I435">
        <f>IF($A435="","","MSH-TUT-"&amp;TEXT(YEAR(TODAY()),"0000")&amp;"-"&amp;TEXT(ROW()-1,"000"))</f>
        <v/>
      </c>
      <c r="J435">
        <f>IF($A435="","","Pending")</f>
        <v/>
      </c>
    </row>
    <row r="436">
      <c r="I436">
        <f>IF($A436="","","MSH-TUT-"&amp;TEXT(YEAR(TODAY()),"0000")&amp;"-"&amp;TEXT(ROW()-1,"000"))</f>
        <v/>
      </c>
      <c r="J436">
        <f>IF($A436="","","Pending")</f>
        <v/>
      </c>
    </row>
    <row r="437">
      <c r="I437">
        <f>IF($A437="","","MSH-TUT-"&amp;TEXT(YEAR(TODAY()),"0000")&amp;"-"&amp;TEXT(ROW()-1,"000"))</f>
        <v/>
      </c>
      <c r="J437">
        <f>IF($A437="","","Pending")</f>
        <v/>
      </c>
    </row>
    <row r="438">
      <c r="I438">
        <f>IF($A438="","","MSH-TUT-"&amp;TEXT(YEAR(TODAY()),"0000")&amp;"-"&amp;TEXT(ROW()-1,"000"))</f>
        <v/>
      </c>
      <c r="J438">
        <f>IF($A438="","","Pending")</f>
        <v/>
      </c>
    </row>
    <row r="439">
      <c r="I439">
        <f>IF($A439="","","MSH-TUT-"&amp;TEXT(YEAR(TODAY()),"0000")&amp;"-"&amp;TEXT(ROW()-1,"000"))</f>
        <v/>
      </c>
      <c r="J439">
        <f>IF($A439="","","Pending")</f>
        <v/>
      </c>
    </row>
    <row r="440">
      <c r="I440">
        <f>IF($A440="","","MSH-TUT-"&amp;TEXT(YEAR(TODAY()),"0000")&amp;"-"&amp;TEXT(ROW()-1,"000"))</f>
        <v/>
      </c>
      <c r="J440">
        <f>IF($A440="","","Pending")</f>
        <v/>
      </c>
    </row>
    <row r="441">
      <c r="I441">
        <f>IF($A441="","","MSH-TUT-"&amp;TEXT(YEAR(TODAY()),"0000")&amp;"-"&amp;TEXT(ROW()-1,"000"))</f>
        <v/>
      </c>
      <c r="J441">
        <f>IF($A441="","","Pending")</f>
        <v/>
      </c>
    </row>
    <row r="442">
      <c r="I442">
        <f>IF($A442="","","MSH-TUT-"&amp;TEXT(YEAR(TODAY()),"0000")&amp;"-"&amp;TEXT(ROW()-1,"000"))</f>
        <v/>
      </c>
      <c r="J442">
        <f>IF($A442="","","Pending")</f>
        <v/>
      </c>
    </row>
    <row r="443">
      <c r="I443">
        <f>IF($A443="","","MSH-TUT-"&amp;TEXT(YEAR(TODAY()),"0000")&amp;"-"&amp;TEXT(ROW()-1,"000"))</f>
        <v/>
      </c>
      <c r="J443">
        <f>IF($A443="","","Pending")</f>
        <v/>
      </c>
    </row>
    <row r="444">
      <c r="I444">
        <f>IF($A444="","","MSH-TUT-"&amp;TEXT(YEAR(TODAY()),"0000")&amp;"-"&amp;TEXT(ROW()-1,"000"))</f>
        <v/>
      </c>
      <c r="J444">
        <f>IF($A444="","","Pending")</f>
        <v/>
      </c>
    </row>
    <row r="445">
      <c r="I445">
        <f>IF($A445="","","MSH-TUT-"&amp;TEXT(YEAR(TODAY()),"0000")&amp;"-"&amp;TEXT(ROW()-1,"000"))</f>
        <v/>
      </c>
      <c r="J445">
        <f>IF($A445="","","Pending")</f>
        <v/>
      </c>
    </row>
    <row r="446">
      <c r="I446">
        <f>IF($A446="","","MSH-TUT-"&amp;TEXT(YEAR(TODAY()),"0000")&amp;"-"&amp;TEXT(ROW()-1,"000"))</f>
        <v/>
      </c>
      <c r="J446">
        <f>IF($A446="","","Pending")</f>
        <v/>
      </c>
    </row>
    <row r="447">
      <c r="I447">
        <f>IF($A447="","","MSH-TUT-"&amp;TEXT(YEAR(TODAY()),"0000")&amp;"-"&amp;TEXT(ROW()-1,"000"))</f>
        <v/>
      </c>
      <c r="J447">
        <f>IF($A447="","","Pending")</f>
        <v/>
      </c>
    </row>
    <row r="448">
      <c r="I448">
        <f>IF($A448="","","MSH-TUT-"&amp;TEXT(YEAR(TODAY()),"0000")&amp;"-"&amp;TEXT(ROW()-1,"000"))</f>
        <v/>
      </c>
      <c r="J448">
        <f>IF($A448="","","Pending")</f>
        <v/>
      </c>
    </row>
    <row r="449">
      <c r="I449">
        <f>IF($A449="","","MSH-TUT-"&amp;TEXT(YEAR(TODAY()),"0000")&amp;"-"&amp;TEXT(ROW()-1,"000"))</f>
        <v/>
      </c>
      <c r="J449">
        <f>IF($A449="","","Pending")</f>
        <v/>
      </c>
    </row>
    <row r="450">
      <c r="I450">
        <f>IF($A450="","","MSH-TUT-"&amp;TEXT(YEAR(TODAY()),"0000")&amp;"-"&amp;TEXT(ROW()-1,"000"))</f>
        <v/>
      </c>
      <c r="J450">
        <f>IF($A450="","","Pending")</f>
        <v/>
      </c>
    </row>
    <row r="451">
      <c r="I451">
        <f>IF($A451="","","MSH-TUT-"&amp;TEXT(YEAR(TODAY()),"0000")&amp;"-"&amp;TEXT(ROW()-1,"000"))</f>
        <v/>
      </c>
      <c r="J451">
        <f>IF($A451="","","Pending")</f>
        <v/>
      </c>
    </row>
    <row r="452">
      <c r="I452">
        <f>IF($A452="","","MSH-TUT-"&amp;TEXT(YEAR(TODAY()),"0000")&amp;"-"&amp;TEXT(ROW()-1,"000"))</f>
        <v/>
      </c>
      <c r="J452">
        <f>IF($A452="","","Pending")</f>
        <v/>
      </c>
    </row>
    <row r="453">
      <c r="I453">
        <f>IF($A453="","","MSH-TUT-"&amp;TEXT(YEAR(TODAY()),"0000")&amp;"-"&amp;TEXT(ROW()-1,"000"))</f>
        <v/>
      </c>
      <c r="J453">
        <f>IF($A453="","","Pending")</f>
        <v/>
      </c>
    </row>
    <row r="454">
      <c r="I454">
        <f>IF($A454="","","MSH-TUT-"&amp;TEXT(YEAR(TODAY()),"0000")&amp;"-"&amp;TEXT(ROW()-1,"000"))</f>
        <v/>
      </c>
      <c r="J454">
        <f>IF($A454="","","Pending")</f>
        <v/>
      </c>
    </row>
    <row r="455">
      <c r="I455">
        <f>IF($A455="","","MSH-TUT-"&amp;TEXT(YEAR(TODAY()),"0000")&amp;"-"&amp;TEXT(ROW()-1,"000"))</f>
        <v/>
      </c>
      <c r="J455">
        <f>IF($A455="","","Pending")</f>
        <v/>
      </c>
    </row>
    <row r="456">
      <c r="I456">
        <f>IF($A456="","","MSH-TUT-"&amp;TEXT(YEAR(TODAY()),"0000")&amp;"-"&amp;TEXT(ROW()-1,"000"))</f>
        <v/>
      </c>
      <c r="J456">
        <f>IF($A456="","","Pending")</f>
        <v/>
      </c>
    </row>
    <row r="457">
      <c r="I457">
        <f>IF($A457="","","MSH-TUT-"&amp;TEXT(YEAR(TODAY()),"0000")&amp;"-"&amp;TEXT(ROW()-1,"000"))</f>
        <v/>
      </c>
      <c r="J457">
        <f>IF($A457="","","Pending")</f>
        <v/>
      </c>
    </row>
    <row r="458">
      <c r="I458">
        <f>IF($A458="","","MSH-TUT-"&amp;TEXT(YEAR(TODAY()),"0000")&amp;"-"&amp;TEXT(ROW()-1,"000"))</f>
        <v/>
      </c>
      <c r="J458">
        <f>IF($A458="","","Pending")</f>
        <v/>
      </c>
    </row>
    <row r="459">
      <c r="I459">
        <f>IF($A459="","","MSH-TUT-"&amp;TEXT(YEAR(TODAY()),"0000")&amp;"-"&amp;TEXT(ROW()-1,"000"))</f>
        <v/>
      </c>
      <c r="J459">
        <f>IF($A459="","","Pending")</f>
        <v/>
      </c>
    </row>
    <row r="460">
      <c r="I460">
        <f>IF($A460="","","MSH-TUT-"&amp;TEXT(YEAR(TODAY()),"0000")&amp;"-"&amp;TEXT(ROW()-1,"000"))</f>
        <v/>
      </c>
      <c r="J460">
        <f>IF($A460="","","Pending")</f>
        <v/>
      </c>
    </row>
    <row r="461">
      <c r="I461">
        <f>IF($A461="","","MSH-TUT-"&amp;TEXT(YEAR(TODAY()),"0000")&amp;"-"&amp;TEXT(ROW()-1,"000"))</f>
        <v/>
      </c>
      <c r="J461">
        <f>IF($A461="","","Pending")</f>
        <v/>
      </c>
    </row>
    <row r="462">
      <c r="I462">
        <f>IF($A462="","","MSH-TUT-"&amp;TEXT(YEAR(TODAY()),"0000")&amp;"-"&amp;TEXT(ROW()-1,"000"))</f>
        <v/>
      </c>
      <c r="J462">
        <f>IF($A462="","","Pending")</f>
        <v/>
      </c>
    </row>
    <row r="463">
      <c r="I463">
        <f>IF($A463="","","MSH-TUT-"&amp;TEXT(YEAR(TODAY()),"0000")&amp;"-"&amp;TEXT(ROW()-1,"000"))</f>
        <v/>
      </c>
      <c r="J463">
        <f>IF($A463="","","Pending")</f>
        <v/>
      </c>
    </row>
    <row r="464">
      <c r="I464">
        <f>IF($A464="","","MSH-TUT-"&amp;TEXT(YEAR(TODAY()),"0000")&amp;"-"&amp;TEXT(ROW()-1,"000"))</f>
        <v/>
      </c>
      <c r="J464">
        <f>IF($A464="","","Pending")</f>
        <v/>
      </c>
    </row>
    <row r="465">
      <c r="I465">
        <f>IF($A465="","","MSH-TUT-"&amp;TEXT(YEAR(TODAY()),"0000")&amp;"-"&amp;TEXT(ROW()-1,"000"))</f>
        <v/>
      </c>
      <c r="J465">
        <f>IF($A465="","","Pending")</f>
        <v/>
      </c>
    </row>
    <row r="466">
      <c r="I466">
        <f>IF($A466="","","MSH-TUT-"&amp;TEXT(YEAR(TODAY()),"0000")&amp;"-"&amp;TEXT(ROW()-1,"000"))</f>
        <v/>
      </c>
      <c r="J466">
        <f>IF($A466="","","Pending")</f>
        <v/>
      </c>
    </row>
    <row r="467">
      <c r="I467">
        <f>IF($A467="","","MSH-TUT-"&amp;TEXT(YEAR(TODAY()),"0000")&amp;"-"&amp;TEXT(ROW()-1,"000"))</f>
        <v/>
      </c>
      <c r="J467">
        <f>IF($A467="","","Pending")</f>
        <v/>
      </c>
    </row>
    <row r="468">
      <c r="I468">
        <f>IF($A468="","","MSH-TUT-"&amp;TEXT(YEAR(TODAY()),"0000")&amp;"-"&amp;TEXT(ROW()-1,"000"))</f>
        <v/>
      </c>
      <c r="J468">
        <f>IF($A468="","","Pending")</f>
        <v/>
      </c>
    </row>
    <row r="469">
      <c r="I469">
        <f>IF($A469="","","MSH-TUT-"&amp;TEXT(YEAR(TODAY()),"0000")&amp;"-"&amp;TEXT(ROW()-1,"000"))</f>
        <v/>
      </c>
      <c r="J469">
        <f>IF($A469="","","Pending")</f>
        <v/>
      </c>
    </row>
    <row r="470">
      <c r="I470">
        <f>IF($A470="","","MSH-TUT-"&amp;TEXT(YEAR(TODAY()),"0000")&amp;"-"&amp;TEXT(ROW()-1,"000"))</f>
        <v/>
      </c>
      <c r="J470">
        <f>IF($A470="","","Pending")</f>
        <v/>
      </c>
    </row>
    <row r="471">
      <c r="I471">
        <f>IF($A471="","","MSH-TUT-"&amp;TEXT(YEAR(TODAY()),"0000")&amp;"-"&amp;TEXT(ROW()-1,"000"))</f>
        <v/>
      </c>
      <c r="J471">
        <f>IF($A471="","","Pending")</f>
        <v/>
      </c>
    </row>
    <row r="472">
      <c r="I472">
        <f>IF($A472="","","MSH-TUT-"&amp;TEXT(YEAR(TODAY()),"0000")&amp;"-"&amp;TEXT(ROW()-1,"000"))</f>
        <v/>
      </c>
      <c r="J472">
        <f>IF($A472="","","Pending")</f>
        <v/>
      </c>
    </row>
    <row r="473">
      <c r="I473">
        <f>IF($A473="","","MSH-TUT-"&amp;TEXT(YEAR(TODAY()),"0000")&amp;"-"&amp;TEXT(ROW()-1,"000"))</f>
        <v/>
      </c>
      <c r="J473">
        <f>IF($A473="","","Pending")</f>
        <v/>
      </c>
    </row>
    <row r="474">
      <c r="I474">
        <f>IF($A474="","","MSH-TUT-"&amp;TEXT(YEAR(TODAY()),"0000")&amp;"-"&amp;TEXT(ROW()-1,"000"))</f>
        <v/>
      </c>
      <c r="J474">
        <f>IF($A474="","","Pending")</f>
        <v/>
      </c>
    </row>
    <row r="475">
      <c r="I475">
        <f>IF($A475="","","MSH-TUT-"&amp;TEXT(YEAR(TODAY()),"0000")&amp;"-"&amp;TEXT(ROW()-1,"000"))</f>
        <v/>
      </c>
      <c r="J475">
        <f>IF($A475="","","Pending")</f>
        <v/>
      </c>
    </row>
    <row r="476">
      <c r="I476">
        <f>IF($A476="","","MSH-TUT-"&amp;TEXT(YEAR(TODAY()),"0000")&amp;"-"&amp;TEXT(ROW()-1,"000"))</f>
        <v/>
      </c>
      <c r="J476">
        <f>IF($A476="","","Pending")</f>
        <v/>
      </c>
    </row>
    <row r="477">
      <c r="I477">
        <f>IF($A477="","","MSH-TUT-"&amp;TEXT(YEAR(TODAY()),"0000")&amp;"-"&amp;TEXT(ROW()-1,"000"))</f>
        <v/>
      </c>
      <c r="J477">
        <f>IF($A477="","","Pending")</f>
        <v/>
      </c>
    </row>
    <row r="478">
      <c r="I478">
        <f>IF($A478="","","MSH-TUT-"&amp;TEXT(YEAR(TODAY()),"0000")&amp;"-"&amp;TEXT(ROW()-1,"000"))</f>
        <v/>
      </c>
      <c r="J478">
        <f>IF($A478="","","Pending")</f>
        <v/>
      </c>
    </row>
    <row r="479">
      <c r="I479">
        <f>IF($A479="","","MSH-TUT-"&amp;TEXT(YEAR(TODAY()),"0000")&amp;"-"&amp;TEXT(ROW()-1,"000"))</f>
        <v/>
      </c>
      <c r="J479">
        <f>IF($A479="","","Pending")</f>
        <v/>
      </c>
    </row>
    <row r="480">
      <c r="I480">
        <f>IF($A480="","","MSH-TUT-"&amp;TEXT(YEAR(TODAY()),"0000")&amp;"-"&amp;TEXT(ROW()-1,"000"))</f>
        <v/>
      </c>
      <c r="J480">
        <f>IF($A480="","","Pending")</f>
        <v/>
      </c>
    </row>
    <row r="481">
      <c r="I481">
        <f>IF($A481="","","MSH-TUT-"&amp;TEXT(YEAR(TODAY()),"0000")&amp;"-"&amp;TEXT(ROW()-1,"000"))</f>
        <v/>
      </c>
      <c r="J481">
        <f>IF($A481="","","Pending")</f>
        <v/>
      </c>
    </row>
    <row r="482">
      <c r="I482">
        <f>IF($A482="","","MSH-TUT-"&amp;TEXT(YEAR(TODAY()),"0000")&amp;"-"&amp;TEXT(ROW()-1,"000"))</f>
        <v/>
      </c>
      <c r="J482">
        <f>IF($A482="","","Pending")</f>
        <v/>
      </c>
    </row>
    <row r="483">
      <c r="I483">
        <f>IF($A483="","","MSH-TUT-"&amp;TEXT(YEAR(TODAY()),"0000")&amp;"-"&amp;TEXT(ROW()-1,"000"))</f>
        <v/>
      </c>
      <c r="J483">
        <f>IF($A483="","","Pending")</f>
        <v/>
      </c>
    </row>
    <row r="484">
      <c r="I484">
        <f>IF($A484="","","MSH-TUT-"&amp;TEXT(YEAR(TODAY()),"0000")&amp;"-"&amp;TEXT(ROW()-1,"000"))</f>
        <v/>
      </c>
      <c r="J484">
        <f>IF($A484="","","Pending")</f>
        <v/>
      </c>
    </row>
    <row r="485">
      <c r="I485">
        <f>IF($A485="","","MSH-TUT-"&amp;TEXT(YEAR(TODAY()),"0000")&amp;"-"&amp;TEXT(ROW()-1,"000"))</f>
        <v/>
      </c>
      <c r="J485">
        <f>IF($A485="","","Pending")</f>
        <v/>
      </c>
    </row>
    <row r="486">
      <c r="I486">
        <f>IF($A486="","","MSH-TUT-"&amp;TEXT(YEAR(TODAY()),"0000")&amp;"-"&amp;TEXT(ROW()-1,"000"))</f>
        <v/>
      </c>
      <c r="J486">
        <f>IF($A486="","","Pending")</f>
        <v/>
      </c>
    </row>
    <row r="487">
      <c r="I487">
        <f>IF($A487="","","MSH-TUT-"&amp;TEXT(YEAR(TODAY()),"0000")&amp;"-"&amp;TEXT(ROW()-1,"000"))</f>
        <v/>
      </c>
      <c r="J487">
        <f>IF($A487="","","Pending")</f>
        <v/>
      </c>
    </row>
    <row r="488">
      <c r="I488">
        <f>IF($A488="","","MSH-TUT-"&amp;TEXT(YEAR(TODAY()),"0000")&amp;"-"&amp;TEXT(ROW()-1,"000"))</f>
        <v/>
      </c>
      <c r="J488">
        <f>IF($A488="","","Pending")</f>
        <v/>
      </c>
    </row>
    <row r="489">
      <c r="I489">
        <f>IF($A489="","","MSH-TUT-"&amp;TEXT(YEAR(TODAY()),"0000")&amp;"-"&amp;TEXT(ROW()-1,"000"))</f>
        <v/>
      </c>
      <c r="J489">
        <f>IF($A489="","","Pending")</f>
        <v/>
      </c>
    </row>
    <row r="490">
      <c r="I490">
        <f>IF($A490="","","MSH-TUT-"&amp;TEXT(YEAR(TODAY()),"0000")&amp;"-"&amp;TEXT(ROW()-1,"000"))</f>
        <v/>
      </c>
      <c r="J490">
        <f>IF($A490="","","Pending")</f>
        <v/>
      </c>
    </row>
    <row r="491">
      <c r="I491">
        <f>IF($A491="","","MSH-TUT-"&amp;TEXT(YEAR(TODAY()),"0000")&amp;"-"&amp;TEXT(ROW()-1,"000"))</f>
        <v/>
      </c>
      <c r="J491">
        <f>IF($A491="","","Pending")</f>
        <v/>
      </c>
    </row>
    <row r="492">
      <c r="I492">
        <f>IF($A492="","","MSH-TUT-"&amp;TEXT(YEAR(TODAY()),"0000")&amp;"-"&amp;TEXT(ROW()-1,"000"))</f>
        <v/>
      </c>
      <c r="J492">
        <f>IF($A492="","","Pending")</f>
        <v/>
      </c>
    </row>
    <row r="493">
      <c r="I493">
        <f>IF($A493="","","MSH-TUT-"&amp;TEXT(YEAR(TODAY()),"0000")&amp;"-"&amp;TEXT(ROW()-1,"000"))</f>
        <v/>
      </c>
      <c r="J493">
        <f>IF($A493="","","Pending")</f>
        <v/>
      </c>
    </row>
    <row r="494">
      <c r="I494">
        <f>IF($A494="","","MSH-TUT-"&amp;TEXT(YEAR(TODAY()),"0000")&amp;"-"&amp;TEXT(ROW()-1,"000"))</f>
        <v/>
      </c>
      <c r="J494">
        <f>IF($A494="","","Pending")</f>
        <v/>
      </c>
    </row>
    <row r="495">
      <c r="I495">
        <f>IF($A495="","","MSH-TUT-"&amp;TEXT(YEAR(TODAY()),"0000")&amp;"-"&amp;TEXT(ROW()-1,"000"))</f>
        <v/>
      </c>
      <c r="J495">
        <f>IF($A495="","","Pending")</f>
        <v/>
      </c>
    </row>
    <row r="496">
      <c r="I496">
        <f>IF($A496="","","MSH-TUT-"&amp;TEXT(YEAR(TODAY()),"0000")&amp;"-"&amp;TEXT(ROW()-1,"000"))</f>
        <v/>
      </c>
      <c r="J496">
        <f>IF($A496="","","Pending")</f>
        <v/>
      </c>
    </row>
    <row r="497">
      <c r="I497">
        <f>IF($A497="","","MSH-TUT-"&amp;TEXT(YEAR(TODAY()),"0000")&amp;"-"&amp;TEXT(ROW()-1,"000"))</f>
        <v/>
      </c>
      <c r="J497">
        <f>IF($A497="","","Pending")</f>
        <v/>
      </c>
    </row>
    <row r="498">
      <c r="I498">
        <f>IF($A498="","","MSH-TUT-"&amp;TEXT(YEAR(TODAY()),"0000")&amp;"-"&amp;TEXT(ROW()-1,"000"))</f>
        <v/>
      </c>
      <c r="J498">
        <f>IF($A498="","","Pending")</f>
        <v/>
      </c>
    </row>
    <row r="499">
      <c r="I499">
        <f>IF($A499="","","MSH-TUT-"&amp;TEXT(YEAR(TODAY()),"0000")&amp;"-"&amp;TEXT(ROW()-1,"000"))</f>
        <v/>
      </c>
      <c r="J499">
        <f>IF($A499="","","Pending")</f>
        <v/>
      </c>
    </row>
    <row r="500">
      <c r="I500">
        <f>IF($A500="","","MSH-TUT-"&amp;TEXT(YEAR(TODAY()),"0000")&amp;"-"&amp;TEXT(ROW()-1,"000"))</f>
        <v/>
      </c>
      <c r="J500">
        <f>IF($A500="","","Pending")</f>
        <v/>
      </c>
    </row>
  </sheetData>
  <dataValidations count="3">
    <dataValidation sqref="H2:H200" showDropDown="0" showInputMessage="0" showErrorMessage="0" allowBlank="0" type="list">
      <formula1>"Active,Inactive"</formula1>
    </dataValidation>
    <dataValidation sqref="H2:H500" showDropDown="0" showInputMessage="0" showErrorMessage="0" allowBlank="1" type="list">
      <formula1>"Active,Inactive"</formula1>
    </dataValidation>
    <dataValidation sqref="J2:J500" showDropDown="0" showInputMessage="0" showErrorMessage="0" allowBlank="1" type="list">
      <formula1>"Verified,Pending,Suspended"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0" customWidth="1" style="10" min="2" max="2"/>
    <col width="22" customWidth="1" style="10" min="3" max="4"/>
    <col width="26" customWidth="1" style="10" min="5" max="5"/>
    <col width="22" customWidth="1" style="10" min="6" max="6"/>
    <col width="16" customWidth="1" style="10" min="7" max="7"/>
    <col width="22" customWidth="1" style="10" min="8" max="8"/>
    <col width="14" customWidth="1" style="10" min="9" max="9"/>
    <col width="28" customWidth="1" style="10" min="10" max="10"/>
  </cols>
  <sheetData>
    <row r="1" ht="28.8" customHeight="1" s="10">
      <c r="A1" s="12" t="inlineStr">
        <is>
          <t>Session Date</t>
        </is>
      </c>
      <c r="B1" s="12" t="inlineStr">
        <is>
          <t>Grade</t>
        </is>
      </c>
      <c r="C1" s="12" t="inlineStr">
        <is>
          <t>Subject</t>
        </is>
      </c>
      <c r="D1" s="12" t="inlineStr">
        <is>
          <t>Tutor Name</t>
        </is>
      </c>
      <c r="E1" s="12" t="inlineStr">
        <is>
          <t>Topic Covered</t>
        </is>
      </c>
      <c r="F1" s="12" t="inlineStr">
        <is>
          <t>CAPS Reference</t>
        </is>
      </c>
      <c r="G1" s="12" t="inlineStr">
        <is>
          <t>Homework Given?</t>
        </is>
      </c>
      <c r="H1" s="12" t="inlineStr">
        <is>
          <t>Resources Used</t>
        </is>
      </c>
      <c r="I1" s="12" t="inlineStr">
        <is>
          <t>Submitted?</t>
        </is>
      </c>
      <c r="J1" s="12" t="inlineStr">
        <is>
          <t>Remarks</t>
        </is>
      </c>
    </row>
  </sheetData>
  <dataValidations count="3">
    <dataValidation sqref="B2:B1000" showDropDown="0" showInputMessage="0" showErrorMessage="0" allowBlank="0" type="whole">
      <formula1>8</formula1>
      <formula2>12</formula2>
    </dataValidation>
    <dataValidation sqref="C2:C1000" showDropDown="0" showInputMessage="0" showErrorMessage="0" allowBlank="0" type="list">
      <formula1>"Mathematics,Mathematical Literacy,Physical Sciences,Geography,Accounting,Natural Sciences &amp; Technology,EMS,English"</formula1>
    </dataValidation>
    <dataValidation sqref="G2:G1000 I2:I1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style="10" min="1" max="1"/>
    <col width="22" customWidth="1" style="10" min="2" max="6"/>
  </cols>
  <sheetData>
    <row r="1">
      <c r="A1" s="12" t="inlineStr">
        <is>
          <t>Math &amp; Sciences Hub – Saturday Timetable</t>
        </is>
      </c>
    </row>
    <row r="2">
      <c r="A2" t="inlineStr">
        <is>
          <t>Time Slot</t>
        </is>
      </c>
      <c r="B2" t="inlineStr">
        <is>
          <t>Classroom 1</t>
        </is>
      </c>
      <c r="C2" t="inlineStr">
        <is>
          <t>Classroom 2</t>
        </is>
      </c>
      <c r="D2" t="inlineStr">
        <is>
          <t>Classroom 3</t>
        </is>
      </c>
      <c r="E2" t="inlineStr">
        <is>
          <t>Classroom 4</t>
        </is>
      </c>
      <c r="F2" t="inlineStr">
        <is>
          <t>Classroom 5</t>
        </is>
      </c>
    </row>
    <row r="3">
      <c r="A3" t="inlineStr">
        <is>
          <t>07:00 – 08:00</t>
        </is>
      </c>
    </row>
    <row r="4">
      <c r="A4" t="inlineStr">
        <is>
          <t>08:00 – 09:00</t>
        </is>
      </c>
    </row>
    <row r="5">
      <c r="A5" t="inlineStr">
        <is>
          <t>09:00 – 10:00</t>
        </is>
      </c>
    </row>
    <row r="6">
      <c r="A6" t="inlineStr">
        <is>
          <t>10:00 – 11:00</t>
        </is>
      </c>
    </row>
    <row r="7">
      <c r="A7" t="inlineStr">
        <is>
          <t>11:00 – 12:00</t>
        </is>
      </c>
    </row>
    <row r="8">
      <c r="A8" t="inlineStr">
        <is>
          <t>12:00 – 13:00 (Lunch)</t>
        </is>
      </c>
    </row>
    <row r="9">
      <c r="A9" t="inlineStr">
        <is>
          <t>13:00 – 14:00</t>
        </is>
      </c>
    </row>
    <row r="10">
      <c r="A10" t="inlineStr">
        <is>
          <t>14:00 – 15:00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2026-02-11T02:24:33Z</dcterms:created>
  <dcterms:modified xmlns:dcterms="http://purl.org/dc/terms/" xmlns:xsi="http://www.w3.org/2001/XMLSchema-instance" xsi:type="dcterms:W3CDTF">2026-03-02T22:44:47Z</dcterms:modified>
  <cp:lastModifiedBy>CHRIS ABEL</cp:lastModifiedBy>
</cp:coreProperties>
</file>