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MASTER_REGISTER" sheetId="1" state="visible" r:id="rId1"/>
    <sheet xmlns:r="http://schemas.openxmlformats.org/officeDocument/2006/relationships" name="AUTO_IMPORT" sheetId="2" state="visible" r:id="rId2"/>
    <sheet xmlns:r="http://schemas.openxmlformats.org/officeDocument/2006/relationships" name="ATTENDANCE_DAILY" sheetId="3" state="visible" r:id="rId3"/>
    <sheet xmlns:r="http://schemas.openxmlformats.org/officeDocument/2006/relationships" name="ATTENDANCE_SUMMARY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ASSESSMENTS" sheetId="6" state="visible" r:id="rId6"/>
    <sheet xmlns:r="http://schemas.openxmlformats.org/officeDocument/2006/relationships" name="PROGRESS_SUMMARY" sheetId="7" state="visible" r:id="rId7"/>
    <sheet xmlns:r="http://schemas.openxmlformats.org/officeDocument/2006/relationships" name="REPORT_TEMPLATE" sheetId="8" state="visible" r:id="rId8"/>
    <sheet xmlns:r="http://schemas.openxmlformats.org/officeDocument/2006/relationships" name="TUTOR_REGISTER" sheetId="9" state="visible" r:id="rId9"/>
    <sheet xmlns:r="http://schemas.openxmlformats.org/officeDocument/2006/relationships" name="LESSON_PLANS" sheetId="10" state="visible" r:id="rId10"/>
    <sheet xmlns:r="http://schemas.openxmlformats.org/officeDocument/2006/relationships" name="TIMETABL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tabSelected="1" workbookViewId="0">
      <selection activeCell="D5" sqref="D5"/>
    </sheetView>
  </sheetViews>
  <sheetFormatPr baseColWidth="8" defaultRowHeight="14.4"/>
  <cols>
    <col width="18" customWidth="1" style="10" min="12" max="15"/>
  </cols>
  <sheetData>
    <row r="1">
      <c r="A1" s="1" t="inlineStr">
        <is>
          <t>Registration Date</t>
        </is>
      </c>
      <c r="B1" s="1" t="inlineStr">
        <is>
          <t>Year</t>
        </is>
      </c>
      <c r="C1" s="1" t="inlineStr">
        <is>
          <t>Grade</t>
        </is>
      </c>
      <c r="D1" s="1" t="inlineStr">
        <is>
          <t>Applicant Sequence</t>
        </is>
      </c>
      <c r="E1" s="1" t="inlineStr">
        <is>
          <t>Student Number</t>
        </is>
      </c>
      <c r="F1" s="1" t="inlineStr">
        <is>
          <t>Full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Package Name</t>
        </is>
      </c>
      <c r="J1" s="1" t="inlineStr">
        <is>
          <t>Total Fee</t>
        </is>
      </c>
      <c r="K1" s="1" t="inlineStr">
        <is>
          <t>Status</t>
        </is>
      </c>
      <c r="L1" s="1" t="inlineStr">
        <is>
          <t>Amount Paid (R)</t>
        </is>
      </c>
      <c r="M1" s="1" t="inlineStr">
        <is>
          <t>Balance (R)</t>
        </is>
      </c>
      <c r="N1" s="1" t="inlineStr">
        <is>
          <t>Payment Status</t>
        </is>
      </c>
      <c r="O1" s="1" t="inlineStr">
        <is>
          <t>Last Payment 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>
        <f>IF(E2="","",SUMIF(PAYMENTS!C:C,E2,PAYMENTS!E:E))</f>
        <v/>
      </c>
      <c r="M2">
        <f>IF(E2="","",J2-L2)</f>
        <v/>
      </c>
      <c r="N2">
        <f>IF(E2="","",IF(M2&lt;=0,"Paid",IF(L2&gt;0,"Part Paid","Unpaid")))</f>
        <v/>
      </c>
      <c r="O2">
        <f>IF(E2="","",IFERROR(_xludf.MAXIFS(PAYMENTS!A:A,PAYMENTS!C:C,E2),""))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>
        <f>IF(E3="","",SUMIF(PAYMENTS!C:C,E3,PAYMENTS!E:E))</f>
        <v/>
      </c>
      <c r="M3">
        <f>IF(E3="","",J3-L3)</f>
        <v/>
      </c>
      <c r="N3">
        <f>IF(E3="","",IF(M3&lt;=0,"Paid",IF(L3&gt;0,"Part Paid","Unpaid")))</f>
        <v/>
      </c>
      <c r="O3">
        <f>IF(E3="","",IFERROR(_xludf.MAXIFS(PAYMENTS!A:A,PAYMENTS!C:C,E3),""))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>
        <f>IF(E4="","",SUMIF(PAYMENTS!C:C,E4,PAYMENTS!E:E))</f>
        <v/>
      </c>
      <c r="M4">
        <f>IF(E4="","",J4-L4)</f>
        <v/>
      </c>
      <c r="N4">
        <f>IF(E4="","",IF(M4&lt;=0,"Paid",IF(L4&gt;0,"Part Paid","Unpaid")))</f>
        <v/>
      </c>
      <c r="O4">
        <f>IF(E4="","",IFERROR(_xludf.MAXIFS(PAYMENTS!A:A,PAYMENTS!C:C,E4),""))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>
        <f>IF(E5="","",SUMIF(PAYMENTS!C:C,E5,PAYMENTS!E:E))</f>
        <v/>
      </c>
      <c r="M5">
        <f>IF(E5="","",J5-L5)</f>
        <v/>
      </c>
      <c r="N5">
        <f>IF(E5="","",IF(M5&lt;=0,"Paid",IF(L5&gt;0,"Part Paid","Unpaid")))</f>
        <v/>
      </c>
      <c r="O5">
        <f>IF(E5="","",IFERROR(_xludf.MAXIFS(PAYMENTS!A:A,PAYMENTS!C:C,E5),""))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>
        <f>IF(E6="","",SUMIF(PAYMENTS!C:C,E6,PAYMENTS!E:E))</f>
        <v/>
      </c>
      <c r="M6">
        <f>IF(E6="","",J6-L6)</f>
        <v/>
      </c>
      <c r="N6">
        <f>IF(E6="","",IF(M6&lt;=0,"Paid",IF(L6&gt;0,"Part Paid","Unpaid")))</f>
        <v/>
      </c>
      <c r="O6">
        <f>IF(E6="","",IFERROR(_xludf.MAXIFS(PAYMENTS!A:A,PAYMENTS!C:C,E6),""))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>
        <f>IF(E7="","",SUMIF(PAYMENTS!C:C,E7,PAYMENTS!E:E))</f>
        <v/>
      </c>
      <c r="M7">
        <f>IF(E7="","",J7-L7)</f>
        <v/>
      </c>
      <c r="N7">
        <f>IF(E7="","",IF(M7&lt;=0,"Paid",IF(L7&gt;0,"Part Paid","Unpaid")))</f>
        <v/>
      </c>
      <c r="O7">
        <f>IF(E7="","",IFERROR(_xludf.MAXIFS(PAYMENTS!A:A,PAYMENTS!C:C,E7),""))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>
        <f>IF(E8="","",SUMIF(PAYMENTS!C:C,E8,PAYMENTS!E:E))</f>
        <v/>
      </c>
      <c r="M8">
        <f>IF(E8="","",J8-L8)</f>
        <v/>
      </c>
      <c r="N8">
        <f>IF(E8="","",IF(M8&lt;=0,"Paid",IF(L8&gt;0,"Part Paid","Unpaid")))</f>
        <v/>
      </c>
      <c r="O8">
        <f>IF(E8="","",IFERROR(_xludf.MAXIFS(PAYMENTS!A:A,PAYMENTS!C:C,E8),""))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>
        <f>IF(E9="","",SUMIF(PAYMENTS!C:C,E9,PAYMENTS!E:E))</f>
        <v/>
      </c>
      <c r="M9">
        <f>IF(E9="","",J9-L9)</f>
        <v/>
      </c>
      <c r="N9">
        <f>IF(E9="","",IF(M9&lt;=0,"Paid",IF(L9&gt;0,"Part Paid","Unpaid")))</f>
        <v/>
      </c>
      <c r="O9">
        <f>IF(E9="","",IFERROR(_xludf.MAXIFS(PAYMENTS!A:A,PAYMENTS!C:C,E9),""))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>
        <f>IF(E10="","",SUMIF(PAYMENTS!C:C,E10,PAYMENTS!E:E))</f>
        <v/>
      </c>
      <c r="M10">
        <f>IF(E10="","",J10-L10)</f>
        <v/>
      </c>
      <c r="N10">
        <f>IF(E10="","",IF(M10&lt;=0,"Paid",IF(L10&gt;0,"Part Paid","Unpaid")))</f>
        <v/>
      </c>
      <c r="O10">
        <f>IF(E10="","",IFERROR(_xludf.MAXIFS(PAYMENTS!A:A,PAYMENTS!C:C,E10),""))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>
        <f>IF(E11="","",SUMIF(PAYMENTS!C:C,E11,PAYMENTS!E:E))</f>
        <v/>
      </c>
      <c r="M11">
        <f>IF(E11="","",J11-L11)</f>
        <v/>
      </c>
      <c r="N11">
        <f>IF(E11="","",IF(M11&lt;=0,"Paid",IF(L11&gt;0,"Part Paid","Unpaid")))</f>
        <v/>
      </c>
      <c r="O11">
        <f>IF(E11="","",IFERROR(_xludf.MAXIFS(PAYMENTS!A:A,PAYMENTS!C:C,E11),""))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>
        <f>IF(E12="","",SUMIF(PAYMENTS!C:C,E12,PAYMENTS!E:E))</f>
        <v/>
      </c>
      <c r="M12">
        <f>IF(E12="","",J12-L12)</f>
        <v/>
      </c>
      <c r="N12">
        <f>IF(E12="","",IF(M12&lt;=0,"Paid",IF(L12&gt;0,"Part Paid","Unpaid")))</f>
        <v/>
      </c>
      <c r="O12">
        <f>IF(E12="","",IFERROR(_xludf.MAXIFS(PAYMENTS!A:A,PAYMENTS!C:C,E12),""))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>
        <f>IF(E13="","",SUMIF(PAYMENTS!C:C,E13,PAYMENTS!E:E))</f>
        <v/>
      </c>
      <c r="M13">
        <f>IF(E13="","",J13-L13)</f>
        <v/>
      </c>
      <c r="N13">
        <f>IF(E13="","",IF(M13&lt;=0,"Paid",IF(L13&gt;0,"Part Paid","Unpaid")))</f>
        <v/>
      </c>
      <c r="O13">
        <f>IF(E13="","",IFERROR(_xludf.MAXIFS(PAYMENTS!A:A,PAYMENTS!C:C,E13),""))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>
        <f>IF(E14="","",SUMIF(PAYMENTS!C:C,E14,PAYMENTS!E:E))</f>
        <v/>
      </c>
      <c r="M14">
        <f>IF(E14="","",J14-L14)</f>
        <v/>
      </c>
      <c r="N14">
        <f>IF(E14="","",IF(M14&lt;=0,"Paid",IF(L14&gt;0,"Part Paid","Unpaid")))</f>
        <v/>
      </c>
      <c r="O14">
        <f>IF(E14="","",IFERROR(_xludf.MAXIFS(PAYMENTS!A:A,PAYMENTS!C:C,E14),""))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>
        <f>IF(E15="","",SUMIF(PAYMENTS!C:C,E15,PAYMENTS!E:E))</f>
        <v/>
      </c>
      <c r="M15">
        <f>IF(E15="","",J15-L15)</f>
        <v/>
      </c>
      <c r="N15">
        <f>IF(E15="","",IF(M15&lt;=0,"Paid",IF(L15&gt;0,"Part Paid","Unpaid")))</f>
        <v/>
      </c>
      <c r="O15">
        <f>IF(E15="","",IFERROR(_xludf.MAXIFS(PAYMENTS!A:A,PAYMENTS!C:C,E15),""))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>
        <f>IF(E16="","",SUMIF(PAYMENTS!C:C,E16,PAYMENTS!E:E))</f>
        <v/>
      </c>
      <c r="M16">
        <f>IF(E16="","",J16-L16)</f>
        <v/>
      </c>
      <c r="N16">
        <f>IF(E16="","",IF(M16&lt;=0,"Paid",IF(L16&gt;0,"Part Paid","Unpaid")))</f>
        <v/>
      </c>
      <c r="O16">
        <f>IF(E16="","",IFERROR(_xludf.MAXIFS(PAYMENTS!A:A,PAYMENTS!C:C,E16),""))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>
        <f>IF(E17="","",SUMIF(PAYMENTS!C:C,E17,PAYMENTS!E:E))</f>
        <v/>
      </c>
      <c r="M17">
        <f>IF(E17="","",J17-L17)</f>
        <v/>
      </c>
      <c r="N17">
        <f>IF(E17="","",IF(M17&lt;=0,"Paid",IF(L17&gt;0,"Part Paid","Unpaid")))</f>
        <v/>
      </c>
      <c r="O17">
        <f>IF(E17="","",IFERROR(_xludf.MAXIFS(PAYMENTS!A:A,PAYMENTS!C:C,E17),""))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>
        <f>IF(E18="","",SUMIF(PAYMENTS!C:C,E18,PAYMENTS!E:E))</f>
        <v/>
      </c>
      <c r="M18">
        <f>IF(E18="","",J18-L18)</f>
        <v/>
      </c>
      <c r="N18">
        <f>IF(E18="","",IF(M18&lt;=0,"Paid",IF(L18&gt;0,"Part Paid","Unpaid")))</f>
        <v/>
      </c>
      <c r="O18">
        <f>IF(E18="","",IFERROR(_xludf.MAXIFS(PAYMENTS!A:A,PAYMENTS!C:C,E18),""))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>
        <f>IF(E19="","",SUMIF(PAYMENTS!C:C,E19,PAYMENTS!E:E))</f>
        <v/>
      </c>
      <c r="M19">
        <f>IF(E19="","",J19-L19)</f>
        <v/>
      </c>
      <c r="N19">
        <f>IF(E19="","",IF(M19&lt;=0,"Paid",IF(L19&gt;0,"Part Paid","Unpaid")))</f>
        <v/>
      </c>
      <c r="O19">
        <f>IF(E19="","",IFERROR(_xludf.MAXIFS(PAYMENTS!A:A,PAYMENTS!C:C,E19),""))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>
        <f>IF(E20="","",SUMIF(PAYMENTS!C:C,E20,PAYMENTS!E:E))</f>
        <v/>
      </c>
      <c r="M20">
        <f>IF(E20="","",J20-L20)</f>
        <v/>
      </c>
      <c r="N20">
        <f>IF(E20="","",IF(M20&lt;=0,"Paid",IF(L20&gt;0,"Part Paid","Unpaid")))</f>
        <v/>
      </c>
      <c r="O20">
        <f>IF(E20="","",IFERROR(_xludf.MAXIFS(PAYMENTS!A:A,PAYMENTS!C:C,E20),""))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>
        <f>IF(E21="","",SUMIF(PAYMENTS!C:C,E21,PAYMENTS!E:E))</f>
        <v/>
      </c>
      <c r="M21">
        <f>IF(E21="","",J21-L21)</f>
        <v/>
      </c>
      <c r="N21">
        <f>IF(E21="","",IF(M21&lt;=0,"Paid",IF(L21&gt;0,"Part Paid","Unpaid")))</f>
        <v/>
      </c>
      <c r="O21">
        <f>IF(E21="","",IFERROR(_xludf.MAXIFS(PAYMENTS!A:A,PAYMENTS!C:C,E21),""))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>
        <f>IF(E22="","",SUMIF(PAYMENTS!C:C,E22,PAYMENTS!E:E))</f>
        <v/>
      </c>
      <c r="M22">
        <f>IF(E22="","",J22-L22)</f>
        <v/>
      </c>
      <c r="N22">
        <f>IF(E22="","",IF(M22&lt;=0,"Paid",IF(L22&gt;0,"Part Paid","Unpaid")))</f>
        <v/>
      </c>
      <c r="O22">
        <f>IF(E22="","",IFERROR(_xludf.MAXIFS(PAYMENTS!A:A,PAYMENTS!C:C,E22),""))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>
        <f>IF(E23="","",SUMIF(PAYMENTS!C:C,E23,PAYMENTS!E:E))</f>
        <v/>
      </c>
      <c r="M23">
        <f>IF(E23="","",J23-L23)</f>
        <v/>
      </c>
      <c r="N23">
        <f>IF(E23="","",IF(M23&lt;=0,"Paid",IF(L23&gt;0,"Part Paid","Unpaid")))</f>
        <v/>
      </c>
      <c r="O23">
        <f>IF(E23="","",IFERROR(_xludf.MAXIFS(PAYMENTS!A:A,PAYMENTS!C:C,E23),""))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>
        <f>IF(E24="","",SUMIF(PAYMENTS!C:C,E24,PAYMENTS!E:E))</f>
        <v/>
      </c>
      <c r="M24">
        <f>IF(E24="","",J24-L24)</f>
        <v/>
      </c>
      <c r="N24">
        <f>IF(E24="","",IF(M24&lt;=0,"Paid",IF(L24&gt;0,"Part Paid","Unpaid")))</f>
        <v/>
      </c>
      <c r="O24">
        <f>IF(E24="","",IFERROR(_xludf.MAXIFS(PAYMENTS!A:A,PAYMENTS!C:C,E24),""))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>
        <f>IF(E25="","",SUMIF(PAYMENTS!C:C,E25,PAYMENTS!E:E))</f>
        <v/>
      </c>
      <c r="M25">
        <f>IF(E25="","",J25-L25)</f>
        <v/>
      </c>
      <c r="N25">
        <f>IF(E25="","",IF(M25&lt;=0,"Paid",IF(L25&gt;0,"Part Paid","Unpaid")))</f>
        <v/>
      </c>
      <c r="O25">
        <f>IF(E25="","",IFERROR(_xludf.MAXIFS(PAYMENTS!A:A,PAYMENTS!C:C,E25),""))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>
        <f>IF(E26="","",SUMIF(PAYMENTS!C:C,E26,PAYMENTS!E:E))</f>
        <v/>
      </c>
      <c r="M26">
        <f>IF(E26="","",J26-L26)</f>
        <v/>
      </c>
      <c r="N26">
        <f>IF(E26="","",IF(M26&lt;=0,"Paid",IF(L26&gt;0,"Part Paid","Unpaid")))</f>
        <v/>
      </c>
      <c r="O26">
        <f>IF(E26="","",IFERROR(_xludf.MAXIFS(PAYMENTS!A:A,PAYMENTS!C:C,E26),""))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>
        <f>IF(E27="","",SUMIF(PAYMENTS!C:C,E27,PAYMENTS!E:E))</f>
        <v/>
      </c>
      <c r="M27">
        <f>IF(E27="","",J27-L27)</f>
        <v/>
      </c>
      <c r="N27">
        <f>IF(E27="","",IF(M27&lt;=0,"Paid",IF(L27&gt;0,"Part Paid","Unpaid")))</f>
        <v/>
      </c>
      <c r="O27">
        <f>IF(E27="","",IFERROR(_xludf.MAXIFS(PAYMENTS!A:A,PAYMENTS!C:C,E27),""))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>
        <f>IF(E28="","",SUMIF(PAYMENTS!C:C,E28,PAYMENTS!E:E))</f>
        <v/>
      </c>
      <c r="M28">
        <f>IF(E28="","",J28-L28)</f>
        <v/>
      </c>
      <c r="N28">
        <f>IF(E28="","",IF(M28&lt;=0,"Paid",IF(L28&gt;0,"Part Paid","Unpaid")))</f>
        <v/>
      </c>
      <c r="O28">
        <f>IF(E28="","",IFERROR(_xludf.MAXIFS(PAYMENTS!A:A,PAYMENTS!C:C,E28),""))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>
        <f>IF(E29="","",SUMIF(PAYMENTS!C:C,E29,PAYMENTS!E:E))</f>
        <v/>
      </c>
      <c r="M29">
        <f>IF(E29="","",J29-L29)</f>
        <v/>
      </c>
      <c r="N29">
        <f>IF(E29="","",IF(M29&lt;=0,"Paid",IF(L29&gt;0,"Part Paid","Unpaid")))</f>
        <v/>
      </c>
      <c r="O29">
        <f>IF(E29="","",IFERROR(_xludf.MAXIFS(PAYMENTS!A:A,PAYMENTS!C:C,E29),""))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>
        <f>IF(E30="","",SUMIF(PAYMENTS!C:C,E30,PAYMENTS!E:E))</f>
        <v/>
      </c>
      <c r="M30">
        <f>IF(E30="","",J30-L30)</f>
        <v/>
      </c>
      <c r="N30">
        <f>IF(E30="","",IF(M30&lt;=0,"Paid",IF(L30&gt;0,"Part Paid","Unpaid")))</f>
        <v/>
      </c>
      <c r="O30">
        <f>IF(E30="","",IFERROR(_xludf.MAXIFS(PAYMENTS!A:A,PAYMENTS!C:C,E30),""))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>
        <f>IF(E31="","",SUMIF(PAYMENTS!C:C,E31,PAYMENTS!E:E))</f>
        <v/>
      </c>
      <c r="M31">
        <f>IF(E31="","",J31-L31)</f>
        <v/>
      </c>
      <c r="N31">
        <f>IF(E31="","",IF(M31&lt;=0,"Paid",IF(L31&gt;0,"Part Paid","Unpaid")))</f>
        <v/>
      </c>
      <c r="O31">
        <f>IF(E31="","",IFERROR(_xludf.MAXIFS(PAYMENTS!A:A,PAYMENTS!C:C,E31),""))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>
        <f>IF(E32="","",SUMIF(PAYMENTS!C:C,E32,PAYMENTS!E:E))</f>
        <v/>
      </c>
      <c r="M32">
        <f>IF(E32="","",J32-L32)</f>
        <v/>
      </c>
      <c r="N32">
        <f>IF(E32="","",IF(M32&lt;=0,"Paid",IF(L32&gt;0,"Part Paid","Unpaid")))</f>
        <v/>
      </c>
      <c r="O32">
        <f>IF(E32="","",IFERROR(_xludf.MAXIFS(PAYMENTS!A:A,PAYMENTS!C:C,E32),""))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>
        <f>IF(E33="","",SUMIF(PAYMENTS!C:C,E33,PAYMENTS!E:E))</f>
        <v/>
      </c>
      <c r="M33">
        <f>IF(E33="","",J33-L33)</f>
        <v/>
      </c>
      <c r="N33">
        <f>IF(E33="","",IF(M33&lt;=0,"Paid",IF(L33&gt;0,"Part Paid","Unpaid")))</f>
        <v/>
      </c>
      <c r="O33">
        <f>IF(E33="","",IFERROR(_xludf.MAXIFS(PAYMENTS!A:A,PAYMENTS!C:C,E33),""))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>
        <f>IF(E34="","",SUMIF(PAYMENTS!C:C,E34,PAYMENTS!E:E))</f>
        <v/>
      </c>
      <c r="M34">
        <f>IF(E34="","",J34-L34)</f>
        <v/>
      </c>
      <c r="N34">
        <f>IF(E34="","",IF(M34&lt;=0,"Paid",IF(L34&gt;0,"Part Paid","Unpaid")))</f>
        <v/>
      </c>
      <c r="O34">
        <f>IF(E34="","",IFERROR(_xludf.MAXIFS(PAYMENTS!A:A,PAYMENTS!C:C,E34),""))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>
        <f>IF(E35="","",SUMIF(PAYMENTS!C:C,E35,PAYMENTS!E:E))</f>
        <v/>
      </c>
      <c r="M35">
        <f>IF(E35="","",J35-L35)</f>
        <v/>
      </c>
      <c r="N35">
        <f>IF(E35="","",IF(M35&lt;=0,"Paid",IF(L35&gt;0,"Part Paid","Unpaid")))</f>
        <v/>
      </c>
      <c r="O35">
        <f>IF(E35="","",IFERROR(_xludf.MAXIFS(PAYMENTS!A:A,PAYMENTS!C:C,E35),""))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>
        <f>IF(E36="","",SUMIF(PAYMENTS!C:C,E36,PAYMENTS!E:E))</f>
        <v/>
      </c>
      <c r="M36">
        <f>IF(E36="","",J36-L36)</f>
        <v/>
      </c>
      <c r="N36">
        <f>IF(E36="","",IF(M36&lt;=0,"Paid",IF(L36&gt;0,"Part Paid","Unpaid")))</f>
        <v/>
      </c>
      <c r="O36">
        <f>IF(E36="","",IFERROR(_xludf.MAXIFS(PAYMENTS!A:A,PAYMENTS!C:C,E36),""))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>
        <f>IF(E37="","",SUMIF(PAYMENTS!C:C,E37,PAYMENTS!E:E))</f>
        <v/>
      </c>
      <c r="M37">
        <f>IF(E37="","",J37-L37)</f>
        <v/>
      </c>
      <c r="N37">
        <f>IF(E37="","",IF(M37&lt;=0,"Paid",IF(L37&gt;0,"Part Paid","Unpaid")))</f>
        <v/>
      </c>
      <c r="O37">
        <f>IF(E37="","",IFERROR(_xludf.MAXIFS(PAYMENTS!A:A,PAYMENTS!C:C,E37),""))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>
        <f>IF(E38="","",SUMIF(PAYMENTS!C:C,E38,PAYMENTS!E:E))</f>
        <v/>
      </c>
      <c r="M38">
        <f>IF(E38="","",J38-L38)</f>
        <v/>
      </c>
      <c r="N38">
        <f>IF(E38="","",IF(M38&lt;=0,"Paid",IF(L38&gt;0,"Part Paid","Unpaid")))</f>
        <v/>
      </c>
      <c r="O38">
        <f>IF(E38="","",IFERROR(_xludf.MAXIFS(PAYMENTS!A:A,PAYMENTS!C:C,E38),""))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>
        <f>IF(E39="","",SUMIF(PAYMENTS!C:C,E39,PAYMENTS!E:E))</f>
        <v/>
      </c>
      <c r="M39">
        <f>IF(E39="","",J39-L39)</f>
        <v/>
      </c>
      <c r="N39">
        <f>IF(E39="","",IF(M39&lt;=0,"Paid",IF(L39&gt;0,"Part Paid","Unpaid")))</f>
        <v/>
      </c>
      <c r="O39">
        <f>IF(E39="","",IFERROR(_xludf.MAXIFS(PAYMENTS!A:A,PAYMENTS!C:C,E39),""))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>
        <f>IF(E40="","",SUMIF(PAYMENTS!C:C,E40,PAYMENTS!E:E))</f>
        <v/>
      </c>
      <c r="M40">
        <f>IF(E40="","",J40-L40)</f>
        <v/>
      </c>
      <c r="N40">
        <f>IF(E40="","",IF(M40&lt;=0,"Paid",IF(L40&gt;0,"Part Paid","Unpaid")))</f>
        <v/>
      </c>
      <c r="O40">
        <f>IF(E40="","",IFERROR(_xludf.MAXIFS(PAYMENTS!A:A,PAYMENTS!C:C,E40),""))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>
        <f>IF(E41="","",SUMIF(PAYMENTS!C:C,E41,PAYMENTS!E:E))</f>
        <v/>
      </c>
      <c r="M41">
        <f>IF(E41="","",J41-L41)</f>
        <v/>
      </c>
      <c r="N41">
        <f>IF(E41="","",IF(M41&lt;=0,"Paid",IF(L41&gt;0,"Part Paid","Unpaid")))</f>
        <v/>
      </c>
      <c r="O41">
        <f>IF(E41="","",IFERROR(_xludf.MAXIFS(PAYMENTS!A:A,PAYMENTS!C:C,E41),""))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>
        <f>IF(E42="","",SUMIF(PAYMENTS!C:C,E42,PAYMENTS!E:E))</f>
        <v/>
      </c>
      <c r="M42">
        <f>IF(E42="","",J42-L42)</f>
        <v/>
      </c>
      <c r="N42">
        <f>IF(E42="","",IF(M42&lt;=0,"Paid",IF(L42&gt;0,"Part Paid","Unpaid")))</f>
        <v/>
      </c>
      <c r="O42">
        <f>IF(E42="","",IFERROR(_xludf.MAXIFS(PAYMENTS!A:A,PAYMENTS!C:C,E42),""))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>
        <f>IF(E43="","",SUMIF(PAYMENTS!C:C,E43,PAYMENTS!E:E))</f>
        <v/>
      </c>
      <c r="M43">
        <f>IF(E43="","",J43-L43)</f>
        <v/>
      </c>
      <c r="N43">
        <f>IF(E43="","",IF(M43&lt;=0,"Paid",IF(L43&gt;0,"Part Paid","Unpaid")))</f>
        <v/>
      </c>
      <c r="O43">
        <f>IF(E43="","",IFERROR(_xludf.MAXIFS(PAYMENTS!A:A,PAYMENTS!C:C,E43),""))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>
        <f>IF(E44="","",SUMIF(PAYMENTS!C:C,E44,PAYMENTS!E:E))</f>
        <v/>
      </c>
      <c r="M44">
        <f>IF(E44="","",J44-L44)</f>
        <v/>
      </c>
      <c r="N44">
        <f>IF(E44="","",IF(M44&lt;=0,"Paid",IF(L44&gt;0,"Part Paid","Unpaid")))</f>
        <v/>
      </c>
      <c r="O44">
        <f>IF(E44="","",IFERROR(_xludf.MAXIFS(PAYMENTS!A:A,PAYMENTS!C:C,E44),""))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>
        <f>IF(E45="","",SUMIF(PAYMENTS!C:C,E45,PAYMENTS!E:E))</f>
        <v/>
      </c>
      <c r="M45">
        <f>IF(E45="","",J45-L45)</f>
        <v/>
      </c>
      <c r="N45">
        <f>IF(E45="","",IF(M45&lt;=0,"Paid",IF(L45&gt;0,"Part Paid","Unpaid")))</f>
        <v/>
      </c>
      <c r="O45">
        <f>IF(E45="","",IFERROR(_xludf.MAXIFS(PAYMENTS!A:A,PAYMENTS!C:C,E45),""))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>
        <f>IF(E46="","",SUMIF(PAYMENTS!C:C,E46,PAYMENTS!E:E))</f>
        <v/>
      </c>
      <c r="M46">
        <f>IF(E46="","",J46-L46)</f>
        <v/>
      </c>
      <c r="N46">
        <f>IF(E46="","",IF(M46&lt;=0,"Paid",IF(L46&gt;0,"Part Paid","Unpaid")))</f>
        <v/>
      </c>
      <c r="O46">
        <f>IF(E46="","",IFERROR(_xludf.MAXIFS(PAYMENTS!A:A,PAYMENTS!C:C,E46),""))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>
        <f>IF(E47="","",SUMIF(PAYMENTS!C:C,E47,PAYMENTS!E:E))</f>
        <v/>
      </c>
      <c r="M47">
        <f>IF(E47="","",J47-L47)</f>
        <v/>
      </c>
      <c r="N47">
        <f>IF(E47="","",IF(M47&lt;=0,"Paid",IF(L47&gt;0,"Part Paid","Unpaid")))</f>
        <v/>
      </c>
      <c r="O47">
        <f>IF(E47="","",IFERROR(_xludf.MAXIFS(PAYMENTS!A:A,PAYMENTS!C:C,E47),""))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>
        <f>IF(E48="","",SUMIF(PAYMENTS!C:C,E48,PAYMENTS!E:E))</f>
        <v/>
      </c>
      <c r="M48">
        <f>IF(E48="","",J48-L48)</f>
        <v/>
      </c>
      <c r="N48">
        <f>IF(E48="","",IF(M48&lt;=0,"Paid",IF(L48&gt;0,"Part Paid","Unpaid")))</f>
        <v/>
      </c>
      <c r="O48">
        <f>IF(E48="","",IFERROR(_xludf.MAXIFS(PAYMENTS!A:A,PAYMENTS!C:C,E48),""))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>
        <f>IF(E49="","",SUMIF(PAYMENTS!C:C,E49,PAYMENTS!E:E))</f>
        <v/>
      </c>
      <c r="M49">
        <f>IF(E49="","",J49-L49)</f>
        <v/>
      </c>
      <c r="N49">
        <f>IF(E49="","",IF(M49&lt;=0,"Paid",IF(L49&gt;0,"Part Paid","Unpaid")))</f>
        <v/>
      </c>
      <c r="O49">
        <f>IF(E49="","",IFERROR(_xludf.MAXIFS(PAYMENTS!A:A,PAYMENTS!C:C,E49),""))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>
        <f>IF(E50="","",SUMIF(PAYMENTS!C:C,E50,PAYMENTS!E:E))</f>
        <v/>
      </c>
      <c r="M50">
        <f>IF(E50="","",J50-L50)</f>
        <v/>
      </c>
      <c r="N50">
        <f>IF(E50="","",IF(M50&lt;=0,"Paid",IF(L50&gt;0,"Part Paid","Unpaid")))</f>
        <v/>
      </c>
      <c r="O50">
        <f>IF(E50="","",IFERROR(_xludf.MAXIFS(PAYMENTS!A:A,PAYMENTS!C:C,E50),""))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>
        <f>IF(E51="","",SUMIF(PAYMENTS!C:C,E51,PAYMENTS!E:E))</f>
        <v/>
      </c>
      <c r="M51">
        <f>IF(E51="","",J51-L51)</f>
        <v/>
      </c>
      <c r="N51">
        <f>IF(E51="","",IF(M51&lt;=0,"Paid",IF(L51&gt;0,"Part Paid","Unpaid")))</f>
        <v/>
      </c>
      <c r="O51">
        <f>IF(E51="","",IFERROR(_xludf.MAXIFS(PAYMENTS!A:A,PAYMENTS!C:C,E51),""))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>
        <f>IF(E52="","",SUMIF(PAYMENTS!C:C,E52,PAYMENTS!E:E))</f>
        <v/>
      </c>
      <c r="M52">
        <f>IF(E52="","",J52-L52)</f>
        <v/>
      </c>
      <c r="N52">
        <f>IF(E52="","",IF(M52&lt;=0,"Paid",IF(L52&gt;0,"Part Paid","Unpaid")))</f>
        <v/>
      </c>
      <c r="O52">
        <f>IF(E52="","",IFERROR(_xludf.MAXIFS(PAYMENTS!A:A,PAYMENTS!C:C,E52),""))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>
        <f>IF(E53="","",SUMIF(PAYMENTS!C:C,E53,PAYMENTS!E:E))</f>
        <v/>
      </c>
      <c r="M53">
        <f>IF(E53="","",J53-L53)</f>
        <v/>
      </c>
      <c r="N53">
        <f>IF(E53="","",IF(M53&lt;=0,"Paid",IF(L53&gt;0,"Part Paid","Unpaid")))</f>
        <v/>
      </c>
      <c r="O53">
        <f>IF(E53="","",IFERROR(_xludf.MAXIFS(PAYMENTS!A:A,PAYMENTS!C:C,E53),""))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>
        <f>IF(E54="","",SUMIF(PAYMENTS!C:C,E54,PAYMENTS!E:E))</f>
        <v/>
      </c>
      <c r="M54">
        <f>IF(E54="","",J54-L54)</f>
        <v/>
      </c>
      <c r="N54">
        <f>IF(E54="","",IF(M54&lt;=0,"Paid",IF(L54&gt;0,"Part Paid","Unpaid")))</f>
        <v/>
      </c>
      <c r="O54">
        <f>IF(E54="","",IFERROR(_xludf.MAXIFS(PAYMENTS!A:A,PAYMENTS!C:C,E54),""))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>
        <f>IF(E55="","",SUMIF(PAYMENTS!C:C,E55,PAYMENTS!E:E))</f>
        <v/>
      </c>
      <c r="M55">
        <f>IF(E55="","",J55-L55)</f>
        <v/>
      </c>
      <c r="N55">
        <f>IF(E55="","",IF(M55&lt;=0,"Paid",IF(L55&gt;0,"Part Paid","Unpaid")))</f>
        <v/>
      </c>
      <c r="O55">
        <f>IF(E55="","",IFERROR(_xludf.MAXIFS(PAYMENTS!A:A,PAYMENTS!C:C,E55),""))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>
        <f>IF(E56="","",SUMIF(PAYMENTS!C:C,E56,PAYMENTS!E:E))</f>
        <v/>
      </c>
      <c r="M56">
        <f>IF(E56="","",J56-L56)</f>
        <v/>
      </c>
      <c r="N56">
        <f>IF(E56="","",IF(M56&lt;=0,"Paid",IF(L56&gt;0,"Part Paid","Unpaid")))</f>
        <v/>
      </c>
      <c r="O56">
        <f>IF(E56="","",IFERROR(_xludf.MAXIFS(PAYMENTS!A:A,PAYMENTS!C:C,E56),""))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>
        <f>IF(E57="","",SUMIF(PAYMENTS!C:C,E57,PAYMENTS!E:E))</f>
        <v/>
      </c>
      <c r="M57">
        <f>IF(E57="","",J57-L57)</f>
        <v/>
      </c>
      <c r="N57">
        <f>IF(E57="","",IF(M57&lt;=0,"Paid",IF(L57&gt;0,"Part Paid","Unpaid")))</f>
        <v/>
      </c>
      <c r="O57">
        <f>IF(E57="","",IFERROR(_xludf.MAXIFS(PAYMENTS!A:A,PAYMENTS!C:C,E57),""))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>
        <f>IF(E58="","",SUMIF(PAYMENTS!C:C,E58,PAYMENTS!E:E))</f>
        <v/>
      </c>
      <c r="M58">
        <f>IF(E58="","",J58-L58)</f>
        <v/>
      </c>
      <c r="N58">
        <f>IF(E58="","",IF(M58&lt;=0,"Paid",IF(L58&gt;0,"Part Paid","Unpaid")))</f>
        <v/>
      </c>
      <c r="O58">
        <f>IF(E58="","",IFERROR(_xludf.MAXIFS(PAYMENTS!A:A,PAYMENTS!C:C,E58),""))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>
        <f>IF(E59="","",SUMIF(PAYMENTS!C:C,E59,PAYMENTS!E:E))</f>
        <v/>
      </c>
      <c r="M59">
        <f>IF(E59="","",J59-L59)</f>
        <v/>
      </c>
      <c r="N59">
        <f>IF(E59="","",IF(M59&lt;=0,"Paid",IF(L59&gt;0,"Part Paid","Unpaid")))</f>
        <v/>
      </c>
      <c r="O59">
        <f>IF(E59="","",IFERROR(_xludf.MAXIFS(PAYMENTS!A:A,PAYMENTS!C:C,E59),""))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>
        <f>IF(E60="","",SUMIF(PAYMENTS!C:C,E60,PAYMENTS!E:E))</f>
        <v/>
      </c>
      <c r="M60">
        <f>IF(E60="","",J60-L60)</f>
        <v/>
      </c>
      <c r="N60">
        <f>IF(E60="","",IF(M60&lt;=0,"Paid",IF(L60&gt;0,"Part Paid","Unpaid")))</f>
        <v/>
      </c>
      <c r="O60">
        <f>IF(E60="","",IFERROR(_xludf.MAXIFS(PAYMENTS!A:A,PAYMENTS!C:C,E60),""))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>
        <f>IF(E61="","",SUMIF(PAYMENTS!C:C,E61,PAYMENTS!E:E))</f>
        <v/>
      </c>
      <c r="M61">
        <f>IF(E61="","",J61-L61)</f>
        <v/>
      </c>
      <c r="N61">
        <f>IF(E61="","",IF(M61&lt;=0,"Paid",IF(L61&gt;0,"Part Paid","Unpaid")))</f>
        <v/>
      </c>
      <c r="O61">
        <f>IF(E61="","",IFERROR(_xludf.MAXIFS(PAYMENTS!A:A,PAYMENTS!C:C,E61),""))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>
        <f>IF(E62="","",SUMIF(PAYMENTS!C:C,E62,PAYMENTS!E:E))</f>
        <v/>
      </c>
      <c r="M62">
        <f>IF(E62="","",J62-L62)</f>
        <v/>
      </c>
      <c r="N62">
        <f>IF(E62="","",IF(M62&lt;=0,"Paid",IF(L62&gt;0,"Part Paid","Unpaid")))</f>
        <v/>
      </c>
      <c r="O62">
        <f>IF(E62="","",IFERROR(_xludf.MAXIFS(PAYMENTS!A:A,PAYMENTS!C:C,E62),""))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>
        <f>IF(E63="","",SUMIF(PAYMENTS!C:C,E63,PAYMENTS!E:E))</f>
        <v/>
      </c>
      <c r="M63">
        <f>IF(E63="","",J63-L63)</f>
        <v/>
      </c>
      <c r="N63">
        <f>IF(E63="","",IF(M63&lt;=0,"Paid",IF(L63&gt;0,"Part Paid","Unpaid")))</f>
        <v/>
      </c>
      <c r="O63">
        <f>IF(E63="","",IFERROR(_xludf.MAXIFS(PAYMENTS!A:A,PAYMENTS!C:C,E63),""))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>
        <f>IF(E64="","",SUMIF(PAYMENTS!C:C,E64,PAYMENTS!E:E))</f>
        <v/>
      </c>
      <c r="M64">
        <f>IF(E64="","",J64-L64)</f>
        <v/>
      </c>
      <c r="N64">
        <f>IF(E64="","",IF(M64&lt;=0,"Paid",IF(L64&gt;0,"Part Paid","Unpaid")))</f>
        <v/>
      </c>
      <c r="O64">
        <f>IF(E64="","",IFERROR(_xludf.MAXIFS(PAYMENTS!A:A,PAYMENTS!C:C,E64),""))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>
        <f>IF(E65="","",SUMIF(PAYMENTS!C:C,E65,PAYMENTS!E:E))</f>
        <v/>
      </c>
      <c r="M65">
        <f>IF(E65="","",J65-L65)</f>
        <v/>
      </c>
      <c r="N65">
        <f>IF(E65="","",IF(M65&lt;=0,"Paid",IF(L65&gt;0,"Part Paid","Unpaid")))</f>
        <v/>
      </c>
      <c r="O65">
        <f>IF(E65="","",IFERROR(_xludf.MAXIFS(PAYMENTS!A:A,PAYMENTS!C:C,E65),""))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>
        <f>IF(E66="","",SUMIF(PAYMENTS!C:C,E66,PAYMENTS!E:E))</f>
        <v/>
      </c>
      <c r="M66">
        <f>IF(E66="","",J66-L66)</f>
        <v/>
      </c>
      <c r="N66">
        <f>IF(E66="","",IF(M66&lt;=0,"Paid",IF(L66&gt;0,"Part Paid","Unpaid")))</f>
        <v/>
      </c>
      <c r="O66">
        <f>IF(E66="","",IFERROR(_xludf.MAXIFS(PAYMENTS!A:A,PAYMENTS!C:C,E66),""))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>
        <f>IF(E67="","",SUMIF(PAYMENTS!C:C,E67,PAYMENTS!E:E))</f>
        <v/>
      </c>
      <c r="M67">
        <f>IF(E67="","",J67-L67)</f>
        <v/>
      </c>
      <c r="N67">
        <f>IF(E67="","",IF(M67&lt;=0,"Paid",IF(L67&gt;0,"Part Paid","Unpaid")))</f>
        <v/>
      </c>
      <c r="O67">
        <f>IF(E67="","",IFERROR(_xludf.MAXIFS(PAYMENTS!A:A,PAYMENTS!C:C,E67),""))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>
        <f>IF(E68="","",SUMIF(PAYMENTS!C:C,E68,PAYMENTS!E:E))</f>
        <v/>
      </c>
      <c r="M68">
        <f>IF(E68="","",J68-L68)</f>
        <v/>
      </c>
      <c r="N68">
        <f>IF(E68="","",IF(M68&lt;=0,"Paid",IF(L68&gt;0,"Part Paid","Unpaid")))</f>
        <v/>
      </c>
      <c r="O68">
        <f>IF(E68="","",IFERROR(_xludf.MAXIFS(PAYMENTS!A:A,PAYMENTS!C:C,E68),""))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>
        <f>IF(E69="","",SUMIF(PAYMENTS!C:C,E69,PAYMENTS!E:E))</f>
        <v/>
      </c>
      <c r="M69">
        <f>IF(E69="","",J69-L69)</f>
        <v/>
      </c>
      <c r="N69">
        <f>IF(E69="","",IF(M69&lt;=0,"Paid",IF(L69&gt;0,"Part Paid","Unpaid")))</f>
        <v/>
      </c>
      <c r="O69">
        <f>IF(E69="","",IFERROR(_xludf.MAXIFS(PAYMENTS!A:A,PAYMENTS!C:C,E69),""))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>
        <f>IF(E70="","",SUMIF(PAYMENTS!C:C,E70,PAYMENTS!E:E))</f>
        <v/>
      </c>
      <c r="M70">
        <f>IF(E70="","",J70-L70)</f>
        <v/>
      </c>
      <c r="N70">
        <f>IF(E70="","",IF(M70&lt;=0,"Paid",IF(L70&gt;0,"Part Paid","Unpaid")))</f>
        <v/>
      </c>
      <c r="O70">
        <f>IF(E70="","",IFERROR(_xludf.MAXIFS(PAYMENTS!A:A,PAYMENTS!C:C,E70),""))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>
        <f>IF(E71="","",SUMIF(PAYMENTS!C:C,E71,PAYMENTS!E:E))</f>
        <v/>
      </c>
      <c r="M71">
        <f>IF(E71="","",J71-L71)</f>
        <v/>
      </c>
      <c r="N71">
        <f>IF(E71="","",IF(M71&lt;=0,"Paid",IF(L71&gt;0,"Part Paid","Unpaid")))</f>
        <v/>
      </c>
      <c r="O71">
        <f>IF(E71="","",IFERROR(_xludf.MAXIFS(PAYMENTS!A:A,PAYMENTS!C:C,E71),""))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>
        <f>IF(E72="","",SUMIF(PAYMENTS!C:C,E72,PAYMENTS!E:E))</f>
        <v/>
      </c>
      <c r="M72">
        <f>IF(E72="","",J72-L72)</f>
        <v/>
      </c>
      <c r="N72">
        <f>IF(E72="","",IF(M72&lt;=0,"Paid",IF(L72&gt;0,"Part Paid","Unpaid")))</f>
        <v/>
      </c>
      <c r="O72">
        <f>IF(E72="","",IFERROR(_xludf.MAXIFS(PAYMENTS!A:A,PAYMENTS!C:C,E72),""))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>
        <f>IF(E73="","",SUMIF(PAYMENTS!C:C,E73,PAYMENTS!E:E))</f>
        <v/>
      </c>
      <c r="M73">
        <f>IF(E73="","",J73-L73)</f>
        <v/>
      </c>
      <c r="N73">
        <f>IF(E73="","",IF(M73&lt;=0,"Paid",IF(L73&gt;0,"Part Paid","Unpaid")))</f>
        <v/>
      </c>
      <c r="O73">
        <f>IF(E73="","",IFERROR(_xludf.MAXIFS(PAYMENTS!A:A,PAYMENTS!C:C,E73),""))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>
        <f>IF(E74="","",SUMIF(PAYMENTS!C:C,E74,PAYMENTS!E:E))</f>
        <v/>
      </c>
      <c r="M74">
        <f>IF(E74="","",J74-L74)</f>
        <v/>
      </c>
      <c r="N74">
        <f>IF(E74="","",IF(M74&lt;=0,"Paid",IF(L74&gt;0,"Part Paid","Unpaid")))</f>
        <v/>
      </c>
      <c r="O74">
        <f>IF(E74="","",IFERROR(_xludf.MAXIFS(PAYMENTS!A:A,PAYMENTS!C:C,E74),""))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>
        <f>IF(E75="","",SUMIF(PAYMENTS!C:C,E75,PAYMENTS!E:E))</f>
        <v/>
      </c>
      <c r="M75">
        <f>IF(E75="","",J75-L75)</f>
        <v/>
      </c>
      <c r="N75">
        <f>IF(E75="","",IF(M75&lt;=0,"Paid",IF(L75&gt;0,"Part Paid","Unpaid")))</f>
        <v/>
      </c>
      <c r="O75">
        <f>IF(E75="","",IFERROR(_xludf.MAXIFS(PAYMENTS!A:A,PAYMENTS!C:C,E75),""))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>
        <f>IF(E76="","",SUMIF(PAYMENTS!C:C,E76,PAYMENTS!E:E))</f>
        <v/>
      </c>
      <c r="M76">
        <f>IF(E76="","",J76-L76)</f>
        <v/>
      </c>
      <c r="N76">
        <f>IF(E76="","",IF(M76&lt;=0,"Paid",IF(L76&gt;0,"Part Paid","Unpaid")))</f>
        <v/>
      </c>
      <c r="O76">
        <f>IF(E76="","",IFERROR(_xludf.MAXIFS(PAYMENTS!A:A,PAYMENTS!C:C,E76),""))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>
        <f>IF(E77="","",SUMIF(PAYMENTS!C:C,E77,PAYMENTS!E:E))</f>
        <v/>
      </c>
      <c r="M77">
        <f>IF(E77="","",J77-L77)</f>
        <v/>
      </c>
      <c r="N77">
        <f>IF(E77="","",IF(M77&lt;=0,"Paid",IF(L77&gt;0,"Part Paid","Unpaid")))</f>
        <v/>
      </c>
      <c r="O77">
        <f>IF(E77="","",IFERROR(_xludf.MAXIFS(PAYMENTS!A:A,PAYMENTS!C:C,E77),""))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>
        <f>IF(E78="","",SUMIF(PAYMENTS!C:C,E78,PAYMENTS!E:E))</f>
        <v/>
      </c>
      <c r="M78">
        <f>IF(E78="","",J78-L78)</f>
        <v/>
      </c>
      <c r="N78">
        <f>IF(E78="","",IF(M78&lt;=0,"Paid",IF(L78&gt;0,"Part Paid","Unpaid")))</f>
        <v/>
      </c>
      <c r="O78">
        <f>IF(E78="","",IFERROR(_xludf.MAXIFS(PAYMENTS!A:A,PAYMENTS!C:C,E78),""))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>
        <f>IF(E79="","",SUMIF(PAYMENTS!C:C,E79,PAYMENTS!E:E))</f>
        <v/>
      </c>
      <c r="M79">
        <f>IF(E79="","",J79-L79)</f>
        <v/>
      </c>
      <c r="N79">
        <f>IF(E79="","",IF(M79&lt;=0,"Paid",IF(L79&gt;0,"Part Paid","Unpaid")))</f>
        <v/>
      </c>
      <c r="O79">
        <f>IF(E79="","",IFERROR(_xludf.MAXIFS(PAYMENTS!A:A,PAYMENTS!C:C,E79),""))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>
        <f>IF(E80="","",SUMIF(PAYMENTS!C:C,E80,PAYMENTS!E:E))</f>
        <v/>
      </c>
      <c r="M80">
        <f>IF(E80="","",J80-L80)</f>
        <v/>
      </c>
      <c r="N80">
        <f>IF(E80="","",IF(M80&lt;=0,"Paid",IF(L80&gt;0,"Part Paid","Unpaid")))</f>
        <v/>
      </c>
      <c r="O80">
        <f>IF(E80="","",IFERROR(_xludf.MAXIFS(PAYMENTS!A:A,PAYMENTS!C:C,E80),""))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>
        <f>IF(E81="","",SUMIF(PAYMENTS!C:C,E81,PAYMENTS!E:E))</f>
        <v/>
      </c>
      <c r="M81">
        <f>IF(E81="","",J81-L81)</f>
        <v/>
      </c>
      <c r="N81">
        <f>IF(E81="","",IF(M81&lt;=0,"Paid",IF(L81&gt;0,"Part Paid","Unpaid")))</f>
        <v/>
      </c>
      <c r="O81">
        <f>IF(E81="","",IFERROR(_xludf.MAXIFS(PAYMENTS!A:A,PAYMENTS!C:C,E81),""))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>
        <f>IF(E82="","",SUMIF(PAYMENTS!C:C,E82,PAYMENTS!E:E))</f>
        <v/>
      </c>
      <c r="M82">
        <f>IF(E82="","",J82-L82)</f>
        <v/>
      </c>
      <c r="N82">
        <f>IF(E82="","",IF(M82&lt;=0,"Paid",IF(L82&gt;0,"Part Paid","Unpaid")))</f>
        <v/>
      </c>
      <c r="O82">
        <f>IF(E82="","",IFERROR(_xludf.MAXIFS(PAYMENTS!A:A,PAYMENTS!C:C,E82),""))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>
        <f>IF(E83="","",SUMIF(PAYMENTS!C:C,E83,PAYMENTS!E:E))</f>
        <v/>
      </c>
      <c r="M83">
        <f>IF(E83="","",J83-L83)</f>
        <v/>
      </c>
      <c r="N83">
        <f>IF(E83="","",IF(M83&lt;=0,"Paid",IF(L83&gt;0,"Part Paid","Unpaid")))</f>
        <v/>
      </c>
      <c r="O83">
        <f>IF(E83="","",IFERROR(_xludf.MAXIFS(PAYMENTS!A:A,PAYMENTS!C:C,E83),""))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>
        <f>IF(E84="","",SUMIF(PAYMENTS!C:C,E84,PAYMENTS!E:E))</f>
        <v/>
      </c>
      <c r="M84">
        <f>IF(E84="","",J84-L84)</f>
        <v/>
      </c>
      <c r="N84">
        <f>IF(E84="","",IF(M84&lt;=0,"Paid",IF(L84&gt;0,"Part Paid","Unpaid")))</f>
        <v/>
      </c>
      <c r="O84">
        <f>IF(E84="","",IFERROR(_xludf.MAXIFS(PAYMENTS!A:A,PAYMENTS!C:C,E84),""))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>
        <f>IF(E85="","",SUMIF(PAYMENTS!C:C,E85,PAYMENTS!E:E))</f>
        <v/>
      </c>
      <c r="M85">
        <f>IF(E85="","",J85-L85)</f>
        <v/>
      </c>
      <c r="N85">
        <f>IF(E85="","",IF(M85&lt;=0,"Paid",IF(L85&gt;0,"Part Paid","Unpaid")))</f>
        <v/>
      </c>
      <c r="O85">
        <f>IF(E85="","",IFERROR(_xludf.MAXIFS(PAYMENTS!A:A,PAYMENTS!C:C,E85),""))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>
        <f>IF(E86="","",SUMIF(PAYMENTS!C:C,E86,PAYMENTS!E:E))</f>
        <v/>
      </c>
      <c r="M86">
        <f>IF(E86="","",J86-L86)</f>
        <v/>
      </c>
      <c r="N86">
        <f>IF(E86="","",IF(M86&lt;=0,"Paid",IF(L86&gt;0,"Part Paid","Unpaid")))</f>
        <v/>
      </c>
      <c r="O86">
        <f>IF(E86="","",IFERROR(_xludf.MAXIFS(PAYMENTS!A:A,PAYMENTS!C:C,E86),""))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>
        <f>IF(E87="","",SUMIF(PAYMENTS!C:C,E87,PAYMENTS!E:E))</f>
        <v/>
      </c>
      <c r="M87">
        <f>IF(E87="","",J87-L87)</f>
        <v/>
      </c>
      <c r="N87">
        <f>IF(E87="","",IF(M87&lt;=0,"Paid",IF(L87&gt;0,"Part Paid","Unpaid")))</f>
        <v/>
      </c>
      <c r="O87">
        <f>IF(E87="","",IFERROR(_xludf.MAXIFS(PAYMENTS!A:A,PAYMENTS!C:C,E87),""))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>
        <f>IF(E88="","",SUMIF(PAYMENTS!C:C,E88,PAYMENTS!E:E))</f>
        <v/>
      </c>
      <c r="M88">
        <f>IF(E88="","",J88-L88)</f>
        <v/>
      </c>
      <c r="N88">
        <f>IF(E88="","",IF(M88&lt;=0,"Paid",IF(L88&gt;0,"Part Paid","Unpaid")))</f>
        <v/>
      </c>
      <c r="O88">
        <f>IF(E88="","",IFERROR(_xludf.MAXIFS(PAYMENTS!A:A,PAYMENTS!C:C,E88),""))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>
        <f>IF(E89="","",SUMIF(PAYMENTS!C:C,E89,PAYMENTS!E:E))</f>
        <v/>
      </c>
      <c r="M89">
        <f>IF(E89="","",J89-L89)</f>
        <v/>
      </c>
      <c r="N89">
        <f>IF(E89="","",IF(M89&lt;=0,"Paid",IF(L89&gt;0,"Part Paid","Unpaid")))</f>
        <v/>
      </c>
      <c r="O89">
        <f>IF(E89="","",IFERROR(_xludf.MAXIFS(PAYMENTS!A:A,PAYMENTS!C:C,E89),""))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>
        <f>IF(E90="","",SUMIF(PAYMENTS!C:C,E90,PAYMENTS!E:E))</f>
        <v/>
      </c>
      <c r="M90">
        <f>IF(E90="","",J90-L90)</f>
        <v/>
      </c>
      <c r="N90">
        <f>IF(E90="","",IF(M90&lt;=0,"Paid",IF(L90&gt;0,"Part Paid","Unpaid")))</f>
        <v/>
      </c>
      <c r="O90">
        <f>IF(E90="","",IFERROR(_xludf.MAXIFS(PAYMENTS!A:A,PAYMENTS!C:C,E90),""))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>
        <f>IF(E91="","",SUMIF(PAYMENTS!C:C,E91,PAYMENTS!E:E))</f>
        <v/>
      </c>
      <c r="M91">
        <f>IF(E91="","",J91-L91)</f>
        <v/>
      </c>
      <c r="N91">
        <f>IF(E91="","",IF(M91&lt;=0,"Paid",IF(L91&gt;0,"Part Paid","Unpaid")))</f>
        <v/>
      </c>
      <c r="O91">
        <f>IF(E91="","",IFERROR(_xludf.MAXIFS(PAYMENTS!A:A,PAYMENTS!C:C,E91),""))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>
        <f>IF(E92="","",SUMIF(PAYMENTS!C:C,E92,PAYMENTS!E:E))</f>
        <v/>
      </c>
      <c r="M92">
        <f>IF(E92="","",J92-L92)</f>
        <v/>
      </c>
      <c r="N92">
        <f>IF(E92="","",IF(M92&lt;=0,"Paid",IF(L92&gt;0,"Part Paid","Unpaid")))</f>
        <v/>
      </c>
      <c r="O92">
        <f>IF(E92="","",IFERROR(_xludf.MAXIFS(PAYMENTS!A:A,PAYMENTS!C:C,E92),""))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>
        <f>IF(E93="","",SUMIF(PAYMENTS!C:C,E93,PAYMENTS!E:E))</f>
        <v/>
      </c>
      <c r="M93">
        <f>IF(E93="","",J93-L93)</f>
        <v/>
      </c>
      <c r="N93">
        <f>IF(E93="","",IF(M93&lt;=0,"Paid",IF(L93&gt;0,"Part Paid","Unpaid")))</f>
        <v/>
      </c>
      <c r="O93">
        <f>IF(E93="","",IFERROR(_xludf.MAXIFS(PAYMENTS!A:A,PAYMENTS!C:C,E93),""))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>
        <f>IF(E94="","",SUMIF(PAYMENTS!C:C,E94,PAYMENTS!E:E))</f>
        <v/>
      </c>
      <c r="M94">
        <f>IF(E94="","",J94-L94)</f>
        <v/>
      </c>
      <c r="N94">
        <f>IF(E94="","",IF(M94&lt;=0,"Paid",IF(L94&gt;0,"Part Paid","Unpaid")))</f>
        <v/>
      </c>
      <c r="O94">
        <f>IF(E94="","",IFERROR(_xludf.MAXIFS(PAYMENTS!A:A,PAYMENTS!C:C,E94),""))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>
        <f>IF(E95="","",SUMIF(PAYMENTS!C:C,E95,PAYMENTS!E:E))</f>
        <v/>
      </c>
      <c r="M95">
        <f>IF(E95="","",J95-L95)</f>
        <v/>
      </c>
      <c r="N95">
        <f>IF(E95="","",IF(M95&lt;=0,"Paid",IF(L95&gt;0,"Part Paid","Unpaid")))</f>
        <v/>
      </c>
      <c r="O95">
        <f>IF(E95="","",IFERROR(_xludf.MAXIFS(PAYMENTS!A:A,PAYMENTS!C:C,E95),""))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>
        <f>IF(E96="","",SUMIF(PAYMENTS!C:C,E96,PAYMENTS!E:E))</f>
        <v/>
      </c>
      <c r="M96">
        <f>IF(E96="","",J96-L96)</f>
        <v/>
      </c>
      <c r="N96">
        <f>IF(E96="","",IF(M96&lt;=0,"Paid",IF(L96&gt;0,"Part Paid","Unpaid")))</f>
        <v/>
      </c>
      <c r="O96">
        <f>IF(E96="","",IFERROR(_xludf.MAXIFS(PAYMENTS!A:A,PAYMENTS!C:C,E96),""))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>
        <f>IF(E97="","",SUMIF(PAYMENTS!C:C,E97,PAYMENTS!E:E))</f>
        <v/>
      </c>
      <c r="M97">
        <f>IF(E97="","",J97-L97)</f>
        <v/>
      </c>
      <c r="N97">
        <f>IF(E97="","",IF(M97&lt;=0,"Paid",IF(L97&gt;0,"Part Paid","Unpaid")))</f>
        <v/>
      </c>
      <c r="O97">
        <f>IF(E97="","",IFERROR(_xludf.MAXIFS(PAYMENTS!A:A,PAYMENTS!C:C,E97),""))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>
        <f>IF(E98="","",SUMIF(PAYMENTS!C:C,E98,PAYMENTS!E:E))</f>
        <v/>
      </c>
      <c r="M98">
        <f>IF(E98="","",J98-L98)</f>
        <v/>
      </c>
      <c r="N98">
        <f>IF(E98="","",IF(M98&lt;=0,"Paid",IF(L98&gt;0,"Part Paid","Unpaid")))</f>
        <v/>
      </c>
      <c r="O98">
        <f>IF(E98="","",IFERROR(_xludf.MAXIFS(PAYMENTS!A:A,PAYMENTS!C:C,E98),""))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>
        <f>IF(E99="","",SUMIF(PAYMENTS!C:C,E99,PAYMENTS!E:E))</f>
        <v/>
      </c>
      <c r="M99">
        <f>IF(E99="","",J99-L99)</f>
        <v/>
      </c>
      <c r="N99">
        <f>IF(E99="","",IF(M99&lt;=0,"Paid",IF(L99&gt;0,"Part Paid","Unpaid")))</f>
        <v/>
      </c>
      <c r="O99">
        <f>IF(E99="","",IFERROR(_xludf.MAXIFS(PAYMENTS!A:A,PAYMENTS!C:C,E99),""))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>
        <f>IF(E100="","",SUMIF(PAYMENTS!C:C,E100,PAYMENTS!E:E))</f>
        <v/>
      </c>
      <c r="M100">
        <f>IF(E100="","",J100-L100)</f>
        <v/>
      </c>
      <c r="N100">
        <f>IF(E100="","",IF(M100&lt;=0,"Paid",IF(L100&gt;0,"Part Paid","Unpaid")))</f>
        <v/>
      </c>
      <c r="O100">
        <f>IF(E100="","",IFERROR(_xludf.MAXIFS(PAYMENTS!A:A,PAYMENTS!C:C,E100),""))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>
        <f>IF(E101="","",SUMIF(PAYMENTS!C:C,E101,PAYMENTS!E:E))</f>
        <v/>
      </c>
      <c r="M101">
        <f>IF(E101="","",J101-L101)</f>
        <v/>
      </c>
      <c r="N101">
        <f>IF(E101="","",IF(M101&lt;=0,"Paid",IF(L101&gt;0,"Part Paid","Unpaid")))</f>
        <v/>
      </c>
      <c r="O101">
        <f>IF(E101="","",IFERROR(_xludf.MAXIFS(PAYMENTS!A:A,PAYMENTS!C:C,E101),""))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>
        <f>IF(E102="","",SUMIF(PAYMENTS!C:C,E102,PAYMENTS!E:E))</f>
        <v/>
      </c>
      <c r="M102">
        <f>IF(E102="","",J102-L102)</f>
        <v/>
      </c>
      <c r="N102">
        <f>IF(E102="","",IF(M102&lt;=0,"Paid",IF(L102&gt;0,"Part Paid","Unpaid")))</f>
        <v/>
      </c>
      <c r="O102">
        <f>IF(E102="","",IFERROR(_xludf.MAXIFS(PAYMENTS!A:A,PAYMENTS!C:C,E102),""))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>
        <f>IF(E103="","",SUMIF(PAYMENTS!C:C,E103,PAYMENTS!E:E))</f>
        <v/>
      </c>
      <c r="M103">
        <f>IF(E103="","",J103-L103)</f>
        <v/>
      </c>
      <c r="N103">
        <f>IF(E103="","",IF(M103&lt;=0,"Paid",IF(L103&gt;0,"Part Paid","Unpaid")))</f>
        <v/>
      </c>
      <c r="O103">
        <f>IF(E103="","",IFERROR(_xludf.MAXIFS(PAYMENTS!A:A,PAYMENTS!C:C,E103),""))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>
        <f>IF(E104="","",SUMIF(PAYMENTS!C:C,E104,PAYMENTS!E:E))</f>
        <v/>
      </c>
      <c r="M104">
        <f>IF(E104="","",J104-L104)</f>
        <v/>
      </c>
      <c r="N104">
        <f>IF(E104="","",IF(M104&lt;=0,"Paid",IF(L104&gt;0,"Part Paid","Unpaid")))</f>
        <v/>
      </c>
      <c r="O104">
        <f>IF(E104="","",IFERROR(_xludf.MAXIFS(PAYMENTS!A:A,PAYMENTS!C:C,E104),""))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>
        <f>IF(E105="","",SUMIF(PAYMENTS!C:C,E105,PAYMENTS!E:E))</f>
        <v/>
      </c>
      <c r="M105">
        <f>IF(E105="","",J105-L105)</f>
        <v/>
      </c>
      <c r="N105">
        <f>IF(E105="","",IF(M105&lt;=0,"Paid",IF(L105&gt;0,"Part Paid","Unpaid")))</f>
        <v/>
      </c>
      <c r="O105">
        <f>IF(E105="","",IFERROR(_xludf.MAXIFS(PAYMENTS!A:A,PAYMENTS!C:C,E105),""))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>
        <f>IF(E106="","",SUMIF(PAYMENTS!C:C,E106,PAYMENTS!E:E))</f>
        <v/>
      </c>
      <c r="M106">
        <f>IF(E106="","",J106-L106)</f>
        <v/>
      </c>
      <c r="N106">
        <f>IF(E106="","",IF(M106&lt;=0,"Paid",IF(L106&gt;0,"Part Paid","Unpaid")))</f>
        <v/>
      </c>
      <c r="O106">
        <f>IF(E106="","",IFERROR(_xludf.MAXIFS(PAYMENTS!A:A,PAYMENTS!C:C,E106),""))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>
        <f>IF(E107="","",SUMIF(PAYMENTS!C:C,E107,PAYMENTS!E:E))</f>
        <v/>
      </c>
      <c r="M107">
        <f>IF(E107="","",J107-L107)</f>
        <v/>
      </c>
      <c r="N107">
        <f>IF(E107="","",IF(M107&lt;=0,"Paid",IF(L107&gt;0,"Part Paid","Unpaid")))</f>
        <v/>
      </c>
      <c r="O107">
        <f>IF(E107="","",IFERROR(_xludf.MAXIFS(PAYMENTS!A:A,PAYMENTS!C:C,E107),""))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>
        <f>IF(E108="","",SUMIF(PAYMENTS!C:C,E108,PAYMENTS!E:E))</f>
        <v/>
      </c>
      <c r="M108">
        <f>IF(E108="","",J108-L108)</f>
        <v/>
      </c>
      <c r="N108">
        <f>IF(E108="","",IF(M108&lt;=0,"Paid",IF(L108&gt;0,"Part Paid","Unpaid")))</f>
        <v/>
      </c>
      <c r="O108">
        <f>IF(E108="","",IFERROR(_xludf.MAXIFS(PAYMENTS!A:A,PAYMENTS!C:C,E108),""))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>
        <f>IF(E109="","",SUMIF(PAYMENTS!C:C,E109,PAYMENTS!E:E))</f>
        <v/>
      </c>
      <c r="M109">
        <f>IF(E109="","",J109-L109)</f>
        <v/>
      </c>
      <c r="N109">
        <f>IF(E109="","",IF(M109&lt;=0,"Paid",IF(L109&gt;0,"Part Paid","Unpaid")))</f>
        <v/>
      </c>
      <c r="O109">
        <f>IF(E109="","",IFERROR(_xludf.MAXIFS(PAYMENTS!A:A,PAYMENTS!C:C,E109),""))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>
        <f>IF(E110="","",SUMIF(PAYMENTS!C:C,E110,PAYMENTS!E:E))</f>
        <v/>
      </c>
      <c r="M110">
        <f>IF(E110="","",J110-L110)</f>
        <v/>
      </c>
      <c r="N110">
        <f>IF(E110="","",IF(M110&lt;=0,"Paid",IF(L110&gt;0,"Part Paid","Unpaid")))</f>
        <v/>
      </c>
      <c r="O110">
        <f>IF(E110="","",IFERROR(_xludf.MAXIFS(PAYMENTS!A:A,PAYMENTS!C:C,E110),""))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>
        <f>IF(E111="","",SUMIF(PAYMENTS!C:C,E111,PAYMENTS!E:E))</f>
        <v/>
      </c>
      <c r="M111">
        <f>IF(E111="","",J111-L111)</f>
        <v/>
      </c>
      <c r="N111">
        <f>IF(E111="","",IF(M111&lt;=0,"Paid",IF(L111&gt;0,"Part Paid","Unpaid")))</f>
        <v/>
      </c>
      <c r="O111">
        <f>IF(E111="","",IFERROR(_xludf.MAXIFS(PAYMENTS!A:A,PAYMENTS!C:C,E111),""))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>
        <f>IF(E112="","",SUMIF(PAYMENTS!C:C,E112,PAYMENTS!E:E))</f>
        <v/>
      </c>
      <c r="M112">
        <f>IF(E112="","",J112-L112)</f>
        <v/>
      </c>
      <c r="N112">
        <f>IF(E112="","",IF(M112&lt;=0,"Paid",IF(L112&gt;0,"Part Paid","Unpaid")))</f>
        <v/>
      </c>
      <c r="O112">
        <f>IF(E112="","",IFERROR(_xludf.MAXIFS(PAYMENTS!A:A,PAYMENTS!C:C,E112),""))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>
        <f>IF(E113="","",SUMIF(PAYMENTS!C:C,E113,PAYMENTS!E:E))</f>
        <v/>
      </c>
      <c r="M113">
        <f>IF(E113="","",J113-L113)</f>
        <v/>
      </c>
      <c r="N113">
        <f>IF(E113="","",IF(M113&lt;=0,"Paid",IF(L113&gt;0,"Part Paid","Unpaid")))</f>
        <v/>
      </c>
      <c r="O113">
        <f>IF(E113="","",IFERROR(_xludf.MAXIFS(PAYMENTS!A:A,PAYMENTS!C:C,E113),""))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>
        <f>IF(E114="","",SUMIF(PAYMENTS!C:C,E114,PAYMENTS!E:E))</f>
        <v/>
      </c>
      <c r="M114">
        <f>IF(E114="","",J114-L114)</f>
        <v/>
      </c>
      <c r="N114">
        <f>IF(E114="","",IF(M114&lt;=0,"Paid",IF(L114&gt;0,"Part Paid","Unpaid")))</f>
        <v/>
      </c>
      <c r="O114">
        <f>IF(E114="","",IFERROR(_xludf.MAXIFS(PAYMENTS!A:A,PAYMENTS!C:C,E114),""))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>
        <f>IF(E115="","",SUMIF(PAYMENTS!C:C,E115,PAYMENTS!E:E))</f>
        <v/>
      </c>
      <c r="M115">
        <f>IF(E115="","",J115-L115)</f>
        <v/>
      </c>
      <c r="N115">
        <f>IF(E115="","",IF(M115&lt;=0,"Paid",IF(L115&gt;0,"Part Paid","Unpaid")))</f>
        <v/>
      </c>
      <c r="O115">
        <f>IF(E115="","",IFERROR(_xludf.MAXIFS(PAYMENTS!A:A,PAYMENTS!C:C,E115),""))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>
        <f>IF(E116="","",SUMIF(PAYMENTS!C:C,E116,PAYMENTS!E:E))</f>
        <v/>
      </c>
      <c r="M116">
        <f>IF(E116="","",J116-L116)</f>
        <v/>
      </c>
      <c r="N116">
        <f>IF(E116="","",IF(M116&lt;=0,"Paid",IF(L116&gt;0,"Part Paid","Unpaid")))</f>
        <v/>
      </c>
      <c r="O116">
        <f>IF(E116="","",IFERROR(_xludf.MAXIFS(PAYMENTS!A:A,PAYMENTS!C:C,E116),""))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>
        <f>IF(E117="","",SUMIF(PAYMENTS!C:C,E117,PAYMENTS!E:E))</f>
        <v/>
      </c>
      <c r="M117">
        <f>IF(E117="","",J117-L117)</f>
        <v/>
      </c>
      <c r="N117">
        <f>IF(E117="","",IF(M117&lt;=0,"Paid",IF(L117&gt;0,"Part Paid","Unpaid")))</f>
        <v/>
      </c>
      <c r="O117">
        <f>IF(E117="","",IFERROR(_xludf.MAXIFS(PAYMENTS!A:A,PAYMENTS!C:C,E117),""))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>
        <f>IF(E118="","",SUMIF(PAYMENTS!C:C,E118,PAYMENTS!E:E))</f>
        <v/>
      </c>
      <c r="M118">
        <f>IF(E118="","",J118-L118)</f>
        <v/>
      </c>
      <c r="N118">
        <f>IF(E118="","",IF(M118&lt;=0,"Paid",IF(L118&gt;0,"Part Paid","Unpaid")))</f>
        <v/>
      </c>
      <c r="O118">
        <f>IF(E118="","",IFERROR(_xludf.MAXIFS(PAYMENTS!A:A,PAYMENTS!C:C,E118),""))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>
        <f>IF(E119="","",SUMIF(PAYMENTS!C:C,E119,PAYMENTS!E:E))</f>
        <v/>
      </c>
      <c r="M119">
        <f>IF(E119="","",J119-L119)</f>
        <v/>
      </c>
      <c r="N119">
        <f>IF(E119="","",IF(M119&lt;=0,"Paid",IF(L119&gt;0,"Part Paid","Unpaid")))</f>
        <v/>
      </c>
      <c r="O119">
        <f>IF(E119="","",IFERROR(_xludf.MAXIFS(PAYMENTS!A:A,PAYMENTS!C:C,E119),""))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>
        <f>IF(E120="","",SUMIF(PAYMENTS!C:C,E120,PAYMENTS!E:E))</f>
        <v/>
      </c>
      <c r="M120">
        <f>IF(E120="","",J120-L120)</f>
        <v/>
      </c>
      <c r="N120">
        <f>IF(E120="","",IF(M120&lt;=0,"Paid",IF(L120&gt;0,"Part Paid","Unpaid")))</f>
        <v/>
      </c>
      <c r="O120">
        <f>IF(E120="","",IFERROR(_xludf.MAXIFS(PAYMENTS!A:A,PAYMENTS!C:C,E120),""))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>
        <f>IF(E121="","",SUMIF(PAYMENTS!C:C,E121,PAYMENTS!E:E))</f>
        <v/>
      </c>
      <c r="M121">
        <f>IF(E121="","",J121-L121)</f>
        <v/>
      </c>
      <c r="N121">
        <f>IF(E121="","",IF(M121&lt;=0,"Paid",IF(L121&gt;0,"Part Paid","Unpaid")))</f>
        <v/>
      </c>
      <c r="O121">
        <f>IF(E121="","",IFERROR(_xludf.MAXIFS(PAYMENTS!A:A,PAYMENTS!C:C,E121),""))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>
        <f>IF(E122="","",SUMIF(PAYMENTS!C:C,E122,PAYMENTS!E:E))</f>
        <v/>
      </c>
      <c r="M122">
        <f>IF(E122="","",J122-L122)</f>
        <v/>
      </c>
      <c r="N122">
        <f>IF(E122="","",IF(M122&lt;=0,"Paid",IF(L122&gt;0,"Part Paid","Unpaid")))</f>
        <v/>
      </c>
      <c r="O122">
        <f>IF(E122="","",IFERROR(_xludf.MAXIFS(PAYMENTS!A:A,PAYMENTS!C:C,E122),""))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>
        <f>IF(E123="","",SUMIF(PAYMENTS!C:C,E123,PAYMENTS!E:E))</f>
        <v/>
      </c>
      <c r="M123">
        <f>IF(E123="","",J123-L123)</f>
        <v/>
      </c>
      <c r="N123">
        <f>IF(E123="","",IF(M123&lt;=0,"Paid",IF(L123&gt;0,"Part Paid","Unpaid")))</f>
        <v/>
      </c>
      <c r="O123">
        <f>IF(E123="","",IFERROR(_xludf.MAXIFS(PAYMENTS!A:A,PAYMENTS!C:C,E123),""))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>
        <f>IF(E124="","",SUMIF(PAYMENTS!C:C,E124,PAYMENTS!E:E))</f>
        <v/>
      </c>
      <c r="M124">
        <f>IF(E124="","",J124-L124)</f>
        <v/>
      </c>
      <c r="N124">
        <f>IF(E124="","",IF(M124&lt;=0,"Paid",IF(L124&gt;0,"Part Paid","Unpaid")))</f>
        <v/>
      </c>
      <c r="O124">
        <f>IF(E124="","",IFERROR(_xludf.MAXIFS(PAYMENTS!A:A,PAYMENTS!C:C,E124),""))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>
        <f>IF(E125="","",SUMIF(PAYMENTS!C:C,E125,PAYMENTS!E:E))</f>
        <v/>
      </c>
      <c r="M125">
        <f>IF(E125="","",J125-L125)</f>
        <v/>
      </c>
      <c r="N125">
        <f>IF(E125="","",IF(M125&lt;=0,"Paid",IF(L125&gt;0,"Part Paid","Unpaid")))</f>
        <v/>
      </c>
      <c r="O125">
        <f>IF(E125="","",IFERROR(_xludf.MAXIFS(PAYMENTS!A:A,PAYMENTS!C:C,E125),""))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>
        <f>IF(E126="","",SUMIF(PAYMENTS!C:C,E126,PAYMENTS!E:E))</f>
        <v/>
      </c>
      <c r="M126">
        <f>IF(E126="","",J126-L126)</f>
        <v/>
      </c>
      <c r="N126">
        <f>IF(E126="","",IF(M126&lt;=0,"Paid",IF(L126&gt;0,"Part Paid","Unpaid")))</f>
        <v/>
      </c>
      <c r="O126">
        <f>IF(E126="","",IFERROR(_xludf.MAXIFS(PAYMENTS!A:A,PAYMENTS!C:C,E126),""))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>
        <f>IF(E127="","",SUMIF(PAYMENTS!C:C,E127,PAYMENTS!E:E))</f>
        <v/>
      </c>
      <c r="M127">
        <f>IF(E127="","",J127-L127)</f>
        <v/>
      </c>
      <c r="N127">
        <f>IF(E127="","",IF(M127&lt;=0,"Paid",IF(L127&gt;0,"Part Paid","Unpaid")))</f>
        <v/>
      </c>
      <c r="O127">
        <f>IF(E127="","",IFERROR(_xludf.MAXIFS(PAYMENTS!A:A,PAYMENTS!C:C,E127),""))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>
        <f>IF(E128="","",SUMIF(PAYMENTS!C:C,E128,PAYMENTS!E:E))</f>
        <v/>
      </c>
      <c r="M128">
        <f>IF(E128="","",J128-L128)</f>
        <v/>
      </c>
      <c r="N128">
        <f>IF(E128="","",IF(M128&lt;=0,"Paid",IF(L128&gt;0,"Part Paid","Unpaid")))</f>
        <v/>
      </c>
      <c r="O128">
        <f>IF(E128="","",IFERROR(_xludf.MAXIFS(PAYMENTS!A:A,PAYMENTS!C:C,E128),""))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>
        <f>IF(E129="","",SUMIF(PAYMENTS!C:C,E129,PAYMENTS!E:E))</f>
        <v/>
      </c>
      <c r="M129">
        <f>IF(E129="","",J129-L129)</f>
        <v/>
      </c>
      <c r="N129">
        <f>IF(E129="","",IF(M129&lt;=0,"Paid",IF(L129&gt;0,"Part Paid","Unpaid")))</f>
        <v/>
      </c>
      <c r="O129">
        <f>IF(E129="","",IFERROR(_xludf.MAXIFS(PAYMENTS!A:A,PAYMENTS!C:C,E129),""))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>
        <f>IF(E130="","",SUMIF(PAYMENTS!C:C,E130,PAYMENTS!E:E))</f>
        <v/>
      </c>
      <c r="M130">
        <f>IF(E130="","",J130-L130)</f>
        <v/>
      </c>
      <c r="N130">
        <f>IF(E130="","",IF(M130&lt;=0,"Paid",IF(L130&gt;0,"Part Paid","Unpaid")))</f>
        <v/>
      </c>
      <c r="O130">
        <f>IF(E130="","",IFERROR(_xludf.MAXIFS(PAYMENTS!A:A,PAYMENTS!C:C,E130),""))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>
        <f>IF(E131="","",SUMIF(PAYMENTS!C:C,E131,PAYMENTS!E:E))</f>
        <v/>
      </c>
      <c r="M131">
        <f>IF(E131="","",J131-L131)</f>
        <v/>
      </c>
      <c r="N131">
        <f>IF(E131="","",IF(M131&lt;=0,"Paid",IF(L131&gt;0,"Part Paid","Unpaid")))</f>
        <v/>
      </c>
      <c r="O131">
        <f>IF(E131="","",IFERROR(_xludf.MAXIFS(PAYMENTS!A:A,PAYMENTS!C:C,E131),""))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>
        <f>IF(E132="","",SUMIF(PAYMENTS!C:C,E132,PAYMENTS!E:E))</f>
        <v/>
      </c>
      <c r="M132">
        <f>IF(E132="","",J132-L132)</f>
        <v/>
      </c>
      <c r="N132">
        <f>IF(E132="","",IF(M132&lt;=0,"Paid",IF(L132&gt;0,"Part Paid","Unpaid")))</f>
        <v/>
      </c>
      <c r="O132">
        <f>IF(E132="","",IFERROR(_xludf.MAXIFS(PAYMENTS!A:A,PAYMENTS!C:C,E132),""))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>
        <f>IF(E133="","",SUMIF(PAYMENTS!C:C,E133,PAYMENTS!E:E))</f>
        <v/>
      </c>
      <c r="M133">
        <f>IF(E133="","",J133-L133)</f>
        <v/>
      </c>
      <c r="N133">
        <f>IF(E133="","",IF(M133&lt;=0,"Paid",IF(L133&gt;0,"Part Paid","Unpaid")))</f>
        <v/>
      </c>
      <c r="O133">
        <f>IF(E133="","",IFERROR(_xludf.MAXIFS(PAYMENTS!A:A,PAYMENTS!C:C,E133),""))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>
        <f>IF(E134="","",SUMIF(PAYMENTS!C:C,E134,PAYMENTS!E:E))</f>
        <v/>
      </c>
      <c r="M134">
        <f>IF(E134="","",J134-L134)</f>
        <v/>
      </c>
      <c r="N134">
        <f>IF(E134="","",IF(M134&lt;=0,"Paid",IF(L134&gt;0,"Part Paid","Unpaid")))</f>
        <v/>
      </c>
      <c r="O134">
        <f>IF(E134="","",IFERROR(_xludf.MAXIFS(PAYMENTS!A:A,PAYMENTS!C:C,E134),""))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>
        <f>IF(E135="","",SUMIF(PAYMENTS!C:C,E135,PAYMENTS!E:E))</f>
        <v/>
      </c>
      <c r="M135">
        <f>IF(E135="","",J135-L135)</f>
        <v/>
      </c>
      <c r="N135">
        <f>IF(E135="","",IF(M135&lt;=0,"Paid",IF(L135&gt;0,"Part Paid","Unpaid")))</f>
        <v/>
      </c>
      <c r="O135">
        <f>IF(E135="","",IFERROR(_xludf.MAXIFS(PAYMENTS!A:A,PAYMENTS!C:C,E135),""))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>
        <f>IF(E136="","",SUMIF(PAYMENTS!C:C,E136,PAYMENTS!E:E))</f>
        <v/>
      </c>
      <c r="M136">
        <f>IF(E136="","",J136-L136)</f>
        <v/>
      </c>
      <c r="N136">
        <f>IF(E136="","",IF(M136&lt;=0,"Paid",IF(L136&gt;0,"Part Paid","Unpaid")))</f>
        <v/>
      </c>
      <c r="O136">
        <f>IF(E136="","",IFERROR(_xludf.MAXIFS(PAYMENTS!A:A,PAYMENTS!C:C,E136),""))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>
        <f>IF(E137="","",SUMIF(PAYMENTS!C:C,E137,PAYMENTS!E:E))</f>
        <v/>
      </c>
      <c r="M137">
        <f>IF(E137="","",J137-L137)</f>
        <v/>
      </c>
      <c r="N137">
        <f>IF(E137="","",IF(M137&lt;=0,"Paid",IF(L137&gt;0,"Part Paid","Unpaid")))</f>
        <v/>
      </c>
      <c r="O137">
        <f>IF(E137="","",IFERROR(_xludf.MAXIFS(PAYMENTS!A:A,PAYMENTS!C:C,E137),""))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>
        <f>IF(E138="","",SUMIF(PAYMENTS!C:C,E138,PAYMENTS!E:E))</f>
        <v/>
      </c>
      <c r="M138">
        <f>IF(E138="","",J138-L138)</f>
        <v/>
      </c>
      <c r="N138">
        <f>IF(E138="","",IF(M138&lt;=0,"Paid",IF(L138&gt;0,"Part Paid","Unpaid")))</f>
        <v/>
      </c>
      <c r="O138">
        <f>IF(E138="","",IFERROR(_xludf.MAXIFS(PAYMENTS!A:A,PAYMENTS!C:C,E138),""))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>
        <f>IF(E139="","",SUMIF(PAYMENTS!C:C,E139,PAYMENTS!E:E))</f>
        <v/>
      </c>
      <c r="M139">
        <f>IF(E139="","",J139-L139)</f>
        <v/>
      </c>
      <c r="N139">
        <f>IF(E139="","",IF(M139&lt;=0,"Paid",IF(L139&gt;0,"Part Paid","Unpaid")))</f>
        <v/>
      </c>
      <c r="O139">
        <f>IF(E139="","",IFERROR(_xludf.MAXIFS(PAYMENTS!A:A,PAYMENTS!C:C,E139),""))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>
        <f>IF(E140="","",SUMIF(PAYMENTS!C:C,E140,PAYMENTS!E:E))</f>
        <v/>
      </c>
      <c r="M140">
        <f>IF(E140="","",J140-L140)</f>
        <v/>
      </c>
      <c r="N140">
        <f>IF(E140="","",IF(M140&lt;=0,"Paid",IF(L140&gt;0,"Part Paid","Unpaid")))</f>
        <v/>
      </c>
      <c r="O140">
        <f>IF(E140="","",IFERROR(_xludf.MAXIFS(PAYMENTS!A:A,PAYMENTS!C:C,E140),""))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>
        <f>IF(E141="","",SUMIF(PAYMENTS!C:C,E141,PAYMENTS!E:E))</f>
        <v/>
      </c>
      <c r="M141">
        <f>IF(E141="","",J141-L141)</f>
        <v/>
      </c>
      <c r="N141">
        <f>IF(E141="","",IF(M141&lt;=0,"Paid",IF(L141&gt;0,"Part Paid","Unpaid")))</f>
        <v/>
      </c>
      <c r="O141">
        <f>IF(E141="","",IFERROR(_xludf.MAXIFS(PAYMENTS!A:A,PAYMENTS!C:C,E141),""))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>
        <f>IF(E142="","",SUMIF(PAYMENTS!C:C,E142,PAYMENTS!E:E))</f>
        <v/>
      </c>
      <c r="M142">
        <f>IF(E142="","",J142-L142)</f>
        <v/>
      </c>
      <c r="N142">
        <f>IF(E142="","",IF(M142&lt;=0,"Paid",IF(L142&gt;0,"Part Paid","Unpaid")))</f>
        <v/>
      </c>
      <c r="O142">
        <f>IF(E142="","",IFERROR(_xludf.MAXIFS(PAYMENTS!A:A,PAYMENTS!C:C,E142),""))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>
        <f>IF(E143="","",SUMIF(PAYMENTS!C:C,E143,PAYMENTS!E:E))</f>
        <v/>
      </c>
      <c r="M143">
        <f>IF(E143="","",J143-L143)</f>
        <v/>
      </c>
      <c r="N143">
        <f>IF(E143="","",IF(M143&lt;=0,"Paid",IF(L143&gt;0,"Part Paid","Unpaid")))</f>
        <v/>
      </c>
      <c r="O143">
        <f>IF(E143="","",IFERROR(_xludf.MAXIFS(PAYMENTS!A:A,PAYMENTS!C:C,E143),""))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>
        <f>IF(E144="","",SUMIF(PAYMENTS!C:C,E144,PAYMENTS!E:E))</f>
        <v/>
      </c>
      <c r="M144">
        <f>IF(E144="","",J144-L144)</f>
        <v/>
      </c>
      <c r="N144">
        <f>IF(E144="","",IF(M144&lt;=0,"Paid",IF(L144&gt;0,"Part Paid","Unpaid")))</f>
        <v/>
      </c>
      <c r="O144">
        <f>IF(E144="","",IFERROR(_xludf.MAXIFS(PAYMENTS!A:A,PAYMENTS!C:C,E144),""))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>
        <f>IF(E145="","",SUMIF(PAYMENTS!C:C,E145,PAYMENTS!E:E))</f>
        <v/>
      </c>
      <c r="M145">
        <f>IF(E145="","",J145-L145)</f>
        <v/>
      </c>
      <c r="N145">
        <f>IF(E145="","",IF(M145&lt;=0,"Paid",IF(L145&gt;0,"Part Paid","Unpaid")))</f>
        <v/>
      </c>
      <c r="O145">
        <f>IF(E145="","",IFERROR(_xludf.MAXIFS(PAYMENTS!A:A,PAYMENTS!C:C,E145),""))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>
        <f>IF(E146="","",SUMIF(PAYMENTS!C:C,E146,PAYMENTS!E:E))</f>
        <v/>
      </c>
      <c r="M146">
        <f>IF(E146="","",J146-L146)</f>
        <v/>
      </c>
      <c r="N146">
        <f>IF(E146="","",IF(M146&lt;=0,"Paid",IF(L146&gt;0,"Part Paid","Unpaid")))</f>
        <v/>
      </c>
      <c r="O146">
        <f>IF(E146="","",IFERROR(_xludf.MAXIFS(PAYMENTS!A:A,PAYMENTS!C:C,E146),""))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>
        <f>IF(E147="","",SUMIF(PAYMENTS!C:C,E147,PAYMENTS!E:E))</f>
        <v/>
      </c>
      <c r="M147">
        <f>IF(E147="","",J147-L147)</f>
        <v/>
      </c>
      <c r="N147">
        <f>IF(E147="","",IF(M147&lt;=0,"Paid",IF(L147&gt;0,"Part Paid","Unpaid")))</f>
        <v/>
      </c>
      <c r="O147">
        <f>IF(E147="","",IFERROR(_xludf.MAXIFS(PAYMENTS!A:A,PAYMENTS!C:C,E147),""))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>
        <f>IF(E148="","",SUMIF(PAYMENTS!C:C,E148,PAYMENTS!E:E))</f>
        <v/>
      </c>
      <c r="M148">
        <f>IF(E148="","",J148-L148)</f>
        <v/>
      </c>
      <c r="N148">
        <f>IF(E148="","",IF(M148&lt;=0,"Paid",IF(L148&gt;0,"Part Paid","Unpaid")))</f>
        <v/>
      </c>
      <c r="O148">
        <f>IF(E148="","",IFERROR(_xludf.MAXIFS(PAYMENTS!A:A,PAYMENTS!C:C,E148),""))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>
        <f>IF(E149="","",SUMIF(PAYMENTS!C:C,E149,PAYMENTS!E:E))</f>
        <v/>
      </c>
      <c r="M149">
        <f>IF(E149="","",J149-L149)</f>
        <v/>
      </c>
      <c r="N149">
        <f>IF(E149="","",IF(M149&lt;=0,"Paid",IF(L149&gt;0,"Part Paid","Unpaid")))</f>
        <v/>
      </c>
      <c r="O149">
        <f>IF(E149="","",IFERROR(_xludf.MAXIFS(PAYMENTS!A:A,PAYMENTS!C:C,E149),""))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>
        <f>IF(E150="","",SUMIF(PAYMENTS!C:C,E150,PAYMENTS!E:E))</f>
        <v/>
      </c>
      <c r="M150">
        <f>IF(E150="","",J150-L150)</f>
        <v/>
      </c>
      <c r="N150">
        <f>IF(E150="","",IF(M150&lt;=0,"Paid",IF(L150&gt;0,"Part Paid","Unpaid")))</f>
        <v/>
      </c>
      <c r="O150">
        <f>IF(E150="","",IFERROR(_xludf.MAXIFS(PAYMENTS!A:A,PAYMENTS!C:C,E150),""))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>
        <f>IF(E151="","",SUMIF(PAYMENTS!C:C,E151,PAYMENTS!E:E))</f>
        <v/>
      </c>
      <c r="M151">
        <f>IF(E151="","",J151-L151)</f>
        <v/>
      </c>
      <c r="N151">
        <f>IF(E151="","",IF(M151&lt;=0,"Paid",IF(L151&gt;0,"Part Paid","Unpaid")))</f>
        <v/>
      </c>
      <c r="O151">
        <f>IF(E151="","",IFERROR(_xludf.MAXIFS(PAYMENTS!A:A,PAYMENTS!C:C,E151),""))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>
        <f>IF(E152="","",SUMIF(PAYMENTS!C:C,E152,PAYMENTS!E:E))</f>
        <v/>
      </c>
      <c r="M152">
        <f>IF(E152="","",J152-L152)</f>
        <v/>
      </c>
      <c r="N152">
        <f>IF(E152="","",IF(M152&lt;=0,"Paid",IF(L152&gt;0,"Part Paid","Unpaid")))</f>
        <v/>
      </c>
      <c r="O152">
        <f>IF(E152="","",IFERROR(_xludf.MAXIFS(PAYMENTS!A:A,PAYMENTS!C:C,E152),""))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>
        <f>IF(E153="","",SUMIF(PAYMENTS!C:C,E153,PAYMENTS!E:E))</f>
        <v/>
      </c>
      <c r="M153">
        <f>IF(E153="","",J153-L153)</f>
        <v/>
      </c>
      <c r="N153">
        <f>IF(E153="","",IF(M153&lt;=0,"Paid",IF(L153&gt;0,"Part Paid","Unpaid")))</f>
        <v/>
      </c>
      <c r="O153">
        <f>IF(E153="","",IFERROR(_xludf.MAXIFS(PAYMENTS!A:A,PAYMENTS!C:C,E153),""))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>
        <f>IF(E154="","",SUMIF(PAYMENTS!C:C,E154,PAYMENTS!E:E))</f>
        <v/>
      </c>
      <c r="M154">
        <f>IF(E154="","",J154-L154)</f>
        <v/>
      </c>
      <c r="N154">
        <f>IF(E154="","",IF(M154&lt;=0,"Paid",IF(L154&gt;0,"Part Paid","Unpaid")))</f>
        <v/>
      </c>
      <c r="O154">
        <f>IF(E154="","",IFERROR(_xludf.MAXIFS(PAYMENTS!A:A,PAYMENTS!C:C,E154),""))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>
        <f>IF(E155="","",SUMIF(PAYMENTS!C:C,E155,PAYMENTS!E:E))</f>
        <v/>
      </c>
      <c r="M155">
        <f>IF(E155="","",J155-L155)</f>
        <v/>
      </c>
      <c r="N155">
        <f>IF(E155="","",IF(M155&lt;=0,"Paid",IF(L155&gt;0,"Part Paid","Unpaid")))</f>
        <v/>
      </c>
      <c r="O155">
        <f>IF(E155="","",IFERROR(_xludf.MAXIFS(PAYMENTS!A:A,PAYMENTS!C:C,E155),""))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>
        <f>IF(E156="","",SUMIF(PAYMENTS!C:C,E156,PAYMENTS!E:E))</f>
        <v/>
      </c>
      <c r="M156">
        <f>IF(E156="","",J156-L156)</f>
        <v/>
      </c>
      <c r="N156">
        <f>IF(E156="","",IF(M156&lt;=0,"Paid",IF(L156&gt;0,"Part Paid","Unpaid")))</f>
        <v/>
      </c>
      <c r="O156">
        <f>IF(E156="","",IFERROR(_xludf.MAXIFS(PAYMENTS!A:A,PAYMENTS!C:C,E156),""))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>
        <f>IF(E157="","",SUMIF(PAYMENTS!C:C,E157,PAYMENTS!E:E))</f>
        <v/>
      </c>
      <c r="M157">
        <f>IF(E157="","",J157-L157)</f>
        <v/>
      </c>
      <c r="N157">
        <f>IF(E157="","",IF(M157&lt;=0,"Paid",IF(L157&gt;0,"Part Paid","Unpaid")))</f>
        <v/>
      </c>
      <c r="O157">
        <f>IF(E157="","",IFERROR(_xludf.MAXIFS(PAYMENTS!A:A,PAYMENTS!C:C,E157),""))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>
        <f>IF(E158="","",SUMIF(PAYMENTS!C:C,E158,PAYMENTS!E:E))</f>
        <v/>
      </c>
      <c r="M158">
        <f>IF(E158="","",J158-L158)</f>
        <v/>
      </c>
      <c r="N158">
        <f>IF(E158="","",IF(M158&lt;=0,"Paid",IF(L158&gt;0,"Part Paid","Unpaid")))</f>
        <v/>
      </c>
      <c r="O158">
        <f>IF(E158="","",IFERROR(_xludf.MAXIFS(PAYMENTS!A:A,PAYMENTS!C:C,E158),""))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>
        <f>IF(E159="","",SUMIF(PAYMENTS!C:C,E159,PAYMENTS!E:E))</f>
        <v/>
      </c>
      <c r="M159">
        <f>IF(E159="","",J159-L159)</f>
        <v/>
      </c>
      <c r="N159">
        <f>IF(E159="","",IF(M159&lt;=0,"Paid",IF(L159&gt;0,"Part Paid","Unpaid")))</f>
        <v/>
      </c>
      <c r="O159">
        <f>IF(E159="","",IFERROR(_xludf.MAXIFS(PAYMENTS!A:A,PAYMENTS!C:C,E159),""))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>
        <f>IF(E160="","",SUMIF(PAYMENTS!C:C,E160,PAYMENTS!E:E))</f>
        <v/>
      </c>
      <c r="M160">
        <f>IF(E160="","",J160-L160)</f>
        <v/>
      </c>
      <c r="N160">
        <f>IF(E160="","",IF(M160&lt;=0,"Paid",IF(L160&gt;0,"Part Paid","Unpaid")))</f>
        <v/>
      </c>
      <c r="O160">
        <f>IF(E160="","",IFERROR(_xludf.MAXIFS(PAYMENTS!A:A,PAYMENTS!C:C,E160),""))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>
        <f>IF(E161="","",SUMIF(PAYMENTS!C:C,E161,PAYMENTS!E:E))</f>
        <v/>
      </c>
      <c r="M161">
        <f>IF(E161="","",J161-L161)</f>
        <v/>
      </c>
      <c r="N161">
        <f>IF(E161="","",IF(M161&lt;=0,"Paid",IF(L161&gt;0,"Part Paid","Unpaid")))</f>
        <v/>
      </c>
      <c r="O161">
        <f>IF(E161="","",IFERROR(_xludf.MAXIFS(PAYMENTS!A:A,PAYMENTS!C:C,E161),""))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>
        <f>IF(E162="","",SUMIF(PAYMENTS!C:C,E162,PAYMENTS!E:E))</f>
        <v/>
      </c>
      <c r="M162">
        <f>IF(E162="","",J162-L162)</f>
        <v/>
      </c>
      <c r="N162">
        <f>IF(E162="","",IF(M162&lt;=0,"Paid",IF(L162&gt;0,"Part Paid","Unpaid")))</f>
        <v/>
      </c>
      <c r="O162">
        <f>IF(E162="","",IFERROR(_xludf.MAXIFS(PAYMENTS!A:A,PAYMENTS!C:C,E162),""))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>
        <f>IF(E163="","",SUMIF(PAYMENTS!C:C,E163,PAYMENTS!E:E))</f>
        <v/>
      </c>
      <c r="M163">
        <f>IF(E163="","",J163-L163)</f>
        <v/>
      </c>
      <c r="N163">
        <f>IF(E163="","",IF(M163&lt;=0,"Paid",IF(L163&gt;0,"Part Paid","Unpaid")))</f>
        <v/>
      </c>
      <c r="O163">
        <f>IF(E163="","",IFERROR(_xludf.MAXIFS(PAYMENTS!A:A,PAYMENTS!C:C,E163),""))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>
        <f>IF(E164="","",SUMIF(PAYMENTS!C:C,E164,PAYMENTS!E:E))</f>
        <v/>
      </c>
      <c r="M164">
        <f>IF(E164="","",J164-L164)</f>
        <v/>
      </c>
      <c r="N164">
        <f>IF(E164="","",IF(M164&lt;=0,"Paid",IF(L164&gt;0,"Part Paid","Unpaid")))</f>
        <v/>
      </c>
      <c r="O164">
        <f>IF(E164="","",IFERROR(_xludf.MAXIFS(PAYMENTS!A:A,PAYMENTS!C:C,E164),""))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>
        <f>IF(E165="","",SUMIF(PAYMENTS!C:C,E165,PAYMENTS!E:E))</f>
        <v/>
      </c>
      <c r="M165">
        <f>IF(E165="","",J165-L165)</f>
        <v/>
      </c>
      <c r="N165">
        <f>IF(E165="","",IF(M165&lt;=0,"Paid",IF(L165&gt;0,"Part Paid","Unpaid")))</f>
        <v/>
      </c>
      <c r="O165">
        <f>IF(E165="","",IFERROR(_xludf.MAXIFS(PAYMENTS!A:A,PAYMENTS!C:C,E165),""))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>
        <f>IF(E166="","",SUMIF(PAYMENTS!C:C,E166,PAYMENTS!E:E))</f>
        <v/>
      </c>
      <c r="M166">
        <f>IF(E166="","",J166-L166)</f>
        <v/>
      </c>
      <c r="N166">
        <f>IF(E166="","",IF(M166&lt;=0,"Paid",IF(L166&gt;0,"Part Paid","Unpaid")))</f>
        <v/>
      </c>
      <c r="O166">
        <f>IF(E166="","",IFERROR(_xludf.MAXIFS(PAYMENTS!A:A,PAYMENTS!C:C,E166),""))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>
        <f>IF(E167="","",SUMIF(PAYMENTS!C:C,E167,PAYMENTS!E:E))</f>
        <v/>
      </c>
      <c r="M167">
        <f>IF(E167="","",J167-L167)</f>
        <v/>
      </c>
      <c r="N167">
        <f>IF(E167="","",IF(M167&lt;=0,"Paid",IF(L167&gt;0,"Part Paid","Unpaid")))</f>
        <v/>
      </c>
      <c r="O167">
        <f>IF(E167="","",IFERROR(_xludf.MAXIFS(PAYMENTS!A:A,PAYMENTS!C:C,E167),""))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>
        <f>IF(E168="","",SUMIF(PAYMENTS!C:C,E168,PAYMENTS!E:E))</f>
        <v/>
      </c>
      <c r="M168">
        <f>IF(E168="","",J168-L168)</f>
        <v/>
      </c>
      <c r="N168">
        <f>IF(E168="","",IF(M168&lt;=0,"Paid",IF(L168&gt;0,"Part Paid","Unpaid")))</f>
        <v/>
      </c>
      <c r="O168">
        <f>IF(E168="","",IFERROR(_xludf.MAXIFS(PAYMENTS!A:A,PAYMENTS!C:C,E168),""))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>
        <f>IF(E169="","",SUMIF(PAYMENTS!C:C,E169,PAYMENTS!E:E))</f>
        <v/>
      </c>
      <c r="M169">
        <f>IF(E169="","",J169-L169)</f>
        <v/>
      </c>
      <c r="N169">
        <f>IF(E169="","",IF(M169&lt;=0,"Paid",IF(L169&gt;0,"Part Paid","Unpaid")))</f>
        <v/>
      </c>
      <c r="O169">
        <f>IF(E169="","",IFERROR(_xludf.MAXIFS(PAYMENTS!A:A,PAYMENTS!C:C,E169),""))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>
        <f>IF(E170="","",SUMIF(PAYMENTS!C:C,E170,PAYMENTS!E:E))</f>
        <v/>
      </c>
      <c r="M170">
        <f>IF(E170="","",J170-L170)</f>
        <v/>
      </c>
      <c r="N170">
        <f>IF(E170="","",IF(M170&lt;=0,"Paid",IF(L170&gt;0,"Part Paid","Unpaid")))</f>
        <v/>
      </c>
      <c r="O170">
        <f>IF(E170="","",IFERROR(_xludf.MAXIFS(PAYMENTS!A:A,PAYMENTS!C:C,E170),""))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>
        <f>IF(E171="","",SUMIF(PAYMENTS!C:C,E171,PAYMENTS!E:E))</f>
        <v/>
      </c>
      <c r="M171">
        <f>IF(E171="","",J171-L171)</f>
        <v/>
      </c>
      <c r="N171">
        <f>IF(E171="","",IF(M171&lt;=0,"Paid",IF(L171&gt;0,"Part Paid","Unpaid")))</f>
        <v/>
      </c>
      <c r="O171">
        <f>IF(E171="","",IFERROR(_xludf.MAXIFS(PAYMENTS!A:A,PAYMENTS!C:C,E171),""))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>
        <f>IF(E172="","",SUMIF(PAYMENTS!C:C,E172,PAYMENTS!E:E))</f>
        <v/>
      </c>
      <c r="M172">
        <f>IF(E172="","",J172-L172)</f>
        <v/>
      </c>
      <c r="N172">
        <f>IF(E172="","",IF(M172&lt;=0,"Paid",IF(L172&gt;0,"Part Paid","Unpaid")))</f>
        <v/>
      </c>
      <c r="O172">
        <f>IF(E172="","",IFERROR(_xludf.MAXIFS(PAYMENTS!A:A,PAYMENTS!C:C,E172),""))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>
        <f>IF(E173="","",SUMIF(PAYMENTS!C:C,E173,PAYMENTS!E:E))</f>
        <v/>
      </c>
      <c r="M173">
        <f>IF(E173="","",J173-L173)</f>
        <v/>
      </c>
      <c r="N173">
        <f>IF(E173="","",IF(M173&lt;=0,"Paid",IF(L173&gt;0,"Part Paid","Unpaid")))</f>
        <v/>
      </c>
      <c r="O173">
        <f>IF(E173="","",IFERROR(_xludf.MAXIFS(PAYMENTS!A:A,PAYMENTS!C:C,E173),""))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>
        <f>IF(E174="","",SUMIF(PAYMENTS!C:C,E174,PAYMENTS!E:E))</f>
        <v/>
      </c>
      <c r="M174">
        <f>IF(E174="","",J174-L174)</f>
        <v/>
      </c>
      <c r="N174">
        <f>IF(E174="","",IF(M174&lt;=0,"Paid",IF(L174&gt;0,"Part Paid","Unpaid")))</f>
        <v/>
      </c>
      <c r="O174">
        <f>IF(E174="","",IFERROR(_xludf.MAXIFS(PAYMENTS!A:A,PAYMENTS!C:C,E174),""))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>
        <f>IF(E175="","",SUMIF(PAYMENTS!C:C,E175,PAYMENTS!E:E))</f>
        <v/>
      </c>
      <c r="M175">
        <f>IF(E175="","",J175-L175)</f>
        <v/>
      </c>
      <c r="N175">
        <f>IF(E175="","",IF(M175&lt;=0,"Paid",IF(L175&gt;0,"Part Paid","Unpaid")))</f>
        <v/>
      </c>
      <c r="O175">
        <f>IF(E175="","",IFERROR(_xludf.MAXIFS(PAYMENTS!A:A,PAYMENTS!C:C,E175),""))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>
        <f>IF(E176="","",SUMIF(PAYMENTS!C:C,E176,PAYMENTS!E:E))</f>
        <v/>
      </c>
      <c r="M176">
        <f>IF(E176="","",J176-L176)</f>
        <v/>
      </c>
      <c r="N176">
        <f>IF(E176="","",IF(M176&lt;=0,"Paid",IF(L176&gt;0,"Part Paid","Unpaid")))</f>
        <v/>
      </c>
      <c r="O176">
        <f>IF(E176="","",IFERROR(_xludf.MAXIFS(PAYMENTS!A:A,PAYMENTS!C:C,E176),""))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>
        <f>IF(E177="","",SUMIF(PAYMENTS!C:C,E177,PAYMENTS!E:E))</f>
        <v/>
      </c>
      <c r="M177">
        <f>IF(E177="","",J177-L177)</f>
        <v/>
      </c>
      <c r="N177">
        <f>IF(E177="","",IF(M177&lt;=0,"Paid",IF(L177&gt;0,"Part Paid","Unpaid")))</f>
        <v/>
      </c>
      <c r="O177">
        <f>IF(E177="","",IFERROR(_xludf.MAXIFS(PAYMENTS!A:A,PAYMENTS!C:C,E177),""))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>
        <f>IF(E178="","",SUMIF(PAYMENTS!C:C,E178,PAYMENTS!E:E))</f>
        <v/>
      </c>
      <c r="M178">
        <f>IF(E178="","",J178-L178)</f>
        <v/>
      </c>
      <c r="N178">
        <f>IF(E178="","",IF(M178&lt;=0,"Paid",IF(L178&gt;0,"Part Paid","Unpaid")))</f>
        <v/>
      </c>
      <c r="O178">
        <f>IF(E178="","",IFERROR(_xludf.MAXIFS(PAYMENTS!A:A,PAYMENTS!C:C,E178),""))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>
        <f>IF(E179="","",SUMIF(PAYMENTS!C:C,E179,PAYMENTS!E:E))</f>
        <v/>
      </c>
      <c r="M179">
        <f>IF(E179="","",J179-L179)</f>
        <v/>
      </c>
      <c r="N179">
        <f>IF(E179="","",IF(M179&lt;=0,"Paid",IF(L179&gt;0,"Part Paid","Unpaid")))</f>
        <v/>
      </c>
      <c r="O179">
        <f>IF(E179="","",IFERROR(_xludf.MAXIFS(PAYMENTS!A:A,PAYMENTS!C:C,E179),""))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>
        <f>IF(E180="","",SUMIF(PAYMENTS!C:C,E180,PAYMENTS!E:E))</f>
        <v/>
      </c>
      <c r="M180">
        <f>IF(E180="","",J180-L180)</f>
        <v/>
      </c>
      <c r="N180">
        <f>IF(E180="","",IF(M180&lt;=0,"Paid",IF(L180&gt;0,"Part Paid","Unpaid")))</f>
        <v/>
      </c>
      <c r="O180">
        <f>IF(E180="","",IFERROR(_xludf.MAXIFS(PAYMENTS!A:A,PAYMENTS!C:C,E180),""))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>
        <f>IF(E181="","",SUMIF(PAYMENTS!C:C,E181,PAYMENTS!E:E))</f>
        <v/>
      </c>
      <c r="M181">
        <f>IF(E181="","",J181-L181)</f>
        <v/>
      </c>
      <c r="N181">
        <f>IF(E181="","",IF(M181&lt;=0,"Paid",IF(L181&gt;0,"Part Paid","Unpaid")))</f>
        <v/>
      </c>
      <c r="O181">
        <f>IF(E181="","",IFERROR(_xludf.MAXIFS(PAYMENTS!A:A,PAYMENTS!C:C,E181),""))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>
        <f>IF(E182="","",SUMIF(PAYMENTS!C:C,E182,PAYMENTS!E:E))</f>
        <v/>
      </c>
      <c r="M182">
        <f>IF(E182="","",J182-L182)</f>
        <v/>
      </c>
      <c r="N182">
        <f>IF(E182="","",IF(M182&lt;=0,"Paid",IF(L182&gt;0,"Part Paid","Unpaid")))</f>
        <v/>
      </c>
      <c r="O182">
        <f>IF(E182="","",IFERROR(_xludf.MAXIFS(PAYMENTS!A:A,PAYMENTS!C:C,E182),""))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>
        <f>IF(E183="","",SUMIF(PAYMENTS!C:C,E183,PAYMENTS!E:E))</f>
        <v/>
      </c>
      <c r="M183">
        <f>IF(E183="","",J183-L183)</f>
        <v/>
      </c>
      <c r="N183">
        <f>IF(E183="","",IF(M183&lt;=0,"Paid",IF(L183&gt;0,"Part Paid","Unpaid")))</f>
        <v/>
      </c>
      <c r="O183">
        <f>IF(E183="","",IFERROR(_xludf.MAXIFS(PAYMENTS!A:A,PAYMENTS!C:C,E183),""))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>
        <f>IF(E184="","",SUMIF(PAYMENTS!C:C,E184,PAYMENTS!E:E))</f>
        <v/>
      </c>
      <c r="M184">
        <f>IF(E184="","",J184-L184)</f>
        <v/>
      </c>
      <c r="N184">
        <f>IF(E184="","",IF(M184&lt;=0,"Paid",IF(L184&gt;0,"Part Paid","Unpaid")))</f>
        <v/>
      </c>
      <c r="O184">
        <f>IF(E184="","",IFERROR(_xludf.MAXIFS(PAYMENTS!A:A,PAYMENTS!C:C,E184),""))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>
        <f>IF(E185="","",SUMIF(PAYMENTS!C:C,E185,PAYMENTS!E:E))</f>
        <v/>
      </c>
      <c r="M185">
        <f>IF(E185="","",J185-L185)</f>
        <v/>
      </c>
      <c r="N185">
        <f>IF(E185="","",IF(M185&lt;=0,"Paid",IF(L185&gt;0,"Part Paid","Unpaid")))</f>
        <v/>
      </c>
      <c r="O185">
        <f>IF(E185="","",IFERROR(_xludf.MAXIFS(PAYMENTS!A:A,PAYMENTS!C:C,E185),""))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>
        <f>IF(E186="","",SUMIF(PAYMENTS!C:C,E186,PAYMENTS!E:E))</f>
        <v/>
      </c>
      <c r="M186">
        <f>IF(E186="","",J186-L186)</f>
        <v/>
      </c>
      <c r="N186">
        <f>IF(E186="","",IF(M186&lt;=0,"Paid",IF(L186&gt;0,"Part Paid","Unpaid")))</f>
        <v/>
      </c>
      <c r="O186">
        <f>IF(E186="","",IFERROR(_xludf.MAXIFS(PAYMENTS!A:A,PAYMENTS!C:C,E186),""))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>
        <f>IF(E187="","",SUMIF(PAYMENTS!C:C,E187,PAYMENTS!E:E))</f>
        <v/>
      </c>
      <c r="M187">
        <f>IF(E187="","",J187-L187)</f>
        <v/>
      </c>
      <c r="N187">
        <f>IF(E187="","",IF(M187&lt;=0,"Paid",IF(L187&gt;0,"Part Paid","Unpaid")))</f>
        <v/>
      </c>
      <c r="O187">
        <f>IF(E187="","",IFERROR(_xludf.MAXIFS(PAYMENTS!A:A,PAYMENTS!C:C,E187),""))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>
        <f>IF(E188="","",SUMIF(PAYMENTS!C:C,E188,PAYMENTS!E:E))</f>
        <v/>
      </c>
      <c r="M188">
        <f>IF(E188="","",J188-L188)</f>
        <v/>
      </c>
      <c r="N188">
        <f>IF(E188="","",IF(M188&lt;=0,"Paid",IF(L188&gt;0,"Part Paid","Unpaid")))</f>
        <v/>
      </c>
      <c r="O188">
        <f>IF(E188="","",IFERROR(_xludf.MAXIFS(PAYMENTS!A:A,PAYMENTS!C:C,E188),""))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>
        <f>IF(E189="","",SUMIF(PAYMENTS!C:C,E189,PAYMENTS!E:E))</f>
        <v/>
      </c>
      <c r="M189">
        <f>IF(E189="","",J189-L189)</f>
        <v/>
      </c>
      <c r="N189">
        <f>IF(E189="","",IF(M189&lt;=0,"Paid",IF(L189&gt;0,"Part Paid","Unpaid")))</f>
        <v/>
      </c>
      <c r="O189">
        <f>IF(E189="","",IFERROR(_xludf.MAXIFS(PAYMENTS!A:A,PAYMENTS!C:C,E189),""))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>
        <f>IF(E190="","",SUMIF(PAYMENTS!C:C,E190,PAYMENTS!E:E))</f>
        <v/>
      </c>
      <c r="M190">
        <f>IF(E190="","",J190-L190)</f>
        <v/>
      </c>
      <c r="N190">
        <f>IF(E190="","",IF(M190&lt;=0,"Paid",IF(L190&gt;0,"Part Paid","Unpaid")))</f>
        <v/>
      </c>
      <c r="O190">
        <f>IF(E190="","",IFERROR(_xludf.MAXIFS(PAYMENTS!A:A,PAYMENTS!C:C,E190),""))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>
        <f>IF(E191="","",SUMIF(PAYMENTS!C:C,E191,PAYMENTS!E:E))</f>
        <v/>
      </c>
      <c r="M191">
        <f>IF(E191="","",J191-L191)</f>
        <v/>
      </c>
      <c r="N191">
        <f>IF(E191="","",IF(M191&lt;=0,"Paid",IF(L191&gt;0,"Part Paid","Unpaid")))</f>
        <v/>
      </c>
      <c r="O191">
        <f>IF(E191="","",IFERROR(_xludf.MAXIFS(PAYMENTS!A:A,PAYMENTS!C:C,E191),""))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>
        <f>IF(E192="","",SUMIF(PAYMENTS!C:C,E192,PAYMENTS!E:E))</f>
        <v/>
      </c>
      <c r="M192">
        <f>IF(E192="","",J192-L192)</f>
        <v/>
      </c>
      <c r="N192">
        <f>IF(E192="","",IF(M192&lt;=0,"Paid",IF(L192&gt;0,"Part Paid","Unpaid")))</f>
        <v/>
      </c>
      <c r="O192">
        <f>IF(E192="","",IFERROR(_xludf.MAXIFS(PAYMENTS!A:A,PAYMENTS!C:C,E192),""))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>
        <f>IF(E193="","",SUMIF(PAYMENTS!C:C,E193,PAYMENTS!E:E))</f>
        <v/>
      </c>
      <c r="M193">
        <f>IF(E193="","",J193-L193)</f>
        <v/>
      </c>
      <c r="N193">
        <f>IF(E193="","",IF(M193&lt;=0,"Paid",IF(L193&gt;0,"Part Paid","Unpaid")))</f>
        <v/>
      </c>
      <c r="O193">
        <f>IF(E193="","",IFERROR(_xludf.MAXIFS(PAYMENTS!A:A,PAYMENTS!C:C,E193),""))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>
        <f>IF(E194="","",SUMIF(PAYMENTS!C:C,E194,PAYMENTS!E:E))</f>
        <v/>
      </c>
      <c r="M194">
        <f>IF(E194="","",J194-L194)</f>
        <v/>
      </c>
      <c r="N194">
        <f>IF(E194="","",IF(M194&lt;=0,"Paid",IF(L194&gt;0,"Part Paid","Unpaid")))</f>
        <v/>
      </c>
      <c r="O194">
        <f>IF(E194="","",IFERROR(_xludf.MAXIFS(PAYMENTS!A:A,PAYMENTS!C:C,E194),""))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>
        <f>IF(E195="","",SUMIF(PAYMENTS!C:C,E195,PAYMENTS!E:E))</f>
        <v/>
      </c>
      <c r="M195">
        <f>IF(E195="","",J195-L195)</f>
        <v/>
      </c>
      <c r="N195">
        <f>IF(E195="","",IF(M195&lt;=0,"Paid",IF(L195&gt;0,"Part Paid","Unpaid")))</f>
        <v/>
      </c>
      <c r="O195">
        <f>IF(E195="","",IFERROR(_xludf.MAXIFS(PAYMENTS!A:A,PAYMENTS!C:C,E195),""))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>
        <f>IF(E196="","",SUMIF(PAYMENTS!C:C,E196,PAYMENTS!E:E))</f>
        <v/>
      </c>
      <c r="M196">
        <f>IF(E196="","",J196-L196)</f>
        <v/>
      </c>
      <c r="N196">
        <f>IF(E196="","",IF(M196&lt;=0,"Paid",IF(L196&gt;0,"Part Paid","Unpaid")))</f>
        <v/>
      </c>
      <c r="O196">
        <f>IF(E196="","",IFERROR(_xludf.MAXIFS(PAYMENTS!A:A,PAYMENTS!C:C,E196),""))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>
        <f>IF(E197="","",SUMIF(PAYMENTS!C:C,E197,PAYMENTS!E:E))</f>
        <v/>
      </c>
      <c r="M197">
        <f>IF(E197="","",J197-L197)</f>
        <v/>
      </c>
      <c r="N197">
        <f>IF(E197="","",IF(M197&lt;=0,"Paid",IF(L197&gt;0,"Part Paid","Unpaid")))</f>
        <v/>
      </c>
      <c r="O197">
        <f>IF(E197="","",IFERROR(_xludf.MAXIFS(PAYMENTS!A:A,PAYMENTS!C:C,E197),""))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>
        <f>IF(E198="","",SUMIF(PAYMENTS!C:C,E198,PAYMENTS!E:E))</f>
        <v/>
      </c>
      <c r="M198">
        <f>IF(E198="","",J198-L198)</f>
        <v/>
      </c>
      <c r="N198">
        <f>IF(E198="","",IF(M198&lt;=0,"Paid",IF(L198&gt;0,"Part Paid","Unpaid")))</f>
        <v/>
      </c>
      <c r="O198">
        <f>IF(E198="","",IFERROR(_xludf.MAXIFS(PAYMENTS!A:A,PAYMENTS!C:C,E198),""))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>
        <f>IF(E199="","",SUMIF(PAYMENTS!C:C,E199,PAYMENTS!E:E))</f>
        <v/>
      </c>
      <c r="M199">
        <f>IF(E199="","",J199-L199)</f>
        <v/>
      </c>
      <c r="N199">
        <f>IF(E199="","",IF(M199&lt;=0,"Paid",IF(L199&gt;0,"Part Paid","Unpaid")))</f>
        <v/>
      </c>
      <c r="O199">
        <f>IF(E199="","",IFERROR(_xludf.MAXIFS(PAYMENTS!A:A,PAYMENTS!C:C,E199),""))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>
        <f>IF(E200="","",SUMIF(PAYMENTS!C:C,E200,PAYMENTS!E:E))</f>
        <v/>
      </c>
      <c r="M200">
        <f>IF(E200="","",J200-L200)</f>
        <v/>
      </c>
      <c r="N200">
        <f>IF(E200="","",IF(M200&lt;=0,"Paid",IF(L200&gt;0,"Part Paid","Unpaid")))</f>
        <v/>
      </c>
      <c r="O200">
        <f>IF(E200="","",IFERROR(_xludf.MAXIFS(PAYMENTS!A:A,PAYMENTS!C:C,E200),""))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>
        <f>IF(E201="","",SUMIF(PAYMENTS!C:C,E201,PAYMENTS!E:E))</f>
        <v/>
      </c>
      <c r="M201">
        <f>IF(E201="","",J201-L201)</f>
        <v/>
      </c>
      <c r="N201">
        <f>IF(E201="","",IF(M201&lt;=0,"Paid",IF(L201&gt;0,"Part Paid","Unpaid")))</f>
        <v/>
      </c>
      <c r="O201">
        <f>IF(E201="","",IFERROR(_xludf.MAXIFS(PAYMENTS!A:A,PAYMENTS!C:C,E201),""))</f>
        <v/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>
        <f>IF(E202="","",SUMIF(PAYMENTS!C:C,E202,PAYMENTS!E:E))</f>
        <v/>
      </c>
      <c r="M202">
        <f>IF(E202="","",J202-L202)</f>
        <v/>
      </c>
      <c r="N202">
        <f>IF(E202="","",IF(M202&lt;=0,"Paid",IF(L202&gt;0,"Part Paid","Unpaid")))</f>
        <v/>
      </c>
      <c r="O202">
        <f>IF(E202="","",IFERROR(_xludf.MAXIFS(PAYMENTS!A:A,PAYMENTS!C:C,E202),""))</f>
        <v/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>
        <f>IF(E203="","",SUMIF(PAYMENTS!C:C,E203,PAYMENTS!E:E))</f>
        <v/>
      </c>
      <c r="M203">
        <f>IF(E203="","",J203-L203)</f>
        <v/>
      </c>
      <c r="N203">
        <f>IF(E203="","",IF(M203&lt;=0,"Paid",IF(L203&gt;0,"Part Paid","Unpaid")))</f>
        <v/>
      </c>
      <c r="O203">
        <f>IF(E203="","",IFERROR(_xludf.MAXIFS(PAYMENTS!A:A,PAYMENTS!C:C,E203),""))</f>
        <v/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>
        <f>IF(E204="","",SUMIF(PAYMENTS!C:C,E204,PAYMENTS!E:E))</f>
        <v/>
      </c>
      <c r="M204">
        <f>IF(E204="","",J204-L204)</f>
        <v/>
      </c>
      <c r="N204">
        <f>IF(E204="","",IF(M204&lt;=0,"Paid",IF(L204&gt;0,"Part Paid","Unpaid")))</f>
        <v/>
      </c>
      <c r="O204">
        <f>IF(E204="","",IFERROR(_xludf.MAXIFS(PAYMENTS!A:A,PAYMENTS!C:C,E204),""))</f>
        <v/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>
        <f>IF(E205="","",SUMIF(PAYMENTS!C:C,E205,PAYMENTS!E:E))</f>
        <v/>
      </c>
      <c r="M205">
        <f>IF(E205="","",J205-L205)</f>
        <v/>
      </c>
      <c r="N205">
        <f>IF(E205="","",IF(M205&lt;=0,"Paid",IF(L205&gt;0,"Part Paid","Unpaid")))</f>
        <v/>
      </c>
      <c r="O205">
        <f>IF(E205="","",IFERROR(_xludf.MAXIFS(PAYMENTS!A:A,PAYMENTS!C:C,E205),""))</f>
        <v/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>
        <f>IF(E206="","",SUMIF(PAYMENTS!C:C,E206,PAYMENTS!E:E))</f>
        <v/>
      </c>
      <c r="M206">
        <f>IF(E206="","",J206-L206)</f>
        <v/>
      </c>
      <c r="N206">
        <f>IF(E206="","",IF(M206&lt;=0,"Paid",IF(L206&gt;0,"Part Paid","Unpaid")))</f>
        <v/>
      </c>
      <c r="O206">
        <f>IF(E206="","",IFERROR(_xludf.MAXIFS(PAYMENTS!A:A,PAYMENTS!C:C,E206),""))</f>
        <v/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>
        <f>IF(E207="","",SUMIF(PAYMENTS!C:C,E207,PAYMENTS!E:E))</f>
        <v/>
      </c>
      <c r="M207">
        <f>IF(E207="","",J207-L207)</f>
        <v/>
      </c>
      <c r="N207">
        <f>IF(E207="","",IF(M207&lt;=0,"Paid",IF(L207&gt;0,"Part Paid","Unpaid")))</f>
        <v/>
      </c>
      <c r="O207">
        <f>IF(E207="","",IFERROR(_xludf.MAXIFS(PAYMENTS!A:A,PAYMENTS!C:C,E207),""))</f>
        <v/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>
        <f>IF(E208="","",SUMIF(PAYMENTS!C:C,E208,PAYMENTS!E:E))</f>
        <v/>
      </c>
      <c r="M208">
        <f>IF(E208="","",J208-L208)</f>
        <v/>
      </c>
      <c r="N208">
        <f>IF(E208="","",IF(M208&lt;=0,"Paid",IF(L208&gt;0,"Part Paid","Unpaid")))</f>
        <v/>
      </c>
      <c r="O208">
        <f>IF(E208="","",IFERROR(_xludf.MAXIFS(PAYMENTS!A:A,PAYMENTS!C:C,E208),""))</f>
        <v/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>
        <f>IF(E209="","",SUMIF(PAYMENTS!C:C,E209,PAYMENTS!E:E))</f>
        <v/>
      </c>
      <c r="M209">
        <f>IF(E209="","",J209-L209)</f>
        <v/>
      </c>
      <c r="N209">
        <f>IF(E209="","",IF(M209&lt;=0,"Paid",IF(L209&gt;0,"Part Paid","Unpaid")))</f>
        <v/>
      </c>
      <c r="O209">
        <f>IF(E209="","",IFERROR(_xludf.MAXIFS(PAYMENTS!A:A,PAYMENTS!C:C,E209),""))</f>
        <v/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>
        <f>IF(E210="","",SUMIF(PAYMENTS!C:C,E210,PAYMENTS!E:E))</f>
        <v/>
      </c>
      <c r="M210">
        <f>IF(E210="","",J210-L210)</f>
        <v/>
      </c>
      <c r="N210">
        <f>IF(E210="","",IF(M210&lt;=0,"Paid",IF(L210&gt;0,"Part Paid","Unpaid")))</f>
        <v/>
      </c>
      <c r="O210">
        <f>IF(E210="","",IFERROR(_xludf.MAXIFS(PAYMENTS!A:A,PAYMENTS!C:C,E210),""))</f>
        <v/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>
        <f>IF(E211="","",SUMIF(PAYMENTS!C:C,E211,PAYMENTS!E:E))</f>
        <v/>
      </c>
      <c r="M211">
        <f>IF(E211="","",J211-L211)</f>
        <v/>
      </c>
      <c r="N211">
        <f>IF(E211="","",IF(M211&lt;=0,"Paid",IF(L211&gt;0,"Part Paid","Unpaid")))</f>
        <v/>
      </c>
      <c r="O211">
        <f>IF(E211="","",IFERROR(_xludf.MAXIFS(PAYMENTS!A:A,PAYMENTS!C:C,E211),""))</f>
        <v/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>
        <f>IF(E212="","",SUMIF(PAYMENTS!C:C,E212,PAYMENTS!E:E))</f>
        <v/>
      </c>
      <c r="M212">
        <f>IF(E212="","",J212-L212)</f>
        <v/>
      </c>
      <c r="N212">
        <f>IF(E212="","",IF(M212&lt;=0,"Paid",IF(L212&gt;0,"Part Paid","Unpaid")))</f>
        <v/>
      </c>
      <c r="O212">
        <f>IF(E212="","",IFERROR(_xludf.MAXIFS(PAYMENTS!A:A,PAYMENTS!C:C,E212),""))</f>
        <v/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>
        <f>IF(E213="","",SUMIF(PAYMENTS!C:C,E213,PAYMENTS!E:E))</f>
        <v/>
      </c>
      <c r="M213">
        <f>IF(E213="","",J213-L213)</f>
        <v/>
      </c>
      <c r="N213">
        <f>IF(E213="","",IF(M213&lt;=0,"Paid",IF(L213&gt;0,"Part Paid","Unpaid")))</f>
        <v/>
      </c>
      <c r="O213">
        <f>IF(E213="","",IFERROR(_xludf.MAXIFS(PAYMENTS!A:A,PAYMENTS!C:C,E213),""))</f>
        <v/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>
        <f>IF(E214="","",SUMIF(PAYMENTS!C:C,E214,PAYMENTS!E:E))</f>
        <v/>
      </c>
      <c r="M214">
        <f>IF(E214="","",J214-L214)</f>
        <v/>
      </c>
      <c r="N214">
        <f>IF(E214="","",IF(M214&lt;=0,"Paid",IF(L214&gt;0,"Part Paid","Unpaid")))</f>
        <v/>
      </c>
      <c r="O214">
        <f>IF(E214="","",IFERROR(_xludf.MAXIFS(PAYMENTS!A:A,PAYMENTS!C:C,E214),""))</f>
        <v/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>
        <f>IF(E215="","",SUMIF(PAYMENTS!C:C,E215,PAYMENTS!E:E))</f>
        <v/>
      </c>
      <c r="M215">
        <f>IF(E215="","",J215-L215)</f>
        <v/>
      </c>
      <c r="N215">
        <f>IF(E215="","",IF(M215&lt;=0,"Paid",IF(L215&gt;0,"Part Paid","Unpaid")))</f>
        <v/>
      </c>
      <c r="O215">
        <f>IF(E215="","",IFERROR(_xludf.MAXIFS(PAYMENTS!A:A,PAYMENTS!C:C,E215),""))</f>
        <v/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>
        <f>IF(E216="","",SUMIF(PAYMENTS!C:C,E216,PAYMENTS!E:E))</f>
        <v/>
      </c>
      <c r="M216">
        <f>IF(E216="","",J216-L216)</f>
        <v/>
      </c>
      <c r="N216">
        <f>IF(E216="","",IF(M216&lt;=0,"Paid",IF(L216&gt;0,"Part Paid","Unpaid")))</f>
        <v/>
      </c>
      <c r="O216">
        <f>IF(E216="","",IFERROR(_xludf.MAXIFS(PAYMENTS!A:A,PAYMENTS!C:C,E216),""))</f>
        <v/>
      </c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>
        <f>IF(E217="","",SUMIF(PAYMENTS!C:C,E217,PAYMENTS!E:E))</f>
        <v/>
      </c>
      <c r="M217">
        <f>IF(E217="","",J217-L217)</f>
        <v/>
      </c>
      <c r="N217">
        <f>IF(E217="","",IF(M217&lt;=0,"Paid",IF(L217&gt;0,"Part Paid","Unpaid")))</f>
        <v/>
      </c>
      <c r="O217">
        <f>IF(E217="","",IFERROR(_xludf.MAXIFS(PAYMENTS!A:A,PAYMENTS!C:C,E217),""))</f>
        <v/>
      </c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>
        <f>IF(E218="","",SUMIF(PAYMENTS!C:C,E218,PAYMENTS!E:E))</f>
        <v/>
      </c>
      <c r="M218">
        <f>IF(E218="","",J218-L218)</f>
        <v/>
      </c>
      <c r="N218">
        <f>IF(E218="","",IF(M218&lt;=0,"Paid",IF(L218&gt;0,"Part Paid","Unpaid")))</f>
        <v/>
      </c>
      <c r="O218">
        <f>IF(E218="","",IFERROR(_xludf.MAXIFS(PAYMENTS!A:A,PAYMENTS!C:C,E218),""))</f>
        <v/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>
        <f>IF(E219="","",SUMIF(PAYMENTS!C:C,E219,PAYMENTS!E:E))</f>
        <v/>
      </c>
      <c r="M219">
        <f>IF(E219="","",J219-L219)</f>
        <v/>
      </c>
      <c r="N219">
        <f>IF(E219="","",IF(M219&lt;=0,"Paid",IF(L219&gt;0,"Part Paid","Unpaid")))</f>
        <v/>
      </c>
      <c r="O219">
        <f>IF(E219="","",IFERROR(_xludf.MAXIFS(PAYMENTS!A:A,PAYMENTS!C:C,E219),""))</f>
        <v/>
      </c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>
        <f>IF(E220="","",SUMIF(PAYMENTS!C:C,E220,PAYMENTS!E:E))</f>
        <v/>
      </c>
      <c r="M220">
        <f>IF(E220="","",J220-L220)</f>
        <v/>
      </c>
      <c r="N220">
        <f>IF(E220="","",IF(M220&lt;=0,"Paid",IF(L220&gt;0,"Part Paid","Unpaid")))</f>
        <v/>
      </c>
      <c r="O220">
        <f>IF(E220="","",IFERROR(_xludf.MAXIFS(PAYMENTS!A:A,PAYMENTS!C:C,E220),""))</f>
        <v/>
      </c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>
        <f>IF(E221="","",SUMIF(PAYMENTS!C:C,E221,PAYMENTS!E:E))</f>
        <v/>
      </c>
      <c r="M221">
        <f>IF(E221="","",J221-L221)</f>
        <v/>
      </c>
      <c r="N221">
        <f>IF(E221="","",IF(M221&lt;=0,"Paid",IF(L221&gt;0,"Part Paid","Unpaid")))</f>
        <v/>
      </c>
      <c r="O221">
        <f>IF(E221="","",IFERROR(_xludf.MAXIFS(PAYMENTS!A:A,PAYMENTS!C:C,E221),""))</f>
        <v/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>
        <f>IF(E222="","",SUMIF(PAYMENTS!C:C,E222,PAYMENTS!E:E))</f>
        <v/>
      </c>
      <c r="M222">
        <f>IF(E222="","",J222-L222)</f>
        <v/>
      </c>
      <c r="N222">
        <f>IF(E222="","",IF(M222&lt;=0,"Paid",IF(L222&gt;0,"Part Paid","Unpaid")))</f>
        <v/>
      </c>
      <c r="O222">
        <f>IF(E222="","",IFERROR(_xludf.MAXIFS(PAYMENTS!A:A,PAYMENTS!C:C,E222),""))</f>
        <v/>
      </c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>
        <f>IF(E223="","",SUMIF(PAYMENTS!C:C,E223,PAYMENTS!E:E))</f>
        <v/>
      </c>
      <c r="M223">
        <f>IF(E223="","",J223-L223)</f>
        <v/>
      </c>
      <c r="N223">
        <f>IF(E223="","",IF(M223&lt;=0,"Paid",IF(L223&gt;0,"Part Paid","Unpaid")))</f>
        <v/>
      </c>
      <c r="O223">
        <f>IF(E223="","",IFERROR(_xludf.MAXIFS(PAYMENTS!A:A,PAYMENTS!C:C,E223),""))</f>
        <v/>
      </c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>
        <f>IF(E224="","",SUMIF(PAYMENTS!C:C,E224,PAYMENTS!E:E))</f>
        <v/>
      </c>
      <c r="M224">
        <f>IF(E224="","",J224-L224)</f>
        <v/>
      </c>
      <c r="N224">
        <f>IF(E224="","",IF(M224&lt;=0,"Paid",IF(L224&gt;0,"Part Paid","Unpaid")))</f>
        <v/>
      </c>
      <c r="O224">
        <f>IF(E224="","",IFERROR(_xludf.MAXIFS(PAYMENTS!A:A,PAYMENTS!C:C,E224),""))</f>
        <v/>
      </c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>
        <f>IF(E225="","",SUMIF(PAYMENTS!C:C,E225,PAYMENTS!E:E))</f>
        <v/>
      </c>
      <c r="M225">
        <f>IF(E225="","",J225-L225)</f>
        <v/>
      </c>
      <c r="N225">
        <f>IF(E225="","",IF(M225&lt;=0,"Paid",IF(L225&gt;0,"Part Paid","Unpaid")))</f>
        <v/>
      </c>
      <c r="O225">
        <f>IF(E225="","",IFERROR(_xludf.MAXIFS(PAYMENTS!A:A,PAYMENTS!C:C,E225),""))</f>
        <v/>
      </c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>
        <f>IF(E226="","",SUMIF(PAYMENTS!C:C,E226,PAYMENTS!E:E))</f>
        <v/>
      </c>
      <c r="M226">
        <f>IF(E226="","",J226-L226)</f>
        <v/>
      </c>
      <c r="N226">
        <f>IF(E226="","",IF(M226&lt;=0,"Paid",IF(L226&gt;0,"Part Paid","Unpaid")))</f>
        <v/>
      </c>
      <c r="O226">
        <f>IF(E226="","",IFERROR(_xludf.MAXIFS(PAYMENTS!A:A,PAYMENTS!C:C,E226),""))</f>
        <v/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>
        <f>IF(E227="","",SUMIF(PAYMENTS!C:C,E227,PAYMENTS!E:E))</f>
        <v/>
      </c>
      <c r="M227">
        <f>IF(E227="","",J227-L227)</f>
        <v/>
      </c>
      <c r="N227">
        <f>IF(E227="","",IF(M227&lt;=0,"Paid",IF(L227&gt;0,"Part Paid","Unpaid")))</f>
        <v/>
      </c>
      <c r="O227">
        <f>IF(E227="","",IFERROR(_xludf.MAXIFS(PAYMENTS!A:A,PAYMENTS!C:C,E227),""))</f>
        <v/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>
        <f>IF(E228="","",SUMIF(PAYMENTS!C:C,E228,PAYMENTS!E:E))</f>
        <v/>
      </c>
      <c r="M228">
        <f>IF(E228="","",J228-L228)</f>
        <v/>
      </c>
      <c r="N228">
        <f>IF(E228="","",IF(M228&lt;=0,"Paid",IF(L228&gt;0,"Part Paid","Unpaid")))</f>
        <v/>
      </c>
      <c r="O228">
        <f>IF(E228="","",IFERROR(_xludf.MAXIFS(PAYMENTS!A:A,PAYMENTS!C:C,E228),""))</f>
        <v/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>
        <f>IF(E229="","",SUMIF(PAYMENTS!C:C,E229,PAYMENTS!E:E))</f>
        <v/>
      </c>
      <c r="M229">
        <f>IF(E229="","",J229-L229)</f>
        <v/>
      </c>
      <c r="N229">
        <f>IF(E229="","",IF(M229&lt;=0,"Paid",IF(L229&gt;0,"Part Paid","Unpaid")))</f>
        <v/>
      </c>
      <c r="O229">
        <f>IF(E229="","",IFERROR(_xludf.MAXIFS(PAYMENTS!A:A,PAYMENTS!C:C,E229),""))</f>
        <v/>
      </c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>
        <f>IF(E230="","",SUMIF(PAYMENTS!C:C,E230,PAYMENTS!E:E))</f>
        <v/>
      </c>
      <c r="M230">
        <f>IF(E230="","",J230-L230)</f>
        <v/>
      </c>
      <c r="N230">
        <f>IF(E230="","",IF(M230&lt;=0,"Paid",IF(L230&gt;0,"Part Paid","Unpaid")))</f>
        <v/>
      </c>
      <c r="O230">
        <f>IF(E230="","",IFERROR(_xludf.MAXIFS(PAYMENTS!A:A,PAYMENTS!C:C,E230),""))</f>
        <v/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>
        <f>IF(E231="","",SUMIF(PAYMENTS!C:C,E231,PAYMENTS!E:E))</f>
        <v/>
      </c>
      <c r="M231">
        <f>IF(E231="","",J231-L231)</f>
        <v/>
      </c>
      <c r="N231">
        <f>IF(E231="","",IF(M231&lt;=0,"Paid",IF(L231&gt;0,"Part Paid","Unpaid")))</f>
        <v/>
      </c>
      <c r="O231">
        <f>IF(E231="","",IFERROR(_xludf.MAXIFS(PAYMENTS!A:A,PAYMENTS!C:C,E231),""))</f>
        <v/>
      </c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>
        <f>IF(E232="","",SUMIF(PAYMENTS!C:C,E232,PAYMENTS!E:E))</f>
        <v/>
      </c>
      <c r="M232">
        <f>IF(E232="","",J232-L232)</f>
        <v/>
      </c>
      <c r="N232">
        <f>IF(E232="","",IF(M232&lt;=0,"Paid",IF(L232&gt;0,"Part Paid","Unpaid")))</f>
        <v/>
      </c>
      <c r="O232">
        <f>IF(E232="","",IFERROR(_xludf.MAXIFS(PAYMENTS!A:A,PAYMENTS!C:C,E232),""))</f>
        <v/>
      </c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>
        <f>IF(E233="","",SUMIF(PAYMENTS!C:C,E233,PAYMENTS!E:E))</f>
        <v/>
      </c>
      <c r="M233">
        <f>IF(E233="","",J233-L233)</f>
        <v/>
      </c>
      <c r="N233">
        <f>IF(E233="","",IF(M233&lt;=0,"Paid",IF(L233&gt;0,"Part Paid","Unpaid")))</f>
        <v/>
      </c>
      <c r="O233">
        <f>IF(E233="","",IFERROR(_xludf.MAXIFS(PAYMENTS!A:A,PAYMENTS!C:C,E233),""))</f>
        <v/>
      </c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>
        <f>IF(E234="","",SUMIF(PAYMENTS!C:C,E234,PAYMENTS!E:E))</f>
        <v/>
      </c>
      <c r="M234">
        <f>IF(E234="","",J234-L234)</f>
        <v/>
      </c>
      <c r="N234">
        <f>IF(E234="","",IF(M234&lt;=0,"Paid",IF(L234&gt;0,"Part Paid","Unpaid")))</f>
        <v/>
      </c>
      <c r="O234">
        <f>IF(E234="","",IFERROR(_xludf.MAXIFS(PAYMENTS!A:A,PAYMENTS!C:C,E234),""))</f>
        <v/>
      </c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>
        <f>IF(E235="","",SUMIF(PAYMENTS!C:C,E235,PAYMENTS!E:E))</f>
        <v/>
      </c>
      <c r="M235">
        <f>IF(E235="","",J235-L235)</f>
        <v/>
      </c>
      <c r="N235">
        <f>IF(E235="","",IF(M235&lt;=0,"Paid",IF(L235&gt;0,"Part Paid","Unpaid")))</f>
        <v/>
      </c>
      <c r="O235">
        <f>IF(E235="","",IFERROR(_xludf.MAXIFS(PAYMENTS!A:A,PAYMENTS!C:C,E235),""))</f>
        <v/>
      </c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>
        <f>IF(E236="","",SUMIF(PAYMENTS!C:C,E236,PAYMENTS!E:E))</f>
        <v/>
      </c>
      <c r="M236">
        <f>IF(E236="","",J236-L236)</f>
        <v/>
      </c>
      <c r="N236">
        <f>IF(E236="","",IF(M236&lt;=0,"Paid",IF(L236&gt;0,"Part Paid","Unpaid")))</f>
        <v/>
      </c>
      <c r="O236">
        <f>IF(E236="","",IFERROR(_xludf.MAXIFS(PAYMENTS!A:A,PAYMENTS!C:C,E236),""))</f>
        <v/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>
        <f>IF(E237="","",SUMIF(PAYMENTS!C:C,E237,PAYMENTS!E:E))</f>
        <v/>
      </c>
      <c r="M237">
        <f>IF(E237="","",J237-L237)</f>
        <v/>
      </c>
      <c r="N237">
        <f>IF(E237="","",IF(M237&lt;=0,"Paid",IF(L237&gt;0,"Part Paid","Unpaid")))</f>
        <v/>
      </c>
      <c r="O237">
        <f>IF(E237="","",IFERROR(_xludf.MAXIFS(PAYMENTS!A:A,PAYMENTS!C:C,E237),""))</f>
        <v/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>
        <f>IF(E238="","",SUMIF(PAYMENTS!C:C,E238,PAYMENTS!E:E))</f>
        <v/>
      </c>
      <c r="M238">
        <f>IF(E238="","",J238-L238)</f>
        <v/>
      </c>
      <c r="N238">
        <f>IF(E238="","",IF(M238&lt;=0,"Paid",IF(L238&gt;0,"Part Paid","Unpaid")))</f>
        <v/>
      </c>
      <c r="O238">
        <f>IF(E238="","",IFERROR(_xludf.MAXIFS(PAYMENTS!A:A,PAYMENTS!C:C,E238),""))</f>
        <v/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>
        <f>IF(E239="","",SUMIF(PAYMENTS!C:C,E239,PAYMENTS!E:E))</f>
        <v/>
      </c>
      <c r="M239">
        <f>IF(E239="","",J239-L239)</f>
        <v/>
      </c>
      <c r="N239">
        <f>IF(E239="","",IF(M239&lt;=0,"Paid",IF(L239&gt;0,"Part Paid","Unpaid")))</f>
        <v/>
      </c>
      <c r="O239">
        <f>IF(E239="","",IFERROR(_xludf.MAXIFS(PAYMENTS!A:A,PAYMENTS!C:C,E239),""))</f>
        <v/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>
        <f>IF(E240="","",SUMIF(PAYMENTS!C:C,E240,PAYMENTS!E:E))</f>
        <v/>
      </c>
      <c r="M240">
        <f>IF(E240="","",J240-L240)</f>
        <v/>
      </c>
      <c r="N240">
        <f>IF(E240="","",IF(M240&lt;=0,"Paid",IF(L240&gt;0,"Part Paid","Unpaid")))</f>
        <v/>
      </c>
      <c r="O240">
        <f>IF(E240="","",IFERROR(_xludf.MAXIFS(PAYMENTS!A:A,PAYMENTS!C:C,E240),""))</f>
        <v/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>
        <f>IF(E241="","",SUMIF(PAYMENTS!C:C,E241,PAYMENTS!E:E))</f>
        <v/>
      </c>
      <c r="M241">
        <f>IF(E241="","",J241-L241)</f>
        <v/>
      </c>
      <c r="N241">
        <f>IF(E241="","",IF(M241&lt;=0,"Paid",IF(L241&gt;0,"Part Paid","Unpaid")))</f>
        <v/>
      </c>
      <c r="O241">
        <f>IF(E241="","",IFERROR(_xludf.MAXIFS(PAYMENTS!A:A,PAYMENTS!C:C,E241),""))</f>
        <v/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>
        <f>IF(E242="","",SUMIF(PAYMENTS!C:C,E242,PAYMENTS!E:E))</f>
        <v/>
      </c>
      <c r="M242">
        <f>IF(E242="","",J242-L242)</f>
        <v/>
      </c>
      <c r="N242">
        <f>IF(E242="","",IF(M242&lt;=0,"Paid",IF(L242&gt;0,"Part Paid","Unpaid")))</f>
        <v/>
      </c>
      <c r="O242">
        <f>IF(E242="","",IFERROR(_xludf.MAXIFS(PAYMENTS!A:A,PAYMENTS!C:C,E242),""))</f>
        <v/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>
        <f>IF(E243="","",SUMIF(PAYMENTS!C:C,E243,PAYMENTS!E:E))</f>
        <v/>
      </c>
      <c r="M243">
        <f>IF(E243="","",J243-L243)</f>
        <v/>
      </c>
      <c r="N243">
        <f>IF(E243="","",IF(M243&lt;=0,"Paid",IF(L243&gt;0,"Part Paid","Unpaid")))</f>
        <v/>
      </c>
      <c r="O243">
        <f>IF(E243="","",IFERROR(_xludf.MAXIFS(PAYMENTS!A:A,PAYMENTS!C:C,E243),""))</f>
        <v/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>
        <f>IF(E244="","",SUMIF(PAYMENTS!C:C,E244,PAYMENTS!E:E))</f>
        <v/>
      </c>
      <c r="M244">
        <f>IF(E244="","",J244-L244)</f>
        <v/>
      </c>
      <c r="N244">
        <f>IF(E244="","",IF(M244&lt;=0,"Paid",IF(L244&gt;0,"Part Paid","Unpaid")))</f>
        <v/>
      </c>
      <c r="O244">
        <f>IF(E244="","",IFERROR(_xludf.MAXIFS(PAYMENTS!A:A,PAYMENTS!C:C,E244),""))</f>
        <v/>
      </c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>
        <f>IF(E245="","",SUMIF(PAYMENTS!C:C,E245,PAYMENTS!E:E))</f>
        <v/>
      </c>
      <c r="M245">
        <f>IF(E245="","",J245-L245)</f>
        <v/>
      </c>
      <c r="N245">
        <f>IF(E245="","",IF(M245&lt;=0,"Paid",IF(L245&gt;0,"Part Paid","Unpaid")))</f>
        <v/>
      </c>
      <c r="O245">
        <f>IF(E245="","",IFERROR(_xludf.MAXIFS(PAYMENTS!A:A,PAYMENTS!C:C,E245),""))</f>
        <v/>
      </c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>
        <f>IF(E246="","",SUMIF(PAYMENTS!C:C,E246,PAYMENTS!E:E))</f>
        <v/>
      </c>
      <c r="M246">
        <f>IF(E246="","",J246-L246)</f>
        <v/>
      </c>
      <c r="N246">
        <f>IF(E246="","",IF(M246&lt;=0,"Paid",IF(L246&gt;0,"Part Paid","Unpaid")))</f>
        <v/>
      </c>
      <c r="O246">
        <f>IF(E246="","",IFERROR(_xludf.MAXIFS(PAYMENTS!A:A,PAYMENTS!C:C,E246),""))</f>
        <v/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>
        <f>IF(E247="","",SUMIF(PAYMENTS!C:C,E247,PAYMENTS!E:E))</f>
        <v/>
      </c>
      <c r="M247">
        <f>IF(E247="","",J247-L247)</f>
        <v/>
      </c>
      <c r="N247">
        <f>IF(E247="","",IF(M247&lt;=0,"Paid",IF(L247&gt;0,"Part Paid","Unpaid")))</f>
        <v/>
      </c>
      <c r="O247">
        <f>IF(E247="","",IFERROR(_xludf.MAXIFS(PAYMENTS!A:A,PAYMENTS!C:C,E247),""))</f>
        <v/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>
        <f>IF(E248="","",SUMIF(PAYMENTS!C:C,E248,PAYMENTS!E:E))</f>
        <v/>
      </c>
      <c r="M248">
        <f>IF(E248="","",J248-L248)</f>
        <v/>
      </c>
      <c r="N248">
        <f>IF(E248="","",IF(M248&lt;=0,"Paid",IF(L248&gt;0,"Part Paid","Unpaid")))</f>
        <v/>
      </c>
      <c r="O248">
        <f>IF(E248="","",IFERROR(_xludf.MAXIFS(PAYMENTS!A:A,PAYMENTS!C:C,E248),""))</f>
        <v/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>
        <f>IF(E249="","",SUMIF(PAYMENTS!C:C,E249,PAYMENTS!E:E))</f>
        <v/>
      </c>
      <c r="M249">
        <f>IF(E249="","",J249-L249)</f>
        <v/>
      </c>
      <c r="N249">
        <f>IF(E249="","",IF(M249&lt;=0,"Paid",IF(L249&gt;0,"Part Paid","Unpaid")))</f>
        <v/>
      </c>
      <c r="O249">
        <f>IF(E249="","",IFERROR(_xludf.MAXIFS(PAYMENTS!A:A,PAYMENTS!C:C,E249),""))</f>
        <v/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>
        <f>IF(E250="","",SUMIF(PAYMENTS!C:C,E250,PAYMENTS!E:E))</f>
        <v/>
      </c>
      <c r="M250">
        <f>IF(E250="","",J250-L250)</f>
        <v/>
      </c>
      <c r="N250">
        <f>IF(E250="","",IF(M250&lt;=0,"Paid",IF(L250&gt;0,"Part Paid","Unpaid")))</f>
        <v/>
      </c>
      <c r="O250">
        <f>IF(E250="","",IFERROR(_xludf.MAXIFS(PAYMENTS!A:A,PAYMENTS!C:C,E250),""))</f>
        <v/>
      </c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>
        <f>IF(E251="","",SUMIF(PAYMENTS!C:C,E251,PAYMENTS!E:E))</f>
        <v/>
      </c>
      <c r="M251">
        <f>IF(E251="","",J251-L251)</f>
        <v/>
      </c>
      <c r="N251">
        <f>IF(E251="","",IF(M251&lt;=0,"Paid",IF(L251&gt;0,"Part Paid","Unpaid")))</f>
        <v/>
      </c>
      <c r="O251">
        <f>IF(E251="","",IFERROR(_xludf.MAXIFS(PAYMENTS!A:A,PAYMENTS!C:C,E251),""))</f>
        <v/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>
        <f>IF(E252="","",SUMIF(PAYMENTS!C:C,E252,PAYMENTS!E:E))</f>
        <v/>
      </c>
      <c r="M252">
        <f>IF(E252="","",J252-L252)</f>
        <v/>
      </c>
      <c r="N252">
        <f>IF(E252="","",IF(M252&lt;=0,"Paid",IF(L252&gt;0,"Part Paid","Unpaid")))</f>
        <v/>
      </c>
      <c r="O252">
        <f>IF(E252="","",IFERROR(_xludf.MAXIFS(PAYMENTS!A:A,PAYMENTS!C:C,E252),""))</f>
        <v/>
      </c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>
        <f>IF(E253="","",SUMIF(PAYMENTS!C:C,E253,PAYMENTS!E:E))</f>
        <v/>
      </c>
      <c r="M253">
        <f>IF(E253="","",J253-L253)</f>
        <v/>
      </c>
      <c r="N253">
        <f>IF(E253="","",IF(M253&lt;=0,"Paid",IF(L253&gt;0,"Part Paid","Unpaid")))</f>
        <v/>
      </c>
      <c r="O253">
        <f>IF(E253="","",IFERROR(_xludf.MAXIFS(PAYMENTS!A:A,PAYMENTS!C:C,E253),""))</f>
        <v/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>
        <f>IF(E254="","",SUMIF(PAYMENTS!C:C,E254,PAYMENTS!E:E))</f>
        <v/>
      </c>
      <c r="M254">
        <f>IF(E254="","",J254-L254)</f>
        <v/>
      </c>
      <c r="N254">
        <f>IF(E254="","",IF(M254&lt;=0,"Paid",IF(L254&gt;0,"Part Paid","Unpaid")))</f>
        <v/>
      </c>
      <c r="O254">
        <f>IF(E254="","",IFERROR(_xludf.MAXIFS(PAYMENTS!A:A,PAYMENTS!C:C,E254),""))</f>
        <v/>
      </c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>
        <f>IF(E255="","",SUMIF(PAYMENTS!C:C,E255,PAYMENTS!E:E))</f>
        <v/>
      </c>
      <c r="M255">
        <f>IF(E255="","",J255-L255)</f>
        <v/>
      </c>
      <c r="N255">
        <f>IF(E255="","",IF(M255&lt;=0,"Paid",IF(L255&gt;0,"Part Paid","Unpaid")))</f>
        <v/>
      </c>
      <c r="O255">
        <f>IF(E255="","",IFERROR(_xludf.MAXIFS(PAYMENTS!A:A,PAYMENTS!C:C,E255),""))</f>
        <v/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>
        <f>IF(E256="","",SUMIF(PAYMENTS!C:C,E256,PAYMENTS!E:E))</f>
        <v/>
      </c>
      <c r="M256">
        <f>IF(E256="","",J256-L256)</f>
        <v/>
      </c>
      <c r="N256">
        <f>IF(E256="","",IF(M256&lt;=0,"Paid",IF(L256&gt;0,"Part Paid","Unpaid")))</f>
        <v/>
      </c>
      <c r="O256">
        <f>IF(E256="","",IFERROR(_xludf.MAXIFS(PAYMENTS!A:A,PAYMENTS!C:C,E256),""))</f>
        <v/>
      </c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>
        <f>IF(E257="","",SUMIF(PAYMENTS!C:C,E257,PAYMENTS!E:E))</f>
        <v/>
      </c>
      <c r="M257">
        <f>IF(E257="","",J257-L257)</f>
        <v/>
      </c>
      <c r="N257">
        <f>IF(E257="","",IF(M257&lt;=0,"Paid",IF(L257&gt;0,"Part Paid","Unpaid")))</f>
        <v/>
      </c>
      <c r="O257">
        <f>IF(E257="","",IFERROR(_xludf.MAXIFS(PAYMENTS!A:A,PAYMENTS!C:C,E257),""))</f>
        <v/>
      </c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>
        <f>IF(E258="","",SUMIF(PAYMENTS!C:C,E258,PAYMENTS!E:E))</f>
        <v/>
      </c>
      <c r="M258">
        <f>IF(E258="","",J258-L258)</f>
        <v/>
      </c>
      <c r="N258">
        <f>IF(E258="","",IF(M258&lt;=0,"Paid",IF(L258&gt;0,"Part Paid","Unpaid")))</f>
        <v/>
      </c>
      <c r="O258">
        <f>IF(E258="","",IFERROR(_xludf.MAXIFS(PAYMENTS!A:A,PAYMENTS!C:C,E258),""))</f>
        <v/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>
        <f>IF(E259="","",SUMIF(PAYMENTS!C:C,E259,PAYMENTS!E:E))</f>
        <v/>
      </c>
      <c r="M259">
        <f>IF(E259="","",J259-L259)</f>
        <v/>
      </c>
      <c r="N259">
        <f>IF(E259="","",IF(M259&lt;=0,"Paid",IF(L259&gt;0,"Part Paid","Unpaid")))</f>
        <v/>
      </c>
      <c r="O259">
        <f>IF(E259="","",IFERROR(_xludf.MAXIFS(PAYMENTS!A:A,PAYMENTS!C:C,E259),""))</f>
        <v/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>
        <f>IF(E260="","",SUMIF(PAYMENTS!C:C,E260,PAYMENTS!E:E))</f>
        <v/>
      </c>
      <c r="M260">
        <f>IF(E260="","",J260-L260)</f>
        <v/>
      </c>
      <c r="N260">
        <f>IF(E260="","",IF(M260&lt;=0,"Paid",IF(L260&gt;0,"Part Paid","Unpaid")))</f>
        <v/>
      </c>
      <c r="O260">
        <f>IF(E260="","",IFERROR(_xludf.MAXIFS(PAYMENTS!A:A,PAYMENTS!C:C,E260),""))</f>
        <v/>
      </c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>
        <f>IF(E261="","",SUMIF(PAYMENTS!C:C,E261,PAYMENTS!E:E))</f>
        <v/>
      </c>
      <c r="M261">
        <f>IF(E261="","",J261-L261)</f>
        <v/>
      </c>
      <c r="N261">
        <f>IF(E261="","",IF(M261&lt;=0,"Paid",IF(L261&gt;0,"Part Paid","Unpaid")))</f>
        <v/>
      </c>
      <c r="O261">
        <f>IF(E261="","",IFERROR(_xludf.MAXIFS(PAYMENTS!A:A,PAYMENTS!C:C,E261),""))</f>
        <v/>
      </c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>
        <f>IF(E262="","",SUMIF(PAYMENTS!C:C,E262,PAYMENTS!E:E))</f>
        <v/>
      </c>
      <c r="M262">
        <f>IF(E262="","",J262-L262)</f>
        <v/>
      </c>
      <c r="N262">
        <f>IF(E262="","",IF(M262&lt;=0,"Paid",IF(L262&gt;0,"Part Paid","Unpaid")))</f>
        <v/>
      </c>
      <c r="O262">
        <f>IF(E262="","",IFERROR(_xludf.MAXIFS(PAYMENTS!A:A,PAYMENTS!C:C,E262),""))</f>
        <v/>
      </c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>
        <f>IF(E263="","",SUMIF(PAYMENTS!C:C,E263,PAYMENTS!E:E))</f>
        <v/>
      </c>
      <c r="M263">
        <f>IF(E263="","",J263-L263)</f>
        <v/>
      </c>
      <c r="N263">
        <f>IF(E263="","",IF(M263&lt;=0,"Paid",IF(L263&gt;0,"Part Paid","Unpaid")))</f>
        <v/>
      </c>
      <c r="O263">
        <f>IF(E263="","",IFERROR(_xludf.MAXIFS(PAYMENTS!A:A,PAYMENTS!C:C,E263),""))</f>
        <v/>
      </c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>
        <f>IF(E264="","",SUMIF(PAYMENTS!C:C,E264,PAYMENTS!E:E))</f>
        <v/>
      </c>
      <c r="M264">
        <f>IF(E264="","",J264-L264)</f>
        <v/>
      </c>
      <c r="N264">
        <f>IF(E264="","",IF(M264&lt;=0,"Paid",IF(L264&gt;0,"Part Paid","Unpaid")))</f>
        <v/>
      </c>
      <c r="O264">
        <f>IF(E264="","",IFERROR(_xludf.MAXIFS(PAYMENTS!A:A,PAYMENTS!C:C,E264),""))</f>
        <v/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>
        <f>IF(E265="","",SUMIF(PAYMENTS!C:C,E265,PAYMENTS!E:E))</f>
        <v/>
      </c>
      <c r="M265">
        <f>IF(E265="","",J265-L265)</f>
        <v/>
      </c>
      <c r="N265">
        <f>IF(E265="","",IF(M265&lt;=0,"Paid",IF(L265&gt;0,"Part Paid","Unpaid")))</f>
        <v/>
      </c>
      <c r="O265">
        <f>IF(E265="","",IFERROR(_xludf.MAXIFS(PAYMENTS!A:A,PAYMENTS!C:C,E265),""))</f>
        <v/>
      </c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>
        <f>IF(E266="","",SUMIF(PAYMENTS!C:C,E266,PAYMENTS!E:E))</f>
        <v/>
      </c>
      <c r="M266">
        <f>IF(E266="","",J266-L266)</f>
        <v/>
      </c>
      <c r="N266">
        <f>IF(E266="","",IF(M266&lt;=0,"Paid",IF(L266&gt;0,"Part Paid","Unpaid")))</f>
        <v/>
      </c>
      <c r="O266">
        <f>IF(E266="","",IFERROR(_xludf.MAXIFS(PAYMENTS!A:A,PAYMENTS!C:C,E266),""))</f>
        <v/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>
        <f>IF(E267="","",SUMIF(PAYMENTS!C:C,E267,PAYMENTS!E:E))</f>
        <v/>
      </c>
      <c r="M267">
        <f>IF(E267="","",J267-L267)</f>
        <v/>
      </c>
      <c r="N267">
        <f>IF(E267="","",IF(M267&lt;=0,"Paid",IF(L267&gt;0,"Part Paid","Unpaid")))</f>
        <v/>
      </c>
      <c r="O267">
        <f>IF(E267="","",IFERROR(_xludf.MAXIFS(PAYMENTS!A:A,PAYMENTS!C:C,E267),""))</f>
        <v/>
      </c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>
        <f>IF(E268="","",SUMIF(PAYMENTS!C:C,E268,PAYMENTS!E:E))</f>
        <v/>
      </c>
      <c r="M268">
        <f>IF(E268="","",J268-L268)</f>
        <v/>
      </c>
      <c r="N268">
        <f>IF(E268="","",IF(M268&lt;=0,"Paid",IF(L268&gt;0,"Part Paid","Unpaid")))</f>
        <v/>
      </c>
      <c r="O268">
        <f>IF(E268="","",IFERROR(_xludf.MAXIFS(PAYMENTS!A:A,PAYMENTS!C:C,E268),""))</f>
        <v/>
      </c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>
        <f>IF(E269="","",SUMIF(PAYMENTS!C:C,E269,PAYMENTS!E:E))</f>
        <v/>
      </c>
      <c r="M269">
        <f>IF(E269="","",J269-L269)</f>
        <v/>
      </c>
      <c r="N269">
        <f>IF(E269="","",IF(M269&lt;=0,"Paid",IF(L269&gt;0,"Part Paid","Unpaid")))</f>
        <v/>
      </c>
      <c r="O269">
        <f>IF(E269="","",IFERROR(_xludf.MAXIFS(PAYMENTS!A:A,PAYMENTS!C:C,E269),""))</f>
        <v/>
      </c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>
        <f>IF(E270="","",SUMIF(PAYMENTS!C:C,E270,PAYMENTS!E:E))</f>
        <v/>
      </c>
      <c r="M270">
        <f>IF(E270="","",J270-L270)</f>
        <v/>
      </c>
      <c r="N270">
        <f>IF(E270="","",IF(M270&lt;=0,"Paid",IF(L270&gt;0,"Part Paid","Unpaid")))</f>
        <v/>
      </c>
      <c r="O270">
        <f>IF(E270="","",IFERROR(_xludf.MAXIFS(PAYMENTS!A:A,PAYMENTS!C:C,E270),""))</f>
        <v/>
      </c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>
        <f>IF(E271="","",SUMIF(PAYMENTS!C:C,E271,PAYMENTS!E:E))</f>
        <v/>
      </c>
      <c r="M271">
        <f>IF(E271="","",J271-L271)</f>
        <v/>
      </c>
      <c r="N271">
        <f>IF(E271="","",IF(M271&lt;=0,"Paid",IF(L271&gt;0,"Part Paid","Unpaid")))</f>
        <v/>
      </c>
      <c r="O271">
        <f>IF(E271="","",IFERROR(_xludf.MAXIFS(PAYMENTS!A:A,PAYMENTS!C:C,E271),""))</f>
        <v/>
      </c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>
        <f>IF(E272="","",SUMIF(PAYMENTS!C:C,E272,PAYMENTS!E:E))</f>
        <v/>
      </c>
      <c r="M272">
        <f>IF(E272="","",J272-L272)</f>
        <v/>
      </c>
      <c r="N272">
        <f>IF(E272="","",IF(M272&lt;=0,"Paid",IF(L272&gt;0,"Part Paid","Unpaid")))</f>
        <v/>
      </c>
      <c r="O272">
        <f>IF(E272="","",IFERROR(_xludf.MAXIFS(PAYMENTS!A:A,PAYMENTS!C:C,E272),""))</f>
        <v/>
      </c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>
        <f>IF(E273="","",SUMIF(PAYMENTS!C:C,E273,PAYMENTS!E:E))</f>
        <v/>
      </c>
      <c r="M273">
        <f>IF(E273="","",J273-L273)</f>
        <v/>
      </c>
      <c r="N273">
        <f>IF(E273="","",IF(M273&lt;=0,"Paid",IF(L273&gt;0,"Part Paid","Unpaid")))</f>
        <v/>
      </c>
      <c r="O273">
        <f>IF(E273="","",IFERROR(_xludf.MAXIFS(PAYMENTS!A:A,PAYMENTS!C:C,E273),""))</f>
        <v/>
      </c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>
        <f>IF(E274="","",SUMIF(PAYMENTS!C:C,E274,PAYMENTS!E:E))</f>
        <v/>
      </c>
      <c r="M274">
        <f>IF(E274="","",J274-L274)</f>
        <v/>
      </c>
      <c r="N274">
        <f>IF(E274="","",IF(M274&lt;=0,"Paid",IF(L274&gt;0,"Part Paid","Unpaid")))</f>
        <v/>
      </c>
      <c r="O274">
        <f>IF(E274="","",IFERROR(_xludf.MAXIFS(PAYMENTS!A:A,PAYMENTS!C:C,E274),""))</f>
        <v/>
      </c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>
        <f>IF(E275="","",SUMIF(PAYMENTS!C:C,E275,PAYMENTS!E:E))</f>
        <v/>
      </c>
      <c r="M275">
        <f>IF(E275="","",J275-L275)</f>
        <v/>
      </c>
      <c r="N275">
        <f>IF(E275="","",IF(M275&lt;=0,"Paid",IF(L275&gt;0,"Part Paid","Unpaid")))</f>
        <v/>
      </c>
      <c r="O275">
        <f>IF(E275="","",IFERROR(_xludf.MAXIFS(PAYMENTS!A:A,PAYMENTS!C:C,E275),""))</f>
        <v/>
      </c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>
        <f>IF(E276="","",SUMIF(PAYMENTS!C:C,E276,PAYMENTS!E:E))</f>
        <v/>
      </c>
      <c r="M276">
        <f>IF(E276="","",J276-L276)</f>
        <v/>
      </c>
      <c r="N276">
        <f>IF(E276="","",IF(M276&lt;=0,"Paid",IF(L276&gt;0,"Part Paid","Unpaid")))</f>
        <v/>
      </c>
      <c r="O276">
        <f>IF(E276="","",IFERROR(_xludf.MAXIFS(PAYMENTS!A:A,PAYMENTS!C:C,E276),""))</f>
        <v/>
      </c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>
        <f>IF(E277="","",SUMIF(PAYMENTS!C:C,E277,PAYMENTS!E:E))</f>
        <v/>
      </c>
      <c r="M277">
        <f>IF(E277="","",J277-L277)</f>
        <v/>
      </c>
      <c r="N277">
        <f>IF(E277="","",IF(M277&lt;=0,"Paid",IF(L277&gt;0,"Part Paid","Unpaid")))</f>
        <v/>
      </c>
      <c r="O277">
        <f>IF(E277="","",IFERROR(_xludf.MAXIFS(PAYMENTS!A:A,PAYMENTS!C:C,E277),""))</f>
        <v/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>
        <f>IF(E278="","",SUMIF(PAYMENTS!C:C,E278,PAYMENTS!E:E))</f>
        <v/>
      </c>
      <c r="M278">
        <f>IF(E278="","",J278-L278)</f>
        <v/>
      </c>
      <c r="N278">
        <f>IF(E278="","",IF(M278&lt;=0,"Paid",IF(L278&gt;0,"Part Paid","Unpaid")))</f>
        <v/>
      </c>
      <c r="O278">
        <f>IF(E278="","",IFERROR(_xludf.MAXIFS(PAYMENTS!A:A,PAYMENTS!C:C,E278),""))</f>
        <v/>
      </c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>
        <f>IF(E279="","",SUMIF(PAYMENTS!C:C,E279,PAYMENTS!E:E))</f>
        <v/>
      </c>
      <c r="M279">
        <f>IF(E279="","",J279-L279)</f>
        <v/>
      </c>
      <c r="N279">
        <f>IF(E279="","",IF(M279&lt;=0,"Paid",IF(L279&gt;0,"Part Paid","Unpaid")))</f>
        <v/>
      </c>
      <c r="O279">
        <f>IF(E279="","",IFERROR(_xludf.MAXIFS(PAYMENTS!A:A,PAYMENTS!C:C,E279),""))</f>
        <v/>
      </c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>
        <f>IF(E280="","",SUMIF(PAYMENTS!C:C,E280,PAYMENTS!E:E))</f>
        <v/>
      </c>
      <c r="M280">
        <f>IF(E280="","",J280-L280)</f>
        <v/>
      </c>
      <c r="N280">
        <f>IF(E280="","",IF(M280&lt;=0,"Paid",IF(L280&gt;0,"Part Paid","Unpaid")))</f>
        <v/>
      </c>
      <c r="O280">
        <f>IF(E280="","",IFERROR(_xludf.MAXIFS(PAYMENTS!A:A,PAYMENTS!C:C,E280),""))</f>
        <v/>
      </c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>
        <f>IF(E281="","",SUMIF(PAYMENTS!C:C,E281,PAYMENTS!E:E))</f>
        <v/>
      </c>
      <c r="M281">
        <f>IF(E281="","",J281-L281)</f>
        <v/>
      </c>
      <c r="N281">
        <f>IF(E281="","",IF(M281&lt;=0,"Paid",IF(L281&gt;0,"Part Paid","Unpaid")))</f>
        <v/>
      </c>
      <c r="O281">
        <f>IF(E281="","",IFERROR(_xludf.MAXIFS(PAYMENTS!A:A,PAYMENTS!C:C,E281),""))</f>
        <v/>
      </c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>
        <f>IF(E282="","",SUMIF(PAYMENTS!C:C,E282,PAYMENTS!E:E))</f>
        <v/>
      </c>
      <c r="M282">
        <f>IF(E282="","",J282-L282)</f>
        <v/>
      </c>
      <c r="N282">
        <f>IF(E282="","",IF(M282&lt;=0,"Paid",IF(L282&gt;0,"Part Paid","Unpaid")))</f>
        <v/>
      </c>
      <c r="O282">
        <f>IF(E282="","",IFERROR(_xludf.MAXIFS(PAYMENTS!A:A,PAYMENTS!C:C,E282),""))</f>
        <v/>
      </c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>
        <f>IF(E283="","",SUMIF(PAYMENTS!C:C,E283,PAYMENTS!E:E))</f>
        <v/>
      </c>
      <c r="M283">
        <f>IF(E283="","",J283-L283)</f>
        <v/>
      </c>
      <c r="N283">
        <f>IF(E283="","",IF(M283&lt;=0,"Paid",IF(L283&gt;0,"Part Paid","Unpaid")))</f>
        <v/>
      </c>
      <c r="O283">
        <f>IF(E283="","",IFERROR(_xludf.MAXIFS(PAYMENTS!A:A,PAYMENTS!C:C,E283),""))</f>
        <v/>
      </c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>
        <f>IF(E284="","",SUMIF(PAYMENTS!C:C,E284,PAYMENTS!E:E))</f>
        <v/>
      </c>
      <c r="M284">
        <f>IF(E284="","",J284-L284)</f>
        <v/>
      </c>
      <c r="N284">
        <f>IF(E284="","",IF(M284&lt;=0,"Paid",IF(L284&gt;0,"Part Paid","Unpaid")))</f>
        <v/>
      </c>
      <c r="O284">
        <f>IF(E284="","",IFERROR(_xludf.MAXIFS(PAYMENTS!A:A,PAYMENTS!C:C,E284),""))</f>
        <v/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>
        <f>IF(E285="","",SUMIF(PAYMENTS!C:C,E285,PAYMENTS!E:E))</f>
        <v/>
      </c>
      <c r="M285">
        <f>IF(E285="","",J285-L285)</f>
        <v/>
      </c>
      <c r="N285">
        <f>IF(E285="","",IF(M285&lt;=0,"Paid",IF(L285&gt;0,"Part Paid","Unpaid")))</f>
        <v/>
      </c>
      <c r="O285">
        <f>IF(E285="","",IFERROR(_xludf.MAXIFS(PAYMENTS!A:A,PAYMENTS!C:C,E285),""))</f>
        <v/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>
        <f>IF(E286="","",SUMIF(PAYMENTS!C:C,E286,PAYMENTS!E:E))</f>
        <v/>
      </c>
      <c r="M286">
        <f>IF(E286="","",J286-L286)</f>
        <v/>
      </c>
      <c r="N286">
        <f>IF(E286="","",IF(M286&lt;=0,"Paid",IF(L286&gt;0,"Part Paid","Unpaid")))</f>
        <v/>
      </c>
      <c r="O286">
        <f>IF(E286="","",IFERROR(_xludf.MAXIFS(PAYMENTS!A:A,PAYMENTS!C:C,E286),""))</f>
        <v/>
      </c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>
        <f>IF(E287="","",SUMIF(PAYMENTS!C:C,E287,PAYMENTS!E:E))</f>
        <v/>
      </c>
      <c r="M287">
        <f>IF(E287="","",J287-L287)</f>
        <v/>
      </c>
      <c r="N287">
        <f>IF(E287="","",IF(M287&lt;=0,"Paid",IF(L287&gt;0,"Part Paid","Unpaid")))</f>
        <v/>
      </c>
      <c r="O287">
        <f>IF(E287="","",IFERROR(_xludf.MAXIFS(PAYMENTS!A:A,PAYMENTS!C:C,E287),""))</f>
        <v/>
      </c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>
        <f>IF(E288="","",SUMIF(PAYMENTS!C:C,E288,PAYMENTS!E:E))</f>
        <v/>
      </c>
      <c r="M288">
        <f>IF(E288="","",J288-L288)</f>
        <v/>
      </c>
      <c r="N288">
        <f>IF(E288="","",IF(M288&lt;=0,"Paid",IF(L288&gt;0,"Part Paid","Unpaid")))</f>
        <v/>
      </c>
      <c r="O288">
        <f>IF(E288="","",IFERROR(_xludf.MAXIFS(PAYMENTS!A:A,PAYMENTS!C:C,E288),""))</f>
        <v/>
      </c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>
        <f>IF(E289="","",SUMIF(PAYMENTS!C:C,E289,PAYMENTS!E:E))</f>
        <v/>
      </c>
      <c r="M289">
        <f>IF(E289="","",J289-L289)</f>
        <v/>
      </c>
      <c r="N289">
        <f>IF(E289="","",IF(M289&lt;=0,"Paid",IF(L289&gt;0,"Part Paid","Unpaid")))</f>
        <v/>
      </c>
      <c r="O289">
        <f>IF(E289="","",IFERROR(_xludf.MAXIFS(PAYMENTS!A:A,PAYMENTS!C:C,E289),""))</f>
        <v/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>
        <f>IF(E290="","",SUMIF(PAYMENTS!C:C,E290,PAYMENTS!E:E))</f>
        <v/>
      </c>
      <c r="M290">
        <f>IF(E290="","",J290-L290)</f>
        <v/>
      </c>
      <c r="N290">
        <f>IF(E290="","",IF(M290&lt;=0,"Paid",IF(L290&gt;0,"Part Paid","Unpaid")))</f>
        <v/>
      </c>
      <c r="O290">
        <f>IF(E290="","",IFERROR(_xludf.MAXIFS(PAYMENTS!A:A,PAYMENTS!C:C,E290),""))</f>
        <v/>
      </c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>
        <f>IF(E291="","",SUMIF(PAYMENTS!C:C,E291,PAYMENTS!E:E))</f>
        <v/>
      </c>
      <c r="M291">
        <f>IF(E291="","",J291-L291)</f>
        <v/>
      </c>
      <c r="N291">
        <f>IF(E291="","",IF(M291&lt;=0,"Paid",IF(L291&gt;0,"Part Paid","Unpaid")))</f>
        <v/>
      </c>
      <c r="O291">
        <f>IF(E291="","",IFERROR(_xludf.MAXIFS(PAYMENTS!A:A,PAYMENTS!C:C,E291),""))</f>
        <v/>
      </c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>
        <f>IF(E292="","",SUMIF(PAYMENTS!C:C,E292,PAYMENTS!E:E))</f>
        <v/>
      </c>
      <c r="M292">
        <f>IF(E292="","",J292-L292)</f>
        <v/>
      </c>
      <c r="N292">
        <f>IF(E292="","",IF(M292&lt;=0,"Paid",IF(L292&gt;0,"Part Paid","Unpaid")))</f>
        <v/>
      </c>
      <c r="O292">
        <f>IF(E292="","",IFERROR(_xludf.MAXIFS(PAYMENTS!A:A,PAYMENTS!C:C,E292),""))</f>
        <v/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>
        <f>IF(E293="","",SUMIF(PAYMENTS!C:C,E293,PAYMENTS!E:E))</f>
        <v/>
      </c>
      <c r="M293">
        <f>IF(E293="","",J293-L293)</f>
        <v/>
      </c>
      <c r="N293">
        <f>IF(E293="","",IF(M293&lt;=0,"Paid",IF(L293&gt;0,"Part Paid","Unpaid")))</f>
        <v/>
      </c>
      <c r="O293">
        <f>IF(E293="","",IFERROR(_xludf.MAXIFS(PAYMENTS!A:A,PAYMENTS!C:C,E293),""))</f>
        <v/>
      </c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>
        <f>IF(E294="","",SUMIF(PAYMENTS!C:C,E294,PAYMENTS!E:E))</f>
        <v/>
      </c>
      <c r="M294">
        <f>IF(E294="","",J294-L294)</f>
        <v/>
      </c>
      <c r="N294">
        <f>IF(E294="","",IF(M294&lt;=0,"Paid",IF(L294&gt;0,"Part Paid","Unpaid")))</f>
        <v/>
      </c>
      <c r="O294">
        <f>IF(E294="","",IFERROR(_xludf.MAXIFS(PAYMENTS!A:A,PAYMENTS!C:C,E294),""))</f>
        <v/>
      </c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>
        <f>IF(E295="","",SUMIF(PAYMENTS!C:C,E295,PAYMENTS!E:E))</f>
        <v/>
      </c>
      <c r="M295">
        <f>IF(E295="","",J295-L295)</f>
        <v/>
      </c>
      <c r="N295">
        <f>IF(E295="","",IF(M295&lt;=0,"Paid",IF(L295&gt;0,"Part Paid","Unpaid")))</f>
        <v/>
      </c>
      <c r="O295">
        <f>IF(E295="","",IFERROR(_xludf.MAXIFS(PAYMENTS!A:A,PAYMENTS!C:C,E295),""))</f>
        <v/>
      </c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>
        <f>IF(E296="","",SUMIF(PAYMENTS!C:C,E296,PAYMENTS!E:E))</f>
        <v/>
      </c>
      <c r="M296">
        <f>IF(E296="","",J296-L296)</f>
        <v/>
      </c>
      <c r="N296">
        <f>IF(E296="","",IF(M296&lt;=0,"Paid",IF(L296&gt;0,"Part Paid","Unpaid")))</f>
        <v/>
      </c>
      <c r="O296">
        <f>IF(E296="","",IFERROR(_xludf.MAXIFS(PAYMENTS!A:A,PAYMENTS!C:C,E296),""))</f>
        <v/>
      </c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>
        <f>IF(E297="","",SUMIF(PAYMENTS!C:C,E297,PAYMENTS!E:E))</f>
        <v/>
      </c>
      <c r="M297">
        <f>IF(E297="","",J297-L297)</f>
        <v/>
      </c>
      <c r="N297">
        <f>IF(E297="","",IF(M297&lt;=0,"Paid",IF(L297&gt;0,"Part Paid","Unpaid")))</f>
        <v/>
      </c>
      <c r="O297">
        <f>IF(E297="","",IFERROR(_xludf.MAXIFS(PAYMENTS!A:A,PAYMENTS!C:C,E297),""))</f>
        <v/>
      </c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>
        <f>IF(E298="","",SUMIF(PAYMENTS!C:C,E298,PAYMENTS!E:E))</f>
        <v/>
      </c>
      <c r="M298">
        <f>IF(E298="","",J298-L298)</f>
        <v/>
      </c>
      <c r="N298">
        <f>IF(E298="","",IF(M298&lt;=0,"Paid",IF(L298&gt;0,"Part Paid","Unpaid")))</f>
        <v/>
      </c>
      <c r="O298">
        <f>IF(E298="","",IFERROR(_xludf.MAXIFS(PAYMENTS!A:A,PAYMENTS!C:C,E298),""))</f>
        <v/>
      </c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>
        <f>IF(E299="","",SUMIF(PAYMENTS!C:C,E299,PAYMENTS!E:E))</f>
        <v/>
      </c>
      <c r="M299">
        <f>IF(E299="","",J299-L299)</f>
        <v/>
      </c>
      <c r="N299">
        <f>IF(E299="","",IF(M299&lt;=0,"Paid",IF(L299&gt;0,"Part Paid","Unpaid")))</f>
        <v/>
      </c>
      <c r="O299">
        <f>IF(E299="","",IFERROR(_xludf.MAXIFS(PAYMENTS!A:A,PAYMENTS!C:C,E299),""))</f>
        <v/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>
        <f>IF(E300="","",SUMIF(PAYMENTS!C:C,E300,PAYMENTS!E:E))</f>
        <v/>
      </c>
      <c r="M300">
        <f>IF(E300="","",J300-L300)</f>
        <v/>
      </c>
      <c r="N300">
        <f>IF(E300="","",IF(M300&lt;=0,"Paid",IF(L300&gt;0,"Part Paid","Unpaid")))</f>
        <v/>
      </c>
      <c r="O300">
        <f>IF(E300="","",IFERROR(_xludf.MAXIFS(PAYMENTS!A:A,PAYMENTS!C:C,E300),""))</f>
        <v/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>
        <f>IF(E301="","",SUMIF(PAYMENTS!C:C,E301,PAYMENTS!E:E))</f>
        <v/>
      </c>
      <c r="M301">
        <f>IF(E301="","",J301-L301)</f>
        <v/>
      </c>
      <c r="N301">
        <f>IF(E301="","",IF(M301&lt;=0,"Paid",IF(L301&gt;0,"Part Paid","Unpaid")))</f>
        <v/>
      </c>
      <c r="O301">
        <f>IF(E301="","",IFERROR(_xludf.MAXIFS(PAYMENTS!A:A,PAYMENTS!C:C,E301),""))</f>
        <v/>
      </c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>
        <f>IF(E302="","",SUMIF(PAYMENTS!C:C,E302,PAYMENTS!E:E))</f>
        <v/>
      </c>
      <c r="M302">
        <f>IF(E302="","",J302-L302)</f>
        <v/>
      </c>
      <c r="N302">
        <f>IF(E302="","",IF(M302&lt;=0,"Paid",IF(L302&gt;0,"Part Paid","Unpaid")))</f>
        <v/>
      </c>
      <c r="O302">
        <f>IF(E302="","",IFERROR(_xludf.MAXIFS(PAYMENTS!A:A,PAYMENTS!C:C,E302),""))</f>
        <v/>
      </c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>
        <f>IF(E303="","",SUMIF(PAYMENTS!C:C,E303,PAYMENTS!E:E))</f>
        <v/>
      </c>
      <c r="M303">
        <f>IF(E303="","",J303-L303)</f>
        <v/>
      </c>
      <c r="N303">
        <f>IF(E303="","",IF(M303&lt;=0,"Paid",IF(L303&gt;0,"Part Paid","Unpaid")))</f>
        <v/>
      </c>
      <c r="O303">
        <f>IF(E303="","",IFERROR(_xludf.MAXIFS(PAYMENTS!A:A,PAYMENTS!C:C,E303),""))</f>
        <v/>
      </c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>
        <f>IF(E304="","",SUMIF(PAYMENTS!C:C,E304,PAYMENTS!E:E))</f>
        <v/>
      </c>
      <c r="M304">
        <f>IF(E304="","",J304-L304)</f>
        <v/>
      </c>
      <c r="N304">
        <f>IF(E304="","",IF(M304&lt;=0,"Paid",IF(L304&gt;0,"Part Paid","Unpaid")))</f>
        <v/>
      </c>
      <c r="O304">
        <f>IF(E304="","",IFERROR(_xludf.MAXIFS(PAYMENTS!A:A,PAYMENTS!C:C,E304),""))</f>
        <v/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>
        <f>IF(E305="","",SUMIF(PAYMENTS!C:C,E305,PAYMENTS!E:E))</f>
        <v/>
      </c>
      <c r="M305">
        <f>IF(E305="","",J305-L305)</f>
        <v/>
      </c>
      <c r="N305">
        <f>IF(E305="","",IF(M305&lt;=0,"Paid",IF(L305&gt;0,"Part Paid","Unpaid")))</f>
        <v/>
      </c>
      <c r="O305">
        <f>IF(E305="","",IFERROR(_xludf.MAXIFS(PAYMENTS!A:A,PAYMENTS!C:C,E305),""))</f>
        <v/>
      </c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>
        <f>IF(E306="","",SUMIF(PAYMENTS!C:C,E306,PAYMENTS!E:E))</f>
        <v/>
      </c>
      <c r="M306">
        <f>IF(E306="","",J306-L306)</f>
        <v/>
      </c>
      <c r="N306">
        <f>IF(E306="","",IF(M306&lt;=0,"Paid",IF(L306&gt;0,"Part Paid","Unpaid")))</f>
        <v/>
      </c>
      <c r="O306">
        <f>IF(E306="","",IFERROR(_xludf.MAXIFS(PAYMENTS!A:A,PAYMENTS!C:C,E306),""))</f>
        <v/>
      </c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>
        <f>IF(E307="","",SUMIF(PAYMENTS!C:C,E307,PAYMENTS!E:E))</f>
        <v/>
      </c>
      <c r="M307">
        <f>IF(E307="","",J307-L307)</f>
        <v/>
      </c>
      <c r="N307">
        <f>IF(E307="","",IF(M307&lt;=0,"Paid",IF(L307&gt;0,"Part Paid","Unpaid")))</f>
        <v/>
      </c>
      <c r="O307">
        <f>IF(E307="","",IFERROR(_xludf.MAXIFS(PAYMENTS!A:A,PAYMENTS!C:C,E307),""))</f>
        <v/>
      </c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>
        <f>IF(E308="","",SUMIF(PAYMENTS!C:C,E308,PAYMENTS!E:E))</f>
        <v/>
      </c>
      <c r="M308">
        <f>IF(E308="","",J308-L308)</f>
        <v/>
      </c>
      <c r="N308">
        <f>IF(E308="","",IF(M308&lt;=0,"Paid",IF(L308&gt;0,"Part Paid","Unpaid")))</f>
        <v/>
      </c>
      <c r="O308">
        <f>IF(E308="","",IFERROR(_xludf.MAXIFS(PAYMENTS!A:A,PAYMENTS!C:C,E308),""))</f>
        <v/>
      </c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>
        <f>IF(E309="","",SUMIF(PAYMENTS!C:C,E309,PAYMENTS!E:E))</f>
        <v/>
      </c>
      <c r="M309">
        <f>IF(E309="","",J309-L309)</f>
        <v/>
      </c>
      <c r="N309">
        <f>IF(E309="","",IF(M309&lt;=0,"Paid",IF(L309&gt;0,"Part Paid","Unpaid")))</f>
        <v/>
      </c>
      <c r="O309">
        <f>IF(E309="","",IFERROR(_xludf.MAXIFS(PAYMENTS!A:A,PAYMENTS!C:C,E309),""))</f>
        <v/>
      </c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>
        <f>IF(E310="","",SUMIF(PAYMENTS!C:C,E310,PAYMENTS!E:E))</f>
        <v/>
      </c>
      <c r="M310">
        <f>IF(E310="","",J310-L310)</f>
        <v/>
      </c>
      <c r="N310">
        <f>IF(E310="","",IF(M310&lt;=0,"Paid",IF(L310&gt;0,"Part Paid","Unpaid")))</f>
        <v/>
      </c>
      <c r="O310">
        <f>IF(E310="","",IFERROR(_xludf.MAXIFS(PAYMENTS!A:A,PAYMENTS!C:C,E310),""))</f>
        <v/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>
        <f>IF(E311="","",SUMIF(PAYMENTS!C:C,E311,PAYMENTS!E:E))</f>
        <v/>
      </c>
      <c r="M311">
        <f>IF(E311="","",J311-L311)</f>
        <v/>
      </c>
      <c r="N311">
        <f>IF(E311="","",IF(M311&lt;=0,"Paid",IF(L311&gt;0,"Part Paid","Unpaid")))</f>
        <v/>
      </c>
      <c r="O311">
        <f>IF(E311="","",IFERROR(_xludf.MAXIFS(PAYMENTS!A:A,PAYMENTS!C:C,E311),""))</f>
        <v/>
      </c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>
        <f>IF(E312="","",SUMIF(PAYMENTS!C:C,E312,PAYMENTS!E:E))</f>
        <v/>
      </c>
      <c r="M312">
        <f>IF(E312="","",J312-L312)</f>
        <v/>
      </c>
      <c r="N312">
        <f>IF(E312="","",IF(M312&lt;=0,"Paid",IF(L312&gt;0,"Part Paid","Unpaid")))</f>
        <v/>
      </c>
      <c r="O312">
        <f>IF(E312="","",IFERROR(_xludf.MAXIFS(PAYMENTS!A:A,PAYMENTS!C:C,E312),""))</f>
        <v/>
      </c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>
        <f>IF(E313="","",SUMIF(PAYMENTS!C:C,E313,PAYMENTS!E:E))</f>
        <v/>
      </c>
      <c r="M313">
        <f>IF(E313="","",J313-L313)</f>
        <v/>
      </c>
      <c r="N313">
        <f>IF(E313="","",IF(M313&lt;=0,"Paid",IF(L313&gt;0,"Part Paid","Unpaid")))</f>
        <v/>
      </c>
      <c r="O313">
        <f>IF(E313="","",IFERROR(_xludf.MAXIFS(PAYMENTS!A:A,PAYMENTS!C:C,E313),""))</f>
        <v/>
      </c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>
        <f>IF(E314="","",SUMIF(PAYMENTS!C:C,E314,PAYMENTS!E:E))</f>
        <v/>
      </c>
      <c r="M314">
        <f>IF(E314="","",J314-L314)</f>
        <v/>
      </c>
      <c r="N314">
        <f>IF(E314="","",IF(M314&lt;=0,"Paid",IF(L314&gt;0,"Part Paid","Unpaid")))</f>
        <v/>
      </c>
      <c r="O314">
        <f>IF(E314="","",IFERROR(_xludf.MAXIFS(PAYMENTS!A:A,PAYMENTS!C:C,E314),""))</f>
        <v/>
      </c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>
        <f>IF(E315="","",SUMIF(PAYMENTS!C:C,E315,PAYMENTS!E:E))</f>
        <v/>
      </c>
      <c r="M315">
        <f>IF(E315="","",J315-L315)</f>
        <v/>
      </c>
      <c r="N315">
        <f>IF(E315="","",IF(M315&lt;=0,"Paid",IF(L315&gt;0,"Part Paid","Unpaid")))</f>
        <v/>
      </c>
      <c r="O315">
        <f>IF(E315="","",IFERROR(_xludf.MAXIFS(PAYMENTS!A:A,PAYMENTS!C:C,E315),""))</f>
        <v/>
      </c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>
        <f>IF(E316="","",SUMIF(PAYMENTS!C:C,E316,PAYMENTS!E:E))</f>
        <v/>
      </c>
      <c r="M316">
        <f>IF(E316="","",J316-L316)</f>
        <v/>
      </c>
      <c r="N316">
        <f>IF(E316="","",IF(M316&lt;=0,"Paid",IF(L316&gt;0,"Part Paid","Unpaid")))</f>
        <v/>
      </c>
      <c r="O316">
        <f>IF(E316="","",IFERROR(_xludf.MAXIFS(PAYMENTS!A:A,PAYMENTS!C:C,E316),""))</f>
        <v/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>
        <f>IF(E317="","",SUMIF(PAYMENTS!C:C,E317,PAYMENTS!E:E))</f>
        <v/>
      </c>
      <c r="M317">
        <f>IF(E317="","",J317-L317)</f>
        <v/>
      </c>
      <c r="N317">
        <f>IF(E317="","",IF(M317&lt;=0,"Paid",IF(L317&gt;0,"Part Paid","Unpaid")))</f>
        <v/>
      </c>
      <c r="O317">
        <f>IF(E317="","",IFERROR(_xludf.MAXIFS(PAYMENTS!A:A,PAYMENTS!C:C,E317),""))</f>
        <v/>
      </c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>
        <f>IF(E318="","",SUMIF(PAYMENTS!C:C,E318,PAYMENTS!E:E))</f>
        <v/>
      </c>
      <c r="M318">
        <f>IF(E318="","",J318-L318)</f>
        <v/>
      </c>
      <c r="N318">
        <f>IF(E318="","",IF(M318&lt;=0,"Paid",IF(L318&gt;0,"Part Paid","Unpaid")))</f>
        <v/>
      </c>
      <c r="O318">
        <f>IF(E318="","",IFERROR(_xludf.MAXIFS(PAYMENTS!A:A,PAYMENTS!C:C,E318),""))</f>
        <v/>
      </c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>
        <f>IF(E319="","",SUMIF(PAYMENTS!C:C,E319,PAYMENTS!E:E))</f>
        <v/>
      </c>
      <c r="M319">
        <f>IF(E319="","",J319-L319)</f>
        <v/>
      </c>
      <c r="N319">
        <f>IF(E319="","",IF(M319&lt;=0,"Paid",IF(L319&gt;0,"Part Paid","Unpaid")))</f>
        <v/>
      </c>
      <c r="O319">
        <f>IF(E319="","",IFERROR(_xludf.MAXIFS(PAYMENTS!A:A,PAYMENTS!C:C,E319),""))</f>
        <v/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>
        <f>IF(E320="","",SUMIF(PAYMENTS!C:C,E320,PAYMENTS!E:E))</f>
        <v/>
      </c>
      <c r="M320">
        <f>IF(E320="","",J320-L320)</f>
        <v/>
      </c>
      <c r="N320">
        <f>IF(E320="","",IF(M320&lt;=0,"Paid",IF(L320&gt;0,"Part Paid","Unpaid")))</f>
        <v/>
      </c>
      <c r="O320">
        <f>IF(E320="","",IFERROR(_xludf.MAXIFS(PAYMENTS!A:A,PAYMENTS!C:C,E320),""))</f>
        <v/>
      </c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>
        <f>IF(E321="","",SUMIF(PAYMENTS!C:C,E321,PAYMENTS!E:E))</f>
        <v/>
      </c>
      <c r="M321">
        <f>IF(E321="","",J321-L321)</f>
        <v/>
      </c>
      <c r="N321">
        <f>IF(E321="","",IF(M321&lt;=0,"Paid",IF(L321&gt;0,"Part Paid","Unpaid")))</f>
        <v/>
      </c>
      <c r="O321">
        <f>IF(E321="","",IFERROR(_xludf.MAXIFS(PAYMENTS!A:A,PAYMENTS!C:C,E321),""))</f>
        <v/>
      </c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>
        <f>IF(E322="","",SUMIF(PAYMENTS!C:C,E322,PAYMENTS!E:E))</f>
        <v/>
      </c>
      <c r="M322">
        <f>IF(E322="","",J322-L322)</f>
        <v/>
      </c>
      <c r="N322">
        <f>IF(E322="","",IF(M322&lt;=0,"Paid",IF(L322&gt;0,"Part Paid","Unpaid")))</f>
        <v/>
      </c>
      <c r="O322">
        <f>IF(E322="","",IFERROR(_xludf.MAXIFS(PAYMENTS!A:A,PAYMENTS!C:C,E322),""))</f>
        <v/>
      </c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>
        <f>IF(E323="","",SUMIF(PAYMENTS!C:C,E323,PAYMENTS!E:E))</f>
        <v/>
      </c>
      <c r="M323">
        <f>IF(E323="","",J323-L323)</f>
        <v/>
      </c>
      <c r="N323">
        <f>IF(E323="","",IF(M323&lt;=0,"Paid",IF(L323&gt;0,"Part Paid","Unpaid")))</f>
        <v/>
      </c>
      <c r="O323">
        <f>IF(E323="","",IFERROR(_xludf.MAXIFS(PAYMENTS!A:A,PAYMENTS!C:C,E323),""))</f>
        <v/>
      </c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>
        <f>IF(E324="","",SUMIF(PAYMENTS!C:C,E324,PAYMENTS!E:E))</f>
        <v/>
      </c>
      <c r="M324">
        <f>IF(E324="","",J324-L324)</f>
        <v/>
      </c>
      <c r="N324">
        <f>IF(E324="","",IF(M324&lt;=0,"Paid",IF(L324&gt;0,"Part Paid","Unpaid")))</f>
        <v/>
      </c>
      <c r="O324">
        <f>IF(E324="","",IFERROR(_xludf.MAXIFS(PAYMENTS!A:A,PAYMENTS!C:C,E324),""))</f>
        <v/>
      </c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>
        <f>IF(E325="","",SUMIF(PAYMENTS!C:C,E325,PAYMENTS!E:E))</f>
        <v/>
      </c>
      <c r="M325">
        <f>IF(E325="","",J325-L325)</f>
        <v/>
      </c>
      <c r="N325">
        <f>IF(E325="","",IF(M325&lt;=0,"Paid",IF(L325&gt;0,"Part Paid","Unpaid")))</f>
        <v/>
      </c>
      <c r="O325">
        <f>IF(E325="","",IFERROR(_xludf.MAXIFS(PAYMENTS!A:A,PAYMENTS!C:C,E325),""))</f>
        <v/>
      </c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>
        <f>IF(E326="","",SUMIF(PAYMENTS!C:C,E326,PAYMENTS!E:E))</f>
        <v/>
      </c>
      <c r="M326">
        <f>IF(E326="","",J326-L326)</f>
        <v/>
      </c>
      <c r="N326">
        <f>IF(E326="","",IF(M326&lt;=0,"Paid",IF(L326&gt;0,"Part Paid","Unpaid")))</f>
        <v/>
      </c>
      <c r="O326">
        <f>IF(E326="","",IFERROR(_xludf.MAXIFS(PAYMENTS!A:A,PAYMENTS!C:C,E326),""))</f>
        <v/>
      </c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>
        <f>IF(E327="","",SUMIF(PAYMENTS!C:C,E327,PAYMENTS!E:E))</f>
        <v/>
      </c>
      <c r="M327">
        <f>IF(E327="","",J327-L327)</f>
        <v/>
      </c>
      <c r="N327">
        <f>IF(E327="","",IF(M327&lt;=0,"Paid",IF(L327&gt;0,"Part Paid","Unpaid")))</f>
        <v/>
      </c>
      <c r="O327">
        <f>IF(E327="","",IFERROR(_xludf.MAXIFS(PAYMENTS!A:A,PAYMENTS!C:C,E327),""))</f>
        <v/>
      </c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>
        <f>IF(E328="","",SUMIF(PAYMENTS!C:C,E328,PAYMENTS!E:E))</f>
        <v/>
      </c>
      <c r="M328">
        <f>IF(E328="","",J328-L328)</f>
        <v/>
      </c>
      <c r="N328">
        <f>IF(E328="","",IF(M328&lt;=0,"Paid",IF(L328&gt;0,"Part Paid","Unpaid")))</f>
        <v/>
      </c>
      <c r="O328">
        <f>IF(E328="","",IFERROR(_xludf.MAXIFS(PAYMENTS!A:A,PAYMENTS!C:C,E328),""))</f>
        <v/>
      </c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>
        <f>IF(E329="","",SUMIF(PAYMENTS!C:C,E329,PAYMENTS!E:E))</f>
        <v/>
      </c>
      <c r="M329">
        <f>IF(E329="","",J329-L329)</f>
        <v/>
      </c>
      <c r="N329">
        <f>IF(E329="","",IF(M329&lt;=0,"Paid",IF(L329&gt;0,"Part Paid","Unpaid")))</f>
        <v/>
      </c>
      <c r="O329">
        <f>IF(E329="","",IFERROR(_xludf.MAXIFS(PAYMENTS!A:A,PAYMENTS!C:C,E329),""))</f>
        <v/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>
        <f>IF(E330="","",SUMIF(PAYMENTS!C:C,E330,PAYMENTS!E:E))</f>
        <v/>
      </c>
      <c r="M330">
        <f>IF(E330="","",J330-L330)</f>
        <v/>
      </c>
      <c r="N330">
        <f>IF(E330="","",IF(M330&lt;=0,"Paid",IF(L330&gt;0,"Part Paid","Unpaid")))</f>
        <v/>
      </c>
      <c r="O330">
        <f>IF(E330="","",IFERROR(_xludf.MAXIFS(PAYMENTS!A:A,PAYMENTS!C:C,E330),""))</f>
        <v/>
      </c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>
        <f>IF(E331="","",SUMIF(PAYMENTS!C:C,E331,PAYMENTS!E:E))</f>
        <v/>
      </c>
      <c r="M331">
        <f>IF(E331="","",J331-L331)</f>
        <v/>
      </c>
      <c r="N331">
        <f>IF(E331="","",IF(M331&lt;=0,"Paid",IF(L331&gt;0,"Part Paid","Unpaid")))</f>
        <v/>
      </c>
      <c r="O331">
        <f>IF(E331="","",IFERROR(_xludf.MAXIFS(PAYMENTS!A:A,PAYMENTS!C:C,E331),""))</f>
        <v/>
      </c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>
        <f>IF(E332="","",SUMIF(PAYMENTS!C:C,E332,PAYMENTS!E:E))</f>
        <v/>
      </c>
      <c r="M332">
        <f>IF(E332="","",J332-L332)</f>
        <v/>
      </c>
      <c r="N332">
        <f>IF(E332="","",IF(M332&lt;=0,"Paid",IF(L332&gt;0,"Part Paid","Unpaid")))</f>
        <v/>
      </c>
      <c r="O332">
        <f>IF(E332="","",IFERROR(_xludf.MAXIFS(PAYMENTS!A:A,PAYMENTS!C:C,E332),""))</f>
        <v/>
      </c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>
        <f>IF(E333="","",SUMIF(PAYMENTS!C:C,E333,PAYMENTS!E:E))</f>
        <v/>
      </c>
      <c r="M333">
        <f>IF(E333="","",J333-L333)</f>
        <v/>
      </c>
      <c r="N333">
        <f>IF(E333="","",IF(M333&lt;=0,"Paid",IF(L333&gt;0,"Part Paid","Unpaid")))</f>
        <v/>
      </c>
      <c r="O333">
        <f>IF(E333="","",IFERROR(_xludf.MAXIFS(PAYMENTS!A:A,PAYMENTS!C:C,E333),""))</f>
        <v/>
      </c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>
        <f>IF(E334="","",SUMIF(PAYMENTS!C:C,E334,PAYMENTS!E:E))</f>
        <v/>
      </c>
      <c r="M334">
        <f>IF(E334="","",J334-L334)</f>
        <v/>
      </c>
      <c r="N334">
        <f>IF(E334="","",IF(M334&lt;=0,"Paid",IF(L334&gt;0,"Part Paid","Unpaid")))</f>
        <v/>
      </c>
      <c r="O334">
        <f>IF(E334="","",IFERROR(_xludf.MAXIFS(PAYMENTS!A:A,PAYMENTS!C:C,E334),""))</f>
        <v/>
      </c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>
        <f>IF(E335="","",SUMIF(PAYMENTS!C:C,E335,PAYMENTS!E:E))</f>
        <v/>
      </c>
      <c r="M335">
        <f>IF(E335="","",J335-L335)</f>
        <v/>
      </c>
      <c r="N335">
        <f>IF(E335="","",IF(M335&lt;=0,"Paid",IF(L335&gt;0,"Part Paid","Unpaid")))</f>
        <v/>
      </c>
      <c r="O335">
        <f>IF(E335="","",IFERROR(_xludf.MAXIFS(PAYMENTS!A:A,PAYMENTS!C:C,E335),""))</f>
        <v/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>
        <f>IF(E336="","",SUMIF(PAYMENTS!C:C,E336,PAYMENTS!E:E))</f>
        <v/>
      </c>
      <c r="M336">
        <f>IF(E336="","",J336-L336)</f>
        <v/>
      </c>
      <c r="N336">
        <f>IF(E336="","",IF(M336&lt;=0,"Paid",IF(L336&gt;0,"Part Paid","Unpaid")))</f>
        <v/>
      </c>
      <c r="O336">
        <f>IF(E336="","",IFERROR(_xludf.MAXIFS(PAYMENTS!A:A,PAYMENTS!C:C,E336),""))</f>
        <v/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>
        <f>IF(E337="","",SUMIF(PAYMENTS!C:C,E337,PAYMENTS!E:E))</f>
        <v/>
      </c>
      <c r="M337">
        <f>IF(E337="","",J337-L337)</f>
        <v/>
      </c>
      <c r="N337">
        <f>IF(E337="","",IF(M337&lt;=0,"Paid",IF(L337&gt;0,"Part Paid","Unpaid")))</f>
        <v/>
      </c>
      <c r="O337">
        <f>IF(E337="","",IFERROR(_xludf.MAXIFS(PAYMENTS!A:A,PAYMENTS!C:C,E337),""))</f>
        <v/>
      </c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>
        <f>IF(E338="","",SUMIF(PAYMENTS!C:C,E338,PAYMENTS!E:E))</f>
        <v/>
      </c>
      <c r="M338">
        <f>IF(E338="","",J338-L338)</f>
        <v/>
      </c>
      <c r="N338">
        <f>IF(E338="","",IF(M338&lt;=0,"Paid",IF(L338&gt;0,"Part Paid","Unpaid")))</f>
        <v/>
      </c>
      <c r="O338">
        <f>IF(E338="","",IFERROR(_xludf.MAXIFS(PAYMENTS!A:A,PAYMENTS!C:C,E338),""))</f>
        <v/>
      </c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>
        <f>IF(E339="","",SUMIF(PAYMENTS!C:C,E339,PAYMENTS!E:E))</f>
        <v/>
      </c>
      <c r="M339">
        <f>IF(E339="","",J339-L339)</f>
        <v/>
      </c>
      <c r="N339">
        <f>IF(E339="","",IF(M339&lt;=0,"Paid",IF(L339&gt;0,"Part Paid","Unpaid")))</f>
        <v/>
      </c>
      <c r="O339">
        <f>IF(E339="","",IFERROR(_xludf.MAXIFS(PAYMENTS!A:A,PAYMENTS!C:C,E339),""))</f>
        <v/>
      </c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>
        <f>IF(E340="","",SUMIF(PAYMENTS!C:C,E340,PAYMENTS!E:E))</f>
        <v/>
      </c>
      <c r="M340">
        <f>IF(E340="","",J340-L340)</f>
        <v/>
      </c>
      <c r="N340">
        <f>IF(E340="","",IF(M340&lt;=0,"Paid",IF(L340&gt;0,"Part Paid","Unpaid")))</f>
        <v/>
      </c>
      <c r="O340">
        <f>IF(E340="","",IFERROR(_xludf.MAXIFS(PAYMENTS!A:A,PAYMENTS!C:C,E340),""))</f>
        <v/>
      </c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>
        <f>IF(E341="","",SUMIF(PAYMENTS!C:C,E341,PAYMENTS!E:E))</f>
        <v/>
      </c>
      <c r="M341">
        <f>IF(E341="","",J341-L341)</f>
        <v/>
      </c>
      <c r="N341">
        <f>IF(E341="","",IF(M341&lt;=0,"Paid",IF(L341&gt;0,"Part Paid","Unpaid")))</f>
        <v/>
      </c>
      <c r="O341">
        <f>IF(E341="","",IFERROR(_xludf.MAXIFS(PAYMENTS!A:A,PAYMENTS!C:C,E341),""))</f>
        <v/>
      </c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>
        <f>IF(E342="","",SUMIF(PAYMENTS!C:C,E342,PAYMENTS!E:E))</f>
        <v/>
      </c>
      <c r="M342">
        <f>IF(E342="","",J342-L342)</f>
        <v/>
      </c>
      <c r="N342">
        <f>IF(E342="","",IF(M342&lt;=0,"Paid",IF(L342&gt;0,"Part Paid","Unpaid")))</f>
        <v/>
      </c>
      <c r="O342">
        <f>IF(E342="","",IFERROR(_xludf.MAXIFS(PAYMENTS!A:A,PAYMENTS!C:C,E342),""))</f>
        <v/>
      </c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>
        <f>IF(E343="","",SUMIF(PAYMENTS!C:C,E343,PAYMENTS!E:E))</f>
        <v/>
      </c>
      <c r="M343">
        <f>IF(E343="","",J343-L343)</f>
        <v/>
      </c>
      <c r="N343">
        <f>IF(E343="","",IF(M343&lt;=0,"Paid",IF(L343&gt;0,"Part Paid","Unpaid")))</f>
        <v/>
      </c>
      <c r="O343">
        <f>IF(E343="","",IFERROR(_xludf.MAXIFS(PAYMENTS!A:A,PAYMENTS!C:C,E343),""))</f>
        <v/>
      </c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>
        <f>IF(E344="","",SUMIF(PAYMENTS!C:C,E344,PAYMENTS!E:E))</f>
        <v/>
      </c>
      <c r="M344">
        <f>IF(E344="","",J344-L344)</f>
        <v/>
      </c>
      <c r="N344">
        <f>IF(E344="","",IF(M344&lt;=0,"Paid",IF(L344&gt;0,"Part Paid","Unpaid")))</f>
        <v/>
      </c>
      <c r="O344">
        <f>IF(E344="","",IFERROR(_xludf.MAXIFS(PAYMENTS!A:A,PAYMENTS!C:C,E344),""))</f>
        <v/>
      </c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>
        <f>IF(E345="","",SUMIF(PAYMENTS!C:C,E345,PAYMENTS!E:E))</f>
        <v/>
      </c>
      <c r="M345">
        <f>IF(E345="","",J345-L345)</f>
        <v/>
      </c>
      <c r="N345">
        <f>IF(E345="","",IF(M345&lt;=0,"Paid",IF(L345&gt;0,"Part Paid","Unpaid")))</f>
        <v/>
      </c>
      <c r="O345">
        <f>IF(E345="","",IFERROR(_xludf.MAXIFS(PAYMENTS!A:A,PAYMENTS!C:C,E345),""))</f>
        <v/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>
        <f>IF(E346="","",SUMIF(PAYMENTS!C:C,E346,PAYMENTS!E:E))</f>
        <v/>
      </c>
      <c r="M346">
        <f>IF(E346="","",J346-L346)</f>
        <v/>
      </c>
      <c r="N346">
        <f>IF(E346="","",IF(M346&lt;=0,"Paid",IF(L346&gt;0,"Part Paid","Unpaid")))</f>
        <v/>
      </c>
      <c r="O346">
        <f>IF(E346="","",IFERROR(_xludf.MAXIFS(PAYMENTS!A:A,PAYMENTS!C:C,E346),""))</f>
        <v/>
      </c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>
        <f>IF(E347="","",SUMIF(PAYMENTS!C:C,E347,PAYMENTS!E:E))</f>
        <v/>
      </c>
      <c r="M347">
        <f>IF(E347="","",J347-L347)</f>
        <v/>
      </c>
      <c r="N347">
        <f>IF(E347="","",IF(M347&lt;=0,"Paid",IF(L347&gt;0,"Part Paid","Unpaid")))</f>
        <v/>
      </c>
      <c r="O347">
        <f>IF(E347="","",IFERROR(_xludf.MAXIFS(PAYMENTS!A:A,PAYMENTS!C:C,E347),""))</f>
        <v/>
      </c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>
        <f>IF(E348="","",SUMIF(PAYMENTS!C:C,E348,PAYMENTS!E:E))</f>
        <v/>
      </c>
      <c r="M348">
        <f>IF(E348="","",J348-L348)</f>
        <v/>
      </c>
      <c r="N348">
        <f>IF(E348="","",IF(M348&lt;=0,"Paid",IF(L348&gt;0,"Part Paid","Unpaid")))</f>
        <v/>
      </c>
      <c r="O348">
        <f>IF(E348="","",IFERROR(_xludf.MAXIFS(PAYMENTS!A:A,PAYMENTS!C:C,E348),""))</f>
        <v/>
      </c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>
        <f>IF(E349="","",SUMIF(PAYMENTS!C:C,E349,PAYMENTS!E:E))</f>
        <v/>
      </c>
      <c r="M349">
        <f>IF(E349="","",J349-L349)</f>
        <v/>
      </c>
      <c r="N349">
        <f>IF(E349="","",IF(M349&lt;=0,"Paid",IF(L349&gt;0,"Part Paid","Unpaid")))</f>
        <v/>
      </c>
      <c r="O349">
        <f>IF(E349="","",IFERROR(_xludf.MAXIFS(PAYMENTS!A:A,PAYMENTS!C:C,E349),""))</f>
        <v/>
      </c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>
        <f>IF(E350="","",SUMIF(PAYMENTS!C:C,E350,PAYMENTS!E:E))</f>
        <v/>
      </c>
      <c r="M350">
        <f>IF(E350="","",J350-L350)</f>
        <v/>
      </c>
      <c r="N350">
        <f>IF(E350="","",IF(M350&lt;=0,"Paid",IF(L350&gt;0,"Part Paid","Unpaid")))</f>
        <v/>
      </c>
      <c r="O350">
        <f>IF(E350="","",IFERROR(_xludf.MAXIFS(PAYMENTS!A:A,PAYMENTS!C:C,E350),""))</f>
        <v/>
      </c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>
        <f>IF(E351="","",SUMIF(PAYMENTS!C:C,E351,PAYMENTS!E:E))</f>
        <v/>
      </c>
      <c r="M351">
        <f>IF(E351="","",J351-L351)</f>
        <v/>
      </c>
      <c r="N351">
        <f>IF(E351="","",IF(M351&lt;=0,"Paid",IF(L351&gt;0,"Part Paid","Unpaid")))</f>
        <v/>
      </c>
      <c r="O351">
        <f>IF(E351="","",IFERROR(_xludf.MAXIFS(PAYMENTS!A:A,PAYMENTS!C:C,E351),""))</f>
        <v/>
      </c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>
        <f>IF(E352="","",SUMIF(PAYMENTS!C:C,E352,PAYMENTS!E:E))</f>
        <v/>
      </c>
      <c r="M352">
        <f>IF(E352="","",J352-L352)</f>
        <v/>
      </c>
      <c r="N352">
        <f>IF(E352="","",IF(M352&lt;=0,"Paid",IF(L352&gt;0,"Part Paid","Unpaid")))</f>
        <v/>
      </c>
      <c r="O352">
        <f>IF(E352="","",IFERROR(_xludf.MAXIFS(PAYMENTS!A:A,PAYMENTS!C:C,E352),""))</f>
        <v/>
      </c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>
        <f>IF(E353="","",SUMIF(PAYMENTS!C:C,E353,PAYMENTS!E:E))</f>
        <v/>
      </c>
      <c r="M353">
        <f>IF(E353="","",J353-L353)</f>
        <v/>
      </c>
      <c r="N353">
        <f>IF(E353="","",IF(M353&lt;=0,"Paid",IF(L353&gt;0,"Part Paid","Unpaid")))</f>
        <v/>
      </c>
      <c r="O353">
        <f>IF(E353="","",IFERROR(_xludf.MAXIFS(PAYMENTS!A:A,PAYMENTS!C:C,E353),""))</f>
        <v/>
      </c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>
        <f>IF(E354="","",SUMIF(PAYMENTS!C:C,E354,PAYMENTS!E:E))</f>
        <v/>
      </c>
      <c r="M354">
        <f>IF(E354="","",J354-L354)</f>
        <v/>
      </c>
      <c r="N354">
        <f>IF(E354="","",IF(M354&lt;=0,"Paid",IF(L354&gt;0,"Part Paid","Unpaid")))</f>
        <v/>
      </c>
      <c r="O354">
        <f>IF(E354="","",IFERROR(_xludf.MAXIFS(PAYMENTS!A:A,PAYMENTS!C:C,E354),""))</f>
        <v/>
      </c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>
        <f>IF(E355="","",SUMIF(PAYMENTS!C:C,E355,PAYMENTS!E:E))</f>
        <v/>
      </c>
      <c r="M355">
        <f>IF(E355="","",J355-L355)</f>
        <v/>
      </c>
      <c r="N355">
        <f>IF(E355="","",IF(M355&lt;=0,"Paid",IF(L355&gt;0,"Part Paid","Unpaid")))</f>
        <v/>
      </c>
      <c r="O355">
        <f>IF(E355="","",IFERROR(_xludf.MAXIFS(PAYMENTS!A:A,PAYMENTS!C:C,E355),""))</f>
        <v/>
      </c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>
        <f>IF(E356="","",SUMIF(PAYMENTS!C:C,E356,PAYMENTS!E:E))</f>
        <v/>
      </c>
      <c r="M356">
        <f>IF(E356="","",J356-L356)</f>
        <v/>
      </c>
      <c r="N356">
        <f>IF(E356="","",IF(M356&lt;=0,"Paid",IF(L356&gt;0,"Part Paid","Unpaid")))</f>
        <v/>
      </c>
      <c r="O356">
        <f>IF(E356="","",IFERROR(_xludf.MAXIFS(PAYMENTS!A:A,PAYMENTS!C:C,E356),""))</f>
        <v/>
      </c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>
        <f>IF(E357="","",SUMIF(PAYMENTS!C:C,E357,PAYMENTS!E:E))</f>
        <v/>
      </c>
      <c r="M357">
        <f>IF(E357="","",J357-L357)</f>
        <v/>
      </c>
      <c r="N357">
        <f>IF(E357="","",IF(M357&lt;=0,"Paid",IF(L357&gt;0,"Part Paid","Unpaid")))</f>
        <v/>
      </c>
      <c r="O357">
        <f>IF(E357="","",IFERROR(_xludf.MAXIFS(PAYMENTS!A:A,PAYMENTS!C:C,E357),""))</f>
        <v/>
      </c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>
        <f>IF(E358="","",SUMIF(PAYMENTS!C:C,E358,PAYMENTS!E:E))</f>
        <v/>
      </c>
      <c r="M358">
        <f>IF(E358="","",J358-L358)</f>
        <v/>
      </c>
      <c r="N358">
        <f>IF(E358="","",IF(M358&lt;=0,"Paid",IF(L358&gt;0,"Part Paid","Unpaid")))</f>
        <v/>
      </c>
      <c r="O358">
        <f>IF(E358="","",IFERROR(_xludf.MAXIFS(PAYMENTS!A:A,PAYMENTS!C:C,E358),""))</f>
        <v/>
      </c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>
        <f>IF(E359="","",SUMIF(PAYMENTS!C:C,E359,PAYMENTS!E:E))</f>
        <v/>
      </c>
      <c r="M359">
        <f>IF(E359="","",J359-L359)</f>
        <v/>
      </c>
      <c r="N359">
        <f>IF(E359="","",IF(M359&lt;=0,"Paid",IF(L359&gt;0,"Part Paid","Unpaid")))</f>
        <v/>
      </c>
      <c r="O359">
        <f>IF(E359="","",IFERROR(_xludf.MAXIFS(PAYMENTS!A:A,PAYMENTS!C:C,E359),""))</f>
        <v/>
      </c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>
        <f>IF(E360="","",SUMIF(PAYMENTS!C:C,E360,PAYMENTS!E:E))</f>
        <v/>
      </c>
      <c r="M360">
        <f>IF(E360="","",J360-L360)</f>
        <v/>
      </c>
      <c r="N360">
        <f>IF(E360="","",IF(M360&lt;=0,"Paid",IF(L360&gt;0,"Part Paid","Unpaid")))</f>
        <v/>
      </c>
      <c r="O360">
        <f>IF(E360="","",IFERROR(_xludf.MAXIFS(PAYMENTS!A:A,PAYMENTS!C:C,E360),""))</f>
        <v/>
      </c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>
        <f>IF(E361="","",SUMIF(PAYMENTS!C:C,E361,PAYMENTS!E:E))</f>
        <v/>
      </c>
      <c r="M361">
        <f>IF(E361="","",J361-L361)</f>
        <v/>
      </c>
      <c r="N361">
        <f>IF(E361="","",IF(M361&lt;=0,"Paid",IF(L361&gt;0,"Part Paid","Unpaid")))</f>
        <v/>
      </c>
      <c r="O361">
        <f>IF(E361="","",IFERROR(_xludf.MAXIFS(PAYMENTS!A:A,PAYMENTS!C:C,E361),""))</f>
        <v/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>
        <f>IF(E362="","",SUMIF(PAYMENTS!C:C,E362,PAYMENTS!E:E))</f>
        <v/>
      </c>
      <c r="M362">
        <f>IF(E362="","",J362-L362)</f>
        <v/>
      </c>
      <c r="N362">
        <f>IF(E362="","",IF(M362&lt;=0,"Paid",IF(L362&gt;0,"Part Paid","Unpaid")))</f>
        <v/>
      </c>
      <c r="O362">
        <f>IF(E362="","",IFERROR(_xludf.MAXIFS(PAYMENTS!A:A,PAYMENTS!C:C,E362),""))</f>
        <v/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>
        <f>IF(E363="","",SUMIF(PAYMENTS!C:C,E363,PAYMENTS!E:E))</f>
        <v/>
      </c>
      <c r="M363">
        <f>IF(E363="","",J363-L363)</f>
        <v/>
      </c>
      <c r="N363">
        <f>IF(E363="","",IF(M363&lt;=0,"Paid",IF(L363&gt;0,"Part Paid","Unpaid")))</f>
        <v/>
      </c>
      <c r="O363">
        <f>IF(E363="","",IFERROR(_xludf.MAXIFS(PAYMENTS!A:A,PAYMENTS!C:C,E363),""))</f>
        <v/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>
        <f>IF(E364="","",SUMIF(PAYMENTS!C:C,E364,PAYMENTS!E:E))</f>
        <v/>
      </c>
      <c r="M364">
        <f>IF(E364="","",J364-L364)</f>
        <v/>
      </c>
      <c r="N364">
        <f>IF(E364="","",IF(M364&lt;=0,"Paid",IF(L364&gt;0,"Part Paid","Unpaid")))</f>
        <v/>
      </c>
      <c r="O364">
        <f>IF(E364="","",IFERROR(_xludf.MAXIFS(PAYMENTS!A:A,PAYMENTS!C:C,E364),""))</f>
        <v/>
      </c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>
        <f>IF(E365="","",SUMIF(PAYMENTS!C:C,E365,PAYMENTS!E:E))</f>
        <v/>
      </c>
      <c r="M365">
        <f>IF(E365="","",J365-L365)</f>
        <v/>
      </c>
      <c r="N365">
        <f>IF(E365="","",IF(M365&lt;=0,"Paid",IF(L365&gt;0,"Part Paid","Unpaid")))</f>
        <v/>
      </c>
      <c r="O365">
        <f>IF(E365="","",IFERROR(_xludf.MAXIFS(PAYMENTS!A:A,PAYMENTS!C:C,E365),""))</f>
        <v/>
      </c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>
        <f>IF(E366="","",SUMIF(PAYMENTS!C:C,E366,PAYMENTS!E:E))</f>
        <v/>
      </c>
      <c r="M366">
        <f>IF(E366="","",J366-L366)</f>
        <v/>
      </c>
      <c r="N366">
        <f>IF(E366="","",IF(M366&lt;=0,"Paid",IF(L366&gt;0,"Part Paid","Unpaid")))</f>
        <v/>
      </c>
      <c r="O366">
        <f>IF(E366="","",IFERROR(_xludf.MAXIFS(PAYMENTS!A:A,PAYMENTS!C:C,E366),""))</f>
        <v/>
      </c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>
        <f>IF(E367="","",SUMIF(PAYMENTS!C:C,E367,PAYMENTS!E:E))</f>
        <v/>
      </c>
      <c r="M367">
        <f>IF(E367="","",J367-L367)</f>
        <v/>
      </c>
      <c r="N367">
        <f>IF(E367="","",IF(M367&lt;=0,"Paid",IF(L367&gt;0,"Part Paid","Unpaid")))</f>
        <v/>
      </c>
      <c r="O367">
        <f>IF(E367="","",IFERROR(_xludf.MAXIFS(PAYMENTS!A:A,PAYMENTS!C:C,E367),""))</f>
        <v/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>
        <f>IF(E368="","",SUMIF(PAYMENTS!C:C,E368,PAYMENTS!E:E))</f>
        <v/>
      </c>
      <c r="M368">
        <f>IF(E368="","",J368-L368)</f>
        <v/>
      </c>
      <c r="N368">
        <f>IF(E368="","",IF(M368&lt;=0,"Paid",IF(L368&gt;0,"Part Paid","Unpaid")))</f>
        <v/>
      </c>
      <c r="O368">
        <f>IF(E368="","",IFERROR(_xludf.MAXIFS(PAYMENTS!A:A,PAYMENTS!C:C,E368),""))</f>
        <v/>
      </c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>
        <f>IF(E369="","",SUMIF(PAYMENTS!C:C,E369,PAYMENTS!E:E))</f>
        <v/>
      </c>
      <c r="M369">
        <f>IF(E369="","",J369-L369)</f>
        <v/>
      </c>
      <c r="N369">
        <f>IF(E369="","",IF(M369&lt;=0,"Paid",IF(L369&gt;0,"Part Paid","Unpaid")))</f>
        <v/>
      </c>
      <c r="O369">
        <f>IF(E369="","",IFERROR(_xludf.MAXIFS(PAYMENTS!A:A,PAYMENTS!C:C,E369),""))</f>
        <v/>
      </c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>
        <f>IF(E370="","",SUMIF(PAYMENTS!C:C,E370,PAYMENTS!E:E))</f>
        <v/>
      </c>
      <c r="M370">
        <f>IF(E370="","",J370-L370)</f>
        <v/>
      </c>
      <c r="N370">
        <f>IF(E370="","",IF(M370&lt;=0,"Paid",IF(L370&gt;0,"Part Paid","Unpaid")))</f>
        <v/>
      </c>
      <c r="O370">
        <f>IF(E370="","",IFERROR(_xludf.MAXIFS(PAYMENTS!A:A,PAYMENTS!C:C,E370),""))</f>
        <v/>
      </c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>
        <f>IF(E371="","",SUMIF(PAYMENTS!C:C,E371,PAYMENTS!E:E))</f>
        <v/>
      </c>
      <c r="M371">
        <f>IF(E371="","",J371-L371)</f>
        <v/>
      </c>
      <c r="N371">
        <f>IF(E371="","",IF(M371&lt;=0,"Paid",IF(L371&gt;0,"Part Paid","Unpaid")))</f>
        <v/>
      </c>
      <c r="O371">
        <f>IF(E371="","",IFERROR(_xludf.MAXIFS(PAYMENTS!A:A,PAYMENTS!C:C,E371),""))</f>
        <v/>
      </c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>
        <f>IF(E372="","",SUMIF(PAYMENTS!C:C,E372,PAYMENTS!E:E))</f>
        <v/>
      </c>
      <c r="M372">
        <f>IF(E372="","",J372-L372)</f>
        <v/>
      </c>
      <c r="N372">
        <f>IF(E372="","",IF(M372&lt;=0,"Paid",IF(L372&gt;0,"Part Paid","Unpaid")))</f>
        <v/>
      </c>
      <c r="O372">
        <f>IF(E372="","",IFERROR(_xludf.MAXIFS(PAYMENTS!A:A,PAYMENTS!C:C,E372),""))</f>
        <v/>
      </c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>
        <f>IF(E373="","",SUMIF(PAYMENTS!C:C,E373,PAYMENTS!E:E))</f>
        <v/>
      </c>
      <c r="M373">
        <f>IF(E373="","",J373-L373)</f>
        <v/>
      </c>
      <c r="N373">
        <f>IF(E373="","",IF(M373&lt;=0,"Paid",IF(L373&gt;0,"Part Paid","Unpaid")))</f>
        <v/>
      </c>
      <c r="O373">
        <f>IF(E373="","",IFERROR(_xludf.MAXIFS(PAYMENTS!A:A,PAYMENTS!C:C,E373),""))</f>
        <v/>
      </c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>
        <f>IF(E374="","",SUMIF(PAYMENTS!C:C,E374,PAYMENTS!E:E))</f>
        <v/>
      </c>
      <c r="M374">
        <f>IF(E374="","",J374-L374)</f>
        <v/>
      </c>
      <c r="N374">
        <f>IF(E374="","",IF(M374&lt;=0,"Paid",IF(L374&gt;0,"Part Paid","Unpaid")))</f>
        <v/>
      </c>
      <c r="O374">
        <f>IF(E374="","",IFERROR(_xludf.MAXIFS(PAYMENTS!A:A,PAYMENTS!C:C,E374),""))</f>
        <v/>
      </c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>
        <f>IF(E375="","",SUMIF(PAYMENTS!C:C,E375,PAYMENTS!E:E))</f>
        <v/>
      </c>
      <c r="M375">
        <f>IF(E375="","",J375-L375)</f>
        <v/>
      </c>
      <c r="N375">
        <f>IF(E375="","",IF(M375&lt;=0,"Paid",IF(L375&gt;0,"Part Paid","Unpaid")))</f>
        <v/>
      </c>
      <c r="O375">
        <f>IF(E375="","",IFERROR(_xludf.MAXIFS(PAYMENTS!A:A,PAYMENTS!C:C,E375),""))</f>
        <v/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>
        <f>IF(E376="","",SUMIF(PAYMENTS!C:C,E376,PAYMENTS!E:E))</f>
        <v/>
      </c>
      <c r="M376">
        <f>IF(E376="","",J376-L376)</f>
        <v/>
      </c>
      <c r="N376">
        <f>IF(E376="","",IF(M376&lt;=0,"Paid",IF(L376&gt;0,"Part Paid","Unpaid")))</f>
        <v/>
      </c>
      <c r="O376">
        <f>IF(E376="","",IFERROR(_xludf.MAXIFS(PAYMENTS!A:A,PAYMENTS!C:C,E376),""))</f>
        <v/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>
        <f>IF(E377="","",SUMIF(PAYMENTS!C:C,E377,PAYMENTS!E:E))</f>
        <v/>
      </c>
      <c r="M377">
        <f>IF(E377="","",J377-L377)</f>
        <v/>
      </c>
      <c r="N377">
        <f>IF(E377="","",IF(M377&lt;=0,"Paid",IF(L377&gt;0,"Part Paid","Unpaid")))</f>
        <v/>
      </c>
      <c r="O377">
        <f>IF(E377="","",IFERROR(_xludf.MAXIFS(PAYMENTS!A:A,PAYMENTS!C:C,E377),""))</f>
        <v/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>
        <f>IF(E378="","",SUMIF(PAYMENTS!C:C,E378,PAYMENTS!E:E))</f>
        <v/>
      </c>
      <c r="M378">
        <f>IF(E378="","",J378-L378)</f>
        <v/>
      </c>
      <c r="N378">
        <f>IF(E378="","",IF(M378&lt;=0,"Paid",IF(L378&gt;0,"Part Paid","Unpaid")))</f>
        <v/>
      </c>
      <c r="O378">
        <f>IF(E378="","",IFERROR(_xludf.MAXIFS(PAYMENTS!A:A,PAYMENTS!C:C,E378),""))</f>
        <v/>
      </c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>
        <f>IF(E379="","",SUMIF(PAYMENTS!C:C,E379,PAYMENTS!E:E))</f>
        <v/>
      </c>
      <c r="M379">
        <f>IF(E379="","",J379-L379)</f>
        <v/>
      </c>
      <c r="N379">
        <f>IF(E379="","",IF(M379&lt;=0,"Paid",IF(L379&gt;0,"Part Paid","Unpaid")))</f>
        <v/>
      </c>
      <c r="O379">
        <f>IF(E379="","",IFERROR(_xludf.MAXIFS(PAYMENTS!A:A,PAYMENTS!C:C,E379),""))</f>
        <v/>
      </c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>
        <f>IF(E380="","",SUMIF(PAYMENTS!C:C,E380,PAYMENTS!E:E))</f>
        <v/>
      </c>
      <c r="M380">
        <f>IF(E380="","",J380-L380)</f>
        <v/>
      </c>
      <c r="N380">
        <f>IF(E380="","",IF(M380&lt;=0,"Paid",IF(L380&gt;0,"Part Paid","Unpaid")))</f>
        <v/>
      </c>
      <c r="O380">
        <f>IF(E380="","",IFERROR(_xludf.MAXIFS(PAYMENTS!A:A,PAYMENTS!C:C,E380),""))</f>
        <v/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>
        <f>IF(E381="","",SUMIF(PAYMENTS!C:C,E381,PAYMENTS!E:E))</f>
        <v/>
      </c>
      <c r="M381">
        <f>IF(E381="","",J381-L381)</f>
        <v/>
      </c>
      <c r="N381">
        <f>IF(E381="","",IF(M381&lt;=0,"Paid",IF(L381&gt;0,"Part Paid","Unpaid")))</f>
        <v/>
      </c>
      <c r="O381">
        <f>IF(E381="","",IFERROR(_xludf.MAXIFS(PAYMENTS!A:A,PAYMENTS!C:C,E381),""))</f>
        <v/>
      </c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>
        <f>IF(E382="","",SUMIF(PAYMENTS!C:C,E382,PAYMENTS!E:E))</f>
        <v/>
      </c>
      <c r="M382">
        <f>IF(E382="","",J382-L382)</f>
        <v/>
      </c>
      <c r="N382">
        <f>IF(E382="","",IF(M382&lt;=0,"Paid",IF(L382&gt;0,"Part Paid","Unpaid")))</f>
        <v/>
      </c>
      <c r="O382">
        <f>IF(E382="","",IFERROR(_xludf.MAXIFS(PAYMENTS!A:A,PAYMENTS!C:C,E382),""))</f>
        <v/>
      </c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>
        <f>IF(E383="","",SUMIF(PAYMENTS!C:C,E383,PAYMENTS!E:E))</f>
        <v/>
      </c>
      <c r="M383">
        <f>IF(E383="","",J383-L383)</f>
        <v/>
      </c>
      <c r="N383">
        <f>IF(E383="","",IF(M383&lt;=0,"Paid",IF(L383&gt;0,"Part Paid","Unpaid")))</f>
        <v/>
      </c>
      <c r="O383">
        <f>IF(E383="","",IFERROR(_xludf.MAXIFS(PAYMENTS!A:A,PAYMENTS!C:C,E383),""))</f>
        <v/>
      </c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>
        <f>IF(E384="","",SUMIF(PAYMENTS!C:C,E384,PAYMENTS!E:E))</f>
        <v/>
      </c>
      <c r="M384">
        <f>IF(E384="","",J384-L384)</f>
        <v/>
      </c>
      <c r="N384">
        <f>IF(E384="","",IF(M384&lt;=0,"Paid",IF(L384&gt;0,"Part Paid","Unpaid")))</f>
        <v/>
      </c>
      <c r="O384">
        <f>IF(E384="","",IFERROR(_xludf.MAXIFS(PAYMENTS!A:A,PAYMENTS!C:C,E384),""))</f>
        <v/>
      </c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>
        <f>IF(E385="","",SUMIF(PAYMENTS!C:C,E385,PAYMENTS!E:E))</f>
        <v/>
      </c>
      <c r="M385">
        <f>IF(E385="","",J385-L385)</f>
        <v/>
      </c>
      <c r="N385">
        <f>IF(E385="","",IF(M385&lt;=0,"Paid",IF(L385&gt;0,"Part Paid","Unpaid")))</f>
        <v/>
      </c>
      <c r="O385">
        <f>IF(E385="","",IFERROR(_xludf.MAXIFS(PAYMENTS!A:A,PAYMENTS!C:C,E385),""))</f>
        <v/>
      </c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>
        <f>IF(E386="","",SUMIF(PAYMENTS!C:C,E386,PAYMENTS!E:E))</f>
        <v/>
      </c>
      <c r="M386">
        <f>IF(E386="","",J386-L386)</f>
        <v/>
      </c>
      <c r="N386">
        <f>IF(E386="","",IF(M386&lt;=0,"Paid",IF(L386&gt;0,"Part Paid","Unpaid")))</f>
        <v/>
      </c>
      <c r="O386">
        <f>IF(E386="","",IFERROR(_xludf.MAXIFS(PAYMENTS!A:A,PAYMENTS!C:C,E386),""))</f>
        <v/>
      </c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>
        <f>IF(E387="","",SUMIF(PAYMENTS!C:C,E387,PAYMENTS!E:E))</f>
        <v/>
      </c>
      <c r="M387">
        <f>IF(E387="","",J387-L387)</f>
        <v/>
      </c>
      <c r="N387">
        <f>IF(E387="","",IF(M387&lt;=0,"Paid",IF(L387&gt;0,"Part Paid","Unpaid")))</f>
        <v/>
      </c>
      <c r="O387">
        <f>IF(E387="","",IFERROR(_xludf.MAXIFS(PAYMENTS!A:A,PAYMENTS!C:C,E387),""))</f>
        <v/>
      </c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>
        <f>IF(E388="","",SUMIF(PAYMENTS!C:C,E388,PAYMENTS!E:E))</f>
        <v/>
      </c>
      <c r="M388">
        <f>IF(E388="","",J388-L388)</f>
        <v/>
      </c>
      <c r="N388">
        <f>IF(E388="","",IF(M388&lt;=0,"Paid",IF(L388&gt;0,"Part Paid","Unpaid")))</f>
        <v/>
      </c>
      <c r="O388">
        <f>IF(E388="","",IFERROR(_xludf.MAXIFS(PAYMENTS!A:A,PAYMENTS!C:C,E388),""))</f>
        <v/>
      </c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>
        <f>IF(E389="","",SUMIF(PAYMENTS!C:C,E389,PAYMENTS!E:E))</f>
        <v/>
      </c>
      <c r="M389">
        <f>IF(E389="","",J389-L389)</f>
        <v/>
      </c>
      <c r="N389">
        <f>IF(E389="","",IF(M389&lt;=0,"Paid",IF(L389&gt;0,"Part Paid","Unpaid")))</f>
        <v/>
      </c>
      <c r="O389">
        <f>IF(E389="","",IFERROR(_xludf.MAXIFS(PAYMENTS!A:A,PAYMENTS!C:C,E389),""))</f>
        <v/>
      </c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>
        <f>IF(E390="","",SUMIF(PAYMENTS!C:C,E390,PAYMENTS!E:E))</f>
        <v/>
      </c>
      <c r="M390">
        <f>IF(E390="","",J390-L390)</f>
        <v/>
      </c>
      <c r="N390">
        <f>IF(E390="","",IF(M390&lt;=0,"Paid",IF(L390&gt;0,"Part Paid","Unpaid")))</f>
        <v/>
      </c>
      <c r="O390">
        <f>IF(E390="","",IFERROR(_xludf.MAXIFS(PAYMENTS!A:A,PAYMENTS!C:C,E390),""))</f>
        <v/>
      </c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>
        <f>IF(E391="","",SUMIF(PAYMENTS!C:C,E391,PAYMENTS!E:E))</f>
        <v/>
      </c>
      <c r="M391">
        <f>IF(E391="","",J391-L391)</f>
        <v/>
      </c>
      <c r="N391">
        <f>IF(E391="","",IF(M391&lt;=0,"Paid",IF(L391&gt;0,"Part Paid","Unpaid")))</f>
        <v/>
      </c>
      <c r="O391">
        <f>IF(E391="","",IFERROR(_xludf.MAXIFS(PAYMENTS!A:A,PAYMENTS!C:C,E391),""))</f>
        <v/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>
        <f>IF(E392="","",SUMIF(PAYMENTS!C:C,E392,PAYMENTS!E:E))</f>
        <v/>
      </c>
      <c r="M392">
        <f>IF(E392="","",J392-L392)</f>
        <v/>
      </c>
      <c r="N392">
        <f>IF(E392="","",IF(M392&lt;=0,"Paid",IF(L392&gt;0,"Part Paid","Unpaid")))</f>
        <v/>
      </c>
      <c r="O392">
        <f>IF(E392="","",IFERROR(_xludf.MAXIFS(PAYMENTS!A:A,PAYMENTS!C:C,E392),""))</f>
        <v/>
      </c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>
        <f>IF(E393="","",SUMIF(PAYMENTS!C:C,E393,PAYMENTS!E:E))</f>
        <v/>
      </c>
      <c r="M393">
        <f>IF(E393="","",J393-L393)</f>
        <v/>
      </c>
      <c r="N393">
        <f>IF(E393="","",IF(M393&lt;=0,"Paid",IF(L393&gt;0,"Part Paid","Unpaid")))</f>
        <v/>
      </c>
      <c r="O393">
        <f>IF(E393="","",IFERROR(_xludf.MAXIFS(PAYMENTS!A:A,PAYMENTS!C:C,E393),""))</f>
        <v/>
      </c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>
        <f>IF(E394="","",SUMIF(PAYMENTS!C:C,E394,PAYMENTS!E:E))</f>
        <v/>
      </c>
      <c r="M394">
        <f>IF(E394="","",J394-L394)</f>
        <v/>
      </c>
      <c r="N394">
        <f>IF(E394="","",IF(M394&lt;=0,"Paid",IF(L394&gt;0,"Part Paid","Unpaid")))</f>
        <v/>
      </c>
      <c r="O394">
        <f>IF(E394="","",IFERROR(_xludf.MAXIFS(PAYMENTS!A:A,PAYMENTS!C:C,E394),""))</f>
        <v/>
      </c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>
        <f>IF(E395="","",SUMIF(PAYMENTS!C:C,E395,PAYMENTS!E:E))</f>
        <v/>
      </c>
      <c r="M395">
        <f>IF(E395="","",J395-L395)</f>
        <v/>
      </c>
      <c r="N395">
        <f>IF(E395="","",IF(M395&lt;=0,"Paid",IF(L395&gt;0,"Part Paid","Unpaid")))</f>
        <v/>
      </c>
      <c r="O395">
        <f>IF(E395="","",IFERROR(_xludf.MAXIFS(PAYMENTS!A:A,PAYMENTS!C:C,E395),""))</f>
        <v/>
      </c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>
        <f>IF(E396="","",SUMIF(PAYMENTS!C:C,E396,PAYMENTS!E:E))</f>
        <v/>
      </c>
      <c r="M396">
        <f>IF(E396="","",J396-L396)</f>
        <v/>
      </c>
      <c r="N396">
        <f>IF(E396="","",IF(M396&lt;=0,"Paid",IF(L396&gt;0,"Part Paid","Unpaid")))</f>
        <v/>
      </c>
      <c r="O396">
        <f>IF(E396="","",IFERROR(_xludf.MAXIFS(PAYMENTS!A:A,PAYMENTS!C:C,E396),""))</f>
        <v/>
      </c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>
        <f>IF(E397="","",SUMIF(PAYMENTS!C:C,E397,PAYMENTS!E:E))</f>
        <v/>
      </c>
      <c r="M397">
        <f>IF(E397="","",J397-L397)</f>
        <v/>
      </c>
      <c r="N397">
        <f>IF(E397="","",IF(M397&lt;=0,"Paid",IF(L397&gt;0,"Part Paid","Unpaid")))</f>
        <v/>
      </c>
      <c r="O397">
        <f>IF(E397="","",IFERROR(_xludf.MAXIFS(PAYMENTS!A:A,PAYMENTS!C:C,E397),""))</f>
        <v/>
      </c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>
        <f>IF(E398="","",SUMIF(PAYMENTS!C:C,E398,PAYMENTS!E:E))</f>
        <v/>
      </c>
      <c r="M398">
        <f>IF(E398="","",J398-L398)</f>
        <v/>
      </c>
      <c r="N398">
        <f>IF(E398="","",IF(M398&lt;=0,"Paid",IF(L398&gt;0,"Part Paid","Unpaid")))</f>
        <v/>
      </c>
      <c r="O398">
        <f>IF(E398="","",IFERROR(_xludf.MAXIFS(PAYMENTS!A:A,PAYMENTS!C:C,E398),""))</f>
        <v/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>
        <f>IF(E399="","",SUMIF(PAYMENTS!C:C,E399,PAYMENTS!E:E))</f>
        <v/>
      </c>
      <c r="M399">
        <f>IF(E399="","",J399-L399)</f>
        <v/>
      </c>
      <c r="N399">
        <f>IF(E399="","",IF(M399&lt;=0,"Paid",IF(L399&gt;0,"Part Paid","Unpaid")))</f>
        <v/>
      </c>
      <c r="O399">
        <f>IF(E399="","",IFERROR(_xludf.MAXIFS(PAYMENTS!A:A,PAYMENTS!C:C,E399),""))</f>
        <v/>
      </c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>
        <f>IF(E400="","",SUMIF(PAYMENTS!C:C,E400,PAYMENTS!E:E))</f>
        <v/>
      </c>
      <c r="M400">
        <f>IF(E400="","",J400-L400)</f>
        <v/>
      </c>
      <c r="N400">
        <f>IF(E400="","",IF(M400&lt;=0,"Paid",IF(L400&gt;0,"Part Paid","Unpaid")))</f>
        <v/>
      </c>
      <c r="O400">
        <f>IF(E400="","",IFERROR(_xludf.MAXIFS(PAYMENTS!A:A,PAYMENTS!C:C,E400),""))</f>
        <v/>
      </c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>
        <f>IF(E401="","",SUMIF(PAYMENTS!C:C,E401,PAYMENTS!E:E))</f>
        <v/>
      </c>
      <c r="M401">
        <f>IF(E401="","",J401-L401)</f>
        <v/>
      </c>
      <c r="N401">
        <f>IF(E401="","",IF(M401&lt;=0,"Paid",IF(L401&gt;0,"Part Paid","Unpaid")))</f>
        <v/>
      </c>
      <c r="O401">
        <f>IF(E401="","",IFERROR(_xludf.MAXIFS(PAYMENTS!A:A,PAYMENTS!C:C,E401),""))</f>
        <v/>
      </c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>
        <f>IF(E402="","",SUMIF(PAYMENTS!C:C,E402,PAYMENTS!E:E))</f>
        <v/>
      </c>
      <c r="M402">
        <f>IF(E402="","",J402-L402)</f>
        <v/>
      </c>
      <c r="N402">
        <f>IF(E402="","",IF(M402&lt;=0,"Paid",IF(L402&gt;0,"Part Paid","Unpaid")))</f>
        <v/>
      </c>
      <c r="O402">
        <f>IF(E402="","",IFERROR(_xludf.MAXIFS(PAYMENTS!A:A,PAYMENTS!C:C,E402),""))</f>
        <v/>
      </c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>
        <f>IF(E403="","",SUMIF(PAYMENTS!C:C,E403,PAYMENTS!E:E))</f>
        <v/>
      </c>
      <c r="M403">
        <f>IF(E403="","",J403-L403)</f>
        <v/>
      </c>
      <c r="N403">
        <f>IF(E403="","",IF(M403&lt;=0,"Paid",IF(L403&gt;0,"Part Paid","Unpaid")))</f>
        <v/>
      </c>
      <c r="O403">
        <f>IF(E403="","",IFERROR(_xludf.MAXIFS(PAYMENTS!A:A,PAYMENTS!C:C,E403),""))</f>
        <v/>
      </c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>
        <f>IF(E404="","",SUMIF(PAYMENTS!C:C,E404,PAYMENTS!E:E))</f>
        <v/>
      </c>
      <c r="M404">
        <f>IF(E404="","",J404-L404)</f>
        <v/>
      </c>
      <c r="N404">
        <f>IF(E404="","",IF(M404&lt;=0,"Paid",IF(L404&gt;0,"Part Paid","Unpaid")))</f>
        <v/>
      </c>
      <c r="O404">
        <f>IF(E404="","",IFERROR(_xludf.MAXIFS(PAYMENTS!A:A,PAYMENTS!C:C,E404),""))</f>
        <v/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>
        <f>IF(E405="","",SUMIF(PAYMENTS!C:C,E405,PAYMENTS!E:E))</f>
        <v/>
      </c>
      <c r="M405">
        <f>IF(E405="","",J405-L405)</f>
        <v/>
      </c>
      <c r="N405">
        <f>IF(E405="","",IF(M405&lt;=0,"Paid",IF(L405&gt;0,"Part Paid","Unpaid")))</f>
        <v/>
      </c>
      <c r="O405">
        <f>IF(E405="","",IFERROR(_xludf.MAXIFS(PAYMENTS!A:A,PAYMENTS!C:C,E405),""))</f>
        <v/>
      </c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>
        <f>IF(E406="","",SUMIF(PAYMENTS!C:C,E406,PAYMENTS!E:E))</f>
        <v/>
      </c>
      <c r="M406">
        <f>IF(E406="","",J406-L406)</f>
        <v/>
      </c>
      <c r="N406">
        <f>IF(E406="","",IF(M406&lt;=0,"Paid",IF(L406&gt;0,"Part Paid","Unpaid")))</f>
        <v/>
      </c>
      <c r="O406">
        <f>IF(E406="","",IFERROR(_xludf.MAXIFS(PAYMENTS!A:A,PAYMENTS!C:C,E406),""))</f>
        <v/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>
        <f>IF(E407="","",SUMIF(PAYMENTS!C:C,E407,PAYMENTS!E:E))</f>
        <v/>
      </c>
      <c r="M407">
        <f>IF(E407="","",J407-L407)</f>
        <v/>
      </c>
      <c r="N407">
        <f>IF(E407="","",IF(M407&lt;=0,"Paid",IF(L407&gt;0,"Part Paid","Unpaid")))</f>
        <v/>
      </c>
      <c r="O407">
        <f>IF(E407="","",IFERROR(_xludf.MAXIFS(PAYMENTS!A:A,PAYMENTS!C:C,E407),""))</f>
        <v/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>
        <f>IF(E408="","",SUMIF(PAYMENTS!C:C,E408,PAYMENTS!E:E))</f>
        <v/>
      </c>
      <c r="M408">
        <f>IF(E408="","",J408-L408)</f>
        <v/>
      </c>
      <c r="N408">
        <f>IF(E408="","",IF(M408&lt;=0,"Paid",IF(L408&gt;0,"Part Paid","Unpaid")))</f>
        <v/>
      </c>
      <c r="O408">
        <f>IF(E408="","",IFERROR(_xludf.MAXIFS(PAYMENTS!A:A,PAYMENTS!C:C,E408),""))</f>
        <v/>
      </c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>
        <f>IF(E409="","",SUMIF(PAYMENTS!C:C,E409,PAYMENTS!E:E))</f>
        <v/>
      </c>
      <c r="M409">
        <f>IF(E409="","",J409-L409)</f>
        <v/>
      </c>
      <c r="N409">
        <f>IF(E409="","",IF(M409&lt;=0,"Paid",IF(L409&gt;0,"Part Paid","Unpaid")))</f>
        <v/>
      </c>
      <c r="O409">
        <f>IF(E409="","",IFERROR(_xludf.MAXIFS(PAYMENTS!A:A,PAYMENTS!C:C,E409),""))</f>
        <v/>
      </c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>
        <f>IF(E410="","",SUMIF(PAYMENTS!C:C,E410,PAYMENTS!E:E))</f>
        <v/>
      </c>
      <c r="M410">
        <f>IF(E410="","",J410-L410)</f>
        <v/>
      </c>
      <c r="N410">
        <f>IF(E410="","",IF(M410&lt;=0,"Paid",IF(L410&gt;0,"Part Paid","Unpaid")))</f>
        <v/>
      </c>
      <c r="O410">
        <f>IF(E410="","",IFERROR(_xludf.MAXIFS(PAYMENTS!A:A,PAYMENTS!C:C,E410),""))</f>
        <v/>
      </c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>
        <f>IF(E411="","",SUMIF(PAYMENTS!C:C,E411,PAYMENTS!E:E))</f>
        <v/>
      </c>
      <c r="M411">
        <f>IF(E411="","",J411-L411)</f>
        <v/>
      </c>
      <c r="N411">
        <f>IF(E411="","",IF(M411&lt;=0,"Paid",IF(L411&gt;0,"Part Paid","Unpaid")))</f>
        <v/>
      </c>
      <c r="O411">
        <f>IF(E411="","",IFERROR(_xludf.MAXIFS(PAYMENTS!A:A,PAYMENTS!C:C,E411),""))</f>
        <v/>
      </c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>
        <f>IF(E412="","",SUMIF(PAYMENTS!C:C,E412,PAYMENTS!E:E))</f>
        <v/>
      </c>
      <c r="M412">
        <f>IF(E412="","",J412-L412)</f>
        <v/>
      </c>
      <c r="N412">
        <f>IF(E412="","",IF(M412&lt;=0,"Paid",IF(L412&gt;0,"Part Paid","Unpaid")))</f>
        <v/>
      </c>
      <c r="O412">
        <f>IF(E412="","",IFERROR(_xludf.MAXIFS(PAYMENTS!A:A,PAYMENTS!C:C,E412),""))</f>
        <v/>
      </c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>
        <f>IF(E413="","",SUMIF(PAYMENTS!C:C,E413,PAYMENTS!E:E))</f>
        <v/>
      </c>
      <c r="M413">
        <f>IF(E413="","",J413-L413)</f>
        <v/>
      </c>
      <c r="N413">
        <f>IF(E413="","",IF(M413&lt;=0,"Paid",IF(L413&gt;0,"Part Paid","Unpaid")))</f>
        <v/>
      </c>
      <c r="O413">
        <f>IF(E413="","",IFERROR(_xludf.MAXIFS(PAYMENTS!A:A,PAYMENTS!C:C,E413),""))</f>
        <v/>
      </c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>
        <f>IF(E414="","",SUMIF(PAYMENTS!C:C,E414,PAYMENTS!E:E))</f>
        <v/>
      </c>
      <c r="M414">
        <f>IF(E414="","",J414-L414)</f>
        <v/>
      </c>
      <c r="N414">
        <f>IF(E414="","",IF(M414&lt;=0,"Paid",IF(L414&gt;0,"Part Paid","Unpaid")))</f>
        <v/>
      </c>
      <c r="O414">
        <f>IF(E414="","",IFERROR(_xludf.MAXIFS(PAYMENTS!A:A,PAYMENTS!C:C,E414),""))</f>
        <v/>
      </c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>
        <f>IF(E415="","",SUMIF(PAYMENTS!C:C,E415,PAYMENTS!E:E))</f>
        <v/>
      </c>
      <c r="M415">
        <f>IF(E415="","",J415-L415)</f>
        <v/>
      </c>
      <c r="N415">
        <f>IF(E415="","",IF(M415&lt;=0,"Paid",IF(L415&gt;0,"Part Paid","Unpaid")))</f>
        <v/>
      </c>
      <c r="O415">
        <f>IF(E415="","",IFERROR(_xludf.MAXIFS(PAYMENTS!A:A,PAYMENTS!C:C,E415),""))</f>
        <v/>
      </c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>
        <f>IF(E416="","",SUMIF(PAYMENTS!C:C,E416,PAYMENTS!E:E))</f>
        <v/>
      </c>
      <c r="M416">
        <f>IF(E416="","",J416-L416)</f>
        <v/>
      </c>
      <c r="N416">
        <f>IF(E416="","",IF(M416&lt;=0,"Paid",IF(L416&gt;0,"Part Paid","Unpaid")))</f>
        <v/>
      </c>
      <c r="O416">
        <f>IF(E416="","",IFERROR(_xludf.MAXIFS(PAYMENTS!A:A,PAYMENTS!C:C,E416),""))</f>
        <v/>
      </c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>
        <f>IF(E417="","",SUMIF(PAYMENTS!C:C,E417,PAYMENTS!E:E))</f>
        <v/>
      </c>
      <c r="M417">
        <f>IF(E417="","",J417-L417)</f>
        <v/>
      </c>
      <c r="N417">
        <f>IF(E417="","",IF(M417&lt;=0,"Paid",IF(L417&gt;0,"Part Paid","Unpaid")))</f>
        <v/>
      </c>
      <c r="O417">
        <f>IF(E417="","",IFERROR(_xludf.MAXIFS(PAYMENTS!A:A,PAYMENTS!C:C,E417),""))</f>
        <v/>
      </c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>
        <f>IF(E418="","",SUMIF(PAYMENTS!C:C,E418,PAYMENTS!E:E))</f>
        <v/>
      </c>
      <c r="M418">
        <f>IF(E418="","",J418-L418)</f>
        <v/>
      </c>
      <c r="N418">
        <f>IF(E418="","",IF(M418&lt;=0,"Paid",IF(L418&gt;0,"Part Paid","Unpaid")))</f>
        <v/>
      </c>
      <c r="O418">
        <f>IF(E418="","",IFERROR(_xludf.MAXIFS(PAYMENTS!A:A,PAYMENTS!C:C,E418),""))</f>
        <v/>
      </c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>
        <f>IF(E419="","",SUMIF(PAYMENTS!C:C,E419,PAYMENTS!E:E))</f>
        <v/>
      </c>
      <c r="M419">
        <f>IF(E419="","",J419-L419)</f>
        <v/>
      </c>
      <c r="N419">
        <f>IF(E419="","",IF(M419&lt;=0,"Paid",IF(L419&gt;0,"Part Paid","Unpaid")))</f>
        <v/>
      </c>
      <c r="O419">
        <f>IF(E419="","",IFERROR(_xludf.MAXIFS(PAYMENTS!A:A,PAYMENTS!C:C,E419),""))</f>
        <v/>
      </c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>
        <f>IF(E420="","",SUMIF(PAYMENTS!C:C,E420,PAYMENTS!E:E))</f>
        <v/>
      </c>
      <c r="M420">
        <f>IF(E420="","",J420-L420)</f>
        <v/>
      </c>
      <c r="N420">
        <f>IF(E420="","",IF(M420&lt;=0,"Paid",IF(L420&gt;0,"Part Paid","Unpaid")))</f>
        <v/>
      </c>
      <c r="O420">
        <f>IF(E420="","",IFERROR(_xludf.MAXIFS(PAYMENTS!A:A,PAYMENTS!C:C,E420),""))</f>
        <v/>
      </c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>
        <f>IF(E421="","",SUMIF(PAYMENTS!C:C,E421,PAYMENTS!E:E))</f>
        <v/>
      </c>
      <c r="M421">
        <f>IF(E421="","",J421-L421)</f>
        <v/>
      </c>
      <c r="N421">
        <f>IF(E421="","",IF(M421&lt;=0,"Paid",IF(L421&gt;0,"Part Paid","Unpaid")))</f>
        <v/>
      </c>
      <c r="O421">
        <f>IF(E421="","",IFERROR(_xludf.MAXIFS(PAYMENTS!A:A,PAYMENTS!C:C,E421),""))</f>
        <v/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>
        <f>IF(E422="","",SUMIF(PAYMENTS!C:C,E422,PAYMENTS!E:E))</f>
        <v/>
      </c>
      <c r="M422">
        <f>IF(E422="","",J422-L422)</f>
        <v/>
      </c>
      <c r="N422">
        <f>IF(E422="","",IF(M422&lt;=0,"Paid",IF(L422&gt;0,"Part Paid","Unpaid")))</f>
        <v/>
      </c>
      <c r="O422">
        <f>IF(E422="","",IFERROR(_xludf.MAXIFS(PAYMENTS!A:A,PAYMENTS!C:C,E422),""))</f>
        <v/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>
        <f>IF(E423="","",SUMIF(PAYMENTS!C:C,E423,PAYMENTS!E:E))</f>
        <v/>
      </c>
      <c r="M423">
        <f>IF(E423="","",J423-L423)</f>
        <v/>
      </c>
      <c r="N423">
        <f>IF(E423="","",IF(M423&lt;=0,"Paid",IF(L423&gt;0,"Part Paid","Unpaid")))</f>
        <v/>
      </c>
      <c r="O423">
        <f>IF(E423="","",IFERROR(_xludf.MAXIFS(PAYMENTS!A:A,PAYMENTS!C:C,E423),""))</f>
        <v/>
      </c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>
        <f>IF(E424="","",SUMIF(PAYMENTS!C:C,E424,PAYMENTS!E:E))</f>
        <v/>
      </c>
      <c r="M424">
        <f>IF(E424="","",J424-L424)</f>
        <v/>
      </c>
      <c r="N424">
        <f>IF(E424="","",IF(M424&lt;=0,"Paid",IF(L424&gt;0,"Part Paid","Unpaid")))</f>
        <v/>
      </c>
      <c r="O424">
        <f>IF(E424="","",IFERROR(_xludf.MAXIFS(PAYMENTS!A:A,PAYMENTS!C:C,E424),""))</f>
        <v/>
      </c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>
        <f>IF(E425="","",SUMIF(PAYMENTS!C:C,E425,PAYMENTS!E:E))</f>
        <v/>
      </c>
      <c r="M425">
        <f>IF(E425="","",J425-L425)</f>
        <v/>
      </c>
      <c r="N425">
        <f>IF(E425="","",IF(M425&lt;=0,"Paid",IF(L425&gt;0,"Part Paid","Unpaid")))</f>
        <v/>
      </c>
      <c r="O425">
        <f>IF(E425="","",IFERROR(_xludf.MAXIFS(PAYMENTS!A:A,PAYMENTS!C:C,E425),""))</f>
        <v/>
      </c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>
        <f>IF(E426="","",SUMIF(PAYMENTS!C:C,E426,PAYMENTS!E:E))</f>
        <v/>
      </c>
      <c r="M426">
        <f>IF(E426="","",J426-L426)</f>
        <v/>
      </c>
      <c r="N426">
        <f>IF(E426="","",IF(M426&lt;=0,"Paid",IF(L426&gt;0,"Part Paid","Unpaid")))</f>
        <v/>
      </c>
      <c r="O426">
        <f>IF(E426="","",IFERROR(_xludf.MAXIFS(PAYMENTS!A:A,PAYMENTS!C:C,E426),""))</f>
        <v/>
      </c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>
        <f>IF(E427="","",SUMIF(PAYMENTS!C:C,E427,PAYMENTS!E:E))</f>
        <v/>
      </c>
      <c r="M427">
        <f>IF(E427="","",J427-L427)</f>
        <v/>
      </c>
      <c r="N427">
        <f>IF(E427="","",IF(M427&lt;=0,"Paid",IF(L427&gt;0,"Part Paid","Unpaid")))</f>
        <v/>
      </c>
      <c r="O427">
        <f>IF(E427="","",IFERROR(_xludf.MAXIFS(PAYMENTS!A:A,PAYMENTS!C:C,E427),""))</f>
        <v/>
      </c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>
        <f>IF(E428="","",SUMIF(PAYMENTS!C:C,E428,PAYMENTS!E:E))</f>
        <v/>
      </c>
      <c r="M428">
        <f>IF(E428="","",J428-L428)</f>
        <v/>
      </c>
      <c r="N428">
        <f>IF(E428="","",IF(M428&lt;=0,"Paid",IF(L428&gt;0,"Part Paid","Unpaid")))</f>
        <v/>
      </c>
      <c r="O428">
        <f>IF(E428="","",IFERROR(_xludf.MAXIFS(PAYMENTS!A:A,PAYMENTS!C:C,E428),""))</f>
        <v/>
      </c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>
        <f>IF(E429="","",SUMIF(PAYMENTS!C:C,E429,PAYMENTS!E:E))</f>
        <v/>
      </c>
      <c r="M429">
        <f>IF(E429="","",J429-L429)</f>
        <v/>
      </c>
      <c r="N429">
        <f>IF(E429="","",IF(M429&lt;=0,"Paid",IF(L429&gt;0,"Part Paid","Unpaid")))</f>
        <v/>
      </c>
      <c r="O429">
        <f>IF(E429="","",IFERROR(_xludf.MAXIFS(PAYMENTS!A:A,PAYMENTS!C:C,E429),""))</f>
        <v/>
      </c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>
        <f>IF(E430="","",SUMIF(PAYMENTS!C:C,E430,PAYMENTS!E:E))</f>
        <v/>
      </c>
      <c r="M430">
        <f>IF(E430="","",J430-L430)</f>
        <v/>
      </c>
      <c r="N430">
        <f>IF(E430="","",IF(M430&lt;=0,"Paid",IF(L430&gt;0,"Part Paid","Unpaid")))</f>
        <v/>
      </c>
      <c r="O430">
        <f>IF(E430="","",IFERROR(_xludf.MAXIFS(PAYMENTS!A:A,PAYMENTS!C:C,E430),""))</f>
        <v/>
      </c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>
        <f>IF(E431="","",SUMIF(PAYMENTS!C:C,E431,PAYMENTS!E:E))</f>
        <v/>
      </c>
      <c r="M431">
        <f>IF(E431="","",J431-L431)</f>
        <v/>
      </c>
      <c r="N431">
        <f>IF(E431="","",IF(M431&lt;=0,"Paid",IF(L431&gt;0,"Part Paid","Unpaid")))</f>
        <v/>
      </c>
      <c r="O431">
        <f>IF(E431="","",IFERROR(_xludf.MAXIFS(PAYMENTS!A:A,PAYMENTS!C:C,E431),""))</f>
        <v/>
      </c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>
        <f>IF(E432="","",SUMIF(PAYMENTS!C:C,E432,PAYMENTS!E:E))</f>
        <v/>
      </c>
      <c r="M432">
        <f>IF(E432="","",J432-L432)</f>
        <v/>
      </c>
      <c r="N432">
        <f>IF(E432="","",IF(M432&lt;=0,"Paid",IF(L432&gt;0,"Part Paid","Unpaid")))</f>
        <v/>
      </c>
      <c r="O432">
        <f>IF(E432="","",IFERROR(_xludf.MAXIFS(PAYMENTS!A:A,PAYMENTS!C:C,E432),""))</f>
        <v/>
      </c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>
        <f>IF(E433="","",SUMIF(PAYMENTS!C:C,E433,PAYMENTS!E:E))</f>
        <v/>
      </c>
      <c r="M433">
        <f>IF(E433="","",J433-L433)</f>
        <v/>
      </c>
      <c r="N433">
        <f>IF(E433="","",IF(M433&lt;=0,"Paid",IF(L433&gt;0,"Part Paid","Unpaid")))</f>
        <v/>
      </c>
      <c r="O433">
        <f>IF(E433="","",IFERROR(_xludf.MAXIFS(PAYMENTS!A:A,PAYMENTS!C:C,E433),""))</f>
        <v/>
      </c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>
        <f>IF(E434="","",SUMIF(PAYMENTS!C:C,E434,PAYMENTS!E:E))</f>
        <v/>
      </c>
      <c r="M434">
        <f>IF(E434="","",J434-L434)</f>
        <v/>
      </c>
      <c r="N434">
        <f>IF(E434="","",IF(M434&lt;=0,"Paid",IF(L434&gt;0,"Part Paid","Unpaid")))</f>
        <v/>
      </c>
      <c r="O434">
        <f>IF(E434="","",IFERROR(_xludf.MAXIFS(PAYMENTS!A:A,PAYMENTS!C:C,E434),""))</f>
        <v/>
      </c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>
        <f>IF(E435="","",SUMIF(PAYMENTS!C:C,E435,PAYMENTS!E:E))</f>
        <v/>
      </c>
      <c r="M435">
        <f>IF(E435="","",J435-L435)</f>
        <v/>
      </c>
      <c r="N435">
        <f>IF(E435="","",IF(M435&lt;=0,"Paid",IF(L435&gt;0,"Part Paid","Unpaid")))</f>
        <v/>
      </c>
      <c r="O435">
        <f>IF(E435="","",IFERROR(_xludf.MAXIFS(PAYMENTS!A:A,PAYMENTS!C:C,E435),""))</f>
        <v/>
      </c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>
        <f>IF(E436="","",SUMIF(PAYMENTS!C:C,E436,PAYMENTS!E:E))</f>
        <v/>
      </c>
      <c r="M436">
        <f>IF(E436="","",J436-L436)</f>
        <v/>
      </c>
      <c r="N436">
        <f>IF(E436="","",IF(M436&lt;=0,"Paid",IF(L436&gt;0,"Part Paid","Unpaid")))</f>
        <v/>
      </c>
      <c r="O436">
        <f>IF(E436="","",IFERROR(_xludf.MAXIFS(PAYMENTS!A:A,PAYMENTS!C:C,E436),""))</f>
        <v/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>
        <f>IF(E437="","",SUMIF(PAYMENTS!C:C,E437,PAYMENTS!E:E))</f>
        <v/>
      </c>
      <c r="M437">
        <f>IF(E437="","",J437-L437)</f>
        <v/>
      </c>
      <c r="N437">
        <f>IF(E437="","",IF(M437&lt;=0,"Paid",IF(L437&gt;0,"Part Paid","Unpaid")))</f>
        <v/>
      </c>
      <c r="O437">
        <f>IF(E437="","",IFERROR(_xludf.MAXIFS(PAYMENTS!A:A,PAYMENTS!C:C,E437),""))</f>
        <v/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>
        <f>IF(E438="","",SUMIF(PAYMENTS!C:C,E438,PAYMENTS!E:E))</f>
        <v/>
      </c>
      <c r="M438">
        <f>IF(E438="","",J438-L438)</f>
        <v/>
      </c>
      <c r="N438">
        <f>IF(E438="","",IF(M438&lt;=0,"Paid",IF(L438&gt;0,"Part Paid","Unpaid")))</f>
        <v/>
      </c>
      <c r="O438">
        <f>IF(E438="","",IFERROR(_xludf.MAXIFS(PAYMENTS!A:A,PAYMENTS!C:C,E438),""))</f>
        <v/>
      </c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>
        <f>IF(E439="","",SUMIF(PAYMENTS!C:C,E439,PAYMENTS!E:E))</f>
        <v/>
      </c>
      <c r="M439">
        <f>IF(E439="","",J439-L439)</f>
        <v/>
      </c>
      <c r="N439">
        <f>IF(E439="","",IF(M439&lt;=0,"Paid",IF(L439&gt;0,"Part Paid","Unpaid")))</f>
        <v/>
      </c>
      <c r="O439">
        <f>IF(E439="","",IFERROR(_xludf.MAXIFS(PAYMENTS!A:A,PAYMENTS!C:C,E439),""))</f>
        <v/>
      </c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>
        <f>IF(E440="","",SUMIF(PAYMENTS!C:C,E440,PAYMENTS!E:E))</f>
        <v/>
      </c>
      <c r="M440">
        <f>IF(E440="","",J440-L440)</f>
        <v/>
      </c>
      <c r="N440">
        <f>IF(E440="","",IF(M440&lt;=0,"Paid",IF(L440&gt;0,"Part Paid","Unpaid")))</f>
        <v/>
      </c>
      <c r="O440">
        <f>IF(E440="","",IFERROR(_xludf.MAXIFS(PAYMENTS!A:A,PAYMENTS!C:C,E440),""))</f>
        <v/>
      </c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>
        <f>IF(E441="","",SUMIF(PAYMENTS!C:C,E441,PAYMENTS!E:E))</f>
        <v/>
      </c>
      <c r="M441">
        <f>IF(E441="","",J441-L441)</f>
        <v/>
      </c>
      <c r="N441">
        <f>IF(E441="","",IF(M441&lt;=0,"Paid",IF(L441&gt;0,"Part Paid","Unpaid")))</f>
        <v/>
      </c>
      <c r="O441">
        <f>IF(E441="","",IFERROR(_xludf.MAXIFS(PAYMENTS!A:A,PAYMENTS!C:C,E441),""))</f>
        <v/>
      </c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>
        <f>IF(E442="","",SUMIF(PAYMENTS!C:C,E442,PAYMENTS!E:E))</f>
        <v/>
      </c>
      <c r="M442">
        <f>IF(E442="","",J442-L442)</f>
        <v/>
      </c>
      <c r="N442">
        <f>IF(E442="","",IF(M442&lt;=0,"Paid",IF(L442&gt;0,"Part Paid","Unpaid")))</f>
        <v/>
      </c>
      <c r="O442">
        <f>IF(E442="","",IFERROR(_xludf.MAXIFS(PAYMENTS!A:A,PAYMENTS!C:C,E442),""))</f>
        <v/>
      </c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>
        <f>IF(E443="","",SUMIF(PAYMENTS!C:C,E443,PAYMENTS!E:E))</f>
        <v/>
      </c>
      <c r="M443">
        <f>IF(E443="","",J443-L443)</f>
        <v/>
      </c>
      <c r="N443">
        <f>IF(E443="","",IF(M443&lt;=0,"Paid",IF(L443&gt;0,"Part Paid","Unpaid")))</f>
        <v/>
      </c>
      <c r="O443">
        <f>IF(E443="","",IFERROR(_xludf.MAXIFS(PAYMENTS!A:A,PAYMENTS!C:C,E443),""))</f>
        <v/>
      </c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>
        <f>IF(E444="","",SUMIF(PAYMENTS!C:C,E444,PAYMENTS!E:E))</f>
        <v/>
      </c>
      <c r="M444">
        <f>IF(E444="","",J444-L444)</f>
        <v/>
      </c>
      <c r="N444">
        <f>IF(E444="","",IF(M444&lt;=0,"Paid",IF(L444&gt;0,"Part Paid","Unpaid")))</f>
        <v/>
      </c>
      <c r="O444">
        <f>IF(E444="","",IFERROR(_xludf.MAXIFS(PAYMENTS!A:A,PAYMENTS!C:C,E444),""))</f>
        <v/>
      </c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>
        <f>IF(E445="","",SUMIF(PAYMENTS!C:C,E445,PAYMENTS!E:E))</f>
        <v/>
      </c>
      <c r="M445">
        <f>IF(E445="","",J445-L445)</f>
        <v/>
      </c>
      <c r="N445">
        <f>IF(E445="","",IF(M445&lt;=0,"Paid",IF(L445&gt;0,"Part Paid","Unpaid")))</f>
        <v/>
      </c>
      <c r="O445">
        <f>IF(E445="","",IFERROR(_xludf.MAXIFS(PAYMENTS!A:A,PAYMENTS!C:C,E445),""))</f>
        <v/>
      </c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>
        <f>IF(E446="","",SUMIF(PAYMENTS!C:C,E446,PAYMENTS!E:E))</f>
        <v/>
      </c>
      <c r="M446">
        <f>IF(E446="","",J446-L446)</f>
        <v/>
      </c>
      <c r="N446">
        <f>IF(E446="","",IF(M446&lt;=0,"Paid",IF(L446&gt;0,"Part Paid","Unpaid")))</f>
        <v/>
      </c>
      <c r="O446">
        <f>IF(E446="","",IFERROR(_xludf.MAXIFS(PAYMENTS!A:A,PAYMENTS!C:C,E446),""))</f>
        <v/>
      </c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>
        <f>IF(E447="","",SUMIF(PAYMENTS!C:C,E447,PAYMENTS!E:E))</f>
        <v/>
      </c>
      <c r="M447">
        <f>IF(E447="","",J447-L447)</f>
        <v/>
      </c>
      <c r="N447">
        <f>IF(E447="","",IF(M447&lt;=0,"Paid",IF(L447&gt;0,"Part Paid","Unpaid")))</f>
        <v/>
      </c>
      <c r="O447">
        <f>IF(E447="","",IFERROR(_xludf.MAXIFS(PAYMENTS!A:A,PAYMENTS!C:C,E447),""))</f>
        <v/>
      </c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>
        <f>IF(E448="","",SUMIF(PAYMENTS!C:C,E448,PAYMENTS!E:E))</f>
        <v/>
      </c>
      <c r="M448">
        <f>IF(E448="","",J448-L448)</f>
        <v/>
      </c>
      <c r="N448">
        <f>IF(E448="","",IF(M448&lt;=0,"Paid",IF(L448&gt;0,"Part Paid","Unpaid")))</f>
        <v/>
      </c>
      <c r="O448">
        <f>IF(E448="","",IFERROR(_xludf.MAXIFS(PAYMENTS!A:A,PAYMENTS!C:C,E448),""))</f>
        <v/>
      </c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>
        <f>IF(E449="","",SUMIF(PAYMENTS!C:C,E449,PAYMENTS!E:E))</f>
        <v/>
      </c>
      <c r="M449">
        <f>IF(E449="","",J449-L449)</f>
        <v/>
      </c>
      <c r="N449">
        <f>IF(E449="","",IF(M449&lt;=0,"Paid",IF(L449&gt;0,"Part Paid","Unpaid")))</f>
        <v/>
      </c>
      <c r="O449">
        <f>IF(E449="","",IFERROR(_xludf.MAXIFS(PAYMENTS!A:A,PAYMENTS!C:C,E449),""))</f>
        <v/>
      </c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>
        <f>IF(E450="","",SUMIF(PAYMENTS!C:C,E450,PAYMENTS!E:E))</f>
        <v/>
      </c>
      <c r="M450">
        <f>IF(E450="","",J450-L450)</f>
        <v/>
      </c>
      <c r="N450">
        <f>IF(E450="","",IF(M450&lt;=0,"Paid",IF(L450&gt;0,"Part Paid","Unpaid")))</f>
        <v/>
      </c>
      <c r="O450">
        <f>IF(E450="","",IFERROR(_xludf.MAXIFS(PAYMENTS!A:A,PAYMENTS!C:C,E450),""))</f>
        <v/>
      </c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>
        <f>IF(E451="","",SUMIF(PAYMENTS!C:C,E451,PAYMENTS!E:E))</f>
        <v/>
      </c>
      <c r="M451">
        <f>IF(E451="","",J451-L451)</f>
        <v/>
      </c>
      <c r="N451">
        <f>IF(E451="","",IF(M451&lt;=0,"Paid",IF(L451&gt;0,"Part Paid","Unpaid")))</f>
        <v/>
      </c>
      <c r="O451">
        <f>IF(E451="","",IFERROR(_xludf.MAXIFS(PAYMENTS!A:A,PAYMENTS!C:C,E451),""))</f>
        <v/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>
        <f>IF(E452="","",SUMIF(PAYMENTS!C:C,E452,PAYMENTS!E:E))</f>
        <v/>
      </c>
      <c r="M452">
        <f>IF(E452="","",J452-L452)</f>
        <v/>
      </c>
      <c r="N452">
        <f>IF(E452="","",IF(M452&lt;=0,"Paid",IF(L452&gt;0,"Part Paid","Unpaid")))</f>
        <v/>
      </c>
      <c r="O452">
        <f>IF(E452="","",IFERROR(_xludf.MAXIFS(PAYMENTS!A:A,PAYMENTS!C:C,E452),""))</f>
        <v/>
      </c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>
        <f>IF(E453="","",SUMIF(PAYMENTS!C:C,E453,PAYMENTS!E:E))</f>
        <v/>
      </c>
      <c r="M453">
        <f>IF(E453="","",J453-L453)</f>
        <v/>
      </c>
      <c r="N453">
        <f>IF(E453="","",IF(M453&lt;=0,"Paid",IF(L453&gt;0,"Part Paid","Unpaid")))</f>
        <v/>
      </c>
      <c r="O453">
        <f>IF(E453="","",IFERROR(_xludf.MAXIFS(PAYMENTS!A:A,PAYMENTS!C:C,E453),""))</f>
        <v/>
      </c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>
        <f>IF(E454="","",SUMIF(PAYMENTS!C:C,E454,PAYMENTS!E:E))</f>
        <v/>
      </c>
      <c r="M454">
        <f>IF(E454="","",J454-L454)</f>
        <v/>
      </c>
      <c r="N454">
        <f>IF(E454="","",IF(M454&lt;=0,"Paid",IF(L454&gt;0,"Part Paid","Unpaid")))</f>
        <v/>
      </c>
      <c r="O454">
        <f>IF(E454="","",IFERROR(_xludf.MAXIFS(PAYMENTS!A:A,PAYMENTS!C:C,E454),""))</f>
        <v/>
      </c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>
        <f>IF(E455="","",SUMIF(PAYMENTS!C:C,E455,PAYMENTS!E:E))</f>
        <v/>
      </c>
      <c r="M455">
        <f>IF(E455="","",J455-L455)</f>
        <v/>
      </c>
      <c r="N455">
        <f>IF(E455="","",IF(M455&lt;=0,"Paid",IF(L455&gt;0,"Part Paid","Unpaid")))</f>
        <v/>
      </c>
      <c r="O455">
        <f>IF(E455="","",IFERROR(_xludf.MAXIFS(PAYMENTS!A:A,PAYMENTS!C:C,E455),""))</f>
        <v/>
      </c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>
        <f>IF(E456="","",SUMIF(PAYMENTS!C:C,E456,PAYMENTS!E:E))</f>
        <v/>
      </c>
      <c r="M456">
        <f>IF(E456="","",J456-L456)</f>
        <v/>
      </c>
      <c r="N456">
        <f>IF(E456="","",IF(M456&lt;=0,"Paid",IF(L456&gt;0,"Part Paid","Unpaid")))</f>
        <v/>
      </c>
      <c r="O456">
        <f>IF(E456="","",IFERROR(_xludf.MAXIFS(PAYMENTS!A:A,PAYMENTS!C:C,E456),""))</f>
        <v/>
      </c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>
        <f>IF(E457="","",SUMIF(PAYMENTS!C:C,E457,PAYMENTS!E:E))</f>
        <v/>
      </c>
      <c r="M457">
        <f>IF(E457="","",J457-L457)</f>
        <v/>
      </c>
      <c r="N457">
        <f>IF(E457="","",IF(M457&lt;=0,"Paid",IF(L457&gt;0,"Part Paid","Unpaid")))</f>
        <v/>
      </c>
      <c r="O457">
        <f>IF(E457="","",IFERROR(_xludf.MAXIFS(PAYMENTS!A:A,PAYMENTS!C:C,E457),""))</f>
        <v/>
      </c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>
        <f>IF(E458="","",SUMIF(PAYMENTS!C:C,E458,PAYMENTS!E:E))</f>
        <v/>
      </c>
      <c r="M458">
        <f>IF(E458="","",J458-L458)</f>
        <v/>
      </c>
      <c r="N458">
        <f>IF(E458="","",IF(M458&lt;=0,"Paid",IF(L458&gt;0,"Part Paid","Unpaid")))</f>
        <v/>
      </c>
      <c r="O458">
        <f>IF(E458="","",IFERROR(_xludf.MAXIFS(PAYMENTS!A:A,PAYMENTS!C:C,E458),""))</f>
        <v/>
      </c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>
        <f>IF(E459="","",SUMIF(PAYMENTS!C:C,E459,PAYMENTS!E:E))</f>
        <v/>
      </c>
      <c r="M459">
        <f>IF(E459="","",J459-L459)</f>
        <v/>
      </c>
      <c r="N459">
        <f>IF(E459="","",IF(M459&lt;=0,"Paid",IF(L459&gt;0,"Part Paid","Unpaid")))</f>
        <v/>
      </c>
      <c r="O459">
        <f>IF(E459="","",IFERROR(_xludf.MAXIFS(PAYMENTS!A:A,PAYMENTS!C:C,E459),""))</f>
        <v/>
      </c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>
        <f>IF(E460="","",SUMIF(PAYMENTS!C:C,E460,PAYMENTS!E:E))</f>
        <v/>
      </c>
      <c r="M460">
        <f>IF(E460="","",J460-L460)</f>
        <v/>
      </c>
      <c r="N460">
        <f>IF(E460="","",IF(M460&lt;=0,"Paid",IF(L460&gt;0,"Part Paid","Unpaid")))</f>
        <v/>
      </c>
      <c r="O460">
        <f>IF(E460="","",IFERROR(_xludf.MAXIFS(PAYMENTS!A:A,PAYMENTS!C:C,E460),""))</f>
        <v/>
      </c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>
        <f>IF(E461="","",SUMIF(PAYMENTS!C:C,E461,PAYMENTS!E:E))</f>
        <v/>
      </c>
      <c r="M461">
        <f>IF(E461="","",J461-L461)</f>
        <v/>
      </c>
      <c r="N461">
        <f>IF(E461="","",IF(M461&lt;=0,"Paid",IF(L461&gt;0,"Part Paid","Unpaid")))</f>
        <v/>
      </c>
      <c r="O461">
        <f>IF(E461="","",IFERROR(_xludf.MAXIFS(PAYMENTS!A:A,PAYMENTS!C:C,E461),""))</f>
        <v/>
      </c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>
        <f>IF(E462="","",SUMIF(PAYMENTS!C:C,E462,PAYMENTS!E:E))</f>
        <v/>
      </c>
      <c r="M462">
        <f>IF(E462="","",J462-L462)</f>
        <v/>
      </c>
      <c r="N462">
        <f>IF(E462="","",IF(M462&lt;=0,"Paid",IF(L462&gt;0,"Part Paid","Unpaid")))</f>
        <v/>
      </c>
      <c r="O462">
        <f>IF(E462="","",IFERROR(_xludf.MAXIFS(PAYMENTS!A:A,PAYMENTS!C:C,E462),""))</f>
        <v/>
      </c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>
        <f>IF(E463="","",SUMIF(PAYMENTS!C:C,E463,PAYMENTS!E:E))</f>
        <v/>
      </c>
      <c r="M463">
        <f>IF(E463="","",J463-L463)</f>
        <v/>
      </c>
      <c r="N463">
        <f>IF(E463="","",IF(M463&lt;=0,"Paid",IF(L463&gt;0,"Part Paid","Unpaid")))</f>
        <v/>
      </c>
      <c r="O463">
        <f>IF(E463="","",IFERROR(_xludf.MAXIFS(PAYMENTS!A:A,PAYMENTS!C:C,E463),""))</f>
        <v/>
      </c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>
        <f>IF(E464="","",SUMIF(PAYMENTS!C:C,E464,PAYMENTS!E:E))</f>
        <v/>
      </c>
      <c r="M464">
        <f>IF(E464="","",J464-L464)</f>
        <v/>
      </c>
      <c r="N464">
        <f>IF(E464="","",IF(M464&lt;=0,"Paid",IF(L464&gt;0,"Part Paid","Unpaid")))</f>
        <v/>
      </c>
      <c r="O464">
        <f>IF(E464="","",IFERROR(_xludf.MAXIFS(PAYMENTS!A:A,PAYMENTS!C:C,E464),""))</f>
        <v/>
      </c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>
        <f>IF(E465="","",SUMIF(PAYMENTS!C:C,E465,PAYMENTS!E:E))</f>
        <v/>
      </c>
      <c r="M465">
        <f>IF(E465="","",J465-L465)</f>
        <v/>
      </c>
      <c r="N465">
        <f>IF(E465="","",IF(M465&lt;=0,"Paid",IF(L465&gt;0,"Part Paid","Unpaid")))</f>
        <v/>
      </c>
      <c r="O465">
        <f>IF(E465="","",IFERROR(_xludf.MAXIFS(PAYMENTS!A:A,PAYMENTS!C:C,E465),""))</f>
        <v/>
      </c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>
        <f>IF(E466="","",SUMIF(PAYMENTS!C:C,E466,PAYMENTS!E:E))</f>
        <v/>
      </c>
      <c r="M466">
        <f>IF(E466="","",J466-L466)</f>
        <v/>
      </c>
      <c r="N466">
        <f>IF(E466="","",IF(M466&lt;=0,"Paid",IF(L466&gt;0,"Part Paid","Unpaid")))</f>
        <v/>
      </c>
      <c r="O466">
        <f>IF(E466="","",IFERROR(_xludf.MAXIFS(PAYMENTS!A:A,PAYMENTS!C:C,E466),""))</f>
        <v/>
      </c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>
        <f>IF(E467="","",SUMIF(PAYMENTS!C:C,E467,PAYMENTS!E:E))</f>
        <v/>
      </c>
      <c r="M467">
        <f>IF(E467="","",J467-L467)</f>
        <v/>
      </c>
      <c r="N467">
        <f>IF(E467="","",IF(M467&lt;=0,"Paid",IF(L467&gt;0,"Part Paid","Unpaid")))</f>
        <v/>
      </c>
      <c r="O467">
        <f>IF(E467="","",IFERROR(_xludf.MAXIFS(PAYMENTS!A:A,PAYMENTS!C:C,E467),""))</f>
        <v/>
      </c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>
        <f>IF(E468="","",SUMIF(PAYMENTS!C:C,E468,PAYMENTS!E:E))</f>
        <v/>
      </c>
      <c r="M468">
        <f>IF(E468="","",J468-L468)</f>
        <v/>
      </c>
      <c r="N468">
        <f>IF(E468="","",IF(M468&lt;=0,"Paid",IF(L468&gt;0,"Part Paid","Unpaid")))</f>
        <v/>
      </c>
      <c r="O468">
        <f>IF(E468="","",IFERROR(_xludf.MAXIFS(PAYMENTS!A:A,PAYMENTS!C:C,E468),""))</f>
        <v/>
      </c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>
        <f>IF(E469="","",SUMIF(PAYMENTS!C:C,E469,PAYMENTS!E:E))</f>
        <v/>
      </c>
      <c r="M469">
        <f>IF(E469="","",J469-L469)</f>
        <v/>
      </c>
      <c r="N469">
        <f>IF(E469="","",IF(M469&lt;=0,"Paid",IF(L469&gt;0,"Part Paid","Unpaid")))</f>
        <v/>
      </c>
      <c r="O469">
        <f>IF(E469="","",IFERROR(_xludf.MAXIFS(PAYMENTS!A:A,PAYMENTS!C:C,E469),""))</f>
        <v/>
      </c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>
        <f>IF(E470="","",SUMIF(PAYMENTS!C:C,E470,PAYMENTS!E:E))</f>
        <v/>
      </c>
      <c r="M470">
        <f>IF(E470="","",J470-L470)</f>
        <v/>
      </c>
      <c r="N470">
        <f>IF(E470="","",IF(M470&lt;=0,"Paid",IF(L470&gt;0,"Part Paid","Unpaid")))</f>
        <v/>
      </c>
      <c r="O470">
        <f>IF(E470="","",IFERROR(_xludf.MAXIFS(PAYMENTS!A:A,PAYMENTS!C:C,E470),""))</f>
        <v/>
      </c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>
        <f>IF(E471="","",SUMIF(PAYMENTS!C:C,E471,PAYMENTS!E:E))</f>
        <v/>
      </c>
      <c r="M471">
        <f>IF(E471="","",J471-L471)</f>
        <v/>
      </c>
      <c r="N471">
        <f>IF(E471="","",IF(M471&lt;=0,"Paid",IF(L471&gt;0,"Part Paid","Unpaid")))</f>
        <v/>
      </c>
      <c r="O471">
        <f>IF(E471="","",IFERROR(_xludf.MAXIFS(PAYMENTS!A:A,PAYMENTS!C:C,E471),""))</f>
        <v/>
      </c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>
        <f>IF(E472="","",SUMIF(PAYMENTS!C:C,E472,PAYMENTS!E:E))</f>
        <v/>
      </c>
      <c r="M472">
        <f>IF(E472="","",J472-L472)</f>
        <v/>
      </c>
      <c r="N472">
        <f>IF(E472="","",IF(M472&lt;=0,"Paid",IF(L472&gt;0,"Part Paid","Unpaid")))</f>
        <v/>
      </c>
      <c r="O472">
        <f>IF(E472="","",IFERROR(_xludf.MAXIFS(PAYMENTS!A:A,PAYMENTS!C:C,E472),""))</f>
        <v/>
      </c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>
        <f>IF(E473="","",SUMIF(PAYMENTS!C:C,E473,PAYMENTS!E:E))</f>
        <v/>
      </c>
      <c r="M473">
        <f>IF(E473="","",J473-L473)</f>
        <v/>
      </c>
      <c r="N473">
        <f>IF(E473="","",IF(M473&lt;=0,"Paid",IF(L473&gt;0,"Part Paid","Unpaid")))</f>
        <v/>
      </c>
      <c r="O473">
        <f>IF(E473="","",IFERROR(_xludf.MAXIFS(PAYMENTS!A:A,PAYMENTS!C:C,E473),""))</f>
        <v/>
      </c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>
        <f>IF(E474="","",SUMIF(PAYMENTS!C:C,E474,PAYMENTS!E:E))</f>
        <v/>
      </c>
      <c r="M474">
        <f>IF(E474="","",J474-L474)</f>
        <v/>
      </c>
      <c r="N474">
        <f>IF(E474="","",IF(M474&lt;=0,"Paid",IF(L474&gt;0,"Part Paid","Unpaid")))</f>
        <v/>
      </c>
      <c r="O474">
        <f>IF(E474="","",IFERROR(_xludf.MAXIFS(PAYMENTS!A:A,PAYMENTS!C:C,E474),""))</f>
        <v/>
      </c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>
        <f>IF(E475="","",SUMIF(PAYMENTS!C:C,E475,PAYMENTS!E:E))</f>
        <v/>
      </c>
      <c r="M475">
        <f>IF(E475="","",J475-L475)</f>
        <v/>
      </c>
      <c r="N475">
        <f>IF(E475="","",IF(M475&lt;=0,"Paid",IF(L475&gt;0,"Part Paid","Unpaid")))</f>
        <v/>
      </c>
      <c r="O475">
        <f>IF(E475="","",IFERROR(_xludf.MAXIFS(PAYMENTS!A:A,PAYMENTS!C:C,E475),""))</f>
        <v/>
      </c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>
        <f>IF(E476="","",SUMIF(PAYMENTS!C:C,E476,PAYMENTS!E:E))</f>
        <v/>
      </c>
      <c r="M476">
        <f>IF(E476="","",J476-L476)</f>
        <v/>
      </c>
      <c r="N476">
        <f>IF(E476="","",IF(M476&lt;=0,"Paid",IF(L476&gt;0,"Part Paid","Unpaid")))</f>
        <v/>
      </c>
      <c r="O476">
        <f>IF(E476="","",IFERROR(_xludf.MAXIFS(PAYMENTS!A:A,PAYMENTS!C:C,E476),""))</f>
        <v/>
      </c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>
        <f>IF(E477="","",SUMIF(PAYMENTS!C:C,E477,PAYMENTS!E:E))</f>
        <v/>
      </c>
      <c r="M477">
        <f>IF(E477="","",J477-L477)</f>
        <v/>
      </c>
      <c r="N477">
        <f>IF(E477="","",IF(M477&lt;=0,"Paid",IF(L477&gt;0,"Part Paid","Unpaid")))</f>
        <v/>
      </c>
      <c r="O477">
        <f>IF(E477="","",IFERROR(_xludf.MAXIFS(PAYMENTS!A:A,PAYMENTS!C:C,E477),""))</f>
        <v/>
      </c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>
        <f>IF(E478="","",SUMIF(PAYMENTS!C:C,E478,PAYMENTS!E:E))</f>
        <v/>
      </c>
      <c r="M478">
        <f>IF(E478="","",J478-L478)</f>
        <v/>
      </c>
      <c r="N478">
        <f>IF(E478="","",IF(M478&lt;=0,"Paid",IF(L478&gt;0,"Part Paid","Unpaid")))</f>
        <v/>
      </c>
      <c r="O478">
        <f>IF(E478="","",IFERROR(_xludf.MAXIFS(PAYMENTS!A:A,PAYMENTS!C:C,E478),""))</f>
        <v/>
      </c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>
        <f>IF(E479="","",SUMIF(PAYMENTS!C:C,E479,PAYMENTS!E:E))</f>
        <v/>
      </c>
      <c r="M479">
        <f>IF(E479="","",J479-L479)</f>
        <v/>
      </c>
      <c r="N479">
        <f>IF(E479="","",IF(M479&lt;=0,"Paid",IF(L479&gt;0,"Part Paid","Unpaid")))</f>
        <v/>
      </c>
      <c r="O479">
        <f>IF(E479="","",IFERROR(_xludf.MAXIFS(PAYMENTS!A:A,PAYMENTS!C:C,E479),""))</f>
        <v/>
      </c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>
        <f>IF(E480="","",SUMIF(PAYMENTS!C:C,E480,PAYMENTS!E:E))</f>
        <v/>
      </c>
      <c r="M480">
        <f>IF(E480="","",J480-L480)</f>
        <v/>
      </c>
      <c r="N480">
        <f>IF(E480="","",IF(M480&lt;=0,"Paid",IF(L480&gt;0,"Part Paid","Unpaid")))</f>
        <v/>
      </c>
      <c r="O480">
        <f>IF(E480="","",IFERROR(_xludf.MAXIFS(PAYMENTS!A:A,PAYMENTS!C:C,E480),""))</f>
        <v/>
      </c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>
        <f>IF(E481="","",SUMIF(PAYMENTS!C:C,E481,PAYMENTS!E:E))</f>
        <v/>
      </c>
      <c r="M481">
        <f>IF(E481="","",J481-L481)</f>
        <v/>
      </c>
      <c r="N481">
        <f>IF(E481="","",IF(M481&lt;=0,"Paid",IF(L481&gt;0,"Part Paid","Unpaid")))</f>
        <v/>
      </c>
      <c r="O481">
        <f>IF(E481="","",IFERROR(_xludf.MAXIFS(PAYMENTS!A:A,PAYMENTS!C:C,E481),""))</f>
        <v/>
      </c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>
        <f>IF(E482="","",SUMIF(PAYMENTS!C:C,E482,PAYMENTS!E:E))</f>
        <v/>
      </c>
      <c r="M482">
        <f>IF(E482="","",J482-L482)</f>
        <v/>
      </c>
      <c r="N482">
        <f>IF(E482="","",IF(M482&lt;=0,"Paid",IF(L482&gt;0,"Part Paid","Unpaid")))</f>
        <v/>
      </c>
      <c r="O482">
        <f>IF(E482="","",IFERROR(_xludf.MAXIFS(PAYMENTS!A:A,PAYMENTS!C:C,E482),""))</f>
        <v/>
      </c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>
        <f>IF(E483="","",SUMIF(PAYMENTS!C:C,E483,PAYMENTS!E:E))</f>
        <v/>
      </c>
      <c r="M483">
        <f>IF(E483="","",J483-L483)</f>
        <v/>
      </c>
      <c r="N483">
        <f>IF(E483="","",IF(M483&lt;=0,"Paid",IF(L483&gt;0,"Part Paid","Unpaid")))</f>
        <v/>
      </c>
      <c r="O483">
        <f>IF(E483="","",IFERROR(_xludf.MAXIFS(PAYMENTS!A:A,PAYMENTS!C:C,E483),""))</f>
        <v/>
      </c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>
        <f>IF(E484="","",SUMIF(PAYMENTS!C:C,E484,PAYMENTS!E:E))</f>
        <v/>
      </c>
      <c r="M484">
        <f>IF(E484="","",J484-L484)</f>
        <v/>
      </c>
      <c r="N484">
        <f>IF(E484="","",IF(M484&lt;=0,"Paid",IF(L484&gt;0,"Part Paid","Unpaid")))</f>
        <v/>
      </c>
      <c r="O484">
        <f>IF(E484="","",IFERROR(_xludf.MAXIFS(PAYMENTS!A:A,PAYMENTS!C:C,E484),""))</f>
        <v/>
      </c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>
        <f>IF(E485="","",SUMIF(PAYMENTS!C:C,E485,PAYMENTS!E:E))</f>
        <v/>
      </c>
      <c r="M485">
        <f>IF(E485="","",J485-L485)</f>
        <v/>
      </c>
      <c r="N485">
        <f>IF(E485="","",IF(M485&lt;=0,"Paid",IF(L485&gt;0,"Part Paid","Unpaid")))</f>
        <v/>
      </c>
      <c r="O485">
        <f>IF(E485="","",IFERROR(_xludf.MAXIFS(PAYMENTS!A:A,PAYMENTS!C:C,E485),""))</f>
        <v/>
      </c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>
        <f>IF(E486="","",SUMIF(PAYMENTS!C:C,E486,PAYMENTS!E:E))</f>
        <v/>
      </c>
      <c r="M486">
        <f>IF(E486="","",J486-L486)</f>
        <v/>
      </c>
      <c r="N486">
        <f>IF(E486="","",IF(M486&lt;=0,"Paid",IF(L486&gt;0,"Part Paid","Unpaid")))</f>
        <v/>
      </c>
      <c r="O486">
        <f>IF(E486="","",IFERROR(_xludf.MAXIFS(PAYMENTS!A:A,PAYMENTS!C:C,E486),""))</f>
        <v/>
      </c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>
        <f>IF(E487="","",SUMIF(PAYMENTS!C:C,E487,PAYMENTS!E:E))</f>
        <v/>
      </c>
      <c r="M487">
        <f>IF(E487="","",J487-L487)</f>
        <v/>
      </c>
      <c r="N487">
        <f>IF(E487="","",IF(M487&lt;=0,"Paid",IF(L487&gt;0,"Part Paid","Unpaid")))</f>
        <v/>
      </c>
      <c r="O487">
        <f>IF(E487="","",IFERROR(_xludf.MAXIFS(PAYMENTS!A:A,PAYMENTS!C:C,E487),""))</f>
        <v/>
      </c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>
        <f>IF(E488="","",SUMIF(PAYMENTS!C:C,E488,PAYMENTS!E:E))</f>
        <v/>
      </c>
      <c r="M488">
        <f>IF(E488="","",J488-L488)</f>
        <v/>
      </c>
      <c r="N488">
        <f>IF(E488="","",IF(M488&lt;=0,"Paid",IF(L488&gt;0,"Part Paid","Unpaid")))</f>
        <v/>
      </c>
      <c r="O488">
        <f>IF(E488="","",IFERROR(_xludf.MAXIFS(PAYMENTS!A:A,PAYMENTS!C:C,E488),""))</f>
        <v/>
      </c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>
        <f>IF(E489="","",SUMIF(PAYMENTS!C:C,E489,PAYMENTS!E:E))</f>
        <v/>
      </c>
      <c r="M489">
        <f>IF(E489="","",J489-L489)</f>
        <v/>
      </c>
      <c r="N489">
        <f>IF(E489="","",IF(M489&lt;=0,"Paid",IF(L489&gt;0,"Part Paid","Unpaid")))</f>
        <v/>
      </c>
      <c r="O489">
        <f>IF(E489="","",IFERROR(_xludf.MAXIFS(PAYMENTS!A:A,PAYMENTS!C:C,E489),""))</f>
        <v/>
      </c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>
        <f>IF(E490="","",SUMIF(PAYMENTS!C:C,E490,PAYMENTS!E:E))</f>
        <v/>
      </c>
      <c r="M490">
        <f>IF(E490="","",J490-L490)</f>
        <v/>
      </c>
      <c r="N490">
        <f>IF(E490="","",IF(M490&lt;=0,"Paid",IF(L490&gt;0,"Part Paid","Unpaid")))</f>
        <v/>
      </c>
      <c r="O490">
        <f>IF(E490="","",IFERROR(_xludf.MAXIFS(PAYMENTS!A:A,PAYMENTS!C:C,E490),""))</f>
        <v/>
      </c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>
        <f>IF(E491="","",SUMIF(PAYMENTS!C:C,E491,PAYMENTS!E:E))</f>
        <v/>
      </c>
      <c r="M491">
        <f>IF(E491="","",J491-L491)</f>
        <v/>
      </c>
      <c r="N491">
        <f>IF(E491="","",IF(M491&lt;=0,"Paid",IF(L491&gt;0,"Part Paid","Unpaid")))</f>
        <v/>
      </c>
      <c r="O491">
        <f>IF(E491="","",IFERROR(_xludf.MAXIFS(PAYMENTS!A:A,PAYMENTS!C:C,E491),""))</f>
        <v/>
      </c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>
        <f>IF(E492="","",SUMIF(PAYMENTS!C:C,E492,PAYMENTS!E:E))</f>
        <v/>
      </c>
      <c r="M492">
        <f>IF(E492="","",J492-L492)</f>
        <v/>
      </c>
      <c r="N492">
        <f>IF(E492="","",IF(M492&lt;=0,"Paid",IF(L492&gt;0,"Part Paid","Unpaid")))</f>
        <v/>
      </c>
      <c r="O492">
        <f>IF(E492="","",IFERROR(_xludf.MAXIFS(PAYMENTS!A:A,PAYMENTS!C:C,E492),""))</f>
        <v/>
      </c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>
        <f>IF(E493="","",SUMIF(PAYMENTS!C:C,E493,PAYMENTS!E:E))</f>
        <v/>
      </c>
      <c r="M493">
        <f>IF(E493="","",J493-L493)</f>
        <v/>
      </c>
      <c r="N493">
        <f>IF(E493="","",IF(M493&lt;=0,"Paid",IF(L493&gt;0,"Part Paid","Unpaid")))</f>
        <v/>
      </c>
      <c r="O493">
        <f>IF(E493="","",IFERROR(_xludf.MAXIFS(PAYMENTS!A:A,PAYMENTS!C:C,E493),""))</f>
        <v/>
      </c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>
        <f>IF(E494="","",SUMIF(PAYMENTS!C:C,E494,PAYMENTS!E:E))</f>
        <v/>
      </c>
      <c r="M494">
        <f>IF(E494="","",J494-L494)</f>
        <v/>
      </c>
      <c r="N494">
        <f>IF(E494="","",IF(M494&lt;=0,"Paid",IF(L494&gt;0,"Part Paid","Unpaid")))</f>
        <v/>
      </c>
      <c r="O494">
        <f>IF(E494="","",IFERROR(_xludf.MAXIFS(PAYMENTS!A:A,PAYMENTS!C:C,E494),""))</f>
        <v/>
      </c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>
        <f>IF(E495="","",SUMIF(PAYMENTS!C:C,E495,PAYMENTS!E:E))</f>
        <v/>
      </c>
      <c r="M495">
        <f>IF(E495="","",J495-L495)</f>
        <v/>
      </c>
      <c r="N495">
        <f>IF(E495="","",IF(M495&lt;=0,"Paid",IF(L495&gt;0,"Part Paid","Unpaid")))</f>
        <v/>
      </c>
      <c r="O495">
        <f>IF(E495="","",IFERROR(_xludf.MAXIFS(PAYMENTS!A:A,PAYMENTS!C:C,E495),""))</f>
        <v/>
      </c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>
        <f>IF(E496="","",SUMIF(PAYMENTS!C:C,E496,PAYMENTS!E:E))</f>
        <v/>
      </c>
      <c r="M496">
        <f>IF(E496="","",J496-L496)</f>
        <v/>
      </c>
      <c r="N496">
        <f>IF(E496="","",IF(M496&lt;=0,"Paid",IF(L496&gt;0,"Part Paid","Unpaid")))</f>
        <v/>
      </c>
      <c r="O496">
        <f>IF(E496="","",IFERROR(_xludf.MAXIFS(PAYMENTS!A:A,PAYMENTS!C:C,E496),""))</f>
        <v/>
      </c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>
        <f>IF(E497="","",SUMIF(PAYMENTS!C:C,E497,PAYMENTS!E:E))</f>
        <v/>
      </c>
      <c r="M497">
        <f>IF(E497="","",J497-L497)</f>
        <v/>
      </c>
      <c r="N497">
        <f>IF(E497="","",IF(M497&lt;=0,"Paid",IF(L497&gt;0,"Part Paid","Unpaid")))</f>
        <v/>
      </c>
      <c r="O497">
        <f>IF(E497="","",IFERROR(_xludf.MAXIFS(PAYMENTS!A:A,PAYMENTS!C:C,E497),""))</f>
        <v/>
      </c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>
        <f>IF(E498="","",SUMIF(PAYMENTS!C:C,E498,PAYMENTS!E:E))</f>
        <v/>
      </c>
      <c r="M498">
        <f>IF(E498="","",J498-L498)</f>
        <v/>
      </c>
      <c r="N498">
        <f>IF(E498="","",IF(M498&lt;=0,"Paid",IF(L498&gt;0,"Part Paid","Unpaid")))</f>
        <v/>
      </c>
      <c r="O498">
        <f>IF(E498="","",IFERROR(_xludf.MAXIFS(PAYMENTS!A:A,PAYMENTS!C:C,E498),""))</f>
        <v/>
      </c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>
        <f>IF(E499="","",SUMIF(PAYMENTS!C:C,E499,PAYMENTS!E:E))</f>
        <v/>
      </c>
      <c r="M499">
        <f>IF(E499="","",J499-L499)</f>
        <v/>
      </c>
      <c r="N499">
        <f>IF(E499="","",IF(M499&lt;=0,"Paid",IF(L499&gt;0,"Part Paid","Unpaid")))</f>
        <v/>
      </c>
      <c r="O499">
        <f>IF(E499="","",IFERROR(_xludf.MAXIFS(PAYMENTS!A:A,PAYMENTS!C:C,E499),""))</f>
        <v/>
      </c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>
        <f>IF(E500="","",SUMIF(PAYMENTS!C:C,E500,PAYMENTS!E:E))</f>
        <v/>
      </c>
      <c r="M500">
        <f>IF(E500="","",J500-L500)</f>
        <v/>
      </c>
      <c r="N500">
        <f>IF(E500="","",IF(M500&lt;=0,"Paid",IF(L500&gt;0,"Part Paid","Unpaid")))</f>
        <v/>
      </c>
      <c r="O500">
        <f>IF(E500="","",IFERROR(_xludf.MAXIFS(PAYMENTS!A:A,PAYMENTS!C:C,E500),""))</f>
        <v/>
      </c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>
        <f>IF(E501="","",SUMIF(PAYMENTS!C:C,E501,PAYMENTS!E:E))</f>
        <v/>
      </c>
      <c r="M501">
        <f>IF(E501="","",J501-L501)</f>
        <v/>
      </c>
      <c r="N501">
        <f>IF(E501="","",IF(M501&lt;=0,"Paid",IF(L501&gt;0,"Part Paid","Unpaid")))</f>
        <v/>
      </c>
      <c r="O501">
        <f>IF(E501="","",IFERROR(_xludf.MAXIFS(PAYMENTS!A:A,PAYMENTS!C:C,E501),""))</f>
        <v/>
      </c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>
        <f>IF(E502="","",SUMIF(PAYMENTS!C:C,E502,PAYMENTS!E:E))</f>
        <v/>
      </c>
      <c r="M502">
        <f>IF(E502="","",J502-L502)</f>
        <v/>
      </c>
      <c r="N502">
        <f>IF(E502="","",IF(M502&lt;=0,"Paid",IF(L502&gt;0,"Part Paid","Unpaid")))</f>
        <v/>
      </c>
      <c r="O502">
        <f>IF(E502="","",IFERROR(_xludf.MAXIFS(PAYMENTS!A:A,PAYMENTS!C:C,E502),""))</f>
        <v/>
      </c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>
        <f>IF(E503="","",SUMIF(PAYMENTS!C:C,E503,PAYMENTS!E:E))</f>
        <v/>
      </c>
      <c r="M503">
        <f>IF(E503="","",J503-L503)</f>
        <v/>
      </c>
      <c r="N503">
        <f>IF(E503="","",IF(M503&lt;=0,"Paid",IF(L503&gt;0,"Part Paid","Unpaid")))</f>
        <v/>
      </c>
      <c r="O503">
        <f>IF(E503="","",IFERROR(_xludf.MAXIFS(PAYMENTS!A:A,PAYMENTS!C:C,E503),""))</f>
        <v/>
      </c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>
        <f>IF(E504="","",SUMIF(PAYMENTS!C:C,E504,PAYMENTS!E:E))</f>
        <v/>
      </c>
      <c r="M504">
        <f>IF(E504="","",J504-L504)</f>
        <v/>
      </c>
      <c r="N504">
        <f>IF(E504="","",IF(M504&lt;=0,"Paid",IF(L504&gt;0,"Part Paid","Unpaid")))</f>
        <v/>
      </c>
      <c r="O504">
        <f>IF(E504="","",IFERROR(_xludf.MAXIFS(PAYMENTS!A:A,PAYMENTS!C:C,E504),""))</f>
        <v/>
      </c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>
        <f>IF(E505="","",SUMIF(PAYMENTS!C:C,E505,PAYMENTS!E:E))</f>
        <v/>
      </c>
      <c r="M505">
        <f>IF(E505="","",J505-L505)</f>
        <v/>
      </c>
      <c r="N505">
        <f>IF(E505="","",IF(M505&lt;=0,"Paid",IF(L505&gt;0,"Part Paid","Unpaid")))</f>
        <v/>
      </c>
      <c r="O505">
        <f>IF(E505="","",IFERROR(_xludf.MAXIFS(PAYMENTS!A:A,PAYMENTS!C:C,E505),""))</f>
        <v/>
      </c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>
        <f>IF(E506="","",SUMIF(PAYMENTS!C:C,E506,PAYMENTS!E:E))</f>
        <v/>
      </c>
      <c r="M506">
        <f>IF(E506="","",J506-L506)</f>
        <v/>
      </c>
      <c r="N506">
        <f>IF(E506="","",IF(M506&lt;=0,"Paid",IF(L506&gt;0,"Part Paid","Unpaid")))</f>
        <v/>
      </c>
      <c r="O506">
        <f>IF(E506="","",IFERROR(_xludf.MAXIFS(PAYMENTS!A:A,PAYMENTS!C:C,E506),""))</f>
        <v/>
      </c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>
        <f>IF(E507="","",SUMIF(PAYMENTS!C:C,E507,PAYMENTS!E:E))</f>
        <v/>
      </c>
      <c r="M507">
        <f>IF(E507="","",J507-L507)</f>
        <v/>
      </c>
      <c r="N507">
        <f>IF(E507="","",IF(M507&lt;=0,"Paid",IF(L507&gt;0,"Part Paid","Unpaid")))</f>
        <v/>
      </c>
      <c r="O507">
        <f>IF(E507="","",IFERROR(_xludf.MAXIFS(PAYMENTS!A:A,PAYMENTS!C:C,E507),""))</f>
        <v/>
      </c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>
        <f>IF(E508="","",SUMIF(PAYMENTS!C:C,E508,PAYMENTS!E:E))</f>
        <v/>
      </c>
      <c r="M508">
        <f>IF(E508="","",J508-L508)</f>
        <v/>
      </c>
      <c r="N508">
        <f>IF(E508="","",IF(M508&lt;=0,"Paid",IF(L508&gt;0,"Part Paid","Unpaid")))</f>
        <v/>
      </c>
      <c r="O508">
        <f>IF(E508="","",IFERROR(_xludf.MAXIFS(PAYMENTS!A:A,PAYMENTS!C:C,E508),""))</f>
        <v/>
      </c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>
        <f>IF(E509="","",SUMIF(PAYMENTS!C:C,E509,PAYMENTS!E:E))</f>
        <v/>
      </c>
      <c r="M509">
        <f>IF(E509="","",J509-L509)</f>
        <v/>
      </c>
      <c r="N509">
        <f>IF(E509="","",IF(M509&lt;=0,"Paid",IF(L509&gt;0,"Part Paid","Unpaid")))</f>
        <v/>
      </c>
      <c r="O509">
        <f>IF(E509="","",IFERROR(_xludf.MAXIFS(PAYMENTS!A:A,PAYMENTS!C:C,E509),""))</f>
        <v/>
      </c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>
        <f>IF(E510="","",SUMIF(PAYMENTS!C:C,E510,PAYMENTS!E:E))</f>
        <v/>
      </c>
      <c r="M510">
        <f>IF(E510="","",J510-L510)</f>
        <v/>
      </c>
      <c r="N510">
        <f>IF(E510="","",IF(M510&lt;=0,"Paid",IF(L510&gt;0,"Part Paid","Unpaid")))</f>
        <v/>
      </c>
      <c r="O510">
        <f>IF(E510="","",IFERROR(_xludf.MAXIFS(PAYMENTS!A:A,PAYMENTS!C:C,E510),""))</f>
        <v/>
      </c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>
        <f>IF(E511="","",SUMIF(PAYMENTS!C:C,E511,PAYMENTS!E:E))</f>
        <v/>
      </c>
      <c r="M511">
        <f>IF(E511="","",J511-L511)</f>
        <v/>
      </c>
      <c r="N511">
        <f>IF(E511="","",IF(M511&lt;=0,"Paid",IF(L511&gt;0,"Part Paid","Unpaid")))</f>
        <v/>
      </c>
      <c r="O511">
        <f>IF(E511="","",IFERROR(_xludf.MAXIFS(PAYMENTS!A:A,PAYMENTS!C:C,E511),""))</f>
        <v/>
      </c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>
        <f>IF(E512="","",SUMIF(PAYMENTS!C:C,E512,PAYMENTS!E:E))</f>
        <v/>
      </c>
      <c r="M512">
        <f>IF(E512="","",J512-L512)</f>
        <v/>
      </c>
      <c r="N512">
        <f>IF(E512="","",IF(M512&lt;=0,"Paid",IF(L512&gt;0,"Part Paid","Unpaid")))</f>
        <v/>
      </c>
      <c r="O512">
        <f>IF(E512="","",IFERROR(_xludf.MAXIFS(PAYMENTS!A:A,PAYMENTS!C:C,E512),""))</f>
        <v/>
      </c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>
        <f>IF(E513="","",SUMIF(PAYMENTS!C:C,E513,PAYMENTS!E:E))</f>
        <v/>
      </c>
      <c r="M513">
        <f>IF(E513="","",J513-L513)</f>
        <v/>
      </c>
      <c r="N513">
        <f>IF(E513="","",IF(M513&lt;=0,"Paid",IF(L513&gt;0,"Part Paid","Unpaid")))</f>
        <v/>
      </c>
      <c r="O513">
        <f>IF(E513="","",IFERROR(_xludf.MAXIFS(PAYMENTS!A:A,PAYMENTS!C:C,E513),""))</f>
        <v/>
      </c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>
        <f>IF(E514="","",SUMIF(PAYMENTS!C:C,E514,PAYMENTS!E:E))</f>
        <v/>
      </c>
      <c r="M514">
        <f>IF(E514="","",J514-L514)</f>
        <v/>
      </c>
      <c r="N514">
        <f>IF(E514="","",IF(M514&lt;=0,"Paid",IF(L514&gt;0,"Part Paid","Unpaid")))</f>
        <v/>
      </c>
      <c r="O514">
        <f>IF(E514="","",IFERROR(_xludf.MAXIFS(PAYMENTS!A:A,PAYMENTS!C:C,E514),""))</f>
        <v/>
      </c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>
        <f>IF(E515="","",SUMIF(PAYMENTS!C:C,E515,PAYMENTS!E:E))</f>
        <v/>
      </c>
      <c r="M515">
        <f>IF(E515="","",J515-L515)</f>
        <v/>
      </c>
      <c r="N515">
        <f>IF(E515="","",IF(M515&lt;=0,"Paid",IF(L515&gt;0,"Part Paid","Unpaid")))</f>
        <v/>
      </c>
      <c r="O515">
        <f>IF(E515="","",IFERROR(_xludf.MAXIFS(PAYMENTS!A:A,PAYMENTS!C:C,E515),""))</f>
        <v/>
      </c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>
        <f>IF(E516="","",SUMIF(PAYMENTS!C:C,E516,PAYMENTS!E:E))</f>
        <v/>
      </c>
      <c r="M516">
        <f>IF(E516="","",J516-L516)</f>
        <v/>
      </c>
      <c r="N516">
        <f>IF(E516="","",IF(M516&lt;=0,"Paid",IF(L516&gt;0,"Part Paid","Unpaid")))</f>
        <v/>
      </c>
      <c r="O516">
        <f>IF(E516="","",IFERROR(_xludf.MAXIFS(PAYMENTS!A:A,PAYMENTS!C:C,E516),""))</f>
        <v/>
      </c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>
        <f>IF(E517="","",SUMIF(PAYMENTS!C:C,E517,PAYMENTS!E:E))</f>
        <v/>
      </c>
      <c r="M517">
        <f>IF(E517="","",J517-L517)</f>
        <v/>
      </c>
      <c r="N517">
        <f>IF(E517="","",IF(M517&lt;=0,"Paid",IF(L517&gt;0,"Part Paid","Unpaid")))</f>
        <v/>
      </c>
      <c r="O517">
        <f>IF(E517="","",IFERROR(_xludf.MAXIFS(PAYMENTS!A:A,PAYMENTS!C:C,E517),""))</f>
        <v/>
      </c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>
        <f>IF(E518="","",SUMIF(PAYMENTS!C:C,E518,PAYMENTS!E:E))</f>
        <v/>
      </c>
      <c r="M518">
        <f>IF(E518="","",J518-L518)</f>
        <v/>
      </c>
      <c r="N518">
        <f>IF(E518="","",IF(M518&lt;=0,"Paid",IF(L518&gt;0,"Part Paid","Unpaid")))</f>
        <v/>
      </c>
      <c r="O518">
        <f>IF(E518="","",IFERROR(_xludf.MAXIFS(PAYMENTS!A:A,PAYMENTS!C:C,E518),""))</f>
        <v/>
      </c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>
        <f>IF(E519="","",SUMIF(PAYMENTS!C:C,E519,PAYMENTS!E:E))</f>
        <v/>
      </c>
      <c r="M519">
        <f>IF(E519="","",J519-L519)</f>
        <v/>
      </c>
      <c r="N519">
        <f>IF(E519="","",IF(M519&lt;=0,"Paid",IF(L519&gt;0,"Part Paid","Unpaid")))</f>
        <v/>
      </c>
      <c r="O519">
        <f>IF(E519="","",IFERROR(_xludf.MAXIFS(PAYMENTS!A:A,PAYMENTS!C:C,E519),""))</f>
        <v/>
      </c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>
        <f>IF(E520="","",SUMIF(PAYMENTS!C:C,E520,PAYMENTS!E:E))</f>
        <v/>
      </c>
      <c r="M520">
        <f>IF(E520="","",J520-L520)</f>
        <v/>
      </c>
      <c r="N520">
        <f>IF(E520="","",IF(M520&lt;=0,"Paid",IF(L520&gt;0,"Part Paid","Unpaid")))</f>
        <v/>
      </c>
      <c r="O520">
        <f>IF(E520="","",IFERROR(_xludf.MAXIFS(PAYMENTS!A:A,PAYMENTS!C:C,E520),""))</f>
        <v/>
      </c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>
        <f>IF(E521="","",SUMIF(PAYMENTS!C:C,E521,PAYMENTS!E:E))</f>
        <v/>
      </c>
      <c r="M521">
        <f>IF(E521="","",J521-L521)</f>
        <v/>
      </c>
      <c r="N521">
        <f>IF(E521="","",IF(M521&lt;=0,"Paid",IF(L521&gt;0,"Part Paid","Unpaid")))</f>
        <v/>
      </c>
      <c r="O521">
        <f>IF(E521="","",IFERROR(_xludf.MAXIFS(PAYMENTS!A:A,PAYMENTS!C:C,E521),""))</f>
        <v/>
      </c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>
        <f>IF(E522="","",SUMIF(PAYMENTS!C:C,E522,PAYMENTS!E:E))</f>
        <v/>
      </c>
      <c r="M522">
        <f>IF(E522="","",J522-L522)</f>
        <v/>
      </c>
      <c r="N522">
        <f>IF(E522="","",IF(M522&lt;=0,"Paid",IF(L522&gt;0,"Part Paid","Unpaid")))</f>
        <v/>
      </c>
      <c r="O522">
        <f>IF(E522="","",IFERROR(_xludf.MAXIFS(PAYMENTS!A:A,PAYMENTS!C:C,E522),""))</f>
        <v/>
      </c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>
        <f>IF(E523="","",SUMIF(PAYMENTS!C:C,E523,PAYMENTS!E:E))</f>
        <v/>
      </c>
      <c r="M523">
        <f>IF(E523="","",J523-L523)</f>
        <v/>
      </c>
      <c r="N523">
        <f>IF(E523="","",IF(M523&lt;=0,"Paid",IF(L523&gt;0,"Part Paid","Unpaid")))</f>
        <v/>
      </c>
      <c r="O523">
        <f>IF(E523="","",IFERROR(_xludf.MAXIFS(PAYMENTS!A:A,PAYMENTS!C:C,E523),""))</f>
        <v/>
      </c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>
        <f>IF(E524="","",SUMIF(PAYMENTS!C:C,E524,PAYMENTS!E:E))</f>
        <v/>
      </c>
      <c r="M524">
        <f>IF(E524="","",J524-L524)</f>
        <v/>
      </c>
      <c r="N524">
        <f>IF(E524="","",IF(M524&lt;=0,"Paid",IF(L524&gt;0,"Part Paid","Unpaid")))</f>
        <v/>
      </c>
      <c r="O524">
        <f>IF(E524="","",IFERROR(_xludf.MAXIFS(PAYMENTS!A:A,PAYMENTS!C:C,E524),""))</f>
        <v/>
      </c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>
        <f>IF(E525="","",SUMIF(PAYMENTS!C:C,E525,PAYMENTS!E:E))</f>
        <v/>
      </c>
      <c r="M525">
        <f>IF(E525="","",J525-L525)</f>
        <v/>
      </c>
      <c r="N525">
        <f>IF(E525="","",IF(M525&lt;=0,"Paid",IF(L525&gt;0,"Part Paid","Unpaid")))</f>
        <v/>
      </c>
      <c r="O525">
        <f>IF(E525="","",IFERROR(_xludf.MAXIFS(PAYMENTS!A:A,PAYMENTS!C:C,E525),""))</f>
        <v/>
      </c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>
        <f>IF(E526="","",SUMIF(PAYMENTS!C:C,E526,PAYMENTS!E:E))</f>
        <v/>
      </c>
      <c r="M526">
        <f>IF(E526="","",J526-L526)</f>
        <v/>
      </c>
      <c r="N526">
        <f>IF(E526="","",IF(M526&lt;=0,"Paid",IF(L526&gt;0,"Part Paid","Unpaid")))</f>
        <v/>
      </c>
      <c r="O526">
        <f>IF(E526="","",IFERROR(_xludf.MAXIFS(PAYMENTS!A:A,PAYMENTS!C:C,E526),""))</f>
        <v/>
      </c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>
        <f>IF(E527="","",SUMIF(PAYMENTS!C:C,E527,PAYMENTS!E:E))</f>
        <v/>
      </c>
      <c r="M527">
        <f>IF(E527="","",J527-L527)</f>
        <v/>
      </c>
      <c r="N527">
        <f>IF(E527="","",IF(M527&lt;=0,"Paid",IF(L527&gt;0,"Part Paid","Unpaid")))</f>
        <v/>
      </c>
      <c r="O527">
        <f>IF(E527="","",IFERROR(_xludf.MAXIFS(PAYMENTS!A:A,PAYMENTS!C:C,E527),""))</f>
        <v/>
      </c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>
        <f>IF(E528="","",SUMIF(PAYMENTS!C:C,E528,PAYMENTS!E:E))</f>
        <v/>
      </c>
      <c r="M528">
        <f>IF(E528="","",J528-L528)</f>
        <v/>
      </c>
      <c r="N528">
        <f>IF(E528="","",IF(M528&lt;=0,"Paid",IF(L528&gt;0,"Part Paid","Unpaid")))</f>
        <v/>
      </c>
      <c r="O528">
        <f>IF(E528="","",IFERROR(_xludf.MAXIFS(PAYMENTS!A:A,PAYMENTS!C:C,E528),""))</f>
        <v/>
      </c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>
        <f>IF(E529="","",SUMIF(PAYMENTS!C:C,E529,PAYMENTS!E:E))</f>
        <v/>
      </c>
      <c r="M529">
        <f>IF(E529="","",J529-L529)</f>
        <v/>
      </c>
      <c r="N529">
        <f>IF(E529="","",IF(M529&lt;=0,"Paid",IF(L529&gt;0,"Part Paid","Unpaid")))</f>
        <v/>
      </c>
      <c r="O529">
        <f>IF(E529="","",IFERROR(_xludf.MAXIFS(PAYMENTS!A:A,PAYMENTS!C:C,E529),""))</f>
        <v/>
      </c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>
        <f>IF(E530="","",SUMIF(PAYMENTS!C:C,E530,PAYMENTS!E:E))</f>
        <v/>
      </c>
      <c r="M530">
        <f>IF(E530="","",J530-L530)</f>
        <v/>
      </c>
      <c r="N530">
        <f>IF(E530="","",IF(M530&lt;=0,"Paid",IF(L530&gt;0,"Part Paid","Unpaid")))</f>
        <v/>
      </c>
      <c r="O530">
        <f>IF(E530="","",IFERROR(_xludf.MAXIFS(PAYMENTS!A:A,PAYMENTS!C:C,E530),""))</f>
        <v/>
      </c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>
        <f>IF(E531="","",SUMIF(PAYMENTS!C:C,E531,PAYMENTS!E:E))</f>
        <v/>
      </c>
      <c r="M531">
        <f>IF(E531="","",J531-L531)</f>
        <v/>
      </c>
      <c r="N531">
        <f>IF(E531="","",IF(M531&lt;=0,"Paid",IF(L531&gt;0,"Part Paid","Unpaid")))</f>
        <v/>
      </c>
      <c r="O531">
        <f>IF(E531="","",IFERROR(_xludf.MAXIFS(PAYMENTS!A:A,PAYMENTS!C:C,E531),""))</f>
        <v/>
      </c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>
        <f>IF(E532="","",SUMIF(PAYMENTS!C:C,E532,PAYMENTS!E:E))</f>
        <v/>
      </c>
      <c r="M532">
        <f>IF(E532="","",J532-L532)</f>
        <v/>
      </c>
      <c r="N532">
        <f>IF(E532="","",IF(M532&lt;=0,"Paid",IF(L532&gt;0,"Part Paid","Unpaid")))</f>
        <v/>
      </c>
      <c r="O532">
        <f>IF(E532="","",IFERROR(_xludf.MAXIFS(PAYMENTS!A:A,PAYMENTS!C:C,E532),""))</f>
        <v/>
      </c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>
        <f>IF(E533="","",SUMIF(PAYMENTS!C:C,E533,PAYMENTS!E:E))</f>
        <v/>
      </c>
      <c r="M533">
        <f>IF(E533="","",J533-L533)</f>
        <v/>
      </c>
      <c r="N533">
        <f>IF(E533="","",IF(M533&lt;=0,"Paid",IF(L533&gt;0,"Part Paid","Unpaid")))</f>
        <v/>
      </c>
      <c r="O533">
        <f>IF(E533="","",IFERROR(_xludf.MAXIFS(PAYMENTS!A:A,PAYMENTS!C:C,E533),""))</f>
        <v/>
      </c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>
        <f>IF(E534="","",SUMIF(PAYMENTS!C:C,E534,PAYMENTS!E:E))</f>
        <v/>
      </c>
      <c r="M534">
        <f>IF(E534="","",J534-L534)</f>
        <v/>
      </c>
      <c r="N534">
        <f>IF(E534="","",IF(M534&lt;=0,"Paid",IF(L534&gt;0,"Part Paid","Unpaid")))</f>
        <v/>
      </c>
      <c r="O534">
        <f>IF(E534="","",IFERROR(_xludf.MAXIFS(PAYMENTS!A:A,PAYMENTS!C:C,E534),""))</f>
        <v/>
      </c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>
        <f>IF(E535="","",SUMIF(PAYMENTS!C:C,E535,PAYMENTS!E:E))</f>
        <v/>
      </c>
      <c r="M535">
        <f>IF(E535="","",J535-L535)</f>
        <v/>
      </c>
      <c r="N535">
        <f>IF(E535="","",IF(M535&lt;=0,"Paid",IF(L535&gt;0,"Part Paid","Unpaid")))</f>
        <v/>
      </c>
      <c r="O535">
        <f>IF(E535="","",IFERROR(_xludf.MAXIFS(PAYMENTS!A:A,PAYMENTS!C:C,E535),""))</f>
        <v/>
      </c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>
        <f>IF(E536="","",SUMIF(PAYMENTS!C:C,E536,PAYMENTS!E:E))</f>
        <v/>
      </c>
      <c r="M536">
        <f>IF(E536="","",J536-L536)</f>
        <v/>
      </c>
      <c r="N536">
        <f>IF(E536="","",IF(M536&lt;=0,"Paid",IF(L536&gt;0,"Part Paid","Unpaid")))</f>
        <v/>
      </c>
      <c r="O536">
        <f>IF(E536="","",IFERROR(_xludf.MAXIFS(PAYMENTS!A:A,PAYMENTS!C:C,E536),""))</f>
        <v/>
      </c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>
        <f>IF(E537="","",SUMIF(PAYMENTS!C:C,E537,PAYMENTS!E:E))</f>
        <v/>
      </c>
      <c r="M537">
        <f>IF(E537="","",J537-L537)</f>
        <v/>
      </c>
      <c r="N537">
        <f>IF(E537="","",IF(M537&lt;=0,"Paid",IF(L537&gt;0,"Part Paid","Unpaid")))</f>
        <v/>
      </c>
      <c r="O537">
        <f>IF(E537="","",IFERROR(_xludf.MAXIFS(PAYMENTS!A:A,PAYMENTS!C:C,E537),""))</f>
        <v/>
      </c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>
        <f>IF(E538="","",SUMIF(PAYMENTS!C:C,E538,PAYMENTS!E:E))</f>
        <v/>
      </c>
      <c r="M538">
        <f>IF(E538="","",J538-L538)</f>
        <v/>
      </c>
      <c r="N538">
        <f>IF(E538="","",IF(M538&lt;=0,"Paid",IF(L538&gt;0,"Part Paid","Unpaid")))</f>
        <v/>
      </c>
      <c r="O538">
        <f>IF(E538="","",IFERROR(_xludf.MAXIFS(PAYMENTS!A:A,PAYMENTS!C:C,E538),""))</f>
        <v/>
      </c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>
        <f>IF(E539="","",SUMIF(PAYMENTS!C:C,E539,PAYMENTS!E:E))</f>
        <v/>
      </c>
      <c r="M539">
        <f>IF(E539="","",J539-L539)</f>
        <v/>
      </c>
      <c r="N539">
        <f>IF(E539="","",IF(M539&lt;=0,"Paid",IF(L539&gt;0,"Part Paid","Unpaid")))</f>
        <v/>
      </c>
      <c r="O539">
        <f>IF(E539="","",IFERROR(_xludf.MAXIFS(PAYMENTS!A:A,PAYMENTS!C:C,E539),""))</f>
        <v/>
      </c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>
        <f>IF(E540="","",SUMIF(PAYMENTS!C:C,E540,PAYMENTS!E:E))</f>
        <v/>
      </c>
      <c r="M540">
        <f>IF(E540="","",J540-L540)</f>
        <v/>
      </c>
      <c r="N540">
        <f>IF(E540="","",IF(M540&lt;=0,"Paid",IF(L540&gt;0,"Part Paid","Unpaid")))</f>
        <v/>
      </c>
      <c r="O540">
        <f>IF(E540="","",IFERROR(_xludf.MAXIFS(PAYMENTS!A:A,PAYMENTS!C:C,E540),""))</f>
        <v/>
      </c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>
        <f>IF(E541="","",SUMIF(PAYMENTS!C:C,E541,PAYMENTS!E:E))</f>
        <v/>
      </c>
      <c r="M541">
        <f>IF(E541="","",J541-L541)</f>
        <v/>
      </c>
      <c r="N541">
        <f>IF(E541="","",IF(M541&lt;=0,"Paid",IF(L541&gt;0,"Part Paid","Unpaid")))</f>
        <v/>
      </c>
      <c r="O541">
        <f>IF(E541="","",IFERROR(_xludf.MAXIFS(PAYMENTS!A:A,PAYMENTS!C:C,E541),""))</f>
        <v/>
      </c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>
        <f>IF(E542="","",SUMIF(PAYMENTS!C:C,E542,PAYMENTS!E:E))</f>
        <v/>
      </c>
      <c r="M542">
        <f>IF(E542="","",J542-L542)</f>
        <v/>
      </c>
      <c r="N542">
        <f>IF(E542="","",IF(M542&lt;=0,"Paid",IF(L542&gt;0,"Part Paid","Unpaid")))</f>
        <v/>
      </c>
      <c r="O542">
        <f>IF(E542="","",IFERROR(_xludf.MAXIFS(PAYMENTS!A:A,PAYMENTS!C:C,E542),""))</f>
        <v/>
      </c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>
        <f>IF(E543="","",SUMIF(PAYMENTS!C:C,E543,PAYMENTS!E:E))</f>
        <v/>
      </c>
      <c r="M543">
        <f>IF(E543="","",J543-L543)</f>
        <v/>
      </c>
      <c r="N543">
        <f>IF(E543="","",IF(M543&lt;=0,"Paid",IF(L543&gt;0,"Part Paid","Unpaid")))</f>
        <v/>
      </c>
      <c r="O543">
        <f>IF(E543="","",IFERROR(_xludf.MAXIFS(PAYMENTS!A:A,PAYMENTS!C:C,E543),""))</f>
        <v/>
      </c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>
        <f>IF(E544="","",SUMIF(PAYMENTS!C:C,E544,PAYMENTS!E:E))</f>
        <v/>
      </c>
      <c r="M544">
        <f>IF(E544="","",J544-L544)</f>
        <v/>
      </c>
      <c r="N544">
        <f>IF(E544="","",IF(M544&lt;=0,"Paid",IF(L544&gt;0,"Part Paid","Unpaid")))</f>
        <v/>
      </c>
      <c r="O544">
        <f>IF(E544="","",IFERROR(_xludf.MAXIFS(PAYMENTS!A:A,PAYMENTS!C:C,E544),""))</f>
        <v/>
      </c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>
        <f>IF(E545="","",SUMIF(PAYMENTS!C:C,E545,PAYMENTS!E:E))</f>
        <v/>
      </c>
      <c r="M545">
        <f>IF(E545="","",J545-L545)</f>
        <v/>
      </c>
      <c r="N545">
        <f>IF(E545="","",IF(M545&lt;=0,"Paid",IF(L545&gt;0,"Part Paid","Unpaid")))</f>
        <v/>
      </c>
      <c r="O545">
        <f>IF(E545="","",IFERROR(_xludf.MAXIFS(PAYMENTS!A:A,PAYMENTS!C:C,E545),""))</f>
        <v/>
      </c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>
        <f>IF(E546="","",SUMIF(PAYMENTS!C:C,E546,PAYMENTS!E:E))</f>
        <v/>
      </c>
      <c r="M546">
        <f>IF(E546="","",J546-L546)</f>
        <v/>
      </c>
      <c r="N546">
        <f>IF(E546="","",IF(M546&lt;=0,"Paid",IF(L546&gt;0,"Part Paid","Unpaid")))</f>
        <v/>
      </c>
      <c r="O546">
        <f>IF(E546="","",IFERROR(_xludf.MAXIFS(PAYMENTS!A:A,PAYMENTS!C:C,E546),""))</f>
        <v/>
      </c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>
        <f>IF(E547="","",SUMIF(PAYMENTS!C:C,E547,PAYMENTS!E:E))</f>
        <v/>
      </c>
      <c r="M547">
        <f>IF(E547="","",J547-L547)</f>
        <v/>
      </c>
      <c r="N547">
        <f>IF(E547="","",IF(M547&lt;=0,"Paid",IF(L547&gt;0,"Part Paid","Unpaid")))</f>
        <v/>
      </c>
      <c r="O547">
        <f>IF(E547="","",IFERROR(_xludf.MAXIFS(PAYMENTS!A:A,PAYMENTS!C:C,E547),""))</f>
        <v/>
      </c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>
        <f>IF(E548="","",SUMIF(PAYMENTS!C:C,E548,PAYMENTS!E:E))</f>
        <v/>
      </c>
      <c r="M548">
        <f>IF(E548="","",J548-L548)</f>
        <v/>
      </c>
      <c r="N548">
        <f>IF(E548="","",IF(M548&lt;=0,"Paid",IF(L548&gt;0,"Part Paid","Unpaid")))</f>
        <v/>
      </c>
      <c r="O548">
        <f>IF(E548="","",IFERROR(_xludf.MAXIFS(PAYMENTS!A:A,PAYMENTS!C:C,E548),""))</f>
        <v/>
      </c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>
        <f>IF(E549="","",SUMIF(PAYMENTS!C:C,E549,PAYMENTS!E:E))</f>
        <v/>
      </c>
      <c r="M549">
        <f>IF(E549="","",J549-L549)</f>
        <v/>
      </c>
      <c r="N549">
        <f>IF(E549="","",IF(M549&lt;=0,"Paid",IF(L549&gt;0,"Part Paid","Unpaid")))</f>
        <v/>
      </c>
      <c r="O549">
        <f>IF(E549="","",IFERROR(_xludf.MAXIFS(PAYMENTS!A:A,PAYMENTS!C:C,E549),""))</f>
        <v/>
      </c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>
        <f>IF(E550="","",SUMIF(PAYMENTS!C:C,E550,PAYMENTS!E:E))</f>
        <v/>
      </c>
      <c r="M550">
        <f>IF(E550="","",J550-L550)</f>
        <v/>
      </c>
      <c r="N550">
        <f>IF(E550="","",IF(M550&lt;=0,"Paid",IF(L550&gt;0,"Part Paid","Unpaid")))</f>
        <v/>
      </c>
      <c r="O550">
        <f>IF(E550="","",IFERROR(_xludf.MAXIFS(PAYMENTS!A:A,PAYMENTS!C:C,E550),""))</f>
        <v/>
      </c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>
        <f>IF(E551="","",SUMIF(PAYMENTS!C:C,E551,PAYMENTS!E:E))</f>
        <v/>
      </c>
      <c r="M551">
        <f>IF(E551="","",J551-L551)</f>
        <v/>
      </c>
      <c r="N551">
        <f>IF(E551="","",IF(M551&lt;=0,"Paid",IF(L551&gt;0,"Part Paid","Unpaid")))</f>
        <v/>
      </c>
      <c r="O551">
        <f>IF(E551="","",IFERROR(_xludf.MAXIFS(PAYMENTS!A:A,PAYMENTS!C:C,E551),""))</f>
        <v/>
      </c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>
        <f>IF(E552="","",SUMIF(PAYMENTS!C:C,E552,PAYMENTS!E:E))</f>
        <v/>
      </c>
      <c r="M552">
        <f>IF(E552="","",J552-L552)</f>
        <v/>
      </c>
      <c r="N552">
        <f>IF(E552="","",IF(M552&lt;=0,"Paid",IF(L552&gt;0,"Part Paid","Unpaid")))</f>
        <v/>
      </c>
      <c r="O552">
        <f>IF(E552="","",IFERROR(_xludf.MAXIFS(PAYMENTS!A:A,PAYMENTS!C:C,E552),""))</f>
        <v/>
      </c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>
        <f>IF(E553="","",SUMIF(PAYMENTS!C:C,E553,PAYMENTS!E:E))</f>
        <v/>
      </c>
      <c r="M553">
        <f>IF(E553="","",J553-L553)</f>
        <v/>
      </c>
      <c r="N553">
        <f>IF(E553="","",IF(M553&lt;=0,"Paid",IF(L553&gt;0,"Part Paid","Unpaid")))</f>
        <v/>
      </c>
      <c r="O553">
        <f>IF(E553="","",IFERROR(_xludf.MAXIFS(PAYMENTS!A:A,PAYMENTS!C:C,E553),""))</f>
        <v/>
      </c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>
        <f>IF(E554="","",SUMIF(PAYMENTS!C:C,E554,PAYMENTS!E:E))</f>
        <v/>
      </c>
      <c r="M554">
        <f>IF(E554="","",J554-L554)</f>
        <v/>
      </c>
      <c r="N554">
        <f>IF(E554="","",IF(M554&lt;=0,"Paid",IF(L554&gt;0,"Part Paid","Unpaid")))</f>
        <v/>
      </c>
      <c r="O554">
        <f>IF(E554="","",IFERROR(_xludf.MAXIFS(PAYMENTS!A:A,PAYMENTS!C:C,E554),""))</f>
        <v/>
      </c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>
        <f>IF(E555="","",SUMIF(PAYMENTS!C:C,E555,PAYMENTS!E:E))</f>
        <v/>
      </c>
      <c r="M555">
        <f>IF(E555="","",J555-L555)</f>
        <v/>
      </c>
      <c r="N555">
        <f>IF(E555="","",IF(M555&lt;=0,"Paid",IF(L555&gt;0,"Part Paid","Unpaid")))</f>
        <v/>
      </c>
      <c r="O555">
        <f>IF(E555="","",IFERROR(_xludf.MAXIFS(PAYMENTS!A:A,PAYMENTS!C:C,E555),""))</f>
        <v/>
      </c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>
        <f>IF(E556="","",SUMIF(PAYMENTS!C:C,E556,PAYMENTS!E:E))</f>
        <v/>
      </c>
      <c r="M556">
        <f>IF(E556="","",J556-L556)</f>
        <v/>
      </c>
      <c r="N556">
        <f>IF(E556="","",IF(M556&lt;=0,"Paid",IF(L556&gt;0,"Part Paid","Unpaid")))</f>
        <v/>
      </c>
      <c r="O556">
        <f>IF(E556="","",IFERROR(_xludf.MAXIFS(PAYMENTS!A:A,PAYMENTS!C:C,E556),""))</f>
        <v/>
      </c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>
        <f>IF(E557="","",SUMIF(PAYMENTS!C:C,E557,PAYMENTS!E:E))</f>
        <v/>
      </c>
      <c r="M557">
        <f>IF(E557="","",J557-L557)</f>
        <v/>
      </c>
      <c r="N557">
        <f>IF(E557="","",IF(M557&lt;=0,"Paid",IF(L557&gt;0,"Part Paid","Unpaid")))</f>
        <v/>
      </c>
      <c r="O557">
        <f>IF(E557="","",IFERROR(_xludf.MAXIFS(PAYMENTS!A:A,PAYMENTS!C:C,E557),""))</f>
        <v/>
      </c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>
        <f>IF(E558="","",SUMIF(PAYMENTS!C:C,E558,PAYMENTS!E:E))</f>
        <v/>
      </c>
      <c r="M558">
        <f>IF(E558="","",J558-L558)</f>
        <v/>
      </c>
      <c r="N558">
        <f>IF(E558="","",IF(M558&lt;=0,"Paid",IF(L558&gt;0,"Part Paid","Unpaid")))</f>
        <v/>
      </c>
      <c r="O558">
        <f>IF(E558="","",IFERROR(_xludf.MAXIFS(PAYMENTS!A:A,PAYMENTS!C:C,E558),""))</f>
        <v/>
      </c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>
        <f>IF(E559="","",SUMIF(PAYMENTS!C:C,E559,PAYMENTS!E:E))</f>
        <v/>
      </c>
      <c r="M559">
        <f>IF(E559="","",J559-L559)</f>
        <v/>
      </c>
      <c r="N559">
        <f>IF(E559="","",IF(M559&lt;=0,"Paid",IF(L559&gt;0,"Part Paid","Unpaid")))</f>
        <v/>
      </c>
      <c r="O559">
        <f>IF(E559="","",IFERROR(_xludf.MAXIFS(PAYMENTS!A:A,PAYMENTS!C:C,E559),""))</f>
        <v/>
      </c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>
        <f>IF(E560="","",SUMIF(PAYMENTS!C:C,E560,PAYMENTS!E:E))</f>
        <v/>
      </c>
      <c r="M560">
        <f>IF(E560="","",J560-L560)</f>
        <v/>
      </c>
      <c r="N560">
        <f>IF(E560="","",IF(M560&lt;=0,"Paid",IF(L560&gt;0,"Part Paid","Unpaid")))</f>
        <v/>
      </c>
      <c r="O560">
        <f>IF(E560="","",IFERROR(_xludf.MAXIFS(PAYMENTS!A:A,PAYMENTS!C:C,E560),""))</f>
        <v/>
      </c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>
        <f>IF(E561="","",SUMIF(PAYMENTS!C:C,E561,PAYMENTS!E:E))</f>
        <v/>
      </c>
      <c r="M561">
        <f>IF(E561="","",J561-L561)</f>
        <v/>
      </c>
      <c r="N561">
        <f>IF(E561="","",IF(M561&lt;=0,"Paid",IF(L561&gt;0,"Part Paid","Unpaid")))</f>
        <v/>
      </c>
      <c r="O561">
        <f>IF(E561="","",IFERROR(_xludf.MAXIFS(PAYMENTS!A:A,PAYMENTS!C:C,E561),""))</f>
        <v/>
      </c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>
        <f>IF(E562="","",SUMIF(PAYMENTS!C:C,E562,PAYMENTS!E:E))</f>
        <v/>
      </c>
      <c r="M562">
        <f>IF(E562="","",J562-L562)</f>
        <v/>
      </c>
      <c r="N562">
        <f>IF(E562="","",IF(M562&lt;=0,"Paid",IF(L562&gt;0,"Part Paid","Unpaid")))</f>
        <v/>
      </c>
      <c r="O562">
        <f>IF(E562="","",IFERROR(_xludf.MAXIFS(PAYMENTS!A:A,PAYMENTS!C:C,E562),""))</f>
        <v/>
      </c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>
        <f>IF(E563="","",SUMIF(PAYMENTS!C:C,E563,PAYMENTS!E:E))</f>
        <v/>
      </c>
      <c r="M563">
        <f>IF(E563="","",J563-L563)</f>
        <v/>
      </c>
      <c r="N563">
        <f>IF(E563="","",IF(M563&lt;=0,"Paid",IF(L563&gt;0,"Part Paid","Unpaid")))</f>
        <v/>
      </c>
      <c r="O563">
        <f>IF(E563="","",IFERROR(_xludf.MAXIFS(PAYMENTS!A:A,PAYMENTS!C:C,E563),""))</f>
        <v/>
      </c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>
        <f>IF(E564="","",SUMIF(PAYMENTS!C:C,E564,PAYMENTS!E:E))</f>
        <v/>
      </c>
      <c r="M564">
        <f>IF(E564="","",J564-L564)</f>
        <v/>
      </c>
      <c r="N564">
        <f>IF(E564="","",IF(M564&lt;=0,"Paid",IF(L564&gt;0,"Part Paid","Unpaid")))</f>
        <v/>
      </c>
      <c r="O564">
        <f>IF(E564="","",IFERROR(_xludf.MAXIFS(PAYMENTS!A:A,PAYMENTS!C:C,E564),""))</f>
        <v/>
      </c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>
        <f>IF(E565="","",SUMIF(PAYMENTS!C:C,E565,PAYMENTS!E:E))</f>
        <v/>
      </c>
      <c r="M565">
        <f>IF(E565="","",J565-L565)</f>
        <v/>
      </c>
      <c r="N565">
        <f>IF(E565="","",IF(M565&lt;=0,"Paid",IF(L565&gt;0,"Part Paid","Unpaid")))</f>
        <v/>
      </c>
      <c r="O565">
        <f>IF(E565="","",IFERROR(_xludf.MAXIFS(PAYMENTS!A:A,PAYMENTS!C:C,E565),""))</f>
        <v/>
      </c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>
        <f>IF(E566="","",SUMIF(PAYMENTS!C:C,E566,PAYMENTS!E:E))</f>
        <v/>
      </c>
      <c r="M566">
        <f>IF(E566="","",J566-L566)</f>
        <v/>
      </c>
      <c r="N566">
        <f>IF(E566="","",IF(M566&lt;=0,"Paid",IF(L566&gt;0,"Part Paid","Unpaid")))</f>
        <v/>
      </c>
      <c r="O566">
        <f>IF(E566="","",IFERROR(_xludf.MAXIFS(PAYMENTS!A:A,PAYMENTS!C:C,E566),""))</f>
        <v/>
      </c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>
        <f>IF(E567="","",SUMIF(PAYMENTS!C:C,E567,PAYMENTS!E:E))</f>
        <v/>
      </c>
      <c r="M567">
        <f>IF(E567="","",J567-L567)</f>
        <v/>
      </c>
      <c r="N567">
        <f>IF(E567="","",IF(M567&lt;=0,"Paid",IF(L567&gt;0,"Part Paid","Unpaid")))</f>
        <v/>
      </c>
      <c r="O567">
        <f>IF(E567="","",IFERROR(_xludf.MAXIFS(PAYMENTS!A:A,PAYMENTS!C:C,E567),""))</f>
        <v/>
      </c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>
        <f>IF(E568="","",SUMIF(PAYMENTS!C:C,E568,PAYMENTS!E:E))</f>
        <v/>
      </c>
      <c r="M568">
        <f>IF(E568="","",J568-L568)</f>
        <v/>
      </c>
      <c r="N568">
        <f>IF(E568="","",IF(M568&lt;=0,"Paid",IF(L568&gt;0,"Part Paid","Unpaid")))</f>
        <v/>
      </c>
      <c r="O568">
        <f>IF(E568="","",IFERROR(_xludf.MAXIFS(PAYMENTS!A:A,PAYMENTS!C:C,E568),""))</f>
        <v/>
      </c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>
        <f>IF(E569="","",SUMIF(PAYMENTS!C:C,E569,PAYMENTS!E:E))</f>
        <v/>
      </c>
      <c r="M569">
        <f>IF(E569="","",J569-L569)</f>
        <v/>
      </c>
      <c r="N569">
        <f>IF(E569="","",IF(M569&lt;=0,"Paid",IF(L569&gt;0,"Part Paid","Unpaid")))</f>
        <v/>
      </c>
      <c r="O569">
        <f>IF(E569="","",IFERROR(_xludf.MAXIFS(PAYMENTS!A:A,PAYMENTS!C:C,E569),""))</f>
        <v/>
      </c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>
        <f>IF(E570="","",SUMIF(PAYMENTS!C:C,E570,PAYMENTS!E:E))</f>
        <v/>
      </c>
      <c r="M570">
        <f>IF(E570="","",J570-L570)</f>
        <v/>
      </c>
      <c r="N570">
        <f>IF(E570="","",IF(M570&lt;=0,"Paid",IF(L570&gt;0,"Part Paid","Unpaid")))</f>
        <v/>
      </c>
      <c r="O570">
        <f>IF(E570="","",IFERROR(_xludf.MAXIFS(PAYMENTS!A:A,PAYMENTS!C:C,E570),""))</f>
        <v/>
      </c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>
        <f>IF(E571="","",SUMIF(PAYMENTS!C:C,E571,PAYMENTS!E:E))</f>
        <v/>
      </c>
      <c r="M571">
        <f>IF(E571="","",J571-L571)</f>
        <v/>
      </c>
      <c r="N571">
        <f>IF(E571="","",IF(M571&lt;=0,"Paid",IF(L571&gt;0,"Part Paid","Unpaid")))</f>
        <v/>
      </c>
      <c r="O571">
        <f>IF(E571="","",IFERROR(_xludf.MAXIFS(PAYMENTS!A:A,PAYMENTS!C:C,E571),""))</f>
        <v/>
      </c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>
        <f>IF(E572="","",SUMIF(PAYMENTS!C:C,E572,PAYMENTS!E:E))</f>
        <v/>
      </c>
      <c r="M572">
        <f>IF(E572="","",J572-L572)</f>
        <v/>
      </c>
      <c r="N572">
        <f>IF(E572="","",IF(M572&lt;=0,"Paid",IF(L572&gt;0,"Part Paid","Unpaid")))</f>
        <v/>
      </c>
      <c r="O572">
        <f>IF(E572="","",IFERROR(_xludf.MAXIFS(PAYMENTS!A:A,PAYMENTS!C:C,E572),""))</f>
        <v/>
      </c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>
        <f>IF(E573="","",SUMIF(PAYMENTS!C:C,E573,PAYMENTS!E:E))</f>
        <v/>
      </c>
      <c r="M573">
        <f>IF(E573="","",J573-L573)</f>
        <v/>
      </c>
      <c r="N573">
        <f>IF(E573="","",IF(M573&lt;=0,"Paid",IF(L573&gt;0,"Part Paid","Unpaid")))</f>
        <v/>
      </c>
      <c r="O573">
        <f>IF(E573="","",IFERROR(_xludf.MAXIFS(PAYMENTS!A:A,PAYMENTS!C:C,E573),""))</f>
        <v/>
      </c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>
        <f>IF(E574="","",SUMIF(PAYMENTS!C:C,E574,PAYMENTS!E:E))</f>
        <v/>
      </c>
      <c r="M574">
        <f>IF(E574="","",J574-L574)</f>
        <v/>
      </c>
      <c r="N574">
        <f>IF(E574="","",IF(M574&lt;=0,"Paid",IF(L574&gt;0,"Part Paid","Unpaid")))</f>
        <v/>
      </c>
      <c r="O574">
        <f>IF(E574="","",IFERROR(_xludf.MAXIFS(PAYMENTS!A:A,PAYMENTS!C:C,E574),""))</f>
        <v/>
      </c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>
        <f>IF(E575="","",SUMIF(PAYMENTS!C:C,E575,PAYMENTS!E:E))</f>
        <v/>
      </c>
      <c r="M575">
        <f>IF(E575="","",J575-L575)</f>
        <v/>
      </c>
      <c r="N575">
        <f>IF(E575="","",IF(M575&lt;=0,"Paid",IF(L575&gt;0,"Part Paid","Unpaid")))</f>
        <v/>
      </c>
      <c r="O575">
        <f>IF(E575="","",IFERROR(_xludf.MAXIFS(PAYMENTS!A:A,PAYMENTS!C:C,E575),""))</f>
        <v/>
      </c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>
        <f>IF(E576="","",SUMIF(PAYMENTS!C:C,E576,PAYMENTS!E:E))</f>
        <v/>
      </c>
      <c r="M576">
        <f>IF(E576="","",J576-L576)</f>
        <v/>
      </c>
      <c r="N576">
        <f>IF(E576="","",IF(M576&lt;=0,"Paid",IF(L576&gt;0,"Part Paid","Unpaid")))</f>
        <v/>
      </c>
      <c r="O576">
        <f>IF(E576="","",IFERROR(_xludf.MAXIFS(PAYMENTS!A:A,PAYMENTS!C:C,E576),""))</f>
        <v/>
      </c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>
        <f>IF(E577="","",SUMIF(PAYMENTS!C:C,E577,PAYMENTS!E:E))</f>
        <v/>
      </c>
      <c r="M577">
        <f>IF(E577="","",J577-L577)</f>
        <v/>
      </c>
      <c r="N577">
        <f>IF(E577="","",IF(M577&lt;=0,"Paid",IF(L577&gt;0,"Part Paid","Unpaid")))</f>
        <v/>
      </c>
      <c r="O577">
        <f>IF(E577="","",IFERROR(_xludf.MAXIFS(PAYMENTS!A:A,PAYMENTS!C:C,E577),""))</f>
        <v/>
      </c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>
        <f>IF(E578="","",SUMIF(PAYMENTS!C:C,E578,PAYMENTS!E:E))</f>
        <v/>
      </c>
      <c r="M578">
        <f>IF(E578="","",J578-L578)</f>
        <v/>
      </c>
      <c r="N578">
        <f>IF(E578="","",IF(M578&lt;=0,"Paid",IF(L578&gt;0,"Part Paid","Unpaid")))</f>
        <v/>
      </c>
      <c r="O578">
        <f>IF(E578="","",IFERROR(_xludf.MAXIFS(PAYMENTS!A:A,PAYMENTS!C:C,E578),""))</f>
        <v/>
      </c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>
        <f>IF(E579="","",SUMIF(PAYMENTS!C:C,E579,PAYMENTS!E:E))</f>
        <v/>
      </c>
      <c r="M579">
        <f>IF(E579="","",J579-L579)</f>
        <v/>
      </c>
      <c r="N579">
        <f>IF(E579="","",IF(M579&lt;=0,"Paid",IF(L579&gt;0,"Part Paid","Unpaid")))</f>
        <v/>
      </c>
      <c r="O579">
        <f>IF(E579="","",IFERROR(_xludf.MAXIFS(PAYMENTS!A:A,PAYMENTS!C:C,E579),""))</f>
        <v/>
      </c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>
        <f>IF(E580="","",SUMIF(PAYMENTS!C:C,E580,PAYMENTS!E:E))</f>
        <v/>
      </c>
      <c r="M580">
        <f>IF(E580="","",J580-L580)</f>
        <v/>
      </c>
      <c r="N580">
        <f>IF(E580="","",IF(M580&lt;=0,"Paid",IF(L580&gt;0,"Part Paid","Unpaid")))</f>
        <v/>
      </c>
      <c r="O580">
        <f>IF(E580="","",IFERROR(_xludf.MAXIFS(PAYMENTS!A:A,PAYMENTS!C:C,E580),""))</f>
        <v/>
      </c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>
        <f>IF(E581="","",SUMIF(PAYMENTS!C:C,E581,PAYMENTS!E:E))</f>
        <v/>
      </c>
      <c r="M581">
        <f>IF(E581="","",J581-L581)</f>
        <v/>
      </c>
      <c r="N581">
        <f>IF(E581="","",IF(M581&lt;=0,"Paid",IF(L581&gt;0,"Part Paid","Unpaid")))</f>
        <v/>
      </c>
      <c r="O581">
        <f>IF(E581="","",IFERROR(_xludf.MAXIFS(PAYMENTS!A:A,PAYMENTS!C:C,E581),""))</f>
        <v/>
      </c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>
        <f>IF(E582="","",SUMIF(PAYMENTS!C:C,E582,PAYMENTS!E:E))</f>
        <v/>
      </c>
      <c r="M582">
        <f>IF(E582="","",J582-L582)</f>
        <v/>
      </c>
      <c r="N582">
        <f>IF(E582="","",IF(M582&lt;=0,"Paid",IF(L582&gt;0,"Part Paid","Unpaid")))</f>
        <v/>
      </c>
      <c r="O582">
        <f>IF(E582="","",IFERROR(_xludf.MAXIFS(PAYMENTS!A:A,PAYMENTS!C:C,E582),""))</f>
        <v/>
      </c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>
        <f>IF(E583="","",SUMIF(PAYMENTS!C:C,E583,PAYMENTS!E:E))</f>
        <v/>
      </c>
      <c r="M583">
        <f>IF(E583="","",J583-L583)</f>
        <v/>
      </c>
      <c r="N583">
        <f>IF(E583="","",IF(M583&lt;=0,"Paid",IF(L583&gt;0,"Part Paid","Unpaid")))</f>
        <v/>
      </c>
      <c r="O583">
        <f>IF(E583="","",IFERROR(_xludf.MAXIFS(PAYMENTS!A:A,PAYMENTS!C:C,E583),""))</f>
        <v/>
      </c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>
        <f>IF(E584="","",SUMIF(PAYMENTS!C:C,E584,PAYMENTS!E:E))</f>
        <v/>
      </c>
      <c r="M584">
        <f>IF(E584="","",J584-L584)</f>
        <v/>
      </c>
      <c r="N584">
        <f>IF(E584="","",IF(M584&lt;=0,"Paid",IF(L584&gt;0,"Part Paid","Unpaid")))</f>
        <v/>
      </c>
      <c r="O584">
        <f>IF(E584="","",IFERROR(_xludf.MAXIFS(PAYMENTS!A:A,PAYMENTS!C:C,E584),""))</f>
        <v/>
      </c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>
        <f>IF(E585="","",SUMIF(PAYMENTS!C:C,E585,PAYMENTS!E:E))</f>
        <v/>
      </c>
      <c r="M585">
        <f>IF(E585="","",J585-L585)</f>
        <v/>
      </c>
      <c r="N585">
        <f>IF(E585="","",IF(M585&lt;=0,"Paid",IF(L585&gt;0,"Part Paid","Unpaid")))</f>
        <v/>
      </c>
      <c r="O585">
        <f>IF(E585="","",IFERROR(_xludf.MAXIFS(PAYMENTS!A:A,PAYMENTS!C:C,E585),""))</f>
        <v/>
      </c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>
        <f>IF(E586="","",SUMIF(PAYMENTS!C:C,E586,PAYMENTS!E:E))</f>
        <v/>
      </c>
      <c r="M586">
        <f>IF(E586="","",J586-L586)</f>
        <v/>
      </c>
      <c r="N586">
        <f>IF(E586="","",IF(M586&lt;=0,"Paid",IF(L586&gt;0,"Part Paid","Unpaid")))</f>
        <v/>
      </c>
      <c r="O586">
        <f>IF(E586="","",IFERROR(_xludf.MAXIFS(PAYMENTS!A:A,PAYMENTS!C:C,E586),""))</f>
        <v/>
      </c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>
        <f>IF(E587="","",SUMIF(PAYMENTS!C:C,E587,PAYMENTS!E:E))</f>
        <v/>
      </c>
      <c r="M587">
        <f>IF(E587="","",J587-L587)</f>
        <v/>
      </c>
      <c r="N587">
        <f>IF(E587="","",IF(M587&lt;=0,"Paid",IF(L587&gt;0,"Part Paid","Unpaid")))</f>
        <v/>
      </c>
      <c r="O587">
        <f>IF(E587="","",IFERROR(_xludf.MAXIFS(PAYMENTS!A:A,PAYMENTS!C:C,E587),""))</f>
        <v/>
      </c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>
        <f>IF(E588="","",SUMIF(PAYMENTS!C:C,E588,PAYMENTS!E:E))</f>
        <v/>
      </c>
      <c r="M588">
        <f>IF(E588="","",J588-L588)</f>
        <v/>
      </c>
      <c r="N588">
        <f>IF(E588="","",IF(M588&lt;=0,"Paid",IF(L588&gt;0,"Part Paid","Unpaid")))</f>
        <v/>
      </c>
      <c r="O588">
        <f>IF(E588="","",IFERROR(_xludf.MAXIFS(PAYMENTS!A:A,PAYMENTS!C:C,E588),""))</f>
        <v/>
      </c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>
        <f>IF(E589="","",SUMIF(PAYMENTS!C:C,E589,PAYMENTS!E:E))</f>
        <v/>
      </c>
      <c r="M589">
        <f>IF(E589="","",J589-L589)</f>
        <v/>
      </c>
      <c r="N589">
        <f>IF(E589="","",IF(M589&lt;=0,"Paid",IF(L589&gt;0,"Part Paid","Unpaid")))</f>
        <v/>
      </c>
      <c r="O589">
        <f>IF(E589="","",IFERROR(_xludf.MAXIFS(PAYMENTS!A:A,PAYMENTS!C:C,E589),""))</f>
        <v/>
      </c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>
        <f>IF(E590="","",SUMIF(PAYMENTS!C:C,E590,PAYMENTS!E:E))</f>
        <v/>
      </c>
      <c r="M590">
        <f>IF(E590="","",J590-L590)</f>
        <v/>
      </c>
      <c r="N590">
        <f>IF(E590="","",IF(M590&lt;=0,"Paid",IF(L590&gt;0,"Part Paid","Unpaid")))</f>
        <v/>
      </c>
      <c r="O590">
        <f>IF(E590="","",IFERROR(_xludf.MAXIFS(PAYMENTS!A:A,PAYMENTS!C:C,E590),""))</f>
        <v/>
      </c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>
        <f>IF(E591="","",SUMIF(PAYMENTS!C:C,E591,PAYMENTS!E:E))</f>
        <v/>
      </c>
      <c r="M591">
        <f>IF(E591="","",J591-L591)</f>
        <v/>
      </c>
      <c r="N591">
        <f>IF(E591="","",IF(M591&lt;=0,"Paid",IF(L591&gt;0,"Part Paid","Unpaid")))</f>
        <v/>
      </c>
      <c r="O591">
        <f>IF(E591="","",IFERROR(_xludf.MAXIFS(PAYMENTS!A:A,PAYMENTS!C:C,E591),""))</f>
        <v/>
      </c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>
        <f>IF(E592="","",SUMIF(PAYMENTS!C:C,E592,PAYMENTS!E:E))</f>
        <v/>
      </c>
      <c r="M592">
        <f>IF(E592="","",J592-L592)</f>
        <v/>
      </c>
      <c r="N592">
        <f>IF(E592="","",IF(M592&lt;=0,"Paid",IF(L592&gt;0,"Part Paid","Unpaid")))</f>
        <v/>
      </c>
      <c r="O592">
        <f>IF(E592="","",IFERROR(_xludf.MAXIFS(PAYMENTS!A:A,PAYMENTS!C:C,E592),""))</f>
        <v/>
      </c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>
        <f>IF(E593="","",SUMIF(PAYMENTS!C:C,E593,PAYMENTS!E:E))</f>
        <v/>
      </c>
      <c r="M593">
        <f>IF(E593="","",J593-L593)</f>
        <v/>
      </c>
      <c r="N593">
        <f>IF(E593="","",IF(M593&lt;=0,"Paid",IF(L593&gt;0,"Part Paid","Unpaid")))</f>
        <v/>
      </c>
      <c r="O593">
        <f>IF(E593="","",IFERROR(_xludf.MAXIFS(PAYMENTS!A:A,PAYMENTS!C:C,E593),""))</f>
        <v/>
      </c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>
        <f>IF(E594="","",SUMIF(PAYMENTS!C:C,E594,PAYMENTS!E:E))</f>
        <v/>
      </c>
      <c r="M594">
        <f>IF(E594="","",J594-L594)</f>
        <v/>
      </c>
      <c r="N594">
        <f>IF(E594="","",IF(M594&lt;=0,"Paid",IF(L594&gt;0,"Part Paid","Unpaid")))</f>
        <v/>
      </c>
      <c r="O594">
        <f>IF(E594="","",IFERROR(_xludf.MAXIFS(PAYMENTS!A:A,PAYMENTS!C:C,E594),""))</f>
        <v/>
      </c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>
        <f>IF(E595="","",SUMIF(PAYMENTS!C:C,E595,PAYMENTS!E:E))</f>
        <v/>
      </c>
      <c r="M595">
        <f>IF(E595="","",J595-L595)</f>
        <v/>
      </c>
      <c r="N595">
        <f>IF(E595="","",IF(M595&lt;=0,"Paid",IF(L595&gt;0,"Part Paid","Unpaid")))</f>
        <v/>
      </c>
      <c r="O595">
        <f>IF(E595="","",IFERROR(_xludf.MAXIFS(PAYMENTS!A:A,PAYMENTS!C:C,E595),""))</f>
        <v/>
      </c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>
        <f>IF(E596="","",SUMIF(PAYMENTS!C:C,E596,PAYMENTS!E:E))</f>
        <v/>
      </c>
      <c r="M596">
        <f>IF(E596="","",J596-L596)</f>
        <v/>
      </c>
      <c r="N596">
        <f>IF(E596="","",IF(M596&lt;=0,"Paid",IF(L596&gt;0,"Part Paid","Unpaid")))</f>
        <v/>
      </c>
      <c r="O596">
        <f>IF(E596="","",IFERROR(_xludf.MAXIFS(PAYMENTS!A:A,PAYMENTS!C:C,E596),""))</f>
        <v/>
      </c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>
        <f>IF(E597="","",SUMIF(PAYMENTS!C:C,E597,PAYMENTS!E:E))</f>
        <v/>
      </c>
      <c r="M597">
        <f>IF(E597="","",J597-L597)</f>
        <v/>
      </c>
      <c r="N597">
        <f>IF(E597="","",IF(M597&lt;=0,"Paid",IF(L597&gt;0,"Part Paid","Unpaid")))</f>
        <v/>
      </c>
      <c r="O597">
        <f>IF(E597="","",IFERROR(_xludf.MAXIFS(PAYMENTS!A:A,PAYMENTS!C:C,E597),""))</f>
        <v/>
      </c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>
        <f>IF(E598="","",SUMIF(PAYMENTS!C:C,E598,PAYMENTS!E:E))</f>
        <v/>
      </c>
      <c r="M598">
        <f>IF(E598="","",J598-L598)</f>
        <v/>
      </c>
      <c r="N598">
        <f>IF(E598="","",IF(M598&lt;=0,"Paid",IF(L598&gt;0,"Part Paid","Unpaid")))</f>
        <v/>
      </c>
      <c r="O598">
        <f>IF(E598="","",IFERROR(_xludf.MAXIFS(PAYMENTS!A:A,PAYMENTS!C:C,E598),""))</f>
        <v/>
      </c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>
        <f>IF(E599="","",SUMIF(PAYMENTS!C:C,E599,PAYMENTS!E:E))</f>
        <v/>
      </c>
      <c r="M599">
        <f>IF(E599="","",J599-L599)</f>
        <v/>
      </c>
      <c r="N599">
        <f>IF(E599="","",IF(M599&lt;=0,"Paid",IF(L599&gt;0,"Part Paid","Unpaid")))</f>
        <v/>
      </c>
      <c r="O599">
        <f>IF(E599="","",IFERROR(_xludf.MAXIFS(PAYMENTS!A:A,PAYMENTS!C:C,E599),""))</f>
        <v/>
      </c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>
        <f>IF(E600="","",SUMIF(PAYMENTS!C:C,E600,PAYMENTS!E:E))</f>
        <v/>
      </c>
      <c r="M600">
        <f>IF(E600="","",J600-L600)</f>
        <v/>
      </c>
      <c r="N600">
        <f>IF(E600="","",IF(M600&lt;=0,"Paid",IF(L600&gt;0,"Part Paid","Unpaid")))</f>
        <v/>
      </c>
      <c r="O600">
        <f>IF(E600="","",IFERROR(_xludf.MAXIFS(PAYMENTS!A:A,PAYMENTS!C:C,E600),""))</f>
        <v/>
      </c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>
        <f>IF(E601="","",SUMIF(PAYMENTS!C:C,E601,PAYMENTS!E:E))</f>
        <v/>
      </c>
      <c r="M601">
        <f>IF(E601="","",J601-L601)</f>
        <v/>
      </c>
      <c r="N601">
        <f>IF(E601="","",IF(M601&lt;=0,"Paid",IF(L601&gt;0,"Part Paid","Unpaid")))</f>
        <v/>
      </c>
      <c r="O601">
        <f>IF(E601="","",IFERROR(_xludf.MAXIFS(PAYMENTS!A:A,PAYMENTS!C:C,E601),""))</f>
        <v/>
      </c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>
        <f>IF(E602="","",SUMIF(PAYMENTS!C:C,E602,PAYMENTS!E:E))</f>
        <v/>
      </c>
      <c r="M602">
        <f>IF(E602="","",J602-L602)</f>
        <v/>
      </c>
      <c r="N602">
        <f>IF(E602="","",IF(M602&lt;=0,"Paid",IF(L602&gt;0,"Part Paid","Unpaid")))</f>
        <v/>
      </c>
      <c r="O602">
        <f>IF(E602="","",IFERROR(_xludf.MAXIFS(PAYMENTS!A:A,PAYMENTS!C:C,E602),""))</f>
        <v/>
      </c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>
        <f>IF(E603="","",SUMIF(PAYMENTS!C:C,E603,PAYMENTS!E:E))</f>
        <v/>
      </c>
      <c r="M603">
        <f>IF(E603="","",J603-L603)</f>
        <v/>
      </c>
      <c r="N603">
        <f>IF(E603="","",IF(M603&lt;=0,"Paid",IF(L603&gt;0,"Part Paid","Unpaid")))</f>
        <v/>
      </c>
      <c r="O603">
        <f>IF(E603="","",IFERROR(_xludf.MAXIFS(PAYMENTS!A:A,PAYMENTS!C:C,E603),""))</f>
        <v/>
      </c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>
        <f>IF(E604="","",SUMIF(PAYMENTS!C:C,E604,PAYMENTS!E:E))</f>
        <v/>
      </c>
      <c r="M604">
        <f>IF(E604="","",J604-L604)</f>
        <v/>
      </c>
      <c r="N604">
        <f>IF(E604="","",IF(M604&lt;=0,"Paid",IF(L604&gt;0,"Part Paid","Unpaid")))</f>
        <v/>
      </c>
      <c r="O604">
        <f>IF(E604="","",IFERROR(_xludf.MAXIFS(PAYMENTS!A:A,PAYMENTS!C:C,E604),""))</f>
        <v/>
      </c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>
        <f>IF(E605="","",SUMIF(PAYMENTS!C:C,E605,PAYMENTS!E:E))</f>
        <v/>
      </c>
      <c r="M605">
        <f>IF(E605="","",J605-L605)</f>
        <v/>
      </c>
      <c r="N605">
        <f>IF(E605="","",IF(M605&lt;=0,"Paid",IF(L605&gt;0,"Part Paid","Unpaid")))</f>
        <v/>
      </c>
      <c r="O605">
        <f>IF(E605="","",IFERROR(_xludf.MAXIFS(PAYMENTS!A:A,PAYMENTS!C:C,E605),""))</f>
        <v/>
      </c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>
        <f>IF(E606="","",SUMIF(PAYMENTS!C:C,E606,PAYMENTS!E:E))</f>
        <v/>
      </c>
      <c r="M606">
        <f>IF(E606="","",J606-L606)</f>
        <v/>
      </c>
      <c r="N606">
        <f>IF(E606="","",IF(M606&lt;=0,"Paid",IF(L606&gt;0,"Part Paid","Unpaid")))</f>
        <v/>
      </c>
      <c r="O606">
        <f>IF(E606="","",IFERROR(_xludf.MAXIFS(PAYMENTS!A:A,PAYMENTS!C:C,E606),""))</f>
        <v/>
      </c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>
        <f>IF(E607="","",SUMIF(PAYMENTS!C:C,E607,PAYMENTS!E:E))</f>
        <v/>
      </c>
      <c r="M607">
        <f>IF(E607="","",J607-L607)</f>
        <v/>
      </c>
      <c r="N607">
        <f>IF(E607="","",IF(M607&lt;=0,"Paid",IF(L607&gt;0,"Part Paid","Unpaid")))</f>
        <v/>
      </c>
      <c r="O607">
        <f>IF(E607="","",IFERROR(_xludf.MAXIFS(PAYMENTS!A:A,PAYMENTS!C:C,E607),""))</f>
        <v/>
      </c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>
        <f>IF(E608="","",SUMIF(PAYMENTS!C:C,E608,PAYMENTS!E:E))</f>
        <v/>
      </c>
      <c r="M608">
        <f>IF(E608="","",J608-L608)</f>
        <v/>
      </c>
      <c r="N608">
        <f>IF(E608="","",IF(M608&lt;=0,"Paid",IF(L608&gt;0,"Part Paid","Unpaid")))</f>
        <v/>
      </c>
      <c r="O608">
        <f>IF(E608="","",IFERROR(_xludf.MAXIFS(PAYMENTS!A:A,PAYMENTS!C:C,E608),""))</f>
        <v/>
      </c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>
        <f>IF(E609="","",SUMIF(PAYMENTS!C:C,E609,PAYMENTS!E:E))</f>
        <v/>
      </c>
      <c r="M609">
        <f>IF(E609="","",J609-L609)</f>
        <v/>
      </c>
      <c r="N609">
        <f>IF(E609="","",IF(M609&lt;=0,"Paid",IF(L609&gt;0,"Part Paid","Unpaid")))</f>
        <v/>
      </c>
      <c r="O609">
        <f>IF(E609="","",IFERROR(_xludf.MAXIFS(PAYMENTS!A:A,PAYMENTS!C:C,E609),""))</f>
        <v/>
      </c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>
        <f>IF(E610="","",SUMIF(PAYMENTS!C:C,E610,PAYMENTS!E:E))</f>
        <v/>
      </c>
      <c r="M610">
        <f>IF(E610="","",J610-L610)</f>
        <v/>
      </c>
      <c r="N610">
        <f>IF(E610="","",IF(M610&lt;=0,"Paid",IF(L610&gt;0,"Part Paid","Unpaid")))</f>
        <v/>
      </c>
      <c r="O610">
        <f>IF(E610="","",IFERROR(_xludf.MAXIFS(PAYMENTS!A:A,PAYMENTS!C:C,E610),""))</f>
        <v/>
      </c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>
        <f>IF(E611="","",SUMIF(PAYMENTS!C:C,E611,PAYMENTS!E:E))</f>
        <v/>
      </c>
      <c r="M611">
        <f>IF(E611="","",J611-L611)</f>
        <v/>
      </c>
      <c r="N611">
        <f>IF(E611="","",IF(M611&lt;=0,"Paid",IF(L611&gt;0,"Part Paid","Unpaid")))</f>
        <v/>
      </c>
      <c r="O611">
        <f>IF(E611="","",IFERROR(_xludf.MAXIFS(PAYMENTS!A:A,PAYMENTS!C:C,E611),""))</f>
        <v/>
      </c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>
        <f>IF(E612="","",SUMIF(PAYMENTS!C:C,E612,PAYMENTS!E:E))</f>
        <v/>
      </c>
      <c r="M612">
        <f>IF(E612="","",J612-L612)</f>
        <v/>
      </c>
      <c r="N612">
        <f>IF(E612="","",IF(M612&lt;=0,"Paid",IF(L612&gt;0,"Part Paid","Unpaid")))</f>
        <v/>
      </c>
      <c r="O612">
        <f>IF(E612="","",IFERROR(_xludf.MAXIFS(PAYMENTS!A:A,PAYMENTS!C:C,E612),""))</f>
        <v/>
      </c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>
        <f>IF(E613="","",SUMIF(PAYMENTS!C:C,E613,PAYMENTS!E:E))</f>
        <v/>
      </c>
      <c r="M613">
        <f>IF(E613="","",J613-L613)</f>
        <v/>
      </c>
      <c r="N613">
        <f>IF(E613="","",IF(M613&lt;=0,"Paid",IF(L613&gt;0,"Part Paid","Unpaid")))</f>
        <v/>
      </c>
      <c r="O613">
        <f>IF(E613="","",IFERROR(_xludf.MAXIFS(PAYMENTS!A:A,PAYMENTS!C:C,E613),""))</f>
        <v/>
      </c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>
        <f>IF(E614="","",SUMIF(PAYMENTS!C:C,E614,PAYMENTS!E:E))</f>
        <v/>
      </c>
      <c r="M614">
        <f>IF(E614="","",J614-L614)</f>
        <v/>
      </c>
      <c r="N614">
        <f>IF(E614="","",IF(M614&lt;=0,"Paid",IF(L614&gt;0,"Part Paid","Unpaid")))</f>
        <v/>
      </c>
      <c r="O614">
        <f>IF(E614="","",IFERROR(_xludf.MAXIFS(PAYMENTS!A:A,PAYMENTS!C:C,E614),""))</f>
        <v/>
      </c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>
        <f>IF(E615="","",SUMIF(PAYMENTS!C:C,E615,PAYMENTS!E:E))</f>
        <v/>
      </c>
      <c r="M615">
        <f>IF(E615="","",J615-L615)</f>
        <v/>
      </c>
      <c r="N615">
        <f>IF(E615="","",IF(M615&lt;=0,"Paid",IF(L615&gt;0,"Part Paid","Unpaid")))</f>
        <v/>
      </c>
      <c r="O615">
        <f>IF(E615="","",IFERROR(_xludf.MAXIFS(PAYMENTS!A:A,PAYMENTS!C:C,E615),""))</f>
        <v/>
      </c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>
        <f>IF(E616="","",SUMIF(PAYMENTS!C:C,E616,PAYMENTS!E:E))</f>
        <v/>
      </c>
      <c r="M616">
        <f>IF(E616="","",J616-L616)</f>
        <v/>
      </c>
      <c r="N616">
        <f>IF(E616="","",IF(M616&lt;=0,"Paid",IF(L616&gt;0,"Part Paid","Unpaid")))</f>
        <v/>
      </c>
      <c r="O616">
        <f>IF(E616="","",IFERROR(_xludf.MAXIFS(PAYMENTS!A:A,PAYMENTS!C:C,E616),""))</f>
        <v/>
      </c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>
        <f>IF(E617="","",SUMIF(PAYMENTS!C:C,E617,PAYMENTS!E:E))</f>
        <v/>
      </c>
      <c r="M617">
        <f>IF(E617="","",J617-L617)</f>
        <v/>
      </c>
      <c r="N617">
        <f>IF(E617="","",IF(M617&lt;=0,"Paid",IF(L617&gt;0,"Part Paid","Unpaid")))</f>
        <v/>
      </c>
      <c r="O617">
        <f>IF(E617="","",IFERROR(_xludf.MAXIFS(PAYMENTS!A:A,PAYMENTS!C:C,E617),""))</f>
        <v/>
      </c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>
        <f>IF(E618="","",SUMIF(PAYMENTS!C:C,E618,PAYMENTS!E:E))</f>
        <v/>
      </c>
      <c r="M618">
        <f>IF(E618="","",J618-L618)</f>
        <v/>
      </c>
      <c r="N618">
        <f>IF(E618="","",IF(M618&lt;=0,"Paid",IF(L618&gt;0,"Part Paid","Unpaid")))</f>
        <v/>
      </c>
      <c r="O618">
        <f>IF(E618="","",IFERROR(_xludf.MAXIFS(PAYMENTS!A:A,PAYMENTS!C:C,E618),""))</f>
        <v/>
      </c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>
        <f>IF(E619="","",SUMIF(PAYMENTS!C:C,E619,PAYMENTS!E:E))</f>
        <v/>
      </c>
      <c r="M619">
        <f>IF(E619="","",J619-L619)</f>
        <v/>
      </c>
      <c r="N619">
        <f>IF(E619="","",IF(M619&lt;=0,"Paid",IF(L619&gt;0,"Part Paid","Unpaid")))</f>
        <v/>
      </c>
      <c r="O619">
        <f>IF(E619="","",IFERROR(_xludf.MAXIFS(PAYMENTS!A:A,PAYMENTS!C:C,E619),""))</f>
        <v/>
      </c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>
        <f>IF(E620="","",SUMIF(PAYMENTS!C:C,E620,PAYMENTS!E:E))</f>
        <v/>
      </c>
      <c r="M620">
        <f>IF(E620="","",J620-L620)</f>
        <v/>
      </c>
      <c r="N620">
        <f>IF(E620="","",IF(M620&lt;=0,"Paid",IF(L620&gt;0,"Part Paid","Unpaid")))</f>
        <v/>
      </c>
      <c r="O620">
        <f>IF(E620="","",IFERROR(_xludf.MAXIFS(PAYMENTS!A:A,PAYMENTS!C:C,E620),""))</f>
        <v/>
      </c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>
        <f>IF(E621="","",SUMIF(PAYMENTS!C:C,E621,PAYMENTS!E:E))</f>
        <v/>
      </c>
      <c r="M621">
        <f>IF(E621="","",J621-L621)</f>
        <v/>
      </c>
      <c r="N621">
        <f>IF(E621="","",IF(M621&lt;=0,"Paid",IF(L621&gt;0,"Part Paid","Unpaid")))</f>
        <v/>
      </c>
      <c r="O621">
        <f>IF(E621="","",IFERROR(_xludf.MAXIFS(PAYMENTS!A:A,PAYMENTS!C:C,E621),""))</f>
        <v/>
      </c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>
        <f>IF(E622="","",SUMIF(PAYMENTS!C:C,E622,PAYMENTS!E:E))</f>
        <v/>
      </c>
      <c r="M622">
        <f>IF(E622="","",J622-L622)</f>
        <v/>
      </c>
      <c r="N622">
        <f>IF(E622="","",IF(M622&lt;=0,"Paid",IF(L622&gt;0,"Part Paid","Unpaid")))</f>
        <v/>
      </c>
      <c r="O622">
        <f>IF(E622="","",IFERROR(_xludf.MAXIFS(PAYMENTS!A:A,PAYMENTS!C:C,E622),""))</f>
        <v/>
      </c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>
        <f>IF(E623="","",SUMIF(PAYMENTS!C:C,E623,PAYMENTS!E:E))</f>
        <v/>
      </c>
      <c r="M623">
        <f>IF(E623="","",J623-L623)</f>
        <v/>
      </c>
      <c r="N623">
        <f>IF(E623="","",IF(M623&lt;=0,"Paid",IF(L623&gt;0,"Part Paid","Unpaid")))</f>
        <v/>
      </c>
      <c r="O623">
        <f>IF(E623="","",IFERROR(_xludf.MAXIFS(PAYMENTS!A:A,PAYMENTS!C:C,E623),""))</f>
        <v/>
      </c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>
        <f>IF(E624="","",SUMIF(PAYMENTS!C:C,E624,PAYMENTS!E:E))</f>
        <v/>
      </c>
      <c r="M624">
        <f>IF(E624="","",J624-L624)</f>
        <v/>
      </c>
      <c r="N624">
        <f>IF(E624="","",IF(M624&lt;=0,"Paid",IF(L624&gt;0,"Part Paid","Unpaid")))</f>
        <v/>
      </c>
      <c r="O624">
        <f>IF(E624="","",IFERROR(_xludf.MAXIFS(PAYMENTS!A:A,PAYMENTS!C:C,E624),""))</f>
        <v/>
      </c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>
        <f>IF(E625="","",SUMIF(PAYMENTS!C:C,E625,PAYMENTS!E:E))</f>
        <v/>
      </c>
      <c r="M625">
        <f>IF(E625="","",J625-L625)</f>
        <v/>
      </c>
      <c r="N625">
        <f>IF(E625="","",IF(M625&lt;=0,"Paid",IF(L625&gt;0,"Part Paid","Unpaid")))</f>
        <v/>
      </c>
      <c r="O625">
        <f>IF(E625="","",IFERROR(_xludf.MAXIFS(PAYMENTS!A:A,PAYMENTS!C:C,E625),""))</f>
        <v/>
      </c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>
        <f>IF(E626="","",SUMIF(PAYMENTS!C:C,E626,PAYMENTS!E:E))</f>
        <v/>
      </c>
      <c r="M626">
        <f>IF(E626="","",J626-L626)</f>
        <v/>
      </c>
      <c r="N626">
        <f>IF(E626="","",IF(M626&lt;=0,"Paid",IF(L626&gt;0,"Part Paid","Unpaid")))</f>
        <v/>
      </c>
      <c r="O626">
        <f>IF(E626="","",IFERROR(_xludf.MAXIFS(PAYMENTS!A:A,PAYMENTS!C:C,E626),""))</f>
        <v/>
      </c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>
        <f>IF(E627="","",SUMIF(PAYMENTS!C:C,E627,PAYMENTS!E:E))</f>
        <v/>
      </c>
      <c r="M627">
        <f>IF(E627="","",J627-L627)</f>
        <v/>
      </c>
      <c r="N627">
        <f>IF(E627="","",IF(M627&lt;=0,"Paid",IF(L627&gt;0,"Part Paid","Unpaid")))</f>
        <v/>
      </c>
      <c r="O627">
        <f>IF(E627="","",IFERROR(_xludf.MAXIFS(PAYMENTS!A:A,PAYMENTS!C:C,E627),""))</f>
        <v/>
      </c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>
        <f>IF(E628="","",SUMIF(PAYMENTS!C:C,E628,PAYMENTS!E:E))</f>
        <v/>
      </c>
      <c r="M628">
        <f>IF(E628="","",J628-L628)</f>
        <v/>
      </c>
      <c r="N628">
        <f>IF(E628="","",IF(M628&lt;=0,"Paid",IF(L628&gt;0,"Part Paid","Unpaid")))</f>
        <v/>
      </c>
      <c r="O628">
        <f>IF(E628="","",IFERROR(_xludf.MAXIFS(PAYMENTS!A:A,PAYMENTS!C:C,E628),""))</f>
        <v/>
      </c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>
        <f>IF(E629="","",SUMIF(PAYMENTS!C:C,E629,PAYMENTS!E:E))</f>
        <v/>
      </c>
      <c r="M629">
        <f>IF(E629="","",J629-L629)</f>
        <v/>
      </c>
      <c r="N629">
        <f>IF(E629="","",IF(M629&lt;=0,"Paid",IF(L629&gt;0,"Part Paid","Unpaid")))</f>
        <v/>
      </c>
      <c r="O629">
        <f>IF(E629="","",IFERROR(_xludf.MAXIFS(PAYMENTS!A:A,PAYMENTS!C:C,E629),""))</f>
        <v/>
      </c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>
        <f>IF(E630="","",SUMIF(PAYMENTS!C:C,E630,PAYMENTS!E:E))</f>
        <v/>
      </c>
      <c r="M630">
        <f>IF(E630="","",J630-L630)</f>
        <v/>
      </c>
      <c r="N630">
        <f>IF(E630="","",IF(M630&lt;=0,"Paid",IF(L630&gt;0,"Part Paid","Unpaid")))</f>
        <v/>
      </c>
      <c r="O630">
        <f>IF(E630="","",IFERROR(_xludf.MAXIFS(PAYMENTS!A:A,PAYMENTS!C:C,E630),""))</f>
        <v/>
      </c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>
        <f>IF(E631="","",SUMIF(PAYMENTS!C:C,E631,PAYMENTS!E:E))</f>
        <v/>
      </c>
      <c r="M631">
        <f>IF(E631="","",J631-L631)</f>
        <v/>
      </c>
      <c r="N631">
        <f>IF(E631="","",IF(M631&lt;=0,"Paid",IF(L631&gt;0,"Part Paid","Unpaid")))</f>
        <v/>
      </c>
      <c r="O631">
        <f>IF(E631="","",IFERROR(_xludf.MAXIFS(PAYMENTS!A:A,PAYMENTS!C:C,E631),""))</f>
        <v/>
      </c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>
        <f>IF(E632="","",SUMIF(PAYMENTS!C:C,E632,PAYMENTS!E:E))</f>
        <v/>
      </c>
      <c r="M632">
        <f>IF(E632="","",J632-L632)</f>
        <v/>
      </c>
      <c r="N632">
        <f>IF(E632="","",IF(M632&lt;=0,"Paid",IF(L632&gt;0,"Part Paid","Unpaid")))</f>
        <v/>
      </c>
      <c r="O632">
        <f>IF(E632="","",IFERROR(_xludf.MAXIFS(PAYMENTS!A:A,PAYMENTS!C:C,E632),""))</f>
        <v/>
      </c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>
        <f>IF(E633="","",SUMIF(PAYMENTS!C:C,E633,PAYMENTS!E:E))</f>
        <v/>
      </c>
      <c r="M633">
        <f>IF(E633="","",J633-L633)</f>
        <v/>
      </c>
      <c r="N633">
        <f>IF(E633="","",IF(M633&lt;=0,"Paid",IF(L633&gt;0,"Part Paid","Unpaid")))</f>
        <v/>
      </c>
      <c r="O633">
        <f>IF(E633="","",IFERROR(_xludf.MAXIFS(PAYMENTS!A:A,PAYMENTS!C:C,E633),""))</f>
        <v/>
      </c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>
        <f>IF(E634="","",SUMIF(PAYMENTS!C:C,E634,PAYMENTS!E:E))</f>
        <v/>
      </c>
      <c r="M634">
        <f>IF(E634="","",J634-L634)</f>
        <v/>
      </c>
      <c r="N634">
        <f>IF(E634="","",IF(M634&lt;=0,"Paid",IF(L634&gt;0,"Part Paid","Unpaid")))</f>
        <v/>
      </c>
      <c r="O634">
        <f>IF(E634="","",IFERROR(_xludf.MAXIFS(PAYMENTS!A:A,PAYMENTS!C:C,E634),""))</f>
        <v/>
      </c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>
        <f>IF(E635="","",SUMIF(PAYMENTS!C:C,E635,PAYMENTS!E:E))</f>
        <v/>
      </c>
      <c r="M635">
        <f>IF(E635="","",J635-L635)</f>
        <v/>
      </c>
      <c r="N635">
        <f>IF(E635="","",IF(M635&lt;=0,"Paid",IF(L635&gt;0,"Part Paid","Unpaid")))</f>
        <v/>
      </c>
      <c r="O635">
        <f>IF(E635="","",IFERROR(_xludf.MAXIFS(PAYMENTS!A:A,PAYMENTS!C:C,E635),""))</f>
        <v/>
      </c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>
        <f>IF(E636="","",SUMIF(PAYMENTS!C:C,E636,PAYMENTS!E:E))</f>
        <v/>
      </c>
      <c r="M636">
        <f>IF(E636="","",J636-L636)</f>
        <v/>
      </c>
      <c r="N636">
        <f>IF(E636="","",IF(M636&lt;=0,"Paid",IF(L636&gt;0,"Part Paid","Unpaid")))</f>
        <v/>
      </c>
      <c r="O636">
        <f>IF(E636="","",IFERROR(_xludf.MAXIFS(PAYMENTS!A:A,PAYMENTS!C:C,E636),""))</f>
        <v/>
      </c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>
        <f>IF(E637="","",SUMIF(PAYMENTS!C:C,E637,PAYMENTS!E:E))</f>
        <v/>
      </c>
      <c r="M637">
        <f>IF(E637="","",J637-L637)</f>
        <v/>
      </c>
      <c r="N637">
        <f>IF(E637="","",IF(M637&lt;=0,"Paid",IF(L637&gt;0,"Part Paid","Unpaid")))</f>
        <v/>
      </c>
      <c r="O637">
        <f>IF(E637="","",IFERROR(_xludf.MAXIFS(PAYMENTS!A:A,PAYMENTS!C:C,E637),""))</f>
        <v/>
      </c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>
        <f>IF(E638="","",SUMIF(PAYMENTS!C:C,E638,PAYMENTS!E:E))</f>
        <v/>
      </c>
      <c r="M638">
        <f>IF(E638="","",J638-L638)</f>
        <v/>
      </c>
      <c r="N638">
        <f>IF(E638="","",IF(M638&lt;=0,"Paid",IF(L638&gt;0,"Part Paid","Unpaid")))</f>
        <v/>
      </c>
      <c r="O638">
        <f>IF(E638="","",IFERROR(_xludf.MAXIFS(PAYMENTS!A:A,PAYMENTS!C:C,E638),""))</f>
        <v/>
      </c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>
        <f>IF(E639="","",SUMIF(PAYMENTS!C:C,E639,PAYMENTS!E:E))</f>
        <v/>
      </c>
      <c r="M639">
        <f>IF(E639="","",J639-L639)</f>
        <v/>
      </c>
      <c r="N639">
        <f>IF(E639="","",IF(M639&lt;=0,"Paid",IF(L639&gt;0,"Part Paid","Unpaid")))</f>
        <v/>
      </c>
      <c r="O639">
        <f>IF(E639="","",IFERROR(_xludf.MAXIFS(PAYMENTS!A:A,PAYMENTS!C:C,E639),""))</f>
        <v/>
      </c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>
        <f>IF(E640="","",SUMIF(PAYMENTS!C:C,E640,PAYMENTS!E:E))</f>
        <v/>
      </c>
      <c r="M640">
        <f>IF(E640="","",J640-L640)</f>
        <v/>
      </c>
      <c r="N640">
        <f>IF(E640="","",IF(M640&lt;=0,"Paid",IF(L640&gt;0,"Part Paid","Unpaid")))</f>
        <v/>
      </c>
      <c r="O640">
        <f>IF(E640="","",IFERROR(_xludf.MAXIFS(PAYMENTS!A:A,PAYMENTS!C:C,E640),""))</f>
        <v/>
      </c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>
        <f>IF(E641="","",SUMIF(PAYMENTS!C:C,E641,PAYMENTS!E:E))</f>
        <v/>
      </c>
      <c r="M641">
        <f>IF(E641="","",J641-L641)</f>
        <v/>
      </c>
      <c r="N641">
        <f>IF(E641="","",IF(M641&lt;=0,"Paid",IF(L641&gt;0,"Part Paid","Unpaid")))</f>
        <v/>
      </c>
      <c r="O641">
        <f>IF(E641="","",IFERROR(_xludf.MAXIFS(PAYMENTS!A:A,PAYMENTS!C:C,E641),""))</f>
        <v/>
      </c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>
        <f>IF(E642="","",SUMIF(PAYMENTS!C:C,E642,PAYMENTS!E:E))</f>
        <v/>
      </c>
      <c r="M642">
        <f>IF(E642="","",J642-L642)</f>
        <v/>
      </c>
      <c r="N642">
        <f>IF(E642="","",IF(M642&lt;=0,"Paid",IF(L642&gt;0,"Part Paid","Unpaid")))</f>
        <v/>
      </c>
      <c r="O642">
        <f>IF(E642="","",IFERROR(_xludf.MAXIFS(PAYMENTS!A:A,PAYMENTS!C:C,E642),""))</f>
        <v/>
      </c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>
        <f>IF(E643="","",SUMIF(PAYMENTS!C:C,E643,PAYMENTS!E:E))</f>
        <v/>
      </c>
      <c r="M643">
        <f>IF(E643="","",J643-L643)</f>
        <v/>
      </c>
      <c r="N643">
        <f>IF(E643="","",IF(M643&lt;=0,"Paid",IF(L643&gt;0,"Part Paid","Unpaid")))</f>
        <v/>
      </c>
      <c r="O643">
        <f>IF(E643="","",IFERROR(_xludf.MAXIFS(PAYMENTS!A:A,PAYMENTS!C:C,E643),""))</f>
        <v/>
      </c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>
        <f>IF(E644="","",SUMIF(PAYMENTS!C:C,E644,PAYMENTS!E:E))</f>
        <v/>
      </c>
      <c r="M644">
        <f>IF(E644="","",J644-L644)</f>
        <v/>
      </c>
      <c r="N644">
        <f>IF(E644="","",IF(M644&lt;=0,"Paid",IF(L644&gt;0,"Part Paid","Unpaid")))</f>
        <v/>
      </c>
      <c r="O644">
        <f>IF(E644="","",IFERROR(_xludf.MAXIFS(PAYMENTS!A:A,PAYMENTS!C:C,E644),""))</f>
        <v/>
      </c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>
        <f>IF(E645="","",SUMIF(PAYMENTS!C:C,E645,PAYMENTS!E:E))</f>
        <v/>
      </c>
      <c r="M645">
        <f>IF(E645="","",J645-L645)</f>
        <v/>
      </c>
      <c r="N645">
        <f>IF(E645="","",IF(M645&lt;=0,"Paid",IF(L645&gt;0,"Part Paid","Unpaid")))</f>
        <v/>
      </c>
      <c r="O645">
        <f>IF(E645="","",IFERROR(_xludf.MAXIFS(PAYMENTS!A:A,PAYMENTS!C:C,E645),""))</f>
        <v/>
      </c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>
        <f>IF(E646="","",SUMIF(PAYMENTS!C:C,E646,PAYMENTS!E:E))</f>
        <v/>
      </c>
      <c r="M646">
        <f>IF(E646="","",J646-L646)</f>
        <v/>
      </c>
      <c r="N646">
        <f>IF(E646="","",IF(M646&lt;=0,"Paid",IF(L646&gt;0,"Part Paid","Unpaid")))</f>
        <v/>
      </c>
      <c r="O646">
        <f>IF(E646="","",IFERROR(_xludf.MAXIFS(PAYMENTS!A:A,PAYMENTS!C:C,E646),""))</f>
        <v/>
      </c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>
        <f>IF(E647="","",SUMIF(PAYMENTS!C:C,E647,PAYMENTS!E:E))</f>
        <v/>
      </c>
      <c r="M647">
        <f>IF(E647="","",J647-L647)</f>
        <v/>
      </c>
      <c r="N647">
        <f>IF(E647="","",IF(M647&lt;=0,"Paid",IF(L647&gt;0,"Part Paid","Unpaid")))</f>
        <v/>
      </c>
      <c r="O647">
        <f>IF(E647="","",IFERROR(_xludf.MAXIFS(PAYMENTS!A:A,PAYMENTS!C:C,E647),""))</f>
        <v/>
      </c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>
        <f>IF(E648="","",SUMIF(PAYMENTS!C:C,E648,PAYMENTS!E:E))</f>
        <v/>
      </c>
      <c r="M648">
        <f>IF(E648="","",J648-L648)</f>
        <v/>
      </c>
      <c r="N648">
        <f>IF(E648="","",IF(M648&lt;=0,"Paid",IF(L648&gt;0,"Part Paid","Unpaid")))</f>
        <v/>
      </c>
      <c r="O648">
        <f>IF(E648="","",IFERROR(_xludf.MAXIFS(PAYMENTS!A:A,PAYMENTS!C:C,E648),""))</f>
        <v/>
      </c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>
        <f>IF(E649="","",SUMIF(PAYMENTS!C:C,E649,PAYMENTS!E:E))</f>
        <v/>
      </c>
      <c r="M649">
        <f>IF(E649="","",J649-L649)</f>
        <v/>
      </c>
      <c r="N649">
        <f>IF(E649="","",IF(M649&lt;=0,"Paid",IF(L649&gt;0,"Part Paid","Unpaid")))</f>
        <v/>
      </c>
      <c r="O649">
        <f>IF(E649="","",IFERROR(_xludf.MAXIFS(PAYMENTS!A:A,PAYMENTS!C:C,E649),""))</f>
        <v/>
      </c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>
        <f>IF(E650="","",SUMIF(PAYMENTS!C:C,E650,PAYMENTS!E:E))</f>
        <v/>
      </c>
      <c r="M650">
        <f>IF(E650="","",J650-L650)</f>
        <v/>
      </c>
      <c r="N650">
        <f>IF(E650="","",IF(M650&lt;=0,"Paid",IF(L650&gt;0,"Part Paid","Unpaid")))</f>
        <v/>
      </c>
      <c r="O650">
        <f>IF(E650="","",IFERROR(_xludf.MAXIFS(PAYMENTS!A:A,PAYMENTS!C:C,E650),""))</f>
        <v/>
      </c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>
        <f>IF(E651="","",SUMIF(PAYMENTS!C:C,E651,PAYMENTS!E:E))</f>
        <v/>
      </c>
      <c r="M651">
        <f>IF(E651="","",J651-L651)</f>
        <v/>
      </c>
      <c r="N651">
        <f>IF(E651="","",IF(M651&lt;=0,"Paid",IF(L651&gt;0,"Part Paid","Unpaid")))</f>
        <v/>
      </c>
      <c r="O651">
        <f>IF(E651="","",IFERROR(_xludf.MAXIFS(PAYMENTS!A:A,PAYMENTS!C:C,E651),""))</f>
        <v/>
      </c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>
        <f>IF(E652="","",SUMIF(PAYMENTS!C:C,E652,PAYMENTS!E:E))</f>
        <v/>
      </c>
      <c r="M652">
        <f>IF(E652="","",J652-L652)</f>
        <v/>
      </c>
      <c r="N652">
        <f>IF(E652="","",IF(M652&lt;=0,"Paid",IF(L652&gt;0,"Part Paid","Unpaid")))</f>
        <v/>
      </c>
      <c r="O652">
        <f>IF(E652="","",IFERROR(_xludf.MAXIFS(PAYMENTS!A:A,PAYMENTS!C:C,E652),""))</f>
        <v/>
      </c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>
        <f>IF(E653="","",SUMIF(PAYMENTS!C:C,E653,PAYMENTS!E:E))</f>
        <v/>
      </c>
      <c r="M653">
        <f>IF(E653="","",J653-L653)</f>
        <v/>
      </c>
      <c r="N653">
        <f>IF(E653="","",IF(M653&lt;=0,"Paid",IF(L653&gt;0,"Part Paid","Unpaid")))</f>
        <v/>
      </c>
      <c r="O653">
        <f>IF(E653="","",IFERROR(_xludf.MAXIFS(PAYMENTS!A:A,PAYMENTS!C:C,E653),""))</f>
        <v/>
      </c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>
        <f>IF(E654="","",SUMIF(PAYMENTS!C:C,E654,PAYMENTS!E:E))</f>
        <v/>
      </c>
      <c r="M654">
        <f>IF(E654="","",J654-L654)</f>
        <v/>
      </c>
      <c r="N654">
        <f>IF(E654="","",IF(M654&lt;=0,"Paid",IF(L654&gt;0,"Part Paid","Unpaid")))</f>
        <v/>
      </c>
      <c r="O654">
        <f>IF(E654="","",IFERROR(_xludf.MAXIFS(PAYMENTS!A:A,PAYMENTS!C:C,E654),""))</f>
        <v/>
      </c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>
        <f>IF(E655="","",SUMIF(PAYMENTS!C:C,E655,PAYMENTS!E:E))</f>
        <v/>
      </c>
      <c r="M655">
        <f>IF(E655="","",J655-L655)</f>
        <v/>
      </c>
      <c r="N655">
        <f>IF(E655="","",IF(M655&lt;=0,"Paid",IF(L655&gt;0,"Part Paid","Unpaid")))</f>
        <v/>
      </c>
      <c r="O655">
        <f>IF(E655="","",IFERROR(_xludf.MAXIFS(PAYMENTS!A:A,PAYMENTS!C:C,E655),""))</f>
        <v/>
      </c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>
        <f>IF(E656="","",SUMIF(PAYMENTS!C:C,E656,PAYMENTS!E:E))</f>
        <v/>
      </c>
      <c r="M656">
        <f>IF(E656="","",J656-L656)</f>
        <v/>
      </c>
      <c r="N656">
        <f>IF(E656="","",IF(M656&lt;=0,"Paid",IF(L656&gt;0,"Part Paid","Unpaid")))</f>
        <v/>
      </c>
      <c r="O656">
        <f>IF(E656="","",IFERROR(_xludf.MAXIFS(PAYMENTS!A:A,PAYMENTS!C:C,E656),""))</f>
        <v/>
      </c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>
        <f>IF(E657="","",SUMIF(PAYMENTS!C:C,E657,PAYMENTS!E:E))</f>
        <v/>
      </c>
      <c r="M657">
        <f>IF(E657="","",J657-L657)</f>
        <v/>
      </c>
      <c r="N657">
        <f>IF(E657="","",IF(M657&lt;=0,"Paid",IF(L657&gt;0,"Part Paid","Unpaid")))</f>
        <v/>
      </c>
      <c r="O657">
        <f>IF(E657="","",IFERROR(_xludf.MAXIFS(PAYMENTS!A:A,PAYMENTS!C:C,E657),""))</f>
        <v/>
      </c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>
        <f>IF(E658="","",SUMIF(PAYMENTS!C:C,E658,PAYMENTS!E:E))</f>
        <v/>
      </c>
      <c r="M658">
        <f>IF(E658="","",J658-L658)</f>
        <v/>
      </c>
      <c r="N658">
        <f>IF(E658="","",IF(M658&lt;=0,"Paid",IF(L658&gt;0,"Part Paid","Unpaid")))</f>
        <v/>
      </c>
      <c r="O658">
        <f>IF(E658="","",IFERROR(_xludf.MAXIFS(PAYMENTS!A:A,PAYMENTS!C:C,E658),""))</f>
        <v/>
      </c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>
        <f>IF(E659="","",SUMIF(PAYMENTS!C:C,E659,PAYMENTS!E:E))</f>
        <v/>
      </c>
      <c r="M659">
        <f>IF(E659="","",J659-L659)</f>
        <v/>
      </c>
      <c r="N659">
        <f>IF(E659="","",IF(M659&lt;=0,"Paid",IF(L659&gt;0,"Part Paid","Unpaid")))</f>
        <v/>
      </c>
      <c r="O659">
        <f>IF(E659="","",IFERROR(_xludf.MAXIFS(PAYMENTS!A:A,PAYMENTS!C:C,E659),""))</f>
        <v/>
      </c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>
        <f>IF(E660="","",SUMIF(PAYMENTS!C:C,E660,PAYMENTS!E:E))</f>
        <v/>
      </c>
      <c r="M660">
        <f>IF(E660="","",J660-L660)</f>
        <v/>
      </c>
      <c r="N660">
        <f>IF(E660="","",IF(M660&lt;=0,"Paid",IF(L660&gt;0,"Part Paid","Unpaid")))</f>
        <v/>
      </c>
      <c r="O660">
        <f>IF(E660="","",IFERROR(_xludf.MAXIFS(PAYMENTS!A:A,PAYMENTS!C:C,E660),""))</f>
        <v/>
      </c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>
        <f>IF(E661="","",SUMIF(PAYMENTS!C:C,E661,PAYMENTS!E:E))</f>
        <v/>
      </c>
      <c r="M661">
        <f>IF(E661="","",J661-L661)</f>
        <v/>
      </c>
      <c r="N661">
        <f>IF(E661="","",IF(M661&lt;=0,"Paid",IF(L661&gt;0,"Part Paid","Unpaid")))</f>
        <v/>
      </c>
      <c r="O661">
        <f>IF(E661="","",IFERROR(_xludf.MAXIFS(PAYMENTS!A:A,PAYMENTS!C:C,E661),""))</f>
        <v/>
      </c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>
        <f>IF(E662="","",SUMIF(PAYMENTS!C:C,E662,PAYMENTS!E:E))</f>
        <v/>
      </c>
      <c r="M662">
        <f>IF(E662="","",J662-L662)</f>
        <v/>
      </c>
      <c r="N662">
        <f>IF(E662="","",IF(M662&lt;=0,"Paid",IF(L662&gt;0,"Part Paid","Unpaid")))</f>
        <v/>
      </c>
      <c r="O662">
        <f>IF(E662="","",IFERROR(_xludf.MAXIFS(PAYMENTS!A:A,PAYMENTS!C:C,E662),""))</f>
        <v/>
      </c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>
        <f>IF(E663="","",SUMIF(PAYMENTS!C:C,E663,PAYMENTS!E:E))</f>
        <v/>
      </c>
      <c r="M663">
        <f>IF(E663="","",J663-L663)</f>
        <v/>
      </c>
      <c r="N663">
        <f>IF(E663="","",IF(M663&lt;=0,"Paid",IF(L663&gt;0,"Part Paid","Unpaid")))</f>
        <v/>
      </c>
      <c r="O663">
        <f>IF(E663="","",IFERROR(_xludf.MAXIFS(PAYMENTS!A:A,PAYMENTS!C:C,E663),""))</f>
        <v/>
      </c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>
        <f>IF(E664="","",SUMIF(PAYMENTS!C:C,E664,PAYMENTS!E:E))</f>
        <v/>
      </c>
      <c r="M664">
        <f>IF(E664="","",J664-L664)</f>
        <v/>
      </c>
      <c r="N664">
        <f>IF(E664="","",IF(M664&lt;=0,"Paid",IF(L664&gt;0,"Part Paid","Unpaid")))</f>
        <v/>
      </c>
      <c r="O664">
        <f>IF(E664="","",IFERROR(_xludf.MAXIFS(PAYMENTS!A:A,PAYMENTS!C:C,E664),""))</f>
        <v/>
      </c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>
        <f>IF(E665="","",SUMIF(PAYMENTS!C:C,E665,PAYMENTS!E:E))</f>
        <v/>
      </c>
      <c r="M665">
        <f>IF(E665="","",J665-L665)</f>
        <v/>
      </c>
      <c r="N665">
        <f>IF(E665="","",IF(M665&lt;=0,"Paid",IF(L665&gt;0,"Part Paid","Unpaid")))</f>
        <v/>
      </c>
      <c r="O665">
        <f>IF(E665="","",IFERROR(_xludf.MAXIFS(PAYMENTS!A:A,PAYMENTS!C:C,E665),""))</f>
        <v/>
      </c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>
        <f>IF(E666="","",SUMIF(PAYMENTS!C:C,E666,PAYMENTS!E:E))</f>
        <v/>
      </c>
      <c r="M666">
        <f>IF(E666="","",J666-L666)</f>
        <v/>
      </c>
      <c r="N666">
        <f>IF(E666="","",IF(M666&lt;=0,"Paid",IF(L666&gt;0,"Part Paid","Unpaid")))</f>
        <v/>
      </c>
      <c r="O666">
        <f>IF(E666="","",IFERROR(_xludf.MAXIFS(PAYMENTS!A:A,PAYMENTS!C:C,E666),""))</f>
        <v/>
      </c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>
        <f>IF(E667="","",SUMIF(PAYMENTS!C:C,E667,PAYMENTS!E:E))</f>
        <v/>
      </c>
      <c r="M667">
        <f>IF(E667="","",J667-L667)</f>
        <v/>
      </c>
      <c r="N667">
        <f>IF(E667="","",IF(M667&lt;=0,"Paid",IF(L667&gt;0,"Part Paid","Unpaid")))</f>
        <v/>
      </c>
      <c r="O667">
        <f>IF(E667="","",IFERROR(_xludf.MAXIFS(PAYMENTS!A:A,PAYMENTS!C:C,E667),""))</f>
        <v/>
      </c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>
        <f>IF(E668="","",SUMIF(PAYMENTS!C:C,E668,PAYMENTS!E:E))</f>
        <v/>
      </c>
      <c r="M668">
        <f>IF(E668="","",J668-L668)</f>
        <v/>
      </c>
      <c r="N668">
        <f>IF(E668="","",IF(M668&lt;=0,"Paid",IF(L668&gt;0,"Part Paid","Unpaid")))</f>
        <v/>
      </c>
      <c r="O668">
        <f>IF(E668="","",IFERROR(_xludf.MAXIFS(PAYMENTS!A:A,PAYMENTS!C:C,E668),""))</f>
        <v/>
      </c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>
        <f>IF(E669="","",SUMIF(PAYMENTS!C:C,E669,PAYMENTS!E:E))</f>
        <v/>
      </c>
      <c r="M669">
        <f>IF(E669="","",J669-L669)</f>
        <v/>
      </c>
      <c r="N669">
        <f>IF(E669="","",IF(M669&lt;=0,"Paid",IF(L669&gt;0,"Part Paid","Unpaid")))</f>
        <v/>
      </c>
      <c r="O669">
        <f>IF(E669="","",IFERROR(_xludf.MAXIFS(PAYMENTS!A:A,PAYMENTS!C:C,E669),""))</f>
        <v/>
      </c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>
        <f>IF(E670="","",SUMIF(PAYMENTS!C:C,E670,PAYMENTS!E:E))</f>
        <v/>
      </c>
      <c r="M670">
        <f>IF(E670="","",J670-L670)</f>
        <v/>
      </c>
      <c r="N670">
        <f>IF(E670="","",IF(M670&lt;=0,"Paid",IF(L670&gt;0,"Part Paid","Unpaid")))</f>
        <v/>
      </c>
      <c r="O670">
        <f>IF(E670="","",IFERROR(_xludf.MAXIFS(PAYMENTS!A:A,PAYMENTS!C:C,E670),""))</f>
        <v/>
      </c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>
        <f>IF(E671="","",SUMIF(PAYMENTS!C:C,E671,PAYMENTS!E:E))</f>
        <v/>
      </c>
      <c r="M671">
        <f>IF(E671="","",J671-L671)</f>
        <v/>
      </c>
      <c r="N671">
        <f>IF(E671="","",IF(M671&lt;=0,"Paid",IF(L671&gt;0,"Part Paid","Unpaid")))</f>
        <v/>
      </c>
      <c r="O671">
        <f>IF(E671="","",IFERROR(_xludf.MAXIFS(PAYMENTS!A:A,PAYMENTS!C:C,E671),""))</f>
        <v/>
      </c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>
        <f>IF(E672="","",SUMIF(PAYMENTS!C:C,E672,PAYMENTS!E:E))</f>
        <v/>
      </c>
      <c r="M672">
        <f>IF(E672="","",J672-L672)</f>
        <v/>
      </c>
      <c r="N672">
        <f>IF(E672="","",IF(M672&lt;=0,"Paid",IF(L672&gt;0,"Part Paid","Unpaid")))</f>
        <v/>
      </c>
      <c r="O672">
        <f>IF(E672="","",IFERROR(_xludf.MAXIFS(PAYMENTS!A:A,PAYMENTS!C:C,E672),""))</f>
        <v/>
      </c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>
        <f>IF(E673="","",SUMIF(PAYMENTS!C:C,E673,PAYMENTS!E:E))</f>
        <v/>
      </c>
      <c r="M673">
        <f>IF(E673="","",J673-L673)</f>
        <v/>
      </c>
      <c r="N673">
        <f>IF(E673="","",IF(M673&lt;=0,"Paid",IF(L673&gt;0,"Part Paid","Unpaid")))</f>
        <v/>
      </c>
      <c r="O673">
        <f>IF(E673="","",IFERROR(_xludf.MAXIFS(PAYMENTS!A:A,PAYMENTS!C:C,E673),""))</f>
        <v/>
      </c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>
        <f>IF(E674="","",SUMIF(PAYMENTS!C:C,E674,PAYMENTS!E:E))</f>
        <v/>
      </c>
      <c r="M674">
        <f>IF(E674="","",J674-L674)</f>
        <v/>
      </c>
      <c r="N674">
        <f>IF(E674="","",IF(M674&lt;=0,"Paid",IF(L674&gt;0,"Part Paid","Unpaid")))</f>
        <v/>
      </c>
      <c r="O674">
        <f>IF(E674="","",IFERROR(_xludf.MAXIFS(PAYMENTS!A:A,PAYMENTS!C:C,E674),""))</f>
        <v/>
      </c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>
        <f>IF(E675="","",SUMIF(PAYMENTS!C:C,E675,PAYMENTS!E:E))</f>
        <v/>
      </c>
      <c r="M675">
        <f>IF(E675="","",J675-L675)</f>
        <v/>
      </c>
      <c r="N675">
        <f>IF(E675="","",IF(M675&lt;=0,"Paid",IF(L675&gt;0,"Part Paid","Unpaid")))</f>
        <v/>
      </c>
      <c r="O675">
        <f>IF(E675="","",IFERROR(_xludf.MAXIFS(PAYMENTS!A:A,PAYMENTS!C:C,E675),""))</f>
        <v/>
      </c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>
        <f>IF(E676="","",SUMIF(PAYMENTS!C:C,E676,PAYMENTS!E:E))</f>
        <v/>
      </c>
      <c r="M676">
        <f>IF(E676="","",J676-L676)</f>
        <v/>
      </c>
      <c r="N676">
        <f>IF(E676="","",IF(M676&lt;=0,"Paid",IF(L676&gt;0,"Part Paid","Unpaid")))</f>
        <v/>
      </c>
      <c r="O676">
        <f>IF(E676="","",IFERROR(_xludf.MAXIFS(PAYMENTS!A:A,PAYMENTS!C:C,E676),""))</f>
        <v/>
      </c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>
        <f>IF(E677="","",SUMIF(PAYMENTS!C:C,E677,PAYMENTS!E:E))</f>
        <v/>
      </c>
      <c r="M677">
        <f>IF(E677="","",J677-L677)</f>
        <v/>
      </c>
      <c r="N677">
        <f>IF(E677="","",IF(M677&lt;=0,"Paid",IF(L677&gt;0,"Part Paid","Unpaid")))</f>
        <v/>
      </c>
      <c r="O677">
        <f>IF(E677="","",IFERROR(_xludf.MAXIFS(PAYMENTS!A:A,PAYMENTS!C:C,E677),""))</f>
        <v/>
      </c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>
        <f>IF(E678="","",SUMIF(PAYMENTS!C:C,E678,PAYMENTS!E:E))</f>
        <v/>
      </c>
      <c r="M678">
        <f>IF(E678="","",J678-L678)</f>
        <v/>
      </c>
      <c r="N678">
        <f>IF(E678="","",IF(M678&lt;=0,"Paid",IF(L678&gt;0,"Part Paid","Unpaid")))</f>
        <v/>
      </c>
      <c r="O678">
        <f>IF(E678="","",IFERROR(_xludf.MAXIFS(PAYMENTS!A:A,PAYMENTS!C:C,E678),""))</f>
        <v/>
      </c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>
        <f>IF(E679="","",SUMIF(PAYMENTS!C:C,E679,PAYMENTS!E:E))</f>
        <v/>
      </c>
      <c r="M679">
        <f>IF(E679="","",J679-L679)</f>
        <v/>
      </c>
      <c r="N679">
        <f>IF(E679="","",IF(M679&lt;=0,"Paid",IF(L679&gt;0,"Part Paid","Unpaid")))</f>
        <v/>
      </c>
      <c r="O679">
        <f>IF(E679="","",IFERROR(_xludf.MAXIFS(PAYMENTS!A:A,PAYMENTS!C:C,E679),""))</f>
        <v/>
      </c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>
        <f>IF(E680="","",SUMIF(PAYMENTS!C:C,E680,PAYMENTS!E:E))</f>
        <v/>
      </c>
      <c r="M680">
        <f>IF(E680="","",J680-L680)</f>
        <v/>
      </c>
      <c r="N680">
        <f>IF(E680="","",IF(M680&lt;=0,"Paid",IF(L680&gt;0,"Part Paid","Unpaid")))</f>
        <v/>
      </c>
      <c r="O680">
        <f>IF(E680="","",IFERROR(_xludf.MAXIFS(PAYMENTS!A:A,PAYMENTS!C:C,E680),""))</f>
        <v/>
      </c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>
        <f>IF(E681="","",SUMIF(PAYMENTS!C:C,E681,PAYMENTS!E:E))</f>
        <v/>
      </c>
      <c r="M681">
        <f>IF(E681="","",J681-L681)</f>
        <v/>
      </c>
      <c r="N681">
        <f>IF(E681="","",IF(M681&lt;=0,"Paid",IF(L681&gt;0,"Part Paid","Unpaid")))</f>
        <v/>
      </c>
      <c r="O681">
        <f>IF(E681="","",IFERROR(_xludf.MAXIFS(PAYMENTS!A:A,PAYMENTS!C:C,E681),""))</f>
        <v/>
      </c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>
        <f>IF(E682="","",SUMIF(PAYMENTS!C:C,E682,PAYMENTS!E:E))</f>
        <v/>
      </c>
      <c r="M682">
        <f>IF(E682="","",J682-L682)</f>
        <v/>
      </c>
      <c r="N682">
        <f>IF(E682="","",IF(M682&lt;=0,"Paid",IF(L682&gt;0,"Part Paid","Unpaid")))</f>
        <v/>
      </c>
      <c r="O682">
        <f>IF(E682="","",IFERROR(_xludf.MAXIFS(PAYMENTS!A:A,PAYMENTS!C:C,E682),""))</f>
        <v/>
      </c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>
        <f>IF(E683="","",SUMIF(PAYMENTS!C:C,E683,PAYMENTS!E:E))</f>
        <v/>
      </c>
      <c r="M683">
        <f>IF(E683="","",J683-L683)</f>
        <v/>
      </c>
      <c r="N683">
        <f>IF(E683="","",IF(M683&lt;=0,"Paid",IF(L683&gt;0,"Part Paid","Unpaid")))</f>
        <v/>
      </c>
      <c r="O683">
        <f>IF(E683="","",IFERROR(_xludf.MAXIFS(PAYMENTS!A:A,PAYMENTS!C:C,E683),""))</f>
        <v/>
      </c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>
        <f>IF(E684="","",SUMIF(PAYMENTS!C:C,E684,PAYMENTS!E:E))</f>
        <v/>
      </c>
      <c r="M684">
        <f>IF(E684="","",J684-L684)</f>
        <v/>
      </c>
      <c r="N684">
        <f>IF(E684="","",IF(M684&lt;=0,"Paid",IF(L684&gt;0,"Part Paid","Unpaid")))</f>
        <v/>
      </c>
      <c r="O684">
        <f>IF(E684="","",IFERROR(_xludf.MAXIFS(PAYMENTS!A:A,PAYMENTS!C:C,E684),""))</f>
        <v/>
      </c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>
        <f>IF(E685="","",SUMIF(PAYMENTS!C:C,E685,PAYMENTS!E:E))</f>
        <v/>
      </c>
      <c r="M685">
        <f>IF(E685="","",J685-L685)</f>
        <v/>
      </c>
      <c r="N685">
        <f>IF(E685="","",IF(M685&lt;=0,"Paid",IF(L685&gt;0,"Part Paid","Unpaid")))</f>
        <v/>
      </c>
      <c r="O685">
        <f>IF(E685="","",IFERROR(_xludf.MAXIFS(PAYMENTS!A:A,PAYMENTS!C:C,E685),""))</f>
        <v/>
      </c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>
        <f>IF(E686="","",SUMIF(PAYMENTS!C:C,E686,PAYMENTS!E:E))</f>
        <v/>
      </c>
      <c r="M686">
        <f>IF(E686="","",J686-L686)</f>
        <v/>
      </c>
      <c r="N686">
        <f>IF(E686="","",IF(M686&lt;=0,"Paid",IF(L686&gt;0,"Part Paid","Unpaid")))</f>
        <v/>
      </c>
      <c r="O686">
        <f>IF(E686="","",IFERROR(_xludf.MAXIFS(PAYMENTS!A:A,PAYMENTS!C:C,E686),""))</f>
        <v/>
      </c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>
        <f>IF(E687="","",SUMIF(PAYMENTS!C:C,E687,PAYMENTS!E:E))</f>
        <v/>
      </c>
      <c r="M687">
        <f>IF(E687="","",J687-L687)</f>
        <v/>
      </c>
      <c r="N687">
        <f>IF(E687="","",IF(M687&lt;=0,"Paid",IF(L687&gt;0,"Part Paid","Unpaid")))</f>
        <v/>
      </c>
      <c r="O687">
        <f>IF(E687="","",IFERROR(_xludf.MAXIFS(PAYMENTS!A:A,PAYMENTS!C:C,E687),""))</f>
        <v/>
      </c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>
        <f>IF(E688="","",SUMIF(PAYMENTS!C:C,E688,PAYMENTS!E:E))</f>
        <v/>
      </c>
      <c r="M688">
        <f>IF(E688="","",J688-L688)</f>
        <v/>
      </c>
      <c r="N688">
        <f>IF(E688="","",IF(M688&lt;=0,"Paid",IF(L688&gt;0,"Part Paid","Unpaid")))</f>
        <v/>
      </c>
      <c r="O688">
        <f>IF(E688="","",IFERROR(_xludf.MAXIFS(PAYMENTS!A:A,PAYMENTS!C:C,E688),""))</f>
        <v/>
      </c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>
        <f>IF(E689="","",SUMIF(PAYMENTS!C:C,E689,PAYMENTS!E:E))</f>
        <v/>
      </c>
      <c r="M689">
        <f>IF(E689="","",J689-L689)</f>
        <v/>
      </c>
      <c r="N689">
        <f>IF(E689="","",IF(M689&lt;=0,"Paid",IF(L689&gt;0,"Part Paid","Unpaid")))</f>
        <v/>
      </c>
      <c r="O689">
        <f>IF(E689="","",IFERROR(_xludf.MAXIFS(PAYMENTS!A:A,PAYMENTS!C:C,E689),""))</f>
        <v/>
      </c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>
        <f>IF(E690="","",SUMIF(PAYMENTS!C:C,E690,PAYMENTS!E:E))</f>
        <v/>
      </c>
      <c r="M690">
        <f>IF(E690="","",J690-L690)</f>
        <v/>
      </c>
      <c r="N690">
        <f>IF(E690="","",IF(M690&lt;=0,"Paid",IF(L690&gt;0,"Part Paid","Unpaid")))</f>
        <v/>
      </c>
      <c r="O690">
        <f>IF(E690="","",IFERROR(_xludf.MAXIFS(PAYMENTS!A:A,PAYMENTS!C:C,E690),""))</f>
        <v/>
      </c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>
        <f>IF(E691="","",SUMIF(PAYMENTS!C:C,E691,PAYMENTS!E:E))</f>
        <v/>
      </c>
      <c r="M691">
        <f>IF(E691="","",J691-L691)</f>
        <v/>
      </c>
      <c r="N691">
        <f>IF(E691="","",IF(M691&lt;=0,"Paid",IF(L691&gt;0,"Part Paid","Unpaid")))</f>
        <v/>
      </c>
      <c r="O691">
        <f>IF(E691="","",IFERROR(_xludf.MAXIFS(PAYMENTS!A:A,PAYMENTS!C:C,E691),""))</f>
        <v/>
      </c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>
        <f>IF(E692="","",SUMIF(PAYMENTS!C:C,E692,PAYMENTS!E:E))</f>
        <v/>
      </c>
      <c r="M692">
        <f>IF(E692="","",J692-L692)</f>
        <v/>
      </c>
      <c r="N692">
        <f>IF(E692="","",IF(M692&lt;=0,"Paid",IF(L692&gt;0,"Part Paid","Unpaid")))</f>
        <v/>
      </c>
      <c r="O692">
        <f>IF(E692="","",IFERROR(_xludf.MAXIFS(PAYMENTS!A:A,PAYMENTS!C:C,E692),""))</f>
        <v/>
      </c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>
        <f>IF(E693="","",SUMIF(PAYMENTS!C:C,E693,PAYMENTS!E:E))</f>
        <v/>
      </c>
      <c r="M693">
        <f>IF(E693="","",J693-L693)</f>
        <v/>
      </c>
      <c r="N693">
        <f>IF(E693="","",IF(M693&lt;=0,"Paid",IF(L693&gt;0,"Part Paid","Unpaid")))</f>
        <v/>
      </c>
      <c r="O693">
        <f>IF(E693="","",IFERROR(_xludf.MAXIFS(PAYMENTS!A:A,PAYMENTS!C:C,E693),""))</f>
        <v/>
      </c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>
        <f>IF(E694="","",SUMIF(PAYMENTS!C:C,E694,PAYMENTS!E:E))</f>
        <v/>
      </c>
      <c r="M694">
        <f>IF(E694="","",J694-L694)</f>
        <v/>
      </c>
      <c r="N694">
        <f>IF(E694="","",IF(M694&lt;=0,"Paid",IF(L694&gt;0,"Part Paid","Unpaid")))</f>
        <v/>
      </c>
      <c r="O694">
        <f>IF(E694="","",IFERROR(_xludf.MAXIFS(PAYMENTS!A:A,PAYMENTS!C:C,E694),""))</f>
        <v/>
      </c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>
        <f>IF(E695="","",SUMIF(PAYMENTS!C:C,E695,PAYMENTS!E:E))</f>
        <v/>
      </c>
      <c r="M695">
        <f>IF(E695="","",J695-L695)</f>
        <v/>
      </c>
      <c r="N695">
        <f>IF(E695="","",IF(M695&lt;=0,"Paid",IF(L695&gt;0,"Part Paid","Unpaid")))</f>
        <v/>
      </c>
      <c r="O695">
        <f>IF(E695="","",IFERROR(_xludf.MAXIFS(PAYMENTS!A:A,PAYMENTS!C:C,E695),""))</f>
        <v/>
      </c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>
        <f>IF(E696="","",SUMIF(PAYMENTS!C:C,E696,PAYMENTS!E:E))</f>
        <v/>
      </c>
      <c r="M696">
        <f>IF(E696="","",J696-L696)</f>
        <v/>
      </c>
      <c r="N696">
        <f>IF(E696="","",IF(M696&lt;=0,"Paid",IF(L696&gt;0,"Part Paid","Unpaid")))</f>
        <v/>
      </c>
      <c r="O696">
        <f>IF(E696="","",IFERROR(_xludf.MAXIFS(PAYMENTS!A:A,PAYMENTS!C:C,E696),""))</f>
        <v/>
      </c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>
        <f>IF(E697="","",SUMIF(PAYMENTS!C:C,E697,PAYMENTS!E:E))</f>
        <v/>
      </c>
      <c r="M697">
        <f>IF(E697="","",J697-L697)</f>
        <v/>
      </c>
      <c r="N697">
        <f>IF(E697="","",IF(M697&lt;=0,"Paid",IF(L697&gt;0,"Part Paid","Unpaid")))</f>
        <v/>
      </c>
      <c r="O697">
        <f>IF(E697="","",IFERROR(_xludf.MAXIFS(PAYMENTS!A:A,PAYMENTS!C:C,E697),""))</f>
        <v/>
      </c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>
        <f>IF(E698="","",SUMIF(PAYMENTS!C:C,E698,PAYMENTS!E:E))</f>
        <v/>
      </c>
      <c r="M698">
        <f>IF(E698="","",J698-L698)</f>
        <v/>
      </c>
      <c r="N698">
        <f>IF(E698="","",IF(M698&lt;=0,"Paid",IF(L698&gt;0,"Part Paid","Unpaid")))</f>
        <v/>
      </c>
      <c r="O698">
        <f>IF(E698="","",IFERROR(_xludf.MAXIFS(PAYMENTS!A:A,PAYMENTS!C:C,E698),""))</f>
        <v/>
      </c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>
        <f>IF(E699="","",SUMIF(PAYMENTS!C:C,E699,PAYMENTS!E:E))</f>
        <v/>
      </c>
      <c r="M699">
        <f>IF(E699="","",J699-L699)</f>
        <v/>
      </c>
      <c r="N699">
        <f>IF(E699="","",IF(M699&lt;=0,"Paid",IF(L699&gt;0,"Part Paid","Unpaid")))</f>
        <v/>
      </c>
      <c r="O699">
        <f>IF(E699="","",IFERROR(_xludf.MAXIFS(PAYMENTS!A:A,PAYMENTS!C:C,E699),""))</f>
        <v/>
      </c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>
        <f>IF(E700="","",SUMIF(PAYMENTS!C:C,E700,PAYMENTS!E:E))</f>
        <v/>
      </c>
      <c r="M700">
        <f>IF(E700="","",J700-L700)</f>
        <v/>
      </c>
      <c r="N700">
        <f>IF(E700="","",IF(M700&lt;=0,"Paid",IF(L700&gt;0,"Part Paid","Unpaid")))</f>
        <v/>
      </c>
      <c r="O700">
        <f>IF(E700="","",IFERROR(_xludf.MAXIFS(PAYMENTS!A:A,PAYMENTS!C:C,E700),""))</f>
        <v/>
      </c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>
        <f>IF(E701="","",SUMIF(PAYMENTS!C:C,E701,PAYMENTS!E:E))</f>
        <v/>
      </c>
      <c r="M701">
        <f>IF(E701="","",J701-L701)</f>
        <v/>
      </c>
      <c r="N701">
        <f>IF(E701="","",IF(M701&lt;=0,"Paid",IF(L701&gt;0,"Part Paid","Unpaid")))</f>
        <v/>
      </c>
      <c r="O701">
        <f>IF(E701="","",IFERROR(_xludf.MAXIFS(PAYMENTS!A:A,PAYMENTS!C:C,E701),""))</f>
        <v/>
      </c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>
        <f>IF(E702="","",SUMIF(PAYMENTS!C:C,E702,PAYMENTS!E:E))</f>
        <v/>
      </c>
      <c r="M702">
        <f>IF(E702="","",J702-L702)</f>
        <v/>
      </c>
      <c r="N702">
        <f>IF(E702="","",IF(M702&lt;=0,"Paid",IF(L702&gt;0,"Part Paid","Unpaid")))</f>
        <v/>
      </c>
      <c r="O702">
        <f>IF(E702="","",IFERROR(_xludf.MAXIFS(PAYMENTS!A:A,PAYMENTS!C:C,E702),""))</f>
        <v/>
      </c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>
        <f>IF(E703="","",SUMIF(PAYMENTS!C:C,E703,PAYMENTS!E:E))</f>
        <v/>
      </c>
      <c r="M703">
        <f>IF(E703="","",J703-L703)</f>
        <v/>
      </c>
      <c r="N703">
        <f>IF(E703="","",IF(M703&lt;=0,"Paid",IF(L703&gt;0,"Part Paid","Unpaid")))</f>
        <v/>
      </c>
      <c r="O703">
        <f>IF(E703="","",IFERROR(_xludf.MAXIFS(PAYMENTS!A:A,PAYMENTS!C:C,E703),""))</f>
        <v/>
      </c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>
        <f>IF(E704="","",SUMIF(PAYMENTS!C:C,E704,PAYMENTS!E:E))</f>
        <v/>
      </c>
      <c r="M704">
        <f>IF(E704="","",J704-L704)</f>
        <v/>
      </c>
      <c r="N704">
        <f>IF(E704="","",IF(M704&lt;=0,"Paid",IF(L704&gt;0,"Part Paid","Unpaid")))</f>
        <v/>
      </c>
      <c r="O704">
        <f>IF(E704="","",IFERROR(_xludf.MAXIFS(PAYMENTS!A:A,PAYMENTS!C:C,E704),""))</f>
        <v/>
      </c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>
        <f>IF(E705="","",SUMIF(PAYMENTS!C:C,E705,PAYMENTS!E:E))</f>
        <v/>
      </c>
      <c r="M705">
        <f>IF(E705="","",J705-L705)</f>
        <v/>
      </c>
      <c r="N705">
        <f>IF(E705="","",IF(M705&lt;=0,"Paid",IF(L705&gt;0,"Part Paid","Unpaid")))</f>
        <v/>
      </c>
      <c r="O705">
        <f>IF(E705="","",IFERROR(_xludf.MAXIFS(PAYMENTS!A:A,PAYMENTS!C:C,E705),""))</f>
        <v/>
      </c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>
        <f>IF(E706="","",SUMIF(PAYMENTS!C:C,E706,PAYMENTS!E:E))</f>
        <v/>
      </c>
      <c r="M706">
        <f>IF(E706="","",J706-L706)</f>
        <v/>
      </c>
      <c r="N706">
        <f>IF(E706="","",IF(M706&lt;=0,"Paid",IF(L706&gt;0,"Part Paid","Unpaid")))</f>
        <v/>
      </c>
      <c r="O706">
        <f>IF(E706="","",IFERROR(_xludf.MAXIFS(PAYMENTS!A:A,PAYMENTS!C:C,E706),""))</f>
        <v/>
      </c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>
        <f>IF(E707="","",SUMIF(PAYMENTS!C:C,E707,PAYMENTS!E:E))</f>
        <v/>
      </c>
      <c r="M707">
        <f>IF(E707="","",J707-L707)</f>
        <v/>
      </c>
      <c r="N707">
        <f>IF(E707="","",IF(M707&lt;=0,"Paid",IF(L707&gt;0,"Part Paid","Unpaid")))</f>
        <v/>
      </c>
      <c r="O707">
        <f>IF(E707="","",IFERROR(_xludf.MAXIFS(PAYMENTS!A:A,PAYMENTS!C:C,E707),""))</f>
        <v/>
      </c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>
        <f>IF(E708="","",SUMIF(PAYMENTS!C:C,E708,PAYMENTS!E:E))</f>
        <v/>
      </c>
      <c r="M708">
        <f>IF(E708="","",J708-L708)</f>
        <v/>
      </c>
      <c r="N708">
        <f>IF(E708="","",IF(M708&lt;=0,"Paid",IF(L708&gt;0,"Part Paid","Unpaid")))</f>
        <v/>
      </c>
      <c r="O708">
        <f>IF(E708="","",IFERROR(_xludf.MAXIFS(PAYMENTS!A:A,PAYMENTS!C:C,E708),""))</f>
        <v/>
      </c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>
        <f>IF(E709="","",SUMIF(PAYMENTS!C:C,E709,PAYMENTS!E:E))</f>
        <v/>
      </c>
      <c r="M709">
        <f>IF(E709="","",J709-L709)</f>
        <v/>
      </c>
      <c r="N709">
        <f>IF(E709="","",IF(M709&lt;=0,"Paid",IF(L709&gt;0,"Part Paid","Unpaid")))</f>
        <v/>
      </c>
      <c r="O709">
        <f>IF(E709="","",IFERROR(_xludf.MAXIFS(PAYMENTS!A:A,PAYMENTS!C:C,E709),""))</f>
        <v/>
      </c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>
        <f>IF(E710="","",SUMIF(PAYMENTS!C:C,E710,PAYMENTS!E:E))</f>
        <v/>
      </c>
      <c r="M710">
        <f>IF(E710="","",J710-L710)</f>
        <v/>
      </c>
      <c r="N710">
        <f>IF(E710="","",IF(M710&lt;=0,"Paid",IF(L710&gt;0,"Part Paid","Unpaid")))</f>
        <v/>
      </c>
      <c r="O710">
        <f>IF(E710="","",IFERROR(_xludf.MAXIFS(PAYMENTS!A:A,PAYMENTS!C:C,E710),""))</f>
        <v/>
      </c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>
        <f>IF(E711="","",SUMIF(PAYMENTS!C:C,E711,PAYMENTS!E:E))</f>
        <v/>
      </c>
      <c r="M711">
        <f>IF(E711="","",J711-L711)</f>
        <v/>
      </c>
      <c r="N711">
        <f>IF(E711="","",IF(M711&lt;=0,"Paid",IF(L711&gt;0,"Part Paid","Unpaid")))</f>
        <v/>
      </c>
      <c r="O711">
        <f>IF(E711="","",IFERROR(_xludf.MAXIFS(PAYMENTS!A:A,PAYMENTS!C:C,E711),""))</f>
        <v/>
      </c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>
        <f>IF(E712="","",SUMIF(PAYMENTS!C:C,E712,PAYMENTS!E:E))</f>
        <v/>
      </c>
      <c r="M712">
        <f>IF(E712="","",J712-L712)</f>
        <v/>
      </c>
      <c r="N712">
        <f>IF(E712="","",IF(M712&lt;=0,"Paid",IF(L712&gt;0,"Part Paid","Unpaid")))</f>
        <v/>
      </c>
      <c r="O712">
        <f>IF(E712="","",IFERROR(_xludf.MAXIFS(PAYMENTS!A:A,PAYMENTS!C:C,E712),""))</f>
        <v/>
      </c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>
        <f>IF(E713="","",SUMIF(PAYMENTS!C:C,E713,PAYMENTS!E:E))</f>
        <v/>
      </c>
      <c r="M713">
        <f>IF(E713="","",J713-L713)</f>
        <v/>
      </c>
      <c r="N713">
        <f>IF(E713="","",IF(M713&lt;=0,"Paid",IF(L713&gt;0,"Part Paid","Unpaid")))</f>
        <v/>
      </c>
      <c r="O713">
        <f>IF(E713="","",IFERROR(_xludf.MAXIFS(PAYMENTS!A:A,PAYMENTS!C:C,E713),""))</f>
        <v/>
      </c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>
        <f>IF(E714="","",SUMIF(PAYMENTS!C:C,E714,PAYMENTS!E:E))</f>
        <v/>
      </c>
      <c r="M714">
        <f>IF(E714="","",J714-L714)</f>
        <v/>
      </c>
      <c r="N714">
        <f>IF(E714="","",IF(M714&lt;=0,"Paid",IF(L714&gt;0,"Part Paid","Unpaid")))</f>
        <v/>
      </c>
      <c r="O714">
        <f>IF(E714="","",IFERROR(_xludf.MAXIFS(PAYMENTS!A:A,PAYMENTS!C:C,E714),""))</f>
        <v/>
      </c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>
        <f>IF(E715="","",SUMIF(PAYMENTS!C:C,E715,PAYMENTS!E:E))</f>
        <v/>
      </c>
      <c r="M715">
        <f>IF(E715="","",J715-L715)</f>
        <v/>
      </c>
      <c r="N715">
        <f>IF(E715="","",IF(M715&lt;=0,"Paid",IF(L715&gt;0,"Part Paid","Unpaid")))</f>
        <v/>
      </c>
      <c r="O715">
        <f>IF(E715="","",IFERROR(_xludf.MAXIFS(PAYMENTS!A:A,PAYMENTS!C:C,E715),""))</f>
        <v/>
      </c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>
        <f>IF(E716="","",SUMIF(PAYMENTS!C:C,E716,PAYMENTS!E:E))</f>
        <v/>
      </c>
      <c r="M716">
        <f>IF(E716="","",J716-L716)</f>
        <v/>
      </c>
      <c r="N716">
        <f>IF(E716="","",IF(M716&lt;=0,"Paid",IF(L716&gt;0,"Part Paid","Unpaid")))</f>
        <v/>
      </c>
      <c r="O716">
        <f>IF(E716="","",IFERROR(_xludf.MAXIFS(PAYMENTS!A:A,PAYMENTS!C:C,E716),""))</f>
        <v/>
      </c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>
        <f>IF(E717="","",SUMIF(PAYMENTS!C:C,E717,PAYMENTS!E:E))</f>
        <v/>
      </c>
      <c r="M717">
        <f>IF(E717="","",J717-L717)</f>
        <v/>
      </c>
      <c r="N717">
        <f>IF(E717="","",IF(M717&lt;=0,"Paid",IF(L717&gt;0,"Part Paid","Unpaid")))</f>
        <v/>
      </c>
      <c r="O717">
        <f>IF(E717="","",IFERROR(_xludf.MAXIFS(PAYMENTS!A:A,PAYMENTS!C:C,E717),""))</f>
        <v/>
      </c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>
        <f>IF(E718="","",SUMIF(PAYMENTS!C:C,E718,PAYMENTS!E:E))</f>
        <v/>
      </c>
      <c r="M718">
        <f>IF(E718="","",J718-L718)</f>
        <v/>
      </c>
      <c r="N718">
        <f>IF(E718="","",IF(M718&lt;=0,"Paid",IF(L718&gt;0,"Part Paid","Unpaid")))</f>
        <v/>
      </c>
      <c r="O718">
        <f>IF(E718="","",IFERROR(_xludf.MAXIFS(PAYMENTS!A:A,PAYMENTS!C:C,E718),""))</f>
        <v/>
      </c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>
        <f>IF(E719="","",SUMIF(PAYMENTS!C:C,E719,PAYMENTS!E:E))</f>
        <v/>
      </c>
      <c r="M719">
        <f>IF(E719="","",J719-L719)</f>
        <v/>
      </c>
      <c r="N719">
        <f>IF(E719="","",IF(M719&lt;=0,"Paid",IF(L719&gt;0,"Part Paid","Unpaid")))</f>
        <v/>
      </c>
      <c r="O719">
        <f>IF(E719="","",IFERROR(_xludf.MAXIFS(PAYMENTS!A:A,PAYMENTS!C:C,E719),""))</f>
        <v/>
      </c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>
        <f>IF(E720="","",SUMIF(PAYMENTS!C:C,E720,PAYMENTS!E:E))</f>
        <v/>
      </c>
      <c r="M720">
        <f>IF(E720="","",J720-L720)</f>
        <v/>
      </c>
      <c r="N720">
        <f>IF(E720="","",IF(M720&lt;=0,"Paid",IF(L720&gt;0,"Part Paid","Unpaid")))</f>
        <v/>
      </c>
      <c r="O720">
        <f>IF(E720="","",IFERROR(_xludf.MAXIFS(PAYMENTS!A:A,PAYMENTS!C:C,E720),""))</f>
        <v/>
      </c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>
        <f>IF(E721="","",SUMIF(PAYMENTS!C:C,E721,PAYMENTS!E:E))</f>
        <v/>
      </c>
      <c r="M721">
        <f>IF(E721="","",J721-L721)</f>
        <v/>
      </c>
      <c r="N721">
        <f>IF(E721="","",IF(M721&lt;=0,"Paid",IF(L721&gt;0,"Part Paid","Unpaid")))</f>
        <v/>
      </c>
      <c r="O721">
        <f>IF(E721="","",IFERROR(_xludf.MAXIFS(PAYMENTS!A:A,PAYMENTS!C:C,E721),""))</f>
        <v/>
      </c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>
        <f>IF(E722="","",SUMIF(PAYMENTS!C:C,E722,PAYMENTS!E:E))</f>
        <v/>
      </c>
      <c r="M722">
        <f>IF(E722="","",J722-L722)</f>
        <v/>
      </c>
      <c r="N722">
        <f>IF(E722="","",IF(M722&lt;=0,"Paid",IF(L722&gt;0,"Part Paid","Unpaid")))</f>
        <v/>
      </c>
      <c r="O722">
        <f>IF(E722="","",IFERROR(_xludf.MAXIFS(PAYMENTS!A:A,PAYMENTS!C:C,E722),""))</f>
        <v/>
      </c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>
        <f>IF(E723="","",SUMIF(PAYMENTS!C:C,E723,PAYMENTS!E:E))</f>
        <v/>
      </c>
      <c r="M723">
        <f>IF(E723="","",J723-L723)</f>
        <v/>
      </c>
      <c r="N723">
        <f>IF(E723="","",IF(M723&lt;=0,"Paid",IF(L723&gt;0,"Part Paid","Unpaid")))</f>
        <v/>
      </c>
      <c r="O723">
        <f>IF(E723="","",IFERROR(_xludf.MAXIFS(PAYMENTS!A:A,PAYMENTS!C:C,E723),""))</f>
        <v/>
      </c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>
        <f>IF(E724="","",SUMIF(PAYMENTS!C:C,E724,PAYMENTS!E:E))</f>
        <v/>
      </c>
      <c r="M724">
        <f>IF(E724="","",J724-L724)</f>
        <v/>
      </c>
      <c r="N724">
        <f>IF(E724="","",IF(M724&lt;=0,"Paid",IF(L724&gt;0,"Part Paid","Unpaid")))</f>
        <v/>
      </c>
      <c r="O724">
        <f>IF(E724="","",IFERROR(_xludf.MAXIFS(PAYMENTS!A:A,PAYMENTS!C:C,E724),""))</f>
        <v/>
      </c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>
        <f>IF(E725="","",SUMIF(PAYMENTS!C:C,E725,PAYMENTS!E:E))</f>
        <v/>
      </c>
      <c r="M725">
        <f>IF(E725="","",J725-L725)</f>
        <v/>
      </c>
      <c r="N725">
        <f>IF(E725="","",IF(M725&lt;=0,"Paid",IF(L725&gt;0,"Part Paid","Unpaid")))</f>
        <v/>
      </c>
      <c r="O725">
        <f>IF(E725="","",IFERROR(_xludf.MAXIFS(PAYMENTS!A:A,PAYMENTS!C:C,E725),""))</f>
        <v/>
      </c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>
        <f>IF(E726="","",SUMIF(PAYMENTS!C:C,E726,PAYMENTS!E:E))</f>
        <v/>
      </c>
      <c r="M726">
        <f>IF(E726="","",J726-L726)</f>
        <v/>
      </c>
      <c r="N726">
        <f>IF(E726="","",IF(M726&lt;=0,"Paid",IF(L726&gt;0,"Part Paid","Unpaid")))</f>
        <v/>
      </c>
      <c r="O726">
        <f>IF(E726="","",IFERROR(_xludf.MAXIFS(PAYMENTS!A:A,PAYMENTS!C:C,E726),""))</f>
        <v/>
      </c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>
        <f>IF(E727="","",SUMIF(PAYMENTS!C:C,E727,PAYMENTS!E:E))</f>
        <v/>
      </c>
      <c r="M727">
        <f>IF(E727="","",J727-L727)</f>
        <v/>
      </c>
      <c r="N727">
        <f>IF(E727="","",IF(M727&lt;=0,"Paid",IF(L727&gt;0,"Part Paid","Unpaid")))</f>
        <v/>
      </c>
      <c r="O727">
        <f>IF(E727="","",IFERROR(_xludf.MAXIFS(PAYMENTS!A:A,PAYMENTS!C:C,E727),""))</f>
        <v/>
      </c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>
        <f>IF(E728="","",SUMIF(PAYMENTS!C:C,E728,PAYMENTS!E:E))</f>
        <v/>
      </c>
      <c r="M728">
        <f>IF(E728="","",J728-L728)</f>
        <v/>
      </c>
      <c r="N728">
        <f>IF(E728="","",IF(M728&lt;=0,"Paid",IF(L728&gt;0,"Part Paid","Unpaid")))</f>
        <v/>
      </c>
      <c r="O728">
        <f>IF(E728="","",IFERROR(_xludf.MAXIFS(PAYMENTS!A:A,PAYMENTS!C:C,E728),""))</f>
        <v/>
      </c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>
        <f>IF(E729="","",SUMIF(PAYMENTS!C:C,E729,PAYMENTS!E:E))</f>
        <v/>
      </c>
      <c r="M729">
        <f>IF(E729="","",J729-L729)</f>
        <v/>
      </c>
      <c r="N729">
        <f>IF(E729="","",IF(M729&lt;=0,"Paid",IF(L729&gt;0,"Part Paid","Unpaid")))</f>
        <v/>
      </c>
      <c r="O729">
        <f>IF(E729="","",IFERROR(_xludf.MAXIFS(PAYMENTS!A:A,PAYMENTS!C:C,E729),""))</f>
        <v/>
      </c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>
        <f>IF(E730="","",SUMIF(PAYMENTS!C:C,E730,PAYMENTS!E:E))</f>
        <v/>
      </c>
      <c r="M730">
        <f>IF(E730="","",J730-L730)</f>
        <v/>
      </c>
      <c r="N730">
        <f>IF(E730="","",IF(M730&lt;=0,"Paid",IF(L730&gt;0,"Part Paid","Unpaid")))</f>
        <v/>
      </c>
      <c r="O730">
        <f>IF(E730="","",IFERROR(_xludf.MAXIFS(PAYMENTS!A:A,PAYMENTS!C:C,E730),""))</f>
        <v/>
      </c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>
        <f>IF(E731="","",SUMIF(PAYMENTS!C:C,E731,PAYMENTS!E:E))</f>
        <v/>
      </c>
      <c r="M731">
        <f>IF(E731="","",J731-L731)</f>
        <v/>
      </c>
      <c r="N731">
        <f>IF(E731="","",IF(M731&lt;=0,"Paid",IF(L731&gt;0,"Part Paid","Unpaid")))</f>
        <v/>
      </c>
      <c r="O731">
        <f>IF(E731="","",IFERROR(_xludf.MAXIFS(PAYMENTS!A:A,PAYMENTS!C:C,E731),""))</f>
        <v/>
      </c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>
        <f>IF(E732="","",SUMIF(PAYMENTS!C:C,E732,PAYMENTS!E:E))</f>
        <v/>
      </c>
      <c r="M732">
        <f>IF(E732="","",J732-L732)</f>
        <v/>
      </c>
      <c r="N732">
        <f>IF(E732="","",IF(M732&lt;=0,"Paid",IF(L732&gt;0,"Part Paid","Unpaid")))</f>
        <v/>
      </c>
      <c r="O732">
        <f>IF(E732="","",IFERROR(_xludf.MAXIFS(PAYMENTS!A:A,PAYMENTS!C:C,E732),""))</f>
        <v/>
      </c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>
        <f>IF(E733="","",SUMIF(PAYMENTS!C:C,E733,PAYMENTS!E:E))</f>
        <v/>
      </c>
      <c r="M733">
        <f>IF(E733="","",J733-L733)</f>
        <v/>
      </c>
      <c r="N733">
        <f>IF(E733="","",IF(M733&lt;=0,"Paid",IF(L733&gt;0,"Part Paid","Unpaid")))</f>
        <v/>
      </c>
      <c r="O733">
        <f>IF(E733="","",IFERROR(_xludf.MAXIFS(PAYMENTS!A:A,PAYMENTS!C:C,E733),""))</f>
        <v/>
      </c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>
        <f>IF(E734="","",SUMIF(PAYMENTS!C:C,E734,PAYMENTS!E:E))</f>
        <v/>
      </c>
      <c r="M734">
        <f>IF(E734="","",J734-L734)</f>
        <v/>
      </c>
      <c r="N734">
        <f>IF(E734="","",IF(M734&lt;=0,"Paid",IF(L734&gt;0,"Part Paid","Unpaid")))</f>
        <v/>
      </c>
      <c r="O734">
        <f>IF(E734="","",IFERROR(_xludf.MAXIFS(PAYMENTS!A:A,PAYMENTS!C:C,E734),""))</f>
        <v/>
      </c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>
        <f>IF(E735="","",SUMIF(PAYMENTS!C:C,E735,PAYMENTS!E:E))</f>
        <v/>
      </c>
      <c r="M735">
        <f>IF(E735="","",J735-L735)</f>
        <v/>
      </c>
      <c r="N735">
        <f>IF(E735="","",IF(M735&lt;=0,"Paid",IF(L735&gt;0,"Part Paid","Unpaid")))</f>
        <v/>
      </c>
      <c r="O735">
        <f>IF(E735="","",IFERROR(_xludf.MAXIFS(PAYMENTS!A:A,PAYMENTS!C:C,E735),""))</f>
        <v/>
      </c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>
        <f>IF(E736="","",SUMIF(PAYMENTS!C:C,E736,PAYMENTS!E:E))</f>
        <v/>
      </c>
      <c r="M736">
        <f>IF(E736="","",J736-L736)</f>
        <v/>
      </c>
      <c r="N736">
        <f>IF(E736="","",IF(M736&lt;=0,"Paid",IF(L736&gt;0,"Part Paid","Unpaid")))</f>
        <v/>
      </c>
      <c r="O736">
        <f>IF(E736="","",IFERROR(_xludf.MAXIFS(PAYMENTS!A:A,PAYMENTS!C:C,E736),""))</f>
        <v/>
      </c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>
        <f>IF(E737="","",SUMIF(PAYMENTS!C:C,E737,PAYMENTS!E:E))</f>
        <v/>
      </c>
      <c r="M737">
        <f>IF(E737="","",J737-L737)</f>
        <v/>
      </c>
      <c r="N737">
        <f>IF(E737="","",IF(M737&lt;=0,"Paid",IF(L737&gt;0,"Part Paid","Unpaid")))</f>
        <v/>
      </c>
      <c r="O737">
        <f>IF(E737="","",IFERROR(_xludf.MAXIFS(PAYMENTS!A:A,PAYMENTS!C:C,E737),""))</f>
        <v/>
      </c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>
        <f>IF(E738="","",SUMIF(PAYMENTS!C:C,E738,PAYMENTS!E:E))</f>
        <v/>
      </c>
      <c r="M738">
        <f>IF(E738="","",J738-L738)</f>
        <v/>
      </c>
      <c r="N738">
        <f>IF(E738="","",IF(M738&lt;=0,"Paid",IF(L738&gt;0,"Part Paid","Unpaid")))</f>
        <v/>
      </c>
      <c r="O738">
        <f>IF(E738="","",IFERROR(_xludf.MAXIFS(PAYMENTS!A:A,PAYMENTS!C:C,E738),""))</f>
        <v/>
      </c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>
        <f>IF(E739="","",SUMIF(PAYMENTS!C:C,E739,PAYMENTS!E:E))</f>
        <v/>
      </c>
      <c r="M739">
        <f>IF(E739="","",J739-L739)</f>
        <v/>
      </c>
      <c r="N739">
        <f>IF(E739="","",IF(M739&lt;=0,"Paid",IF(L739&gt;0,"Part Paid","Unpaid")))</f>
        <v/>
      </c>
      <c r="O739">
        <f>IF(E739="","",IFERROR(_xludf.MAXIFS(PAYMENTS!A:A,PAYMENTS!C:C,E739),""))</f>
        <v/>
      </c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>
        <f>IF(E740="","",SUMIF(PAYMENTS!C:C,E740,PAYMENTS!E:E))</f>
        <v/>
      </c>
      <c r="M740">
        <f>IF(E740="","",J740-L740)</f>
        <v/>
      </c>
      <c r="N740">
        <f>IF(E740="","",IF(M740&lt;=0,"Paid",IF(L740&gt;0,"Part Paid","Unpaid")))</f>
        <v/>
      </c>
      <c r="O740">
        <f>IF(E740="","",IFERROR(_xludf.MAXIFS(PAYMENTS!A:A,PAYMENTS!C:C,E740),""))</f>
        <v/>
      </c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>
        <f>IF(E741="","",SUMIF(PAYMENTS!C:C,E741,PAYMENTS!E:E))</f>
        <v/>
      </c>
      <c r="M741">
        <f>IF(E741="","",J741-L741)</f>
        <v/>
      </c>
      <c r="N741">
        <f>IF(E741="","",IF(M741&lt;=0,"Paid",IF(L741&gt;0,"Part Paid","Unpaid")))</f>
        <v/>
      </c>
      <c r="O741">
        <f>IF(E741="","",IFERROR(_xludf.MAXIFS(PAYMENTS!A:A,PAYMENTS!C:C,E741),""))</f>
        <v/>
      </c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>
        <f>IF(E742="","",SUMIF(PAYMENTS!C:C,E742,PAYMENTS!E:E))</f>
        <v/>
      </c>
      <c r="M742">
        <f>IF(E742="","",J742-L742)</f>
        <v/>
      </c>
      <c r="N742">
        <f>IF(E742="","",IF(M742&lt;=0,"Paid",IF(L742&gt;0,"Part Paid","Unpaid")))</f>
        <v/>
      </c>
      <c r="O742">
        <f>IF(E742="","",IFERROR(_xludf.MAXIFS(PAYMENTS!A:A,PAYMENTS!C:C,E742),""))</f>
        <v/>
      </c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>
        <f>IF(E743="","",SUMIF(PAYMENTS!C:C,E743,PAYMENTS!E:E))</f>
        <v/>
      </c>
      <c r="M743">
        <f>IF(E743="","",J743-L743)</f>
        <v/>
      </c>
      <c r="N743">
        <f>IF(E743="","",IF(M743&lt;=0,"Paid",IF(L743&gt;0,"Part Paid","Unpaid")))</f>
        <v/>
      </c>
      <c r="O743">
        <f>IF(E743="","",IFERROR(_xludf.MAXIFS(PAYMENTS!A:A,PAYMENTS!C:C,E743),""))</f>
        <v/>
      </c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>
        <f>IF(E744="","",SUMIF(PAYMENTS!C:C,E744,PAYMENTS!E:E))</f>
        <v/>
      </c>
      <c r="M744">
        <f>IF(E744="","",J744-L744)</f>
        <v/>
      </c>
      <c r="N744">
        <f>IF(E744="","",IF(M744&lt;=0,"Paid",IF(L744&gt;0,"Part Paid","Unpaid")))</f>
        <v/>
      </c>
      <c r="O744">
        <f>IF(E744="","",IFERROR(_xludf.MAXIFS(PAYMENTS!A:A,PAYMENTS!C:C,E744),""))</f>
        <v/>
      </c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>
        <f>IF(E745="","",SUMIF(PAYMENTS!C:C,E745,PAYMENTS!E:E))</f>
        <v/>
      </c>
      <c r="M745">
        <f>IF(E745="","",J745-L745)</f>
        <v/>
      </c>
      <c r="N745">
        <f>IF(E745="","",IF(M745&lt;=0,"Paid",IF(L745&gt;0,"Part Paid","Unpaid")))</f>
        <v/>
      </c>
      <c r="O745">
        <f>IF(E745="","",IFERROR(_xludf.MAXIFS(PAYMENTS!A:A,PAYMENTS!C:C,E745),""))</f>
        <v/>
      </c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>
        <f>IF(E746="","",SUMIF(PAYMENTS!C:C,E746,PAYMENTS!E:E))</f>
        <v/>
      </c>
      <c r="M746">
        <f>IF(E746="","",J746-L746)</f>
        <v/>
      </c>
      <c r="N746">
        <f>IF(E746="","",IF(M746&lt;=0,"Paid",IF(L746&gt;0,"Part Paid","Unpaid")))</f>
        <v/>
      </c>
      <c r="O746">
        <f>IF(E746="","",IFERROR(_xludf.MAXIFS(PAYMENTS!A:A,PAYMENTS!C:C,E746),""))</f>
        <v/>
      </c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>
        <f>IF(E747="","",SUMIF(PAYMENTS!C:C,E747,PAYMENTS!E:E))</f>
        <v/>
      </c>
      <c r="M747">
        <f>IF(E747="","",J747-L747)</f>
        <v/>
      </c>
      <c r="N747">
        <f>IF(E747="","",IF(M747&lt;=0,"Paid",IF(L747&gt;0,"Part Paid","Unpaid")))</f>
        <v/>
      </c>
      <c r="O747">
        <f>IF(E747="","",IFERROR(_xludf.MAXIFS(PAYMENTS!A:A,PAYMENTS!C:C,E747),""))</f>
        <v/>
      </c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>
        <f>IF(E748="","",SUMIF(PAYMENTS!C:C,E748,PAYMENTS!E:E))</f>
        <v/>
      </c>
      <c r="M748">
        <f>IF(E748="","",J748-L748)</f>
        <v/>
      </c>
      <c r="N748">
        <f>IF(E748="","",IF(M748&lt;=0,"Paid",IF(L748&gt;0,"Part Paid","Unpaid")))</f>
        <v/>
      </c>
      <c r="O748">
        <f>IF(E748="","",IFERROR(_xludf.MAXIFS(PAYMENTS!A:A,PAYMENTS!C:C,E748),""))</f>
        <v/>
      </c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>
        <f>IF(E749="","",SUMIF(PAYMENTS!C:C,E749,PAYMENTS!E:E))</f>
        <v/>
      </c>
      <c r="M749">
        <f>IF(E749="","",J749-L749)</f>
        <v/>
      </c>
      <c r="N749">
        <f>IF(E749="","",IF(M749&lt;=0,"Paid",IF(L749&gt;0,"Part Paid","Unpaid")))</f>
        <v/>
      </c>
      <c r="O749">
        <f>IF(E749="","",IFERROR(_xludf.MAXIFS(PAYMENTS!A:A,PAYMENTS!C:C,E749),""))</f>
        <v/>
      </c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>
        <f>IF(E750="","",SUMIF(PAYMENTS!C:C,E750,PAYMENTS!E:E))</f>
        <v/>
      </c>
      <c r="M750">
        <f>IF(E750="","",J750-L750)</f>
        <v/>
      </c>
      <c r="N750">
        <f>IF(E750="","",IF(M750&lt;=0,"Paid",IF(L750&gt;0,"Part Paid","Unpaid")))</f>
        <v/>
      </c>
      <c r="O750">
        <f>IF(E750="","",IFERROR(_xludf.MAXIFS(PAYMENTS!A:A,PAYMENTS!C:C,E750),""))</f>
        <v/>
      </c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>
        <f>IF(E751="","",SUMIF(PAYMENTS!C:C,E751,PAYMENTS!E:E))</f>
        <v/>
      </c>
      <c r="M751">
        <f>IF(E751="","",J751-L751)</f>
        <v/>
      </c>
      <c r="N751">
        <f>IF(E751="","",IF(M751&lt;=0,"Paid",IF(L751&gt;0,"Part Paid","Unpaid")))</f>
        <v/>
      </c>
      <c r="O751">
        <f>IF(E751="","",IFERROR(_xludf.MAXIFS(PAYMENTS!A:A,PAYMENTS!C:C,E751),""))</f>
        <v/>
      </c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>
        <f>IF(E752="","",SUMIF(PAYMENTS!C:C,E752,PAYMENTS!E:E))</f>
        <v/>
      </c>
      <c r="M752">
        <f>IF(E752="","",J752-L752)</f>
        <v/>
      </c>
      <c r="N752">
        <f>IF(E752="","",IF(M752&lt;=0,"Paid",IF(L752&gt;0,"Part Paid","Unpaid")))</f>
        <v/>
      </c>
      <c r="O752">
        <f>IF(E752="","",IFERROR(_xludf.MAXIFS(PAYMENTS!A:A,PAYMENTS!C:C,E752),""))</f>
        <v/>
      </c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>
        <f>IF(E753="","",SUMIF(PAYMENTS!C:C,E753,PAYMENTS!E:E))</f>
        <v/>
      </c>
      <c r="M753">
        <f>IF(E753="","",J753-L753)</f>
        <v/>
      </c>
      <c r="N753">
        <f>IF(E753="","",IF(M753&lt;=0,"Paid",IF(L753&gt;0,"Part Paid","Unpaid")))</f>
        <v/>
      </c>
      <c r="O753">
        <f>IF(E753="","",IFERROR(_xludf.MAXIFS(PAYMENTS!A:A,PAYMENTS!C:C,E753),""))</f>
        <v/>
      </c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>
        <f>IF(E754="","",SUMIF(PAYMENTS!C:C,E754,PAYMENTS!E:E))</f>
        <v/>
      </c>
      <c r="M754">
        <f>IF(E754="","",J754-L754)</f>
        <v/>
      </c>
      <c r="N754">
        <f>IF(E754="","",IF(M754&lt;=0,"Paid",IF(L754&gt;0,"Part Paid","Unpaid")))</f>
        <v/>
      </c>
      <c r="O754">
        <f>IF(E754="","",IFERROR(_xludf.MAXIFS(PAYMENTS!A:A,PAYMENTS!C:C,E754),""))</f>
        <v/>
      </c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>
        <f>IF(E755="","",SUMIF(PAYMENTS!C:C,E755,PAYMENTS!E:E))</f>
        <v/>
      </c>
      <c r="M755">
        <f>IF(E755="","",J755-L755)</f>
        <v/>
      </c>
      <c r="N755">
        <f>IF(E755="","",IF(M755&lt;=0,"Paid",IF(L755&gt;0,"Part Paid","Unpaid")))</f>
        <v/>
      </c>
      <c r="O755">
        <f>IF(E755="","",IFERROR(_xludf.MAXIFS(PAYMENTS!A:A,PAYMENTS!C:C,E755),""))</f>
        <v/>
      </c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>
        <f>IF(E756="","",SUMIF(PAYMENTS!C:C,E756,PAYMENTS!E:E))</f>
        <v/>
      </c>
      <c r="M756">
        <f>IF(E756="","",J756-L756)</f>
        <v/>
      </c>
      <c r="N756">
        <f>IF(E756="","",IF(M756&lt;=0,"Paid",IF(L756&gt;0,"Part Paid","Unpaid")))</f>
        <v/>
      </c>
      <c r="O756">
        <f>IF(E756="","",IFERROR(_xludf.MAXIFS(PAYMENTS!A:A,PAYMENTS!C:C,E756),""))</f>
        <v/>
      </c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>
        <f>IF(E757="","",SUMIF(PAYMENTS!C:C,E757,PAYMENTS!E:E))</f>
        <v/>
      </c>
      <c r="M757">
        <f>IF(E757="","",J757-L757)</f>
        <v/>
      </c>
      <c r="N757">
        <f>IF(E757="","",IF(M757&lt;=0,"Paid",IF(L757&gt;0,"Part Paid","Unpaid")))</f>
        <v/>
      </c>
      <c r="O757">
        <f>IF(E757="","",IFERROR(_xludf.MAXIFS(PAYMENTS!A:A,PAYMENTS!C:C,E757),""))</f>
        <v/>
      </c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>
        <f>IF(E758="","",SUMIF(PAYMENTS!C:C,E758,PAYMENTS!E:E))</f>
        <v/>
      </c>
      <c r="M758">
        <f>IF(E758="","",J758-L758)</f>
        <v/>
      </c>
      <c r="N758">
        <f>IF(E758="","",IF(M758&lt;=0,"Paid",IF(L758&gt;0,"Part Paid","Unpaid")))</f>
        <v/>
      </c>
      <c r="O758">
        <f>IF(E758="","",IFERROR(_xludf.MAXIFS(PAYMENTS!A:A,PAYMENTS!C:C,E758),""))</f>
        <v/>
      </c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>
        <f>IF(E759="","",SUMIF(PAYMENTS!C:C,E759,PAYMENTS!E:E))</f>
        <v/>
      </c>
      <c r="M759">
        <f>IF(E759="","",J759-L759)</f>
        <v/>
      </c>
      <c r="N759">
        <f>IF(E759="","",IF(M759&lt;=0,"Paid",IF(L759&gt;0,"Part Paid","Unpaid")))</f>
        <v/>
      </c>
      <c r="O759">
        <f>IF(E759="","",IFERROR(_xludf.MAXIFS(PAYMENTS!A:A,PAYMENTS!C:C,E759),""))</f>
        <v/>
      </c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>
        <f>IF(E760="","",SUMIF(PAYMENTS!C:C,E760,PAYMENTS!E:E))</f>
        <v/>
      </c>
      <c r="M760">
        <f>IF(E760="","",J760-L760)</f>
        <v/>
      </c>
      <c r="N760">
        <f>IF(E760="","",IF(M760&lt;=0,"Paid",IF(L760&gt;0,"Part Paid","Unpaid")))</f>
        <v/>
      </c>
      <c r="O760">
        <f>IF(E760="","",IFERROR(_xludf.MAXIFS(PAYMENTS!A:A,PAYMENTS!C:C,E760),""))</f>
        <v/>
      </c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>
        <f>IF(E761="","",SUMIF(PAYMENTS!C:C,E761,PAYMENTS!E:E))</f>
        <v/>
      </c>
      <c r="M761">
        <f>IF(E761="","",J761-L761)</f>
        <v/>
      </c>
      <c r="N761">
        <f>IF(E761="","",IF(M761&lt;=0,"Paid",IF(L761&gt;0,"Part Paid","Unpaid")))</f>
        <v/>
      </c>
      <c r="O761">
        <f>IF(E761="","",IFERROR(_xludf.MAXIFS(PAYMENTS!A:A,PAYMENTS!C:C,E761),""))</f>
        <v/>
      </c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>
        <f>IF(E762="","",SUMIF(PAYMENTS!C:C,E762,PAYMENTS!E:E))</f>
        <v/>
      </c>
      <c r="M762">
        <f>IF(E762="","",J762-L762)</f>
        <v/>
      </c>
      <c r="N762">
        <f>IF(E762="","",IF(M762&lt;=0,"Paid",IF(L762&gt;0,"Part Paid","Unpaid")))</f>
        <v/>
      </c>
      <c r="O762">
        <f>IF(E762="","",IFERROR(_xludf.MAXIFS(PAYMENTS!A:A,PAYMENTS!C:C,E762),""))</f>
        <v/>
      </c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>
        <f>IF(E763="","",SUMIF(PAYMENTS!C:C,E763,PAYMENTS!E:E))</f>
        <v/>
      </c>
      <c r="M763">
        <f>IF(E763="","",J763-L763)</f>
        <v/>
      </c>
      <c r="N763">
        <f>IF(E763="","",IF(M763&lt;=0,"Paid",IF(L763&gt;0,"Part Paid","Unpaid")))</f>
        <v/>
      </c>
      <c r="O763">
        <f>IF(E763="","",IFERROR(_xludf.MAXIFS(PAYMENTS!A:A,PAYMENTS!C:C,E763),""))</f>
        <v/>
      </c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>
        <f>IF(E764="","",SUMIF(PAYMENTS!C:C,E764,PAYMENTS!E:E))</f>
        <v/>
      </c>
      <c r="M764">
        <f>IF(E764="","",J764-L764)</f>
        <v/>
      </c>
      <c r="N764">
        <f>IF(E764="","",IF(M764&lt;=0,"Paid",IF(L764&gt;0,"Part Paid","Unpaid")))</f>
        <v/>
      </c>
      <c r="O764">
        <f>IF(E764="","",IFERROR(_xludf.MAXIFS(PAYMENTS!A:A,PAYMENTS!C:C,E764),""))</f>
        <v/>
      </c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>
        <f>IF(E765="","",SUMIF(PAYMENTS!C:C,E765,PAYMENTS!E:E))</f>
        <v/>
      </c>
      <c r="M765">
        <f>IF(E765="","",J765-L765)</f>
        <v/>
      </c>
      <c r="N765">
        <f>IF(E765="","",IF(M765&lt;=0,"Paid",IF(L765&gt;0,"Part Paid","Unpaid")))</f>
        <v/>
      </c>
      <c r="O765">
        <f>IF(E765="","",IFERROR(_xludf.MAXIFS(PAYMENTS!A:A,PAYMENTS!C:C,E765),""))</f>
        <v/>
      </c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>
        <f>IF(E766="","",SUMIF(PAYMENTS!C:C,E766,PAYMENTS!E:E))</f>
        <v/>
      </c>
      <c r="M766">
        <f>IF(E766="","",J766-L766)</f>
        <v/>
      </c>
      <c r="N766">
        <f>IF(E766="","",IF(M766&lt;=0,"Paid",IF(L766&gt;0,"Part Paid","Unpaid")))</f>
        <v/>
      </c>
      <c r="O766">
        <f>IF(E766="","",IFERROR(_xludf.MAXIFS(PAYMENTS!A:A,PAYMENTS!C:C,E766),""))</f>
        <v/>
      </c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>
        <f>IF(E767="","",SUMIF(PAYMENTS!C:C,E767,PAYMENTS!E:E))</f>
        <v/>
      </c>
      <c r="M767">
        <f>IF(E767="","",J767-L767)</f>
        <v/>
      </c>
      <c r="N767">
        <f>IF(E767="","",IF(M767&lt;=0,"Paid",IF(L767&gt;0,"Part Paid","Unpaid")))</f>
        <v/>
      </c>
      <c r="O767">
        <f>IF(E767="","",IFERROR(_xludf.MAXIFS(PAYMENTS!A:A,PAYMENTS!C:C,E767),""))</f>
        <v/>
      </c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>
        <f>IF(E768="","",SUMIF(PAYMENTS!C:C,E768,PAYMENTS!E:E))</f>
        <v/>
      </c>
      <c r="M768">
        <f>IF(E768="","",J768-L768)</f>
        <v/>
      </c>
      <c r="N768">
        <f>IF(E768="","",IF(M768&lt;=0,"Paid",IF(L768&gt;0,"Part Paid","Unpaid")))</f>
        <v/>
      </c>
      <c r="O768">
        <f>IF(E768="","",IFERROR(_xludf.MAXIFS(PAYMENTS!A:A,PAYMENTS!C:C,E768),""))</f>
        <v/>
      </c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>
        <f>IF(E769="","",SUMIF(PAYMENTS!C:C,E769,PAYMENTS!E:E))</f>
        <v/>
      </c>
      <c r="M769">
        <f>IF(E769="","",J769-L769)</f>
        <v/>
      </c>
      <c r="N769">
        <f>IF(E769="","",IF(M769&lt;=0,"Paid",IF(L769&gt;0,"Part Paid","Unpaid")))</f>
        <v/>
      </c>
      <c r="O769">
        <f>IF(E769="","",IFERROR(_xludf.MAXIFS(PAYMENTS!A:A,PAYMENTS!C:C,E769),""))</f>
        <v/>
      </c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>
        <f>IF(E770="","",SUMIF(PAYMENTS!C:C,E770,PAYMENTS!E:E))</f>
        <v/>
      </c>
      <c r="M770">
        <f>IF(E770="","",J770-L770)</f>
        <v/>
      </c>
      <c r="N770">
        <f>IF(E770="","",IF(M770&lt;=0,"Paid",IF(L770&gt;0,"Part Paid","Unpaid")))</f>
        <v/>
      </c>
      <c r="O770">
        <f>IF(E770="","",IFERROR(_xludf.MAXIFS(PAYMENTS!A:A,PAYMENTS!C:C,E770),""))</f>
        <v/>
      </c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>
        <f>IF(E771="","",SUMIF(PAYMENTS!C:C,E771,PAYMENTS!E:E))</f>
        <v/>
      </c>
      <c r="M771">
        <f>IF(E771="","",J771-L771)</f>
        <v/>
      </c>
      <c r="N771">
        <f>IF(E771="","",IF(M771&lt;=0,"Paid",IF(L771&gt;0,"Part Paid","Unpaid")))</f>
        <v/>
      </c>
      <c r="O771">
        <f>IF(E771="","",IFERROR(_xludf.MAXIFS(PAYMENTS!A:A,PAYMENTS!C:C,E771),""))</f>
        <v/>
      </c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>
        <f>IF(E772="","",SUMIF(PAYMENTS!C:C,E772,PAYMENTS!E:E))</f>
        <v/>
      </c>
      <c r="M772">
        <f>IF(E772="","",J772-L772)</f>
        <v/>
      </c>
      <c r="N772">
        <f>IF(E772="","",IF(M772&lt;=0,"Paid",IF(L772&gt;0,"Part Paid","Unpaid")))</f>
        <v/>
      </c>
      <c r="O772">
        <f>IF(E772="","",IFERROR(_xludf.MAXIFS(PAYMENTS!A:A,PAYMENTS!C:C,E772),""))</f>
        <v/>
      </c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>
        <f>IF(E773="","",SUMIF(PAYMENTS!C:C,E773,PAYMENTS!E:E))</f>
        <v/>
      </c>
      <c r="M773">
        <f>IF(E773="","",J773-L773)</f>
        <v/>
      </c>
      <c r="N773">
        <f>IF(E773="","",IF(M773&lt;=0,"Paid",IF(L773&gt;0,"Part Paid","Unpaid")))</f>
        <v/>
      </c>
      <c r="O773">
        <f>IF(E773="","",IFERROR(_xludf.MAXIFS(PAYMENTS!A:A,PAYMENTS!C:C,E773),""))</f>
        <v/>
      </c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>
        <f>IF(E774="","",SUMIF(PAYMENTS!C:C,E774,PAYMENTS!E:E))</f>
        <v/>
      </c>
      <c r="M774">
        <f>IF(E774="","",J774-L774)</f>
        <v/>
      </c>
      <c r="N774">
        <f>IF(E774="","",IF(M774&lt;=0,"Paid",IF(L774&gt;0,"Part Paid","Unpaid")))</f>
        <v/>
      </c>
      <c r="O774">
        <f>IF(E774="","",IFERROR(_xludf.MAXIFS(PAYMENTS!A:A,PAYMENTS!C:C,E774),""))</f>
        <v/>
      </c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>
        <f>IF(E775="","",SUMIF(PAYMENTS!C:C,E775,PAYMENTS!E:E))</f>
        <v/>
      </c>
      <c r="M775">
        <f>IF(E775="","",J775-L775)</f>
        <v/>
      </c>
      <c r="N775">
        <f>IF(E775="","",IF(M775&lt;=0,"Paid",IF(L775&gt;0,"Part Paid","Unpaid")))</f>
        <v/>
      </c>
      <c r="O775">
        <f>IF(E775="","",IFERROR(_xludf.MAXIFS(PAYMENTS!A:A,PAYMENTS!C:C,E775),""))</f>
        <v/>
      </c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>
        <f>IF(E776="","",SUMIF(PAYMENTS!C:C,E776,PAYMENTS!E:E))</f>
        <v/>
      </c>
      <c r="M776">
        <f>IF(E776="","",J776-L776)</f>
        <v/>
      </c>
      <c r="N776">
        <f>IF(E776="","",IF(M776&lt;=0,"Paid",IF(L776&gt;0,"Part Paid","Unpaid")))</f>
        <v/>
      </c>
      <c r="O776">
        <f>IF(E776="","",IFERROR(_xludf.MAXIFS(PAYMENTS!A:A,PAYMENTS!C:C,E776),""))</f>
        <v/>
      </c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>
        <f>IF(E777="","",SUMIF(PAYMENTS!C:C,E777,PAYMENTS!E:E))</f>
        <v/>
      </c>
      <c r="M777">
        <f>IF(E777="","",J777-L777)</f>
        <v/>
      </c>
      <c r="N777">
        <f>IF(E777="","",IF(M777&lt;=0,"Paid",IF(L777&gt;0,"Part Paid","Unpaid")))</f>
        <v/>
      </c>
      <c r="O777">
        <f>IF(E777="","",IFERROR(_xludf.MAXIFS(PAYMENTS!A:A,PAYMENTS!C:C,E777),""))</f>
        <v/>
      </c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>
        <f>IF(E778="","",SUMIF(PAYMENTS!C:C,E778,PAYMENTS!E:E))</f>
        <v/>
      </c>
      <c r="M778">
        <f>IF(E778="","",J778-L778)</f>
        <v/>
      </c>
      <c r="N778">
        <f>IF(E778="","",IF(M778&lt;=0,"Paid",IF(L778&gt;0,"Part Paid","Unpaid")))</f>
        <v/>
      </c>
      <c r="O778">
        <f>IF(E778="","",IFERROR(_xludf.MAXIFS(PAYMENTS!A:A,PAYMENTS!C:C,E778),""))</f>
        <v/>
      </c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>
        <f>IF(E779="","",SUMIF(PAYMENTS!C:C,E779,PAYMENTS!E:E))</f>
        <v/>
      </c>
      <c r="M779">
        <f>IF(E779="","",J779-L779)</f>
        <v/>
      </c>
      <c r="N779">
        <f>IF(E779="","",IF(M779&lt;=0,"Paid",IF(L779&gt;0,"Part Paid","Unpaid")))</f>
        <v/>
      </c>
      <c r="O779">
        <f>IF(E779="","",IFERROR(_xludf.MAXIFS(PAYMENTS!A:A,PAYMENTS!C:C,E779),""))</f>
        <v/>
      </c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>
        <f>IF(E780="","",SUMIF(PAYMENTS!C:C,E780,PAYMENTS!E:E))</f>
        <v/>
      </c>
      <c r="M780">
        <f>IF(E780="","",J780-L780)</f>
        <v/>
      </c>
      <c r="N780">
        <f>IF(E780="","",IF(M780&lt;=0,"Paid",IF(L780&gt;0,"Part Paid","Unpaid")))</f>
        <v/>
      </c>
      <c r="O780">
        <f>IF(E780="","",IFERROR(_xludf.MAXIFS(PAYMENTS!A:A,PAYMENTS!C:C,E780),""))</f>
        <v/>
      </c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>
        <f>IF(E781="","",SUMIF(PAYMENTS!C:C,E781,PAYMENTS!E:E))</f>
        <v/>
      </c>
      <c r="M781">
        <f>IF(E781="","",J781-L781)</f>
        <v/>
      </c>
      <c r="N781">
        <f>IF(E781="","",IF(M781&lt;=0,"Paid",IF(L781&gt;0,"Part Paid","Unpaid")))</f>
        <v/>
      </c>
      <c r="O781">
        <f>IF(E781="","",IFERROR(_xludf.MAXIFS(PAYMENTS!A:A,PAYMENTS!C:C,E781),""))</f>
        <v/>
      </c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>
        <f>IF(E782="","",SUMIF(PAYMENTS!C:C,E782,PAYMENTS!E:E))</f>
        <v/>
      </c>
      <c r="M782">
        <f>IF(E782="","",J782-L782)</f>
        <v/>
      </c>
      <c r="N782">
        <f>IF(E782="","",IF(M782&lt;=0,"Paid",IF(L782&gt;0,"Part Paid","Unpaid")))</f>
        <v/>
      </c>
      <c r="O782">
        <f>IF(E782="","",IFERROR(_xludf.MAXIFS(PAYMENTS!A:A,PAYMENTS!C:C,E782),""))</f>
        <v/>
      </c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>
        <f>IF(E783="","",SUMIF(PAYMENTS!C:C,E783,PAYMENTS!E:E))</f>
        <v/>
      </c>
      <c r="M783">
        <f>IF(E783="","",J783-L783)</f>
        <v/>
      </c>
      <c r="N783">
        <f>IF(E783="","",IF(M783&lt;=0,"Paid",IF(L783&gt;0,"Part Paid","Unpaid")))</f>
        <v/>
      </c>
      <c r="O783">
        <f>IF(E783="","",IFERROR(_xludf.MAXIFS(PAYMENTS!A:A,PAYMENTS!C:C,E783),""))</f>
        <v/>
      </c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>
        <f>IF(E784="","",SUMIF(PAYMENTS!C:C,E784,PAYMENTS!E:E))</f>
        <v/>
      </c>
      <c r="M784">
        <f>IF(E784="","",J784-L784)</f>
        <v/>
      </c>
      <c r="N784">
        <f>IF(E784="","",IF(M784&lt;=0,"Paid",IF(L784&gt;0,"Part Paid","Unpaid")))</f>
        <v/>
      </c>
      <c r="O784">
        <f>IF(E784="","",IFERROR(_xludf.MAXIFS(PAYMENTS!A:A,PAYMENTS!C:C,E784),""))</f>
        <v/>
      </c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>
        <f>IF(E785="","",SUMIF(PAYMENTS!C:C,E785,PAYMENTS!E:E))</f>
        <v/>
      </c>
      <c r="M785">
        <f>IF(E785="","",J785-L785)</f>
        <v/>
      </c>
      <c r="N785">
        <f>IF(E785="","",IF(M785&lt;=0,"Paid",IF(L785&gt;0,"Part Paid","Unpaid")))</f>
        <v/>
      </c>
      <c r="O785">
        <f>IF(E785="","",IFERROR(_xludf.MAXIFS(PAYMENTS!A:A,PAYMENTS!C:C,E785),""))</f>
        <v/>
      </c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>
        <f>IF(E786="","",SUMIF(PAYMENTS!C:C,E786,PAYMENTS!E:E))</f>
        <v/>
      </c>
      <c r="M786">
        <f>IF(E786="","",J786-L786)</f>
        <v/>
      </c>
      <c r="N786">
        <f>IF(E786="","",IF(M786&lt;=0,"Paid",IF(L786&gt;0,"Part Paid","Unpaid")))</f>
        <v/>
      </c>
      <c r="O786">
        <f>IF(E786="","",IFERROR(_xludf.MAXIFS(PAYMENTS!A:A,PAYMENTS!C:C,E786),""))</f>
        <v/>
      </c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>
        <f>IF(E787="","",SUMIF(PAYMENTS!C:C,E787,PAYMENTS!E:E))</f>
        <v/>
      </c>
      <c r="M787">
        <f>IF(E787="","",J787-L787)</f>
        <v/>
      </c>
      <c r="N787">
        <f>IF(E787="","",IF(M787&lt;=0,"Paid",IF(L787&gt;0,"Part Paid","Unpaid")))</f>
        <v/>
      </c>
      <c r="O787">
        <f>IF(E787="","",IFERROR(_xludf.MAXIFS(PAYMENTS!A:A,PAYMENTS!C:C,E787),""))</f>
        <v/>
      </c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>
        <f>IF(E788="","",SUMIF(PAYMENTS!C:C,E788,PAYMENTS!E:E))</f>
        <v/>
      </c>
      <c r="M788">
        <f>IF(E788="","",J788-L788)</f>
        <v/>
      </c>
      <c r="N788">
        <f>IF(E788="","",IF(M788&lt;=0,"Paid",IF(L788&gt;0,"Part Paid","Unpaid")))</f>
        <v/>
      </c>
      <c r="O788">
        <f>IF(E788="","",IFERROR(_xludf.MAXIFS(PAYMENTS!A:A,PAYMENTS!C:C,E788),""))</f>
        <v/>
      </c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>
        <f>IF(E789="","",SUMIF(PAYMENTS!C:C,E789,PAYMENTS!E:E))</f>
        <v/>
      </c>
      <c r="M789">
        <f>IF(E789="","",J789-L789)</f>
        <v/>
      </c>
      <c r="N789">
        <f>IF(E789="","",IF(M789&lt;=0,"Paid",IF(L789&gt;0,"Part Paid","Unpaid")))</f>
        <v/>
      </c>
      <c r="O789">
        <f>IF(E789="","",IFERROR(_xludf.MAXIFS(PAYMENTS!A:A,PAYMENTS!C:C,E789),""))</f>
        <v/>
      </c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>
        <f>IF(E790="","",SUMIF(PAYMENTS!C:C,E790,PAYMENTS!E:E))</f>
        <v/>
      </c>
      <c r="M790">
        <f>IF(E790="","",J790-L790)</f>
        <v/>
      </c>
      <c r="N790">
        <f>IF(E790="","",IF(M790&lt;=0,"Paid",IF(L790&gt;0,"Part Paid","Unpaid")))</f>
        <v/>
      </c>
      <c r="O790">
        <f>IF(E790="","",IFERROR(_xludf.MAXIFS(PAYMENTS!A:A,PAYMENTS!C:C,E790),""))</f>
        <v/>
      </c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>
        <f>IF(E791="","",SUMIF(PAYMENTS!C:C,E791,PAYMENTS!E:E))</f>
        <v/>
      </c>
      <c r="M791">
        <f>IF(E791="","",J791-L791)</f>
        <v/>
      </c>
      <c r="N791">
        <f>IF(E791="","",IF(M791&lt;=0,"Paid",IF(L791&gt;0,"Part Paid","Unpaid")))</f>
        <v/>
      </c>
      <c r="O791">
        <f>IF(E791="","",IFERROR(_xludf.MAXIFS(PAYMENTS!A:A,PAYMENTS!C:C,E791),""))</f>
        <v/>
      </c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>
        <f>IF(E792="","",SUMIF(PAYMENTS!C:C,E792,PAYMENTS!E:E))</f>
        <v/>
      </c>
      <c r="M792">
        <f>IF(E792="","",J792-L792)</f>
        <v/>
      </c>
      <c r="N792">
        <f>IF(E792="","",IF(M792&lt;=0,"Paid",IF(L792&gt;0,"Part Paid","Unpaid")))</f>
        <v/>
      </c>
      <c r="O792">
        <f>IF(E792="","",IFERROR(_xludf.MAXIFS(PAYMENTS!A:A,PAYMENTS!C:C,E792),""))</f>
        <v/>
      </c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>
        <f>IF(E793="","",SUMIF(PAYMENTS!C:C,E793,PAYMENTS!E:E))</f>
        <v/>
      </c>
      <c r="M793">
        <f>IF(E793="","",J793-L793)</f>
        <v/>
      </c>
      <c r="N793">
        <f>IF(E793="","",IF(M793&lt;=0,"Paid",IF(L793&gt;0,"Part Paid","Unpaid")))</f>
        <v/>
      </c>
      <c r="O793">
        <f>IF(E793="","",IFERROR(_xludf.MAXIFS(PAYMENTS!A:A,PAYMENTS!C:C,E793),""))</f>
        <v/>
      </c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>
        <f>IF(E794="","",SUMIF(PAYMENTS!C:C,E794,PAYMENTS!E:E))</f>
        <v/>
      </c>
      <c r="M794">
        <f>IF(E794="","",J794-L794)</f>
        <v/>
      </c>
      <c r="N794">
        <f>IF(E794="","",IF(M794&lt;=0,"Paid",IF(L794&gt;0,"Part Paid","Unpaid")))</f>
        <v/>
      </c>
      <c r="O794">
        <f>IF(E794="","",IFERROR(_xludf.MAXIFS(PAYMENTS!A:A,PAYMENTS!C:C,E794),""))</f>
        <v/>
      </c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>
        <f>IF(E795="","",SUMIF(PAYMENTS!C:C,E795,PAYMENTS!E:E))</f>
        <v/>
      </c>
      <c r="M795">
        <f>IF(E795="","",J795-L795)</f>
        <v/>
      </c>
      <c r="N795">
        <f>IF(E795="","",IF(M795&lt;=0,"Paid",IF(L795&gt;0,"Part Paid","Unpaid")))</f>
        <v/>
      </c>
      <c r="O795">
        <f>IF(E795="","",IFERROR(_xludf.MAXIFS(PAYMENTS!A:A,PAYMENTS!C:C,E795),""))</f>
        <v/>
      </c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>
        <f>IF(E796="","",SUMIF(PAYMENTS!C:C,E796,PAYMENTS!E:E))</f>
        <v/>
      </c>
      <c r="M796">
        <f>IF(E796="","",J796-L796)</f>
        <v/>
      </c>
      <c r="N796">
        <f>IF(E796="","",IF(M796&lt;=0,"Paid",IF(L796&gt;0,"Part Paid","Unpaid")))</f>
        <v/>
      </c>
      <c r="O796">
        <f>IF(E796="","",IFERROR(_xludf.MAXIFS(PAYMENTS!A:A,PAYMENTS!C:C,E796),""))</f>
        <v/>
      </c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>
        <f>IF(E797="","",SUMIF(PAYMENTS!C:C,E797,PAYMENTS!E:E))</f>
        <v/>
      </c>
      <c r="M797">
        <f>IF(E797="","",J797-L797)</f>
        <v/>
      </c>
      <c r="N797">
        <f>IF(E797="","",IF(M797&lt;=0,"Paid",IF(L797&gt;0,"Part Paid","Unpaid")))</f>
        <v/>
      </c>
      <c r="O797">
        <f>IF(E797="","",IFERROR(_xludf.MAXIFS(PAYMENTS!A:A,PAYMENTS!C:C,E797),""))</f>
        <v/>
      </c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>
        <f>IF(E798="","",SUMIF(PAYMENTS!C:C,E798,PAYMENTS!E:E))</f>
        <v/>
      </c>
      <c r="M798">
        <f>IF(E798="","",J798-L798)</f>
        <v/>
      </c>
      <c r="N798">
        <f>IF(E798="","",IF(M798&lt;=0,"Paid",IF(L798&gt;0,"Part Paid","Unpaid")))</f>
        <v/>
      </c>
      <c r="O798">
        <f>IF(E798="","",IFERROR(_xludf.MAXIFS(PAYMENTS!A:A,PAYMENTS!C:C,E798),""))</f>
        <v/>
      </c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>
        <f>IF(E799="","",SUMIF(PAYMENTS!C:C,E799,PAYMENTS!E:E))</f>
        <v/>
      </c>
      <c r="M799">
        <f>IF(E799="","",J799-L799)</f>
        <v/>
      </c>
      <c r="N799">
        <f>IF(E799="","",IF(M799&lt;=0,"Paid",IF(L799&gt;0,"Part Paid","Unpaid")))</f>
        <v/>
      </c>
      <c r="O799">
        <f>IF(E799="","",IFERROR(_xludf.MAXIFS(PAYMENTS!A:A,PAYMENTS!C:C,E799),""))</f>
        <v/>
      </c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>
        <f>IF(E800="","",SUMIF(PAYMENTS!C:C,E800,PAYMENTS!E:E))</f>
        <v/>
      </c>
      <c r="M800">
        <f>IF(E800="","",J800-L800)</f>
        <v/>
      </c>
      <c r="N800">
        <f>IF(E800="","",IF(M800&lt;=0,"Paid",IF(L800&gt;0,"Part Paid","Unpaid")))</f>
        <v/>
      </c>
      <c r="O800">
        <f>IF(E800="","",IFERROR(_xludf.MAXIFS(PAYMENTS!A:A,PAYMENTS!C:C,E800),""))</f>
        <v/>
      </c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>
        <f>IF(E801="","",SUMIF(PAYMENTS!C:C,E801,PAYMENTS!E:E))</f>
        <v/>
      </c>
      <c r="M801">
        <f>IF(E801="","",J801-L801)</f>
        <v/>
      </c>
      <c r="N801">
        <f>IF(E801="","",IF(M801&lt;=0,"Paid",IF(L801&gt;0,"Part Paid","Unpaid")))</f>
        <v/>
      </c>
      <c r="O801">
        <f>IF(E801="","",IFERROR(_xludf.MAXIFS(PAYMENTS!A:A,PAYMENTS!C:C,E801),""))</f>
        <v/>
      </c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>
        <f>IF(E802="","",SUMIF(PAYMENTS!C:C,E802,PAYMENTS!E:E))</f>
        <v/>
      </c>
      <c r="M802">
        <f>IF(E802="","",J802-L802)</f>
        <v/>
      </c>
      <c r="N802">
        <f>IF(E802="","",IF(M802&lt;=0,"Paid",IF(L802&gt;0,"Part Paid","Unpaid")))</f>
        <v/>
      </c>
      <c r="O802">
        <f>IF(E802="","",IFERROR(_xludf.MAXIFS(PAYMENTS!A:A,PAYMENTS!C:C,E802),""))</f>
        <v/>
      </c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>
        <f>IF(E803="","",SUMIF(PAYMENTS!C:C,E803,PAYMENTS!E:E))</f>
        <v/>
      </c>
      <c r="M803">
        <f>IF(E803="","",J803-L803)</f>
        <v/>
      </c>
      <c r="N803">
        <f>IF(E803="","",IF(M803&lt;=0,"Paid",IF(L803&gt;0,"Part Paid","Unpaid")))</f>
        <v/>
      </c>
      <c r="O803">
        <f>IF(E803="","",IFERROR(_xludf.MAXIFS(PAYMENTS!A:A,PAYMENTS!C:C,E803),""))</f>
        <v/>
      </c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>
        <f>IF(E804="","",SUMIF(PAYMENTS!C:C,E804,PAYMENTS!E:E))</f>
        <v/>
      </c>
      <c r="M804">
        <f>IF(E804="","",J804-L804)</f>
        <v/>
      </c>
      <c r="N804">
        <f>IF(E804="","",IF(M804&lt;=0,"Paid",IF(L804&gt;0,"Part Paid","Unpaid")))</f>
        <v/>
      </c>
      <c r="O804">
        <f>IF(E804="","",IFERROR(_xludf.MAXIFS(PAYMENTS!A:A,PAYMENTS!C:C,E804),""))</f>
        <v/>
      </c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>
        <f>IF(E805="","",SUMIF(PAYMENTS!C:C,E805,PAYMENTS!E:E))</f>
        <v/>
      </c>
      <c r="M805">
        <f>IF(E805="","",J805-L805)</f>
        <v/>
      </c>
      <c r="N805">
        <f>IF(E805="","",IF(M805&lt;=0,"Paid",IF(L805&gt;0,"Part Paid","Unpaid")))</f>
        <v/>
      </c>
      <c r="O805">
        <f>IF(E805="","",IFERROR(_xludf.MAXIFS(PAYMENTS!A:A,PAYMENTS!C:C,E805),""))</f>
        <v/>
      </c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>
        <f>IF(E806="","",SUMIF(PAYMENTS!C:C,E806,PAYMENTS!E:E))</f>
        <v/>
      </c>
      <c r="M806">
        <f>IF(E806="","",J806-L806)</f>
        <v/>
      </c>
      <c r="N806">
        <f>IF(E806="","",IF(M806&lt;=0,"Paid",IF(L806&gt;0,"Part Paid","Unpaid")))</f>
        <v/>
      </c>
      <c r="O806">
        <f>IF(E806="","",IFERROR(_xludf.MAXIFS(PAYMENTS!A:A,PAYMENTS!C:C,E806),""))</f>
        <v/>
      </c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>
        <f>IF(E807="","",SUMIF(PAYMENTS!C:C,E807,PAYMENTS!E:E))</f>
        <v/>
      </c>
      <c r="M807">
        <f>IF(E807="","",J807-L807)</f>
        <v/>
      </c>
      <c r="N807">
        <f>IF(E807="","",IF(M807&lt;=0,"Paid",IF(L807&gt;0,"Part Paid","Unpaid")))</f>
        <v/>
      </c>
      <c r="O807">
        <f>IF(E807="","",IFERROR(_xludf.MAXIFS(PAYMENTS!A:A,PAYMENTS!C:C,E807),""))</f>
        <v/>
      </c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>
        <f>IF(E808="","",SUMIF(PAYMENTS!C:C,E808,PAYMENTS!E:E))</f>
        <v/>
      </c>
      <c r="M808">
        <f>IF(E808="","",J808-L808)</f>
        <v/>
      </c>
      <c r="N808">
        <f>IF(E808="","",IF(M808&lt;=0,"Paid",IF(L808&gt;0,"Part Paid","Unpaid")))</f>
        <v/>
      </c>
      <c r="O808">
        <f>IF(E808="","",IFERROR(_xludf.MAXIFS(PAYMENTS!A:A,PAYMENTS!C:C,E808),""))</f>
        <v/>
      </c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>
        <f>IF(E809="","",SUMIF(PAYMENTS!C:C,E809,PAYMENTS!E:E))</f>
        <v/>
      </c>
      <c r="M809">
        <f>IF(E809="","",J809-L809)</f>
        <v/>
      </c>
      <c r="N809">
        <f>IF(E809="","",IF(M809&lt;=0,"Paid",IF(L809&gt;0,"Part Paid","Unpaid")))</f>
        <v/>
      </c>
      <c r="O809">
        <f>IF(E809="","",IFERROR(_xludf.MAXIFS(PAYMENTS!A:A,PAYMENTS!C:C,E809),""))</f>
        <v/>
      </c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>
        <f>IF(E810="","",SUMIF(PAYMENTS!C:C,E810,PAYMENTS!E:E))</f>
        <v/>
      </c>
      <c r="M810">
        <f>IF(E810="","",J810-L810)</f>
        <v/>
      </c>
      <c r="N810">
        <f>IF(E810="","",IF(M810&lt;=0,"Paid",IF(L810&gt;0,"Part Paid","Unpaid")))</f>
        <v/>
      </c>
      <c r="O810">
        <f>IF(E810="","",IFERROR(_xludf.MAXIFS(PAYMENTS!A:A,PAYMENTS!C:C,E810),""))</f>
        <v/>
      </c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>
        <f>IF(E811="","",SUMIF(PAYMENTS!C:C,E811,PAYMENTS!E:E))</f>
        <v/>
      </c>
      <c r="M811">
        <f>IF(E811="","",J811-L811)</f>
        <v/>
      </c>
      <c r="N811">
        <f>IF(E811="","",IF(M811&lt;=0,"Paid",IF(L811&gt;0,"Part Paid","Unpaid")))</f>
        <v/>
      </c>
      <c r="O811">
        <f>IF(E811="","",IFERROR(_xludf.MAXIFS(PAYMENTS!A:A,PAYMENTS!C:C,E811),""))</f>
        <v/>
      </c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>
        <f>IF(E812="","",SUMIF(PAYMENTS!C:C,E812,PAYMENTS!E:E))</f>
        <v/>
      </c>
      <c r="M812">
        <f>IF(E812="","",J812-L812)</f>
        <v/>
      </c>
      <c r="N812">
        <f>IF(E812="","",IF(M812&lt;=0,"Paid",IF(L812&gt;0,"Part Paid","Unpaid")))</f>
        <v/>
      </c>
      <c r="O812">
        <f>IF(E812="","",IFERROR(_xludf.MAXIFS(PAYMENTS!A:A,PAYMENTS!C:C,E812),""))</f>
        <v/>
      </c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>
        <f>IF(E813="","",SUMIF(PAYMENTS!C:C,E813,PAYMENTS!E:E))</f>
        <v/>
      </c>
      <c r="M813">
        <f>IF(E813="","",J813-L813)</f>
        <v/>
      </c>
      <c r="N813">
        <f>IF(E813="","",IF(M813&lt;=0,"Paid",IF(L813&gt;0,"Part Paid","Unpaid")))</f>
        <v/>
      </c>
      <c r="O813">
        <f>IF(E813="","",IFERROR(_xludf.MAXIFS(PAYMENTS!A:A,PAYMENTS!C:C,E813),""))</f>
        <v/>
      </c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>
        <f>IF(E814="","",SUMIF(PAYMENTS!C:C,E814,PAYMENTS!E:E))</f>
        <v/>
      </c>
      <c r="M814">
        <f>IF(E814="","",J814-L814)</f>
        <v/>
      </c>
      <c r="N814">
        <f>IF(E814="","",IF(M814&lt;=0,"Paid",IF(L814&gt;0,"Part Paid","Unpaid")))</f>
        <v/>
      </c>
      <c r="O814">
        <f>IF(E814="","",IFERROR(_xludf.MAXIFS(PAYMENTS!A:A,PAYMENTS!C:C,E814),""))</f>
        <v/>
      </c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>
        <f>IF(E815="","",SUMIF(PAYMENTS!C:C,E815,PAYMENTS!E:E))</f>
        <v/>
      </c>
      <c r="M815">
        <f>IF(E815="","",J815-L815)</f>
        <v/>
      </c>
      <c r="N815">
        <f>IF(E815="","",IF(M815&lt;=0,"Paid",IF(L815&gt;0,"Part Paid","Unpaid")))</f>
        <v/>
      </c>
      <c r="O815">
        <f>IF(E815="","",IFERROR(_xludf.MAXIFS(PAYMENTS!A:A,PAYMENTS!C:C,E815),""))</f>
        <v/>
      </c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>
        <f>IF(E816="","",SUMIF(PAYMENTS!C:C,E816,PAYMENTS!E:E))</f>
        <v/>
      </c>
      <c r="M816">
        <f>IF(E816="","",J816-L816)</f>
        <v/>
      </c>
      <c r="N816">
        <f>IF(E816="","",IF(M816&lt;=0,"Paid",IF(L816&gt;0,"Part Paid","Unpaid")))</f>
        <v/>
      </c>
      <c r="O816">
        <f>IF(E816="","",IFERROR(_xludf.MAXIFS(PAYMENTS!A:A,PAYMENTS!C:C,E816),""))</f>
        <v/>
      </c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>
        <f>IF(E817="","",SUMIF(PAYMENTS!C:C,E817,PAYMENTS!E:E))</f>
        <v/>
      </c>
      <c r="M817">
        <f>IF(E817="","",J817-L817)</f>
        <v/>
      </c>
      <c r="N817">
        <f>IF(E817="","",IF(M817&lt;=0,"Paid",IF(L817&gt;0,"Part Paid","Unpaid")))</f>
        <v/>
      </c>
      <c r="O817">
        <f>IF(E817="","",IFERROR(_xludf.MAXIFS(PAYMENTS!A:A,PAYMENTS!C:C,E817),""))</f>
        <v/>
      </c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>
        <f>IF(E818="","",SUMIF(PAYMENTS!C:C,E818,PAYMENTS!E:E))</f>
        <v/>
      </c>
      <c r="M818">
        <f>IF(E818="","",J818-L818)</f>
        <v/>
      </c>
      <c r="N818">
        <f>IF(E818="","",IF(M818&lt;=0,"Paid",IF(L818&gt;0,"Part Paid","Unpaid")))</f>
        <v/>
      </c>
      <c r="O818">
        <f>IF(E818="","",IFERROR(_xludf.MAXIFS(PAYMENTS!A:A,PAYMENTS!C:C,E818),""))</f>
        <v/>
      </c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>
        <f>IF(E819="","",SUMIF(PAYMENTS!C:C,E819,PAYMENTS!E:E))</f>
        <v/>
      </c>
      <c r="M819">
        <f>IF(E819="","",J819-L819)</f>
        <v/>
      </c>
      <c r="N819">
        <f>IF(E819="","",IF(M819&lt;=0,"Paid",IF(L819&gt;0,"Part Paid","Unpaid")))</f>
        <v/>
      </c>
      <c r="O819">
        <f>IF(E819="","",IFERROR(_xludf.MAXIFS(PAYMENTS!A:A,PAYMENTS!C:C,E819),""))</f>
        <v/>
      </c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>
        <f>IF(E820="","",SUMIF(PAYMENTS!C:C,E820,PAYMENTS!E:E))</f>
        <v/>
      </c>
      <c r="M820">
        <f>IF(E820="","",J820-L820)</f>
        <v/>
      </c>
      <c r="N820">
        <f>IF(E820="","",IF(M820&lt;=0,"Paid",IF(L820&gt;0,"Part Paid","Unpaid")))</f>
        <v/>
      </c>
      <c r="O820">
        <f>IF(E820="","",IFERROR(_xludf.MAXIFS(PAYMENTS!A:A,PAYMENTS!C:C,E820),""))</f>
        <v/>
      </c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>
        <f>IF(E821="","",SUMIF(PAYMENTS!C:C,E821,PAYMENTS!E:E))</f>
        <v/>
      </c>
      <c r="M821">
        <f>IF(E821="","",J821-L821)</f>
        <v/>
      </c>
      <c r="N821">
        <f>IF(E821="","",IF(M821&lt;=0,"Paid",IF(L821&gt;0,"Part Paid","Unpaid")))</f>
        <v/>
      </c>
      <c r="O821">
        <f>IF(E821="","",IFERROR(_xludf.MAXIFS(PAYMENTS!A:A,PAYMENTS!C:C,E821),""))</f>
        <v/>
      </c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>
        <f>IF(E822="","",SUMIF(PAYMENTS!C:C,E822,PAYMENTS!E:E))</f>
        <v/>
      </c>
      <c r="M822">
        <f>IF(E822="","",J822-L822)</f>
        <v/>
      </c>
      <c r="N822">
        <f>IF(E822="","",IF(M822&lt;=0,"Paid",IF(L822&gt;0,"Part Paid","Unpaid")))</f>
        <v/>
      </c>
      <c r="O822">
        <f>IF(E822="","",IFERROR(_xludf.MAXIFS(PAYMENTS!A:A,PAYMENTS!C:C,E822),""))</f>
        <v/>
      </c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>
        <f>IF(E823="","",SUMIF(PAYMENTS!C:C,E823,PAYMENTS!E:E))</f>
        <v/>
      </c>
      <c r="M823">
        <f>IF(E823="","",J823-L823)</f>
        <v/>
      </c>
      <c r="N823">
        <f>IF(E823="","",IF(M823&lt;=0,"Paid",IF(L823&gt;0,"Part Paid","Unpaid")))</f>
        <v/>
      </c>
      <c r="O823">
        <f>IF(E823="","",IFERROR(_xludf.MAXIFS(PAYMENTS!A:A,PAYMENTS!C:C,E823),""))</f>
        <v/>
      </c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>
        <f>IF(E824="","",SUMIF(PAYMENTS!C:C,E824,PAYMENTS!E:E))</f>
        <v/>
      </c>
      <c r="M824">
        <f>IF(E824="","",J824-L824)</f>
        <v/>
      </c>
      <c r="N824">
        <f>IF(E824="","",IF(M824&lt;=0,"Paid",IF(L824&gt;0,"Part Paid","Unpaid")))</f>
        <v/>
      </c>
      <c r="O824">
        <f>IF(E824="","",IFERROR(_xludf.MAXIFS(PAYMENTS!A:A,PAYMENTS!C:C,E824),""))</f>
        <v/>
      </c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>
        <f>IF(E825="","",SUMIF(PAYMENTS!C:C,E825,PAYMENTS!E:E))</f>
        <v/>
      </c>
      <c r="M825">
        <f>IF(E825="","",J825-L825)</f>
        <v/>
      </c>
      <c r="N825">
        <f>IF(E825="","",IF(M825&lt;=0,"Paid",IF(L825&gt;0,"Part Paid","Unpaid")))</f>
        <v/>
      </c>
      <c r="O825">
        <f>IF(E825="","",IFERROR(_xludf.MAXIFS(PAYMENTS!A:A,PAYMENTS!C:C,E825),""))</f>
        <v/>
      </c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>
        <f>IF(E826="","",SUMIF(PAYMENTS!C:C,E826,PAYMENTS!E:E))</f>
        <v/>
      </c>
      <c r="M826">
        <f>IF(E826="","",J826-L826)</f>
        <v/>
      </c>
      <c r="N826">
        <f>IF(E826="","",IF(M826&lt;=0,"Paid",IF(L826&gt;0,"Part Paid","Unpaid")))</f>
        <v/>
      </c>
      <c r="O826">
        <f>IF(E826="","",IFERROR(_xludf.MAXIFS(PAYMENTS!A:A,PAYMENTS!C:C,E826),""))</f>
        <v/>
      </c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>
        <f>IF(E827="","",SUMIF(PAYMENTS!C:C,E827,PAYMENTS!E:E))</f>
        <v/>
      </c>
      <c r="M827">
        <f>IF(E827="","",J827-L827)</f>
        <v/>
      </c>
      <c r="N827">
        <f>IF(E827="","",IF(M827&lt;=0,"Paid",IF(L827&gt;0,"Part Paid","Unpaid")))</f>
        <v/>
      </c>
      <c r="O827">
        <f>IF(E827="","",IFERROR(_xludf.MAXIFS(PAYMENTS!A:A,PAYMENTS!C:C,E827),""))</f>
        <v/>
      </c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>
        <f>IF(E828="","",SUMIF(PAYMENTS!C:C,E828,PAYMENTS!E:E))</f>
        <v/>
      </c>
      <c r="M828">
        <f>IF(E828="","",J828-L828)</f>
        <v/>
      </c>
      <c r="N828">
        <f>IF(E828="","",IF(M828&lt;=0,"Paid",IF(L828&gt;0,"Part Paid","Unpaid")))</f>
        <v/>
      </c>
      <c r="O828">
        <f>IF(E828="","",IFERROR(_xludf.MAXIFS(PAYMENTS!A:A,PAYMENTS!C:C,E828),""))</f>
        <v/>
      </c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>
        <f>IF(E829="","",SUMIF(PAYMENTS!C:C,E829,PAYMENTS!E:E))</f>
        <v/>
      </c>
      <c r="M829">
        <f>IF(E829="","",J829-L829)</f>
        <v/>
      </c>
      <c r="N829">
        <f>IF(E829="","",IF(M829&lt;=0,"Paid",IF(L829&gt;0,"Part Paid","Unpaid")))</f>
        <v/>
      </c>
      <c r="O829">
        <f>IF(E829="","",IFERROR(_xludf.MAXIFS(PAYMENTS!A:A,PAYMENTS!C:C,E829),""))</f>
        <v/>
      </c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>
        <f>IF(E830="","",SUMIF(PAYMENTS!C:C,E830,PAYMENTS!E:E))</f>
        <v/>
      </c>
      <c r="M830">
        <f>IF(E830="","",J830-L830)</f>
        <v/>
      </c>
      <c r="N830">
        <f>IF(E830="","",IF(M830&lt;=0,"Paid",IF(L830&gt;0,"Part Paid","Unpaid")))</f>
        <v/>
      </c>
      <c r="O830">
        <f>IF(E830="","",IFERROR(_xludf.MAXIFS(PAYMENTS!A:A,PAYMENTS!C:C,E830),""))</f>
        <v/>
      </c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>
        <f>IF(E831="","",SUMIF(PAYMENTS!C:C,E831,PAYMENTS!E:E))</f>
        <v/>
      </c>
      <c r="M831">
        <f>IF(E831="","",J831-L831)</f>
        <v/>
      </c>
      <c r="N831">
        <f>IF(E831="","",IF(M831&lt;=0,"Paid",IF(L831&gt;0,"Part Paid","Unpaid")))</f>
        <v/>
      </c>
      <c r="O831">
        <f>IF(E831="","",IFERROR(_xludf.MAXIFS(PAYMENTS!A:A,PAYMENTS!C:C,E831),""))</f>
        <v/>
      </c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>
        <f>IF(E832="","",SUMIF(PAYMENTS!C:C,E832,PAYMENTS!E:E))</f>
        <v/>
      </c>
      <c r="M832">
        <f>IF(E832="","",J832-L832)</f>
        <v/>
      </c>
      <c r="N832">
        <f>IF(E832="","",IF(M832&lt;=0,"Paid",IF(L832&gt;0,"Part Paid","Unpaid")))</f>
        <v/>
      </c>
      <c r="O832">
        <f>IF(E832="","",IFERROR(_xludf.MAXIFS(PAYMENTS!A:A,PAYMENTS!C:C,E832),""))</f>
        <v/>
      </c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>
        <f>IF(E833="","",SUMIF(PAYMENTS!C:C,E833,PAYMENTS!E:E))</f>
        <v/>
      </c>
      <c r="M833">
        <f>IF(E833="","",J833-L833)</f>
        <v/>
      </c>
      <c r="N833">
        <f>IF(E833="","",IF(M833&lt;=0,"Paid",IF(L833&gt;0,"Part Paid","Unpaid")))</f>
        <v/>
      </c>
      <c r="O833">
        <f>IF(E833="","",IFERROR(_xludf.MAXIFS(PAYMENTS!A:A,PAYMENTS!C:C,E833),""))</f>
        <v/>
      </c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>
        <f>IF(E834="","",SUMIF(PAYMENTS!C:C,E834,PAYMENTS!E:E))</f>
        <v/>
      </c>
      <c r="M834">
        <f>IF(E834="","",J834-L834)</f>
        <v/>
      </c>
      <c r="N834">
        <f>IF(E834="","",IF(M834&lt;=0,"Paid",IF(L834&gt;0,"Part Paid","Unpaid")))</f>
        <v/>
      </c>
      <c r="O834">
        <f>IF(E834="","",IFERROR(_xludf.MAXIFS(PAYMENTS!A:A,PAYMENTS!C:C,E834),""))</f>
        <v/>
      </c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>
        <f>IF(E835="","",SUMIF(PAYMENTS!C:C,E835,PAYMENTS!E:E))</f>
        <v/>
      </c>
      <c r="M835">
        <f>IF(E835="","",J835-L835)</f>
        <v/>
      </c>
      <c r="N835">
        <f>IF(E835="","",IF(M835&lt;=0,"Paid",IF(L835&gt;0,"Part Paid","Unpaid")))</f>
        <v/>
      </c>
      <c r="O835">
        <f>IF(E835="","",IFERROR(_xludf.MAXIFS(PAYMENTS!A:A,PAYMENTS!C:C,E835),""))</f>
        <v/>
      </c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>
        <f>IF(E836="","",SUMIF(PAYMENTS!C:C,E836,PAYMENTS!E:E))</f>
        <v/>
      </c>
      <c r="M836">
        <f>IF(E836="","",J836-L836)</f>
        <v/>
      </c>
      <c r="N836">
        <f>IF(E836="","",IF(M836&lt;=0,"Paid",IF(L836&gt;0,"Part Paid","Unpaid")))</f>
        <v/>
      </c>
      <c r="O836">
        <f>IF(E836="","",IFERROR(_xludf.MAXIFS(PAYMENTS!A:A,PAYMENTS!C:C,E836),""))</f>
        <v/>
      </c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>
        <f>IF(E837="","",SUMIF(PAYMENTS!C:C,E837,PAYMENTS!E:E))</f>
        <v/>
      </c>
      <c r="M837">
        <f>IF(E837="","",J837-L837)</f>
        <v/>
      </c>
      <c r="N837">
        <f>IF(E837="","",IF(M837&lt;=0,"Paid",IF(L837&gt;0,"Part Paid","Unpaid")))</f>
        <v/>
      </c>
      <c r="O837">
        <f>IF(E837="","",IFERROR(_xludf.MAXIFS(PAYMENTS!A:A,PAYMENTS!C:C,E837),""))</f>
        <v/>
      </c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>
        <f>IF(E838="","",SUMIF(PAYMENTS!C:C,E838,PAYMENTS!E:E))</f>
        <v/>
      </c>
      <c r="M838">
        <f>IF(E838="","",J838-L838)</f>
        <v/>
      </c>
      <c r="N838">
        <f>IF(E838="","",IF(M838&lt;=0,"Paid",IF(L838&gt;0,"Part Paid","Unpaid")))</f>
        <v/>
      </c>
      <c r="O838">
        <f>IF(E838="","",IFERROR(_xludf.MAXIFS(PAYMENTS!A:A,PAYMENTS!C:C,E838),""))</f>
        <v/>
      </c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>
        <f>IF(E839="","",SUMIF(PAYMENTS!C:C,E839,PAYMENTS!E:E))</f>
        <v/>
      </c>
      <c r="M839">
        <f>IF(E839="","",J839-L839)</f>
        <v/>
      </c>
      <c r="N839">
        <f>IF(E839="","",IF(M839&lt;=0,"Paid",IF(L839&gt;0,"Part Paid","Unpaid")))</f>
        <v/>
      </c>
      <c r="O839">
        <f>IF(E839="","",IFERROR(_xludf.MAXIFS(PAYMENTS!A:A,PAYMENTS!C:C,E839),""))</f>
        <v/>
      </c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>
        <f>IF(E840="","",SUMIF(PAYMENTS!C:C,E840,PAYMENTS!E:E))</f>
        <v/>
      </c>
      <c r="M840">
        <f>IF(E840="","",J840-L840)</f>
        <v/>
      </c>
      <c r="N840">
        <f>IF(E840="","",IF(M840&lt;=0,"Paid",IF(L840&gt;0,"Part Paid","Unpaid")))</f>
        <v/>
      </c>
      <c r="O840">
        <f>IF(E840="","",IFERROR(_xludf.MAXIFS(PAYMENTS!A:A,PAYMENTS!C:C,E840),""))</f>
        <v/>
      </c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>
        <f>IF(E841="","",SUMIF(PAYMENTS!C:C,E841,PAYMENTS!E:E))</f>
        <v/>
      </c>
      <c r="M841">
        <f>IF(E841="","",J841-L841)</f>
        <v/>
      </c>
      <c r="N841">
        <f>IF(E841="","",IF(M841&lt;=0,"Paid",IF(L841&gt;0,"Part Paid","Unpaid")))</f>
        <v/>
      </c>
      <c r="O841">
        <f>IF(E841="","",IFERROR(_xludf.MAXIFS(PAYMENTS!A:A,PAYMENTS!C:C,E841),""))</f>
        <v/>
      </c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>
        <f>IF(E842="","",SUMIF(PAYMENTS!C:C,E842,PAYMENTS!E:E))</f>
        <v/>
      </c>
      <c r="M842">
        <f>IF(E842="","",J842-L842)</f>
        <v/>
      </c>
      <c r="N842">
        <f>IF(E842="","",IF(M842&lt;=0,"Paid",IF(L842&gt;0,"Part Paid","Unpaid")))</f>
        <v/>
      </c>
      <c r="O842">
        <f>IF(E842="","",IFERROR(_xludf.MAXIFS(PAYMENTS!A:A,PAYMENTS!C:C,E842),""))</f>
        <v/>
      </c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>
        <f>IF(E843="","",SUMIF(PAYMENTS!C:C,E843,PAYMENTS!E:E))</f>
        <v/>
      </c>
      <c r="M843">
        <f>IF(E843="","",J843-L843)</f>
        <v/>
      </c>
      <c r="N843">
        <f>IF(E843="","",IF(M843&lt;=0,"Paid",IF(L843&gt;0,"Part Paid","Unpaid")))</f>
        <v/>
      </c>
      <c r="O843">
        <f>IF(E843="","",IFERROR(_xludf.MAXIFS(PAYMENTS!A:A,PAYMENTS!C:C,E843),""))</f>
        <v/>
      </c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>
        <f>IF(E844="","",SUMIF(PAYMENTS!C:C,E844,PAYMENTS!E:E))</f>
        <v/>
      </c>
      <c r="M844">
        <f>IF(E844="","",J844-L844)</f>
        <v/>
      </c>
      <c r="N844">
        <f>IF(E844="","",IF(M844&lt;=0,"Paid",IF(L844&gt;0,"Part Paid","Unpaid")))</f>
        <v/>
      </c>
      <c r="O844">
        <f>IF(E844="","",IFERROR(_xludf.MAXIFS(PAYMENTS!A:A,PAYMENTS!C:C,E844),""))</f>
        <v/>
      </c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>
        <f>IF(E845="","",SUMIF(PAYMENTS!C:C,E845,PAYMENTS!E:E))</f>
        <v/>
      </c>
      <c r="M845">
        <f>IF(E845="","",J845-L845)</f>
        <v/>
      </c>
      <c r="N845">
        <f>IF(E845="","",IF(M845&lt;=0,"Paid",IF(L845&gt;0,"Part Paid","Unpaid")))</f>
        <v/>
      </c>
      <c r="O845">
        <f>IF(E845="","",IFERROR(_xludf.MAXIFS(PAYMENTS!A:A,PAYMENTS!C:C,E845),""))</f>
        <v/>
      </c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>
        <f>IF(E846="","",SUMIF(PAYMENTS!C:C,E846,PAYMENTS!E:E))</f>
        <v/>
      </c>
      <c r="M846">
        <f>IF(E846="","",J846-L846)</f>
        <v/>
      </c>
      <c r="N846">
        <f>IF(E846="","",IF(M846&lt;=0,"Paid",IF(L846&gt;0,"Part Paid","Unpaid")))</f>
        <v/>
      </c>
      <c r="O846">
        <f>IF(E846="","",IFERROR(_xludf.MAXIFS(PAYMENTS!A:A,PAYMENTS!C:C,E846),""))</f>
        <v/>
      </c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>
        <f>IF(E847="","",SUMIF(PAYMENTS!C:C,E847,PAYMENTS!E:E))</f>
        <v/>
      </c>
      <c r="M847">
        <f>IF(E847="","",J847-L847)</f>
        <v/>
      </c>
      <c r="N847">
        <f>IF(E847="","",IF(M847&lt;=0,"Paid",IF(L847&gt;0,"Part Paid","Unpaid")))</f>
        <v/>
      </c>
      <c r="O847">
        <f>IF(E847="","",IFERROR(_xludf.MAXIFS(PAYMENTS!A:A,PAYMENTS!C:C,E847),""))</f>
        <v/>
      </c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>
        <f>IF(E848="","",SUMIF(PAYMENTS!C:C,E848,PAYMENTS!E:E))</f>
        <v/>
      </c>
      <c r="M848">
        <f>IF(E848="","",J848-L848)</f>
        <v/>
      </c>
      <c r="N848">
        <f>IF(E848="","",IF(M848&lt;=0,"Paid",IF(L848&gt;0,"Part Paid","Unpaid")))</f>
        <v/>
      </c>
      <c r="O848">
        <f>IF(E848="","",IFERROR(_xludf.MAXIFS(PAYMENTS!A:A,PAYMENTS!C:C,E848),""))</f>
        <v/>
      </c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>
        <f>IF(E849="","",SUMIF(PAYMENTS!C:C,E849,PAYMENTS!E:E))</f>
        <v/>
      </c>
      <c r="M849">
        <f>IF(E849="","",J849-L849)</f>
        <v/>
      </c>
      <c r="N849">
        <f>IF(E849="","",IF(M849&lt;=0,"Paid",IF(L849&gt;0,"Part Paid","Unpaid")))</f>
        <v/>
      </c>
      <c r="O849">
        <f>IF(E849="","",IFERROR(_xludf.MAXIFS(PAYMENTS!A:A,PAYMENTS!C:C,E849),""))</f>
        <v/>
      </c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>
        <f>IF(E850="","",SUMIF(PAYMENTS!C:C,E850,PAYMENTS!E:E))</f>
        <v/>
      </c>
      <c r="M850">
        <f>IF(E850="","",J850-L850)</f>
        <v/>
      </c>
      <c r="N850">
        <f>IF(E850="","",IF(M850&lt;=0,"Paid",IF(L850&gt;0,"Part Paid","Unpaid")))</f>
        <v/>
      </c>
      <c r="O850">
        <f>IF(E850="","",IFERROR(_xludf.MAXIFS(PAYMENTS!A:A,PAYMENTS!C:C,E850),""))</f>
        <v/>
      </c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>
        <f>IF(E851="","",SUMIF(PAYMENTS!C:C,E851,PAYMENTS!E:E))</f>
        <v/>
      </c>
      <c r="M851">
        <f>IF(E851="","",J851-L851)</f>
        <v/>
      </c>
      <c r="N851">
        <f>IF(E851="","",IF(M851&lt;=0,"Paid",IF(L851&gt;0,"Part Paid","Unpaid")))</f>
        <v/>
      </c>
      <c r="O851">
        <f>IF(E851="","",IFERROR(_xludf.MAXIFS(PAYMENTS!A:A,PAYMENTS!C:C,E851),""))</f>
        <v/>
      </c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>
        <f>IF(E852="","",SUMIF(PAYMENTS!C:C,E852,PAYMENTS!E:E))</f>
        <v/>
      </c>
      <c r="M852">
        <f>IF(E852="","",J852-L852)</f>
        <v/>
      </c>
      <c r="N852">
        <f>IF(E852="","",IF(M852&lt;=0,"Paid",IF(L852&gt;0,"Part Paid","Unpaid")))</f>
        <v/>
      </c>
      <c r="O852">
        <f>IF(E852="","",IFERROR(_xludf.MAXIFS(PAYMENTS!A:A,PAYMENTS!C:C,E852),""))</f>
        <v/>
      </c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>
        <f>IF(E853="","",SUMIF(PAYMENTS!C:C,E853,PAYMENTS!E:E))</f>
        <v/>
      </c>
      <c r="M853">
        <f>IF(E853="","",J853-L853)</f>
        <v/>
      </c>
      <c r="N853">
        <f>IF(E853="","",IF(M853&lt;=0,"Paid",IF(L853&gt;0,"Part Paid","Unpaid")))</f>
        <v/>
      </c>
      <c r="O853">
        <f>IF(E853="","",IFERROR(_xludf.MAXIFS(PAYMENTS!A:A,PAYMENTS!C:C,E853),""))</f>
        <v/>
      </c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>
        <f>IF(E854="","",SUMIF(PAYMENTS!C:C,E854,PAYMENTS!E:E))</f>
        <v/>
      </c>
      <c r="M854">
        <f>IF(E854="","",J854-L854)</f>
        <v/>
      </c>
      <c r="N854">
        <f>IF(E854="","",IF(M854&lt;=0,"Paid",IF(L854&gt;0,"Part Paid","Unpaid")))</f>
        <v/>
      </c>
      <c r="O854">
        <f>IF(E854="","",IFERROR(_xludf.MAXIFS(PAYMENTS!A:A,PAYMENTS!C:C,E854),""))</f>
        <v/>
      </c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>
        <f>IF(E855="","",SUMIF(PAYMENTS!C:C,E855,PAYMENTS!E:E))</f>
        <v/>
      </c>
      <c r="M855">
        <f>IF(E855="","",J855-L855)</f>
        <v/>
      </c>
      <c r="N855">
        <f>IF(E855="","",IF(M855&lt;=0,"Paid",IF(L855&gt;0,"Part Paid","Unpaid")))</f>
        <v/>
      </c>
      <c r="O855">
        <f>IF(E855="","",IFERROR(_xludf.MAXIFS(PAYMENTS!A:A,PAYMENTS!C:C,E855),""))</f>
        <v/>
      </c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>
        <f>IF(E856="","",SUMIF(PAYMENTS!C:C,E856,PAYMENTS!E:E))</f>
        <v/>
      </c>
      <c r="M856">
        <f>IF(E856="","",J856-L856)</f>
        <v/>
      </c>
      <c r="N856">
        <f>IF(E856="","",IF(M856&lt;=0,"Paid",IF(L856&gt;0,"Part Paid","Unpaid")))</f>
        <v/>
      </c>
      <c r="O856">
        <f>IF(E856="","",IFERROR(_xludf.MAXIFS(PAYMENTS!A:A,PAYMENTS!C:C,E856),""))</f>
        <v/>
      </c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>
        <f>IF(E857="","",SUMIF(PAYMENTS!C:C,E857,PAYMENTS!E:E))</f>
        <v/>
      </c>
      <c r="M857">
        <f>IF(E857="","",J857-L857)</f>
        <v/>
      </c>
      <c r="N857">
        <f>IF(E857="","",IF(M857&lt;=0,"Paid",IF(L857&gt;0,"Part Paid","Unpaid")))</f>
        <v/>
      </c>
      <c r="O857">
        <f>IF(E857="","",IFERROR(_xludf.MAXIFS(PAYMENTS!A:A,PAYMENTS!C:C,E857),""))</f>
        <v/>
      </c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>
        <f>IF(E858="","",SUMIF(PAYMENTS!C:C,E858,PAYMENTS!E:E))</f>
        <v/>
      </c>
      <c r="M858">
        <f>IF(E858="","",J858-L858)</f>
        <v/>
      </c>
      <c r="N858">
        <f>IF(E858="","",IF(M858&lt;=0,"Paid",IF(L858&gt;0,"Part Paid","Unpaid")))</f>
        <v/>
      </c>
      <c r="O858">
        <f>IF(E858="","",IFERROR(_xludf.MAXIFS(PAYMENTS!A:A,PAYMENTS!C:C,E858),""))</f>
        <v/>
      </c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>
        <f>IF(E859="","",SUMIF(PAYMENTS!C:C,E859,PAYMENTS!E:E))</f>
        <v/>
      </c>
      <c r="M859">
        <f>IF(E859="","",J859-L859)</f>
        <v/>
      </c>
      <c r="N859">
        <f>IF(E859="","",IF(M859&lt;=0,"Paid",IF(L859&gt;0,"Part Paid","Unpaid")))</f>
        <v/>
      </c>
      <c r="O859">
        <f>IF(E859="","",IFERROR(_xludf.MAXIFS(PAYMENTS!A:A,PAYMENTS!C:C,E859),""))</f>
        <v/>
      </c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>
        <f>IF(E860="","",SUMIF(PAYMENTS!C:C,E860,PAYMENTS!E:E))</f>
        <v/>
      </c>
      <c r="M860">
        <f>IF(E860="","",J860-L860)</f>
        <v/>
      </c>
      <c r="N860">
        <f>IF(E860="","",IF(M860&lt;=0,"Paid",IF(L860&gt;0,"Part Paid","Unpaid")))</f>
        <v/>
      </c>
      <c r="O860">
        <f>IF(E860="","",IFERROR(_xludf.MAXIFS(PAYMENTS!A:A,PAYMENTS!C:C,E860),""))</f>
        <v/>
      </c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>
        <f>IF(E861="","",SUMIF(PAYMENTS!C:C,E861,PAYMENTS!E:E))</f>
        <v/>
      </c>
      <c r="M861">
        <f>IF(E861="","",J861-L861)</f>
        <v/>
      </c>
      <c r="N861">
        <f>IF(E861="","",IF(M861&lt;=0,"Paid",IF(L861&gt;0,"Part Paid","Unpaid")))</f>
        <v/>
      </c>
      <c r="O861">
        <f>IF(E861="","",IFERROR(_xludf.MAXIFS(PAYMENTS!A:A,PAYMENTS!C:C,E861),""))</f>
        <v/>
      </c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>
        <f>IF(E862="","",SUMIF(PAYMENTS!C:C,E862,PAYMENTS!E:E))</f>
        <v/>
      </c>
      <c r="M862">
        <f>IF(E862="","",J862-L862)</f>
        <v/>
      </c>
      <c r="N862">
        <f>IF(E862="","",IF(M862&lt;=0,"Paid",IF(L862&gt;0,"Part Paid","Unpaid")))</f>
        <v/>
      </c>
      <c r="O862">
        <f>IF(E862="","",IFERROR(_xludf.MAXIFS(PAYMENTS!A:A,PAYMENTS!C:C,E862),""))</f>
        <v/>
      </c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>
        <f>IF(E863="","",SUMIF(PAYMENTS!C:C,E863,PAYMENTS!E:E))</f>
        <v/>
      </c>
      <c r="M863">
        <f>IF(E863="","",J863-L863)</f>
        <v/>
      </c>
      <c r="N863">
        <f>IF(E863="","",IF(M863&lt;=0,"Paid",IF(L863&gt;0,"Part Paid","Unpaid")))</f>
        <v/>
      </c>
      <c r="O863">
        <f>IF(E863="","",IFERROR(_xludf.MAXIFS(PAYMENTS!A:A,PAYMENTS!C:C,E863),""))</f>
        <v/>
      </c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>
        <f>IF(E864="","",SUMIF(PAYMENTS!C:C,E864,PAYMENTS!E:E))</f>
        <v/>
      </c>
      <c r="M864">
        <f>IF(E864="","",J864-L864)</f>
        <v/>
      </c>
      <c r="N864">
        <f>IF(E864="","",IF(M864&lt;=0,"Paid",IF(L864&gt;0,"Part Paid","Unpaid")))</f>
        <v/>
      </c>
      <c r="O864">
        <f>IF(E864="","",IFERROR(_xludf.MAXIFS(PAYMENTS!A:A,PAYMENTS!C:C,E864),""))</f>
        <v/>
      </c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>
        <f>IF(E865="","",SUMIF(PAYMENTS!C:C,E865,PAYMENTS!E:E))</f>
        <v/>
      </c>
      <c r="M865">
        <f>IF(E865="","",J865-L865)</f>
        <v/>
      </c>
      <c r="N865">
        <f>IF(E865="","",IF(M865&lt;=0,"Paid",IF(L865&gt;0,"Part Paid","Unpaid")))</f>
        <v/>
      </c>
      <c r="O865">
        <f>IF(E865="","",IFERROR(_xludf.MAXIFS(PAYMENTS!A:A,PAYMENTS!C:C,E865),""))</f>
        <v/>
      </c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>
        <f>IF(E866="","",SUMIF(PAYMENTS!C:C,E866,PAYMENTS!E:E))</f>
        <v/>
      </c>
      <c r="M866">
        <f>IF(E866="","",J866-L866)</f>
        <v/>
      </c>
      <c r="N866">
        <f>IF(E866="","",IF(M866&lt;=0,"Paid",IF(L866&gt;0,"Part Paid","Unpaid")))</f>
        <v/>
      </c>
      <c r="O866">
        <f>IF(E866="","",IFERROR(_xludf.MAXIFS(PAYMENTS!A:A,PAYMENTS!C:C,E866),""))</f>
        <v/>
      </c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>
        <f>IF(E867="","",SUMIF(PAYMENTS!C:C,E867,PAYMENTS!E:E))</f>
        <v/>
      </c>
      <c r="M867">
        <f>IF(E867="","",J867-L867)</f>
        <v/>
      </c>
      <c r="N867">
        <f>IF(E867="","",IF(M867&lt;=0,"Paid",IF(L867&gt;0,"Part Paid","Unpaid")))</f>
        <v/>
      </c>
      <c r="O867">
        <f>IF(E867="","",IFERROR(_xludf.MAXIFS(PAYMENTS!A:A,PAYMENTS!C:C,E867),""))</f>
        <v/>
      </c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>
        <f>IF(E868="","",SUMIF(PAYMENTS!C:C,E868,PAYMENTS!E:E))</f>
        <v/>
      </c>
      <c r="M868">
        <f>IF(E868="","",J868-L868)</f>
        <v/>
      </c>
      <c r="N868">
        <f>IF(E868="","",IF(M868&lt;=0,"Paid",IF(L868&gt;0,"Part Paid","Unpaid")))</f>
        <v/>
      </c>
      <c r="O868">
        <f>IF(E868="","",IFERROR(_xludf.MAXIFS(PAYMENTS!A:A,PAYMENTS!C:C,E868),""))</f>
        <v/>
      </c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>
        <f>IF(E869="","",SUMIF(PAYMENTS!C:C,E869,PAYMENTS!E:E))</f>
        <v/>
      </c>
      <c r="M869">
        <f>IF(E869="","",J869-L869)</f>
        <v/>
      </c>
      <c r="N869">
        <f>IF(E869="","",IF(M869&lt;=0,"Paid",IF(L869&gt;0,"Part Paid","Unpaid")))</f>
        <v/>
      </c>
      <c r="O869">
        <f>IF(E869="","",IFERROR(_xludf.MAXIFS(PAYMENTS!A:A,PAYMENTS!C:C,E869),""))</f>
        <v/>
      </c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>
        <f>IF(E870="","",SUMIF(PAYMENTS!C:C,E870,PAYMENTS!E:E))</f>
        <v/>
      </c>
      <c r="M870">
        <f>IF(E870="","",J870-L870)</f>
        <v/>
      </c>
      <c r="N870">
        <f>IF(E870="","",IF(M870&lt;=0,"Paid",IF(L870&gt;0,"Part Paid","Unpaid")))</f>
        <v/>
      </c>
      <c r="O870">
        <f>IF(E870="","",IFERROR(_xludf.MAXIFS(PAYMENTS!A:A,PAYMENTS!C:C,E870),""))</f>
        <v/>
      </c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>
        <f>IF(E871="","",SUMIF(PAYMENTS!C:C,E871,PAYMENTS!E:E))</f>
        <v/>
      </c>
      <c r="M871">
        <f>IF(E871="","",J871-L871)</f>
        <v/>
      </c>
      <c r="N871">
        <f>IF(E871="","",IF(M871&lt;=0,"Paid",IF(L871&gt;0,"Part Paid","Unpaid")))</f>
        <v/>
      </c>
      <c r="O871">
        <f>IF(E871="","",IFERROR(_xludf.MAXIFS(PAYMENTS!A:A,PAYMENTS!C:C,E871),""))</f>
        <v/>
      </c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>
        <f>IF(E872="","",SUMIF(PAYMENTS!C:C,E872,PAYMENTS!E:E))</f>
        <v/>
      </c>
      <c r="M872">
        <f>IF(E872="","",J872-L872)</f>
        <v/>
      </c>
      <c r="N872">
        <f>IF(E872="","",IF(M872&lt;=0,"Paid",IF(L872&gt;0,"Part Paid","Unpaid")))</f>
        <v/>
      </c>
      <c r="O872">
        <f>IF(E872="","",IFERROR(_xludf.MAXIFS(PAYMENTS!A:A,PAYMENTS!C:C,E872),""))</f>
        <v/>
      </c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>
        <f>IF(E873="","",SUMIF(PAYMENTS!C:C,E873,PAYMENTS!E:E))</f>
        <v/>
      </c>
      <c r="M873">
        <f>IF(E873="","",J873-L873)</f>
        <v/>
      </c>
      <c r="N873">
        <f>IF(E873="","",IF(M873&lt;=0,"Paid",IF(L873&gt;0,"Part Paid","Unpaid")))</f>
        <v/>
      </c>
      <c r="O873">
        <f>IF(E873="","",IFERROR(_xludf.MAXIFS(PAYMENTS!A:A,PAYMENTS!C:C,E873),""))</f>
        <v/>
      </c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>
        <f>IF(E874="","",SUMIF(PAYMENTS!C:C,E874,PAYMENTS!E:E))</f>
        <v/>
      </c>
      <c r="M874">
        <f>IF(E874="","",J874-L874)</f>
        <v/>
      </c>
      <c r="N874">
        <f>IF(E874="","",IF(M874&lt;=0,"Paid",IF(L874&gt;0,"Part Paid","Unpaid")))</f>
        <v/>
      </c>
      <c r="O874">
        <f>IF(E874="","",IFERROR(_xludf.MAXIFS(PAYMENTS!A:A,PAYMENTS!C:C,E874),""))</f>
        <v/>
      </c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>
        <f>IF(E875="","",SUMIF(PAYMENTS!C:C,E875,PAYMENTS!E:E))</f>
        <v/>
      </c>
      <c r="M875">
        <f>IF(E875="","",J875-L875)</f>
        <v/>
      </c>
      <c r="N875">
        <f>IF(E875="","",IF(M875&lt;=0,"Paid",IF(L875&gt;0,"Part Paid","Unpaid")))</f>
        <v/>
      </c>
      <c r="O875">
        <f>IF(E875="","",IFERROR(_xludf.MAXIFS(PAYMENTS!A:A,PAYMENTS!C:C,E875),""))</f>
        <v/>
      </c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>
        <f>IF(E876="","",SUMIF(PAYMENTS!C:C,E876,PAYMENTS!E:E))</f>
        <v/>
      </c>
      <c r="M876">
        <f>IF(E876="","",J876-L876)</f>
        <v/>
      </c>
      <c r="N876">
        <f>IF(E876="","",IF(M876&lt;=0,"Paid",IF(L876&gt;0,"Part Paid","Unpaid")))</f>
        <v/>
      </c>
      <c r="O876">
        <f>IF(E876="","",IFERROR(_xludf.MAXIFS(PAYMENTS!A:A,PAYMENTS!C:C,E876),""))</f>
        <v/>
      </c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>
        <f>IF(E877="","",SUMIF(PAYMENTS!C:C,E877,PAYMENTS!E:E))</f>
        <v/>
      </c>
      <c r="M877">
        <f>IF(E877="","",J877-L877)</f>
        <v/>
      </c>
      <c r="N877">
        <f>IF(E877="","",IF(M877&lt;=0,"Paid",IF(L877&gt;0,"Part Paid","Unpaid")))</f>
        <v/>
      </c>
      <c r="O877">
        <f>IF(E877="","",IFERROR(_xludf.MAXIFS(PAYMENTS!A:A,PAYMENTS!C:C,E877),""))</f>
        <v/>
      </c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>
        <f>IF(E878="","",SUMIF(PAYMENTS!C:C,E878,PAYMENTS!E:E))</f>
        <v/>
      </c>
      <c r="M878">
        <f>IF(E878="","",J878-L878)</f>
        <v/>
      </c>
      <c r="N878">
        <f>IF(E878="","",IF(M878&lt;=0,"Paid",IF(L878&gt;0,"Part Paid","Unpaid")))</f>
        <v/>
      </c>
      <c r="O878">
        <f>IF(E878="","",IFERROR(_xludf.MAXIFS(PAYMENTS!A:A,PAYMENTS!C:C,E878),""))</f>
        <v/>
      </c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>
        <f>IF(E879="","",SUMIF(PAYMENTS!C:C,E879,PAYMENTS!E:E))</f>
        <v/>
      </c>
      <c r="M879">
        <f>IF(E879="","",J879-L879)</f>
        <v/>
      </c>
      <c r="N879">
        <f>IF(E879="","",IF(M879&lt;=0,"Paid",IF(L879&gt;0,"Part Paid","Unpaid")))</f>
        <v/>
      </c>
      <c r="O879">
        <f>IF(E879="","",IFERROR(_xludf.MAXIFS(PAYMENTS!A:A,PAYMENTS!C:C,E879),""))</f>
        <v/>
      </c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>
        <f>IF(E880="","",SUMIF(PAYMENTS!C:C,E880,PAYMENTS!E:E))</f>
        <v/>
      </c>
      <c r="M880">
        <f>IF(E880="","",J880-L880)</f>
        <v/>
      </c>
      <c r="N880">
        <f>IF(E880="","",IF(M880&lt;=0,"Paid",IF(L880&gt;0,"Part Paid","Unpaid")))</f>
        <v/>
      </c>
      <c r="O880">
        <f>IF(E880="","",IFERROR(_xludf.MAXIFS(PAYMENTS!A:A,PAYMENTS!C:C,E880),""))</f>
        <v/>
      </c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>
        <f>IF(E881="","",SUMIF(PAYMENTS!C:C,E881,PAYMENTS!E:E))</f>
        <v/>
      </c>
      <c r="M881">
        <f>IF(E881="","",J881-L881)</f>
        <v/>
      </c>
      <c r="N881">
        <f>IF(E881="","",IF(M881&lt;=0,"Paid",IF(L881&gt;0,"Part Paid","Unpaid")))</f>
        <v/>
      </c>
      <c r="O881">
        <f>IF(E881="","",IFERROR(_xludf.MAXIFS(PAYMENTS!A:A,PAYMENTS!C:C,E881),""))</f>
        <v/>
      </c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>
        <f>IF(E882="","",SUMIF(PAYMENTS!C:C,E882,PAYMENTS!E:E))</f>
        <v/>
      </c>
      <c r="M882">
        <f>IF(E882="","",J882-L882)</f>
        <v/>
      </c>
      <c r="N882">
        <f>IF(E882="","",IF(M882&lt;=0,"Paid",IF(L882&gt;0,"Part Paid","Unpaid")))</f>
        <v/>
      </c>
      <c r="O882">
        <f>IF(E882="","",IFERROR(_xludf.MAXIFS(PAYMENTS!A:A,PAYMENTS!C:C,E882),""))</f>
        <v/>
      </c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>
        <f>IF(E883="","",SUMIF(PAYMENTS!C:C,E883,PAYMENTS!E:E))</f>
        <v/>
      </c>
      <c r="M883">
        <f>IF(E883="","",J883-L883)</f>
        <v/>
      </c>
      <c r="N883">
        <f>IF(E883="","",IF(M883&lt;=0,"Paid",IF(L883&gt;0,"Part Paid","Unpaid")))</f>
        <v/>
      </c>
      <c r="O883">
        <f>IF(E883="","",IFERROR(_xludf.MAXIFS(PAYMENTS!A:A,PAYMENTS!C:C,E883),""))</f>
        <v/>
      </c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>
        <f>IF(E884="","",SUMIF(PAYMENTS!C:C,E884,PAYMENTS!E:E))</f>
        <v/>
      </c>
      <c r="M884">
        <f>IF(E884="","",J884-L884)</f>
        <v/>
      </c>
      <c r="N884">
        <f>IF(E884="","",IF(M884&lt;=0,"Paid",IF(L884&gt;0,"Part Paid","Unpaid")))</f>
        <v/>
      </c>
      <c r="O884">
        <f>IF(E884="","",IFERROR(_xludf.MAXIFS(PAYMENTS!A:A,PAYMENTS!C:C,E884),""))</f>
        <v/>
      </c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>
        <f>IF(E885="","",SUMIF(PAYMENTS!C:C,E885,PAYMENTS!E:E))</f>
        <v/>
      </c>
      <c r="M885">
        <f>IF(E885="","",J885-L885)</f>
        <v/>
      </c>
      <c r="N885">
        <f>IF(E885="","",IF(M885&lt;=0,"Paid",IF(L885&gt;0,"Part Paid","Unpaid")))</f>
        <v/>
      </c>
      <c r="O885">
        <f>IF(E885="","",IFERROR(_xludf.MAXIFS(PAYMENTS!A:A,PAYMENTS!C:C,E885),""))</f>
        <v/>
      </c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>
        <f>IF(E886="","",SUMIF(PAYMENTS!C:C,E886,PAYMENTS!E:E))</f>
        <v/>
      </c>
      <c r="M886">
        <f>IF(E886="","",J886-L886)</f>
        <v/>
      </c>
      <c r="N886">
        <f>IF(E886="","",IF(M886&lt;=0,"Paid",IF(L886&gt;0,"Part Paid","Unpaid")))</f>
        <v/>
      </c>
      <c r="O886">
        <f>IF(E886="","",IFERROR(_xludf.MAXIFS(PAYMENTS!A:A,PAYMENTS!C:C,E886),""))</f>
        <v/>
      </c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>
        <f>IF(E887="","",SUMIF(PAYMENTS!C:C,E887,PAYMENTS!E:E))</f>
        <v/>
      </c>
      <c r="M887">
        <f>IF(E887="","",J887-L887)</f>
        <v/>
      </c>
      <c r="N887">
        <f>IF(E887="","",IF(M887&lt;=0,"Paid",IF(L887&gt;0,"Part Paid","Unpaid")))</f>
        <v/>
      </c>
      <c r="O887">
        <f>IF(E887="","",IFERROR(_xludf.MAXIFS(PAYMENTS!A:A,PAYMENTS!C:C,E887),""))</f>
        <v/>
      </c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>
        <f>IF(E888="","",SUMIF(PAYMENTS!C:C,E888,PAYMENTS!E:E))</f>
        <v/>
      </c>
      <c r="M888">
        <f>IF(E888="","",J888-L888)</f>
        <v/>
      </c>
      <c r="N888">
        <f>IF(E888="","",IF(M888&lt;=0,"Paid",IF(L888&gt;0,"Part Paid","Unpaid")))</f>
        <v/>
      </c>
      <c r="O888">
        <f>IF(E888="","",IFERROR(_xludf.MAXIFS(PAYMENTS!A:A,PAYMENTS!C:C,E888),""))</f>
        <v/>
      </c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>
        <f>IF(E889="","",SUMIF(PAYMENTS!C:C,E889,PAYMENTS!E:E))</f>
        <v/>
      </c>
      <c r="M889">
        <f>IF(E889="","",J889-L889)</f>
        <v/>
      </c>
      <c r="N889">
        <f>IF(E889="","",IF(M889&lt;=0,"Paid",IF(L889&gt;0,"Part Paid","Unpaid")))</f>
        <v/>
      </c>
      <c r="O889">
        <f>IF(E889="","",IFERROR(_xludf.MAXIFS(PAYMENTS!A:A,PAYMENTS!C:C,E889),""))</f>
        <v/>
      </c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>
        <f>IF(E890="","",SUMIF(PAYMENTS!C:C,E890,PAYMENTS!E:E))</f>
        <v/>
      </c>
      <c r="M890">
        <f>IF(E890="","",J890-L890)</f>
        <v/>
      </c>
      <c r="N890">
        <f>IF(E890="","",IF(M890&lt;=0,"Paid",IF(L890&gt;0,"Part Paid","Unpaid")))</f>
        <v/>
      </c>
      <c r="O890">
        <f>IF(E890="","",IFERROR(_xludf.MAXIFS(PAYMENTS!A:A,PAYMENTS!C:C,E890),""))</f>
        <v/>
      </c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>
        <f>IF(E891="","",SUMIF(PAYMENTS!C:C,E891,PAYMENTS!E:E))</f>
        <v/>
      </c>
      <c r="M891">
        <f>IF(E891="","",J891-L891)</f>
        <v/>
      </c>
      <c r="N891">
        <f>IF(E891="","",IF(M891&lt;=0,"Paid",IF(L891&gt;0,"Part Paid","Unpaid")))</f>
        <v/>
      </c>
      <c r="O891">
        <f>IF(E891="","",IFERROR(_xludf.MAXIFS(PAYMENTS!A:A,PAYMENTS!C:C,E891),""))</f>
        <v/>
      </c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>
        <f>IF(E892="","",SUMIF(PAYMENTS!C:C,E892,PAYMENTS!E:E))</f>
        <v/>
      </c>
      <c r="M892">
        <f>IF(E892="","",J892-L892)</f>
        <v/>
      </c>
      <c r="N892">
        <f>IF(E892="","",IF(M892&lt;=0,"Paid",IF(L892&gt;0,"Part Paid","Unpaid")))</f>
        <v/>
      </c>
      <c r="O892">
        <f>IF(E892="","",IFERROR(_xludf.MAXIFS(PAYMENTS!A:A,PAYMENTS!C:C,E892),""))</f>
        <v/>
      </c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>
        <f>IF(E893="","",SUMIF(PAYMENTS!C:C,E893,PAYMENTS!E:E))</f>
        <v/>
      </c>
      <c r="M893">
        <f>IF(E893="","",J893-L893)</f>
        <v/>
      </c>
      <c r="N893">
        <f>IF(E893="","",IF(M893&lt;=0,"Paid",IF(L893&gt;0,"Part Paid","Unpaid")))</f>
        <v/>
      </c>
      <c r="O893">
        <f>IF(E893="","",IFERROR(_xludf.MAXIFS(PAYMENTS!A:A,PAYMENTS!C:C,E893),""))</f>
        <v/>
      </c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>
        <f>IF(E894="","",SUMIF(PAYMENTS!C:C,E894,PAYMENTS!E:E))</f>
        <v/>
      </c>
      <c r="M894">
        <f>IF(E894="","",J894-L894)</f>
        <v/>
      </c>
      <c r="N894">
        <f>IF(E894="","",IF(M894&lt;=0,"Paid",IF(L894&gt;0,"Part Paid","Unpaid")))</f>
        <v/>
      </c>
      <c r="O894">
        <f>IF(E894="","",IFERROR(_xludf.MAXIFS(PAYMENTS!A:A,PAYMENTS!C:C,E894),""))</f>
        <v/>
      </c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>
        <f>IF(E895="","",SUMIF(PAYMENTS!C:C,E895,PAYMENTS!E:E))</f>
        <v/>
      </c>
      <c r="M895">
        <f>IF(E895="","",J895-L895)</f>
        <v/>
      </c>
      <c r="N895">
        <f>IF(E895="","",IF(M895&lt;=0,"Paid",IF(L895&gt;0,"Part Paid","Unpaid")))</f>
        <v/>
      </c>
      <c r="O895">
        <f>IF(E895="","",IFERROR(_xludf.MAXIFS(PAYMENTS!A:A,PAYMENTS!C:C,E895),""))</f>
        <v/>
      </c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>
        <f>IF(E896="","",SUMIF(PAYMENTS!C:C,E896,PAYMENTS!E:E))</f>
        <v/>
      </c>
      <c r="M896">
        <f>IF(E896="","",J896-L896)</f>
        <v/>
      </c>
      <c r="N896">
        <f>IF(E896="","",IF(M896&lt;=0,"Paid",IF(L896&gt;0,"Part Paid","Unpaid")))</f>
        <v/>
      </c>
      <c r="O896">
        <f>IF(E896="","",IFERROR(_xludf.MAXIFS(PAYMENTS!A:A,PAYMENTS!C:C,E896),""))</f>
        <v/>
      </c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>
        <f>IF(E897="","",SUMIF(PAYMENTS!C:C,E897,PAYMENTS!E:E))</f>
        <v/>
      </c>
      <c r="M897">
        <f>IF(E897="","",J897-L897)</f>
        <v/>
      </c>
      <c r="N897">
        <f>IF(E897="","",IF(M897&lt;=0,"Paid",IF(L897&gt;0,"Part Paid","Unpaid")))</f>
        <v/>
      </c>
      <c r="O897">
        <f>IF(E897="","",IFERROR(_xludf.MAXIFS(PAYMENTS!A:A,PAYMENTS!C:C,E897),""))</f>
        <v/>
      </c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>
        <f>IF(E898="","",SUMIF(PAYMENTS!C:C,E898,PAYMENTS!E:E))</f>
        <v/>
      </c>
      <c r="M898">
        <f>IF(E898="","",J898-L898)</f>
        <v/>
      </c>
      <c r="N898">
        <f>IF(E898="","",IF(M898&lt;=0,"Paid",IF(L898&gt;0,"Part Paid","Unpaid")))</f>
        <v/>
      </c>
      <c r="O898">
        <f>IF(E898="","",IFERROR(_xludf.MAXIFS(PAYMENTS!A:A,PAYMENTS!C:C,E898),""))</f>
        <v/>
      </c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>
        <f>IF(E899="","",SUMIF(PAYMENTS!C:C,E899,PAYMENTS!E:E))</f>
        <v/>
      </c>
      <c r="M899">
        <f>IF(E899="","",J899-L899)</f>
        <v/>
      </c>
      <c r="N899">
        <f>IF(E899="","",IF(M899&lt;=0,"Paid",IF(L899&gt;0,"Part Paid","Unpaid")))</f>
        <v/>
      </c>
      <c r="O899">
        <f>IF(E899="","",IFERROR(_xludf.MAXIFS(PAYMENTS!A:A,PAYMENTS!C:C,E899),""))</f>
        <v/>
      </c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>
        <f>IF(E900="","",SUMIF(PAYMENTS!C:C,E900,PAYMENTS!E:E))</f>
        <v/>
      </c>
      <c r="M900">
        <f>IF(E900="","",J900-L900)</f>
        <v/>
      </c>
      <c r="N900">
        <f>IF(E900="","",IF(M900&lt;=0,"Paid",IF(L900&gt;0,"Part Paid","Unpaid")))</f>
        <v/>
      </c>
      <c r="O900">
        <f>IF(E900="","",IFERROR(_xludf.MAXIFS(PAYMENTS!A:A,PAYMENTS!C:C,E900),""))</f>
        <v/>
      </c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>
        <f>IF(E901="","",SUMIF(PAYMENTS!C:C,E901,PAYMENTS!E:E))</f>
        <v/>
      </c>
      <c r="M901">
        <f>IF(E901="","",J901-L901)</f>
        <v/>
      </c>
      <c r="N901">
        <f>IF(E901="","",IF(M901&lt;=0,"Paid",IF(L901&gt;0,"Part Paid","Unpaid")))</f>
        <v/>
      </c>
      <c r="O901">
        <f>IF(E901="","",IFERROR(_xludf.MAXIFS(PAYMENTS!A:A,PAYMENTS!C:C,E901),""))</f>
        <v/>
      </c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>
        <f>IF(E902="","",SUMIF(PAYMENTS!C:C,E902,PAYMENTS!E:E))</f>
        <v/>
      </c>
      <c r="M902">
        <f>IF(E902="","",J902-L902)</f>
        <v/>
      </c>
      <c r="N902">
        <f>IF(E902="","",IF(M902&lt;=0,"Paid",IF(L902&gt;0,"Part Paid","Unpaid")))</f>
        <v/>
      </c>
      <c r="O902">
        <f>IF(E902="","",IFERROR(_xludf.MAXIFS(PAYMENTS!A:A,PAYMENTS!C:C,E902),""))</f>
        <v/>
      </c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>
        <f>IF(E903="","",SUMIF(PAYMENTS!C:C,E903,PAYMENTS!E:E))</f>
        <v/>
      </c>
      <c r="M903">
        <f>IF(E903="","",J903-L903)</f>
        <v/>
      </c>
      <c r="N903">
        <f>IF(E903="","",IF(M903&lt;=0,"Paid",IF(L903&gt;0,"Part Paid","Unpaid")))</f>
        <v/>
      </c>
      <c r="O903">
        <f>IF(E903="","",IFERROR(_xludf.MAXIFS(PAYMENTS!A:A,PAYMENTS!C:C,E903),""))</f>
        <v/>
      </c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>
        <f>IF(E904="","",SUMIF(PAYMENTS!C:C,E904,PAYMENTS!E:E))</f>
        <v/>
      </c>
      <c r="M904">
        <f>IF(E904="","",J904-L904)</f>
        <v/>
      </c>
      <c r="N904">
        <f>IF(E904="","",IF(M904&lt;=0,"Paid",IF(L904&gt;0,"Part Paid","Unpaid")))</f>
        <v/>
      </c>
      <c r="O904">
        <f>IF(E904="","",IFERROR(_xludf.MAXIFS(PAYMENTS!A:A,PAYMENTS!C:C,E904),""))</f>
        <v/>
      </c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>
        <f>IF(E905="","",SUMIF(PAYMENTS!C:C,E905,PAYMENTS!E:E))</f>
        <v/>
      </c>
      <c r="M905">
        <f>IF(E905="","",J905-L905)</f>
        <v/>
      </c>
      <c r="N905">
        <f>IF(E905="","",IF(M905&lt;=0,"Paid",IF(L905&gt;0,"Part Paid","Unpaid")))</f>
        <v/>
      </c>
      <c r="O905">
        <f>IF(E905="","",IFERROR(_xludf.MAXIFS(PAYMENTS!A:A,PAYMENTS!C:C,E905),""))</f>
        <v/>
      </c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>
        <f>IF(E906="","",SUMIF(PAYMENTS!C:C,E906,PAYMENTS!E:E))</f>
        <v/>
      </c>
      <c r="M906">
        <f>IF(E906="","",J906-L906)</f>
        <v/>
      </c>
      <c r="N906">
        <f>IF(E906="","",IF(M906&lt;=0,"Paid",IF(L906&gt;0,"Part Paid","Unpaid")))</f>
        <v/>
      </c>
      <c r="O906">
        <f>IF(E906="","",IFERROR(_xludf.MAXIFS(PAYMENTS!A:A,PAYMENTS!C:C,E906),""))</f>
        <v/>
      </c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>
        <f>IF(E907="","",SUMIF(PAYMENTS!C:C,E907,PAYMENTS!E:E))</f>
        <v/>
      </c>
      <c r="M907">
        <f>IF(E907="","",J907-L907)</f>
        <v/>
      </c>
      <c r="N907">
        <f>IF(E907="","",IF(M907&lt;=0,"Paid",IF(L907&gt;0,"Part Paid","Unpaid")))</f>
        <v/>
      </c>
      <c r="O907">
        <f>IF(E907="","",IFERROR(_xludf.MAXIFS(PAYMENTS!A:A,PAYMENTS!C:C,E907),""))</f>
        <v/>
      </c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>
        <f>IF(E908="","",SUMIF(PAYMENTS!C:C,E908,PAYMENTS!E:E))</f>
        <v/>
      </c>
      <c r="M908">
        <f>IF(E908="","",J908-L908)</f>
        <v/>
      </c>
      <c r="N908">
        <f>IF(E908="","",IF(M908&lt;=0,"Paid",IF(L908&gt;0,"Part Paid","Unpaid")))</f>
        <v/>
      </c>
      <c r="O908">
        <f>IF(E908="","",IFERROR(_xludf.MAXIFS(PAYMENTS!A:A,PAYMENTS!C:C,E908),""))</f>
        <v/>
      </c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>
        <f>IF(E909="","",SUMIF(PAYMENTS!C:C,E909,PAYMENTS!E:E))</f>
        <v/>
      </c>
      <c r="M909">
        <f>IF(E909="","",J909-L909)</f>
        <v/>
      </c>
      <c r="N909">
        <f>IF(E909="","",IF(M909&lt;=0,"Paid",IF(L909&gt;0,"Part Paid","Unpaid")))</f>
        <v/>
      </c>
      <c r="O909">
        <f>IF(E909="","",IFERROR(_xludf.MAXIFS(PAYMENTS!A:A,PAYMENTS!C:C,E909),""))</f>
        <v/>
      </c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>
        <f>IF(E910="","",SUMIF(PAYMENTS!C:C,E910,PAYMENTS!E:E))</f>
        <v/>
      </c>
      <c r="M910">
        <f>IF(E910="","",J910-L910)</f>
        <v/>
      </c>
      <c r="N910">
        <f>IF(E910="","",IF(M910&lt;=0,"Paid",IF(L910&gt;0,"Part Paid","Unpaid")))</f>
        <v/>
      </c>
      <c r="O910">
        <f>IF(E910="","",IFERROR(_xludf.MAXIFS(PAYMENTS!A:A,PAYMENTS!C:C,E910),""))</f>
        <v/>
      </c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>
        <f>IF(E911="","",SUMIF(PAYMENTS!C:C,E911,PAYMENTS!E:E))</f>
        <v/>
      </c>
      <c r="M911">
        <f>IF(E911="","",J911-L911)</f>
        <v/>
      </c>
      <c r="N911">
        <f>IF(E911="","",IF(M911&lt;=0,"Paid",IF(L911&gt;0,"Part Paid","Unpaid")))</f>
        <v/>
      </c>
      <c r="O911">
        <f>IF(E911="","",IFERROR(_xludf.MAXIFS(PAYMENTS!A:A,PAYMENTS!C:C,E911),""))</f>
        <v/>
      </c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>
        <f>IF(E912="","",SUMIF(PAYMENTS!C:C,E912,PAYMENTS!E:E))</f>
        <v/>
      </c>
      <c r="M912">
        <f>IF(E912="","",J912-L912)</f>
        <v/>
      </c>
      <c r="N912">
        <f>IF(E912="","",IF(M912&lt;=0,"Paid",IF(L912&gt;0,"Part Paid","Unpaid")))</f>
        <v/>
      </c>
      <c r="O912">
        <f>IF(E912="","",IFERROR(_xludf.MAXIFS(PAYMENTS!A:A,PAYMENTS!C:C,E912),""))</f>
        <v/>
      </c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>
        <f>IF(E913="","",SUMIF(PAYMENTS!C:C,E913,PAYMENTS!E:E))</f>
        <v/>
      </c>
      <c r="M913">
        <f>IF(E913="","",J913-L913)</f>
        <v/>
      </c>
      <c r="N913">
        <f>IF(E913="","",IF(M913&lt;=0,"Paid",IF(L913&gt;0,"Part Paid","Unpaid")))</f>
        <v/>
      </c>
      <c r="O913">
        <f>IF(E913="","",IFERROR(_xludf.MAXIFS(PAYMENTS!A:A,PAYMENTS!C:C,E913),""))</f>
        <v/>
      </c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>
        <f>IF(E914="","",SUMIF(PAYMENTS!C:C,E914,PAYMENTS!E:E))</f>
        <v/>
      </c>
      <c r="M914">
        <f>IF(E914="","",J914-L914)</f>
        <v/>
      </c>
      <c r="N914">
        <f>IF(E914="","",IF(M914&lt;=0,"Paid",IF(L914&gt;0,"Part Paid","Unpaid")))</f>
        <v/>
      </c>
      <c r="O914">
        <f>IF(E914="","",IFERROR(_xludf.MAXIFS(PAYMENTS!A:A,PAYMENTS!C:C,E914),""))</f>
        <v/>
      </c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>
        <f>IF(E915="","",SUMIF(PAYMENTS!C:C,E915,PAYMENTS!E:E))</f>
        <v/>
      </c>
      <c r="M915">
        <f>IF(E915="","",J915-L915)</f>
        <v/>
      </c>
      <c r="N915">
        <f>IF(E915="","",IF(M915&lt;=0,"Paid",IF(L915&gt;0,"Part Paid","Unpaid")))</f>
        <v/>
      </c>
      <c r="O915">
        <f>IF(E915="","",IFERROR(_xludf.MAXIFS(PAYMENTS!A:A,PAYMENTS!C:C,E915),""))</f>
        <v/>
      </c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>
        <f>IF(E916="","",SUMIF(PAYMENTS!C:C,E916,PAYMENTS!E:E))</f>
        <v/>
      </c>
      <c r="M916">
        <f>IF(E916="","",J916-L916)</f>
        <v/>
      </c>
      <c r="N916">
        <f>IF(E916="","",IF(M916&lt;=0,"Paid",IF(L916&gt;0,"Part Paid","Unpaid")))</f>
        <v/>
      </c>
      <c r="O916">
        <f>IF(E916="","",IFERROR(_xludf.MAXIFS(PAYMENTS!A:A,PAYMENTS!C:C,E916),""))</f>
        <v/>
      </c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>
        <f>IF(E917="","",SUMIF(PAYMENTS!C:C,E917,PAYMENTS!E:E))</f>
        <v/>
      </c>
      <c r="M917">
        <f>IF(E917="","",J917-L917)</f>
        <v/>
      </c>
      <c r="N917">
        <f>IF(E917="","",IF(M917&lt;=0,"Paid",IF(L917&gt;0,"Part Paid","Unpaid")))</f>
        <v/>
      </c>
      <c r="O917">
        <f>IF(E917="","",IFERROR(_xludf.MAXIFS(PAYMENTS!A:A,PAYMENTS!C:C,E917),""))</f>
        <v/>
      </c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>
        <f>IF(E918="","",SUMIF(PAYMENTS!C:C,E918,PAYMENTS!E:E))</f>
        <v/>
      </c>
      <c r="M918">
        <f>IF(E918="","",J918-L918)</f>
        <v/>
      </c>
      <c r="N918">
        <f>IF(E918="","",IF(M918&lt;=0,"Paid",IF(L918&gt;0,"Part Paid","Unpaid")))</f>
        <v/>
      </c>
      <c r="O918">
        <f>IF(E918="","",IFERROR(_xludf.MAXIFS(PAYMENTS!A:A,PAYMENTS!C:C,E918),""))</f>
        <v/>
      </c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>
        <f>IF(E919="","",SUMIF(PAYMENTS!C:C,E919,PAYMENTS!E:E))</f>
        <v/>
      </c>
      <c r="M919">
        <f>IF(E919="","",J919-L919)</f>
        <v/>
      </c>
      <c r="N919">
        <f>IF(E919="","",IF(M919&lt;=0,"Paid",IF(L919&gt;0,"Part Paid","Unpaid")))</f>
        <v/>
      </c>
      <c r="O919">
        <f>IF(E919="","",IFERROR(_xludf.MAXIFS(PAYMENTS!A:A,PAYMENTS!C:C,E919),""))</f>
        <v/>
      </c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>
        <f>IF(E920="","",SUMIF(PAYMENTS!C:C,E920,PAYMENTS!E:E))</f>
        <v/>
      </c>
      <c r="M920">
        <f>IF(E920="","",J920-L920)</f>
        <v/>
      </c>
      <c r="N920">
        <f>IF(E920="","",IF(M920&lt;=0,"Paid",IF(L920&gt;0,"Part Paid","Unpaid")))</f>
        <v/>
      </c>
      <c r="O920">
        <f>IF(E920="","",IFERROR(_xludf.MAXIFS(PAYMENTS!A:A,PAYMENTS!C:C,E920),""))</f>
        <v/>
      </c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>
        <f>IF(E921="","",SUMIF(PAYMENTS!C:C,E921,PAYMENTS!E:E))</f>
        <v/>
      </c>
      <c r="M921">
        <f>IF(E921="","",J921-L921)</f>
        <v/>
      </c>
      <c r="N921">
        <f>IF(E921="","",IF(M921&lt;=0,"Paid",IF(L921&gt;0,"Part Paid","Unpaid")))</f>
        <v/>
      </c>
      <c r="O921">
        <f>IF(E921="","",IFERROR(_xludf.MAXIFS(PAYMENTS!A:A,PAYMENTS!C:C,E921),""))</f>
        <v/>
      </c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>
        <f>IF(E922="","",SUMIF(PAYMENTS!C:C,E922,PAYMENTS!E:E))</f>
        <v/>
      </c>
      <c r="M922">
        <f>IF(E922="","",J922-L922)</f>
        <v/>
      </c>
      <c r="N922">
        <f>IF(E922="","",IF(M922&lt;=0,"Paid",IF(L922&gt;0,"Part Paid","Unpaid")))</f>
        <v/>
      </c>
      <c r="O922">
        <f>IF(E922="","",IFERROR(_xludf.MAXIFS(PAYMENTS!A:A,PAYMENTS!C:C,E922),""))</f>
        <v/>
      </c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>
        <f>IF(E923="","",SUMIF(PAYMENTS!C:C,E923,PAYMENTS!E:E))</f>
        <v/>
      </c>
      <c r="M923">
        <f>IF(E923="","",J923-L923)</f>
        <v/>
      </c>
      <c r="N923">
        <f>IF(E923="","",IF(M923&lt;=0,"Paid",IF(L923&gt;0,"Part Paid","Unpaid")))</f>
        <v/>
      </c>
      <c r="O923">
        <f>IF(E923="","",IFERROR(_xludf.MAXIFS(PAYMENTS!A:A,PAYMENTS!C:C,E923),""))</f>
        <v/>
      </c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>
        <f>IF(E924="","",SUMIF(PAYMENTS!C:C,E924,PAYMENTS!E:E))</f>
        <v/>
      </c>
      <c r="M924">
        <f>IF(E924="","",J924-L924)</f>
        <v/>
      </c>
      <c r="N924">
        <f>IF(E924="","",IF(M924&lt;=0,"Paid",IF(L924&gt;0,"Part Paid","Unpaid")))</f>
        <v/>
      </c>
      <c r="O924">
        <f>IF(E924="","",IFERROR(_xludf.MAXIFS(PAYMENTS!A:A,PAYMENTS!C:C,E924),""))</f>
        <v/>
      </c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>
        <f>IF(E925="","",SUMIF(PAYMENTS!C:C,E925,PAYMENTS!E:E))</f>
        <v/>
      </c>
      <c r="M925">
        <f>IF(E925="","",J925-L925)</f>
        <v/>
      </c>
      <c r="N925">
        <f>IF(E925="","",IF(M925&lt;=0,"Paid",IF(L925&gt;0,"Part Paid","Unpaid")))</f>
        <v/>
      </c>
      <c r="O925">
        <f>IF(E925="","",IFERROR(_xludf.MAXIFS(PAYMENTS!A:A,PAYMENTS!C:C,E925),""))</f>
        <v/>
      </c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>
        <f>IF(E926="","",SUMIF(PAYMENTS!C:C,E926,PAYMENTS!E:E))</f>
        <v/>
      </c>
      <c r="M926">
        <f>IF(E926="","",J926-L926)</f>
        <v/>
      </c>
      <c r="N926">
        <f>IF(E926="","",IF(M926&lt;=0,"Paid",IF(L926&gt;0,"Part Paid","Unpaid")))</f>
        <v/>
      </c>
      <c r="O926">
        <f>IF(E926="","",IFERROR(_xludf.MAXIFS(PAYMENTS!A:A,PAYMENTS!C:C,E926),""))</f>
        <v/>
      </c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>
        <f>IF(E927="","",SUMIF(PAYMENTS!C:C,E927,PAYMENTS!E:E))</f>
        <v/>
      </c>
      <c r="M927">
        <f>IF(E927="","",J927-L927)</f>
        <v/>
      </c>
      <c r="N927">
        <f>IF(E927="","",IF(M927&lt;=0,"Paid",IF(L927&gt;0,"Part Paid","Unpaid")))</f>
        <v/>
      </c>
      <c r="O927">
        <f>IF(E927="","",IFERROR(_xludf.MAXIFS(PAYMENTS!A:A,PAYMENTS!C:C,E927),""))</f>
        <v/>
      </c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>
        <f>IF(E928="","",SUMIF(PAYMENTS!C:C,E928,PAYMENTS!E:E))</f>
        <v/>
      </c>
      <c r="M928">
        <f>IF(E928="","",J928-L928)</f>
        <v/>
      </c>
      <c r="N928">
        <f>IF(E928="","",IF(M928&lt;=0,"Paid",IF(L928&gt;0,"Part Paid","Unpaid")))</f>
        <v/>
      </c>
      <c r="O928">
        <f>IF(E928="","",IFERROR(_xludf.MAXIFS(PAYMENTS!A:A,PAYMENTS!C:C,E928),""))</f>
        <v/>
      </c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>
        <f>IF(E929="","",SUMIF(PAYMENTS!C:C,E929,PAYMENTS!E:E))</f>
        <v/>
      </c>
      <c r="M929">
        <f>IF(E929="","",J929-L929)</f>
        <v/>
      </c>
      <c r="N929">
        <f>IF(E929="","",IF(M929&lt;=0,"Paid",IF(L929&gt;0,"Part Paid","Unpaid")))</f>
        <v/>
      </c>
      <c r="O929">
        <f>IF(E929="","",IFERROR(_xludf.MAXIFS(PAYMENTS!A:A,PAYMENTS!C:C,E929),""))</f>
        <v/>
      </c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>
        <f>IF(E930="","",SUMIF(PAYMENTS!C:C,E930,PAYMENTS!E:E))</f>
        <v/>
      </c>
      <c r="M930">
        <f>IF(E930="","",J930-L930)</f>
        <v/>
      </c>
      <c r="N930">
        <f>IF(E930="","",IF(M930&lt;=0,"Paid",IF(L930&gt;0,"Part Paid","Unpaid")))</f>
        <v/>
      </c>
      <c r="O930">
        <f>IF(E930="","",IFERROR(_xludf.MAXIFS(PAYMENTS!A:A,PAYMENTS!C:C,E930),""))</f>
        <v/>
      </c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>
        <f>IF(E931="","",SUMIF(PAYMENTS!C:C,E931,PAYMENTS!E:E))</f>
        <v/>
      </c>
      <c r="M931">
        <f>IF(E931="","",J931-L931)</f>
        <v/>
      </c>
      <c r="N931">
        <f>IF(E931="","",IF(M931&lt;=0,"Paid",IF(L931&gt;0,"Part Paid","Unpaid")))</f>
        <v/>
      </c>
      <c r="O931">
        <f>IF(E931="","",IFERROR(_xludf.MAXIFS(PAYMENTS!A:A,PAYMENTS!C:C,E931),""))</f>
        <v/>
      </c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>
        <f>IF(E932="","",SUMIF(PAYMENTS!C:C,E932,PAYMENTS!E:E))</f>
        <v/>
      </c>
      <c r="M932">
        <f>IF(E932="","",J932-L932)</f>
        <v/>
      </c>
      <c r="N932">
        <f>IF(E932="","",IF(M932&lt;=0,"Paid",IF(L932&gt;0,"Part Paid","Unpaid")))</f>
        <v/>
      </c>
      <c r="O932">
        <f>IF(E932="","",IFERROR(_xludf.MAXIFS(PAYMENTS!A:A,PAYMENTS!C:C,E932),""))</f>
        <v/>
      </c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>
        <f>IF(E933="","",SUMIF(PAYMENTS!C:C,E933,PAYMENTS!E:E))</f>
        <v/>
      </c>
      <c r="M933">
        <f>IF(E933="","",J933-L933)</f>
        <v/>
      </c>
      <c r="N933">
        <f>IF(E933="","",IF(M933&lt;=0,"Paid",IF(L933&gt;0,"Part Paid","Unpaid")))</f>
        <v/>
      </c>
      <c r="O933">
        <f>IF(E933="","",IFERROR(_xludf.MAXIFS(PAYMENTS!A:A,PAYMENTS!C:C,E933),""))</f>
        <v/>
      </c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>
        <f>IF(E934="","",SUMIF(PAYMENTS!C:C,E934,PAYMENTS!E:E))</f>
        <v/>
      </c>
      <c r="M934">
        <f>IF(E934="","",J934-L934)</f>
        <v/>
      </c>
      <c r="N934">
        <f>IF(E934="","",IF(M934&lt;=0,"Paid",IF(L934&gt;0,"Part Paid","Unpaid")))</f>
        <v/>
      </c>
      <c r="O934">
        <f>IF(E934="","",IFERROR(_xludf.MAXIFS(PAYMENTS!A:A,PAYMENTS!C:C,E934),""))</f>
        <v/>
      </c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>
        <f>IF(E935="","",SUMIF(PAYMENTS!C:C,E935,PAYMENTS!E:E))</f>
        <v/>
      </c>
      <c r="M935">
        <f>IF(E935="","",J935-L935)</f>
        <v/>
      </c>
      <c r="N935">
        <f>IF(E935="","",IF(M935&lt;=0,"Paid",IF(L935&gt;0,"Part Paid","Unpaid")))</f>
        <v/>
      </c>
      <c r="O935">
        <f>IF(E935="","",IFERROR(_xludf.MAXIFS(PAYMENTS!A:A,PAYMENTS!C:C,E935),""))</f>
        <v/>
      </c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>
        <f>IF(E936="","",SUMIF(PAYMENTS!C:C,E936,PAYMENTS!E:E))</f>
        <v/>
      </c>
      <c r="M936">
        <f>IF(E936="","",J936-L936)</f>
        <v/>
      </c>
      <c r="N936">
        <f>IF(E936="","",IF(M936&lt;=0,"Paid",IF(L936&gt;0,"Part Paid","Unpaid")))</f>
        <v/>
      </c>
      <c r="O936">
        <f>IF(E936="","",IFERROR(_xludf.MAXIFS(PAYMENTS!A:A,PAYMENTS!C:C,E936),""))</f>
        <v/>
      </c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>
        <f>IF(E937="","",SUMIF(PAYMENTS!C:C,E937,PAYMENTS!E:E))</f>
        <v/>
      </c>
      <c r="M937">
        <f>IF(E937="","",J937-L937)</f>
        <v/>
      </c>
      <c r="N937">
        <f>IF(E937="","",IF(M937&lt;=0,"Paid",IF(L937&gt;0,"Part Paid","Unpaid")))</f>
        <v/>
      </c>
      <c r="O937">
        <f>IF(E937="","",IFERROR(_xludf.MAXIFS(PAYMENTS!A:A,PAYMENTS!C:C,E937),""))</f>
        <v/>
      </c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>
        <f>IF(E938="","",SUMIF(PAYMENTS!C:C,E938,PAYMENTS!E:E))</f>
        <v/>
      </c>
      <c r="M938">
        <f>IF(E938="","",J938-L938)</f>
        <v/>
      </c>
      <c r="N938">
        <f>IF(E938="","",IF(M938&lt;=0,"Paid",IF(L938&gt;0,"Part Paid","Unpaid")))</f>
        <v/>
      </c>
      <c r="O938">
        <f>IF(E938="","",IFERROR(_xludf.MAXIFS(PAYMENTS!A:A,PAYMENTS!C:C,E938),""))</f>
        <v/>
      </c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>
        <f>IF(E939="","",SUMIF(PAYMENTS!C:C,E939,PAYMENTS!E:E))</f>
        <v/>
      </c>
      <c r="M939">
        <f>IF(E939="","",J939-L939)</f>
        <v/>
      </c>
      <c r="N939">
        <f>IF(E939="","",IF(M939&lt;=0,"Paid",IF(L939&gt;0,"Part Paid","Unpaid")))</f>
        <v/>
      </c>
      <c r="O939">
        <f>IF(E939="","",IFERROR(_xludf.MAXIFS(PAYMENTS!A:A,PAYMENTS!C:C,E939),""))</f>
        <v/>
      </c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>
        <f>IF(E940="","",SUMIF(PAYMENTS!C:C,E940,PAYMENTS!E:E))</f>
        <v/>
      </c>
      <c r="M940">
        <f>IF(E940="","",J940-L940)</f>
        <v/>
      </c>
      <c r="N940">
        <f>IF(E940="","",IF(M940&lt;=0,"Paid",IF(L940&gt;0,"Part Paid","Unpaid")))</f>
        <v/>
      </c>
      <c r="O940">
        <f>IF(E940="","",IFERROR(_xludf.MAXIFS(PAYMENTS!A:A,PAYMENTS!C:C,E940),""))</f>
        <v/>
      </c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>
        <f>IF(E941="","",SUMIF(PAYMENTS!C:C,E941,PAYMENTS!E:E))</f>
        <v/>
      </c>
      <c r="M941">
        <f>IF(E941="","",J941-L941)</f>
        <v/>
      </c>
      <c r="N941">
        <f>IF(E941="","",IF(M941&lt;=0,"Paid",IF(L941&gt;0,"Part Paid","Unpaid")))</f>
        <v/>
      </c>
      <c r="O941">
        <f>IF(E941="","",IFERROR(_xludf.MAXIFS(PAYMENTS!A:A,PAYMENTS!C:C,E941),""))</f>
        <v/>
      </c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>
        <f>IF(E942="","",SUMIF(PAYMENTS!C:C,E942,PAYMENTS!E:E))</f>
        <v/>
      </c>
      <c r="M942">
        <f>IF(E942="","",J942-L942)</f>
        <v/>
      </c>
      <c r="N942">
        <f>IF(E942="","",IF(M942&lt;=0,"Paid",IF(L942&gt;0,"Part Paid","Unpaid")))</f>
        <v/>
      </c>
      <c r="O942">
        <f>IF(E942="","",IFERROR(_xludf.MAXIFS(PAYMENTS!A:A,PAYMENTS!C:C,E942),""))</f>
        <v/>
      </c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>
        <f>IF(E943="","",SUMIF(PAYMENTS!C:C,E943,PAYMENTS!E:E))</f>
        <v/>
      </c>
      <c r="M943">
        <f>IF(E943="","",J943-L943)</f>
        <v/>
      </c>
      <c r="N943">
        <f>IF(E943="","",IF(M943&lt;=0,"Paid",IF(L943&gt;0,"Part Paid","Unpaid")))</f>
        <v/>
      </c>
      <c r="O943">
        <f>IF(E943="","",IFERROR(_xludf.MAXIFS(PAYMENTS!A:A,PAYMENTS!C:C,E943),""))</f>
        <v/>
      </c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>
        <f>IF(E944="","",SUMIF(PAYMENTS!C:C,E944,PAYMENTS!E:E))</f>
        <v/>
      </c>
      <c r="M944">
        <f>IF(E944="","",J944-L944)</f>
        <v/>
      </c>
      <c r="N944">
        <f>IF(E944="","",IF(M944&lt;=0,"Paid",IF(L944&gt;0,"Part Paid","Unpaid")))</f>
        <v/>
      </c>
      <c r="O944">
        <f>IF(E944="","",IFERROR(_xludf.MAXIFS(PAYMENTS!A:A,PAYMENTS!C:C,E944),""))</f>
        <v/>
      </c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>
        <f>IF(E945="","",SUMIF(PAYMENTS!C:C,E945,PAYMENTS!E:E))</f>
        <v/>
      </c>
      <c r="M945">
        <f>IF(E945="","",J945-L945)</f>
        <v/>
      </c>
      <c r="N945">
        <f>IF(E945="","",IF(M945&lt;=0,"Paid",IF(L945&gt;0,"Part Paid","Unpaid")))</f>
        <v/>
      </c>
      <c r="O945">
        <f>IF(E945="","",IFERROR(_xludf.MAXIFS(PAYMENTS!A:A,PAYMENTS!C:C,E945),""))</f>
        <v/>
      </c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>
        <f>IF(E946="","",SUMIF(PAYMENTS!C:C,E946,PAYMENTS!E:E))</f>
        <v/>
      </c>
      <c r="M946">
        <f>IF(E946="","",J946-L946)</f>
        <v/>
      </c>
      <c r="N946">
        <f>IF(E946="","",IF(M946&lt;=0,"Paid",IF(L946&gt;0,"Part Paid","Unpaid")))</f>
        <v/>
      </c>
      <c r="O946">
        <f>IF(E946="","",IFERROR(_xludf.MAXIFS(PAYMENTS!A:A,PAYMENTS!C:C,E946),""))</f>
        <v/>
      </c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>
        <f>IF(E947="","",SUMIF(PAYMENTS!C:C,E947,PAYMENTS!E:E))</f>
        <v/>
      </c>
      <c r="M947">
        <f>IF(E947="","",J947-L947)</f>
        <v/>
      </c>
      <c r="N947">
        <f>IF(E947="","",IF(M947&lt;=0,"Paid",IF(L947&gt;0,"Part Paid","Unpaid")))</f>
        <v/>
      </c>
      <c r="O947">
        <f>IF(E947="","",IFERROR(_xludf.MAXIFS(PAYMENTS!A:A,PAYMENTS!C:C,E947),""))</f>
        <v/>
      </c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>
        <f>IF(E948="","",SUMIF(PAYMENTS!C:C,E948,PAYMENTS!E:E))</f>
        <v/>
      </c>
      <c r="M948">
        <f>IF(E948="","",J948-L948)</f>
        <v/>
      </c>
      <c r="N948">
        <f>IF(E948="","",IF(M948&lt;=0,"Paid",IF(L948&gt;0,"Part Paid","Unpaid")))</f>
        <v/>
      </c>
      <c r="O948">
        <f>IF(E948="","",IFERROR(_xludf.MAXIFS(PAYMENTS!A:A,PAYMENTS!C:C,E948),""))</f>
        <v/>
      </c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>
        <f>IF(E949="","",SUMIF(PAYMENTS!C:C,E949,PAYMENTS!E:E))</f>
        <v/>
      </c>
      <c r="M949">
        <f>IF(E949="","",J949-L949)</f>
        <v/>
      </c>
      <c r="N949">
        <f>IF(E949="","",IF(M949&lt;=0,"Paid",IF(L949&gt;0,"Part Paid","Unpaid")))</f>
        <v/>
      </c>
      <c r="O949">
        <f>IF(E949="","",IFERROR(_xludf.MAXIFS(PAYMENTS!A:A,PAYMENTS!C:C,E949),""))</f>
        <v/>
      </c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>
        <f>IF(E950="","",SUMIF(PAYMENTS!C:C,E950,PAYMENTS!E:E))</f>
        <v/>
      </c>
      <c r="M950">
        <f>IF(E950="","",J950-L950)</f>
        <v/>
      </c>
      <c r="N950">
        <f>IF(E950="","",IF(M950&lt;=0,"Paid",IF(L950&gt;0,"Part Paid","Unpaid")))</f>
        <v/>
      </c>
      <c r="O950">
        <f>IF(E950="","",IFERROR(_xludf.MAXIFS(PAYMENTS!A:A,PAYMENTS!C:C,E950),""))</f>
        <v/>
      </c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>
        <f>IF(E951="","",SUMIF(PAYMENTS!C:C,E951,PAYMENTS!E:E))</f>
        <v/>
      </c>
      <c r="M951">
        <f>IF(E951="","",J951-L951)</f>
        <v/>
      </c>
      <c r="N951">
        <f>IF(E951="","",IF(M951&lt;=0,"Paid",IF(L951&gt;0,"Part Paid","Unpaid")))</f>
        <v/>
      </c>
      <c r="O951">
        <f>IF(E951="","",IFERROR(_xludf.MAXIFS(PAYMENTS!A:A,PAYMENTS!C:C,E951),""))</f>
        <v/>
      </c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>
        <f>IF(E952="","",SUMIF(PAYMENTS!C:C,E952,PAYMENTS!E:E))</f>
        <v/>
      </c>
      <c r="M952">
        <f>IF(E952="","",J952-L952)</f>
        <v/>
      </c>
      <c r="N952">
        <f>IF(E952="","",IF(M952&lt;=0,"Paid",IF(L952&gt;0,"Part Paid","Unpaid")))</f>
        <v/>
      </c>
      <c r="O952">
        <f>IF(E952="","",IFERROR(_xludf.MAXIFS(PAYMENTS!A:A,PAYMENTS!C:C,E952),""))</f>
        <v/>
      </c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>
        <f>IF(E953="","",SUMIF(PAYMENTS!C:C,E953,PAYMENTS!E:E))</f>
        <v/>
      </c>
      <c r="M953">
        <f>IF(E953="","",J953-L953)</f>
        <v/>
      </c>
      <c r="N953">
        <f>IF(E953="","",IF(M953&lt;=0,"Paid",IF(L953&gt;0,"Part Paid","Unpaid")))</f>
        <v/>
      </c>
      <c r="O953">
        <f>IF(E953="","",IFERROR(_xludf.MAXIFS(PAYMENTS!A:A,PAYMENTS!C:C,E953),""))</f>
        <v/>
      </c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>
        <f>IF(E954="","",SUMIF(PAYMENTS!C:C,E954,PAYMENTS!E:E))</f>
        <v/>
      </c>
      <c r="M954">
        <f>IF(E954="","",J954-L954)</f>
        <v/>
      </c>
      <c r="N954">
        <f>IF(E954="","",IF(M954&lt;=0,"Paid",IF(L954&gt;0,"Part Paid","Unpaid")))</f>
        <v/>
      </c>
      <c r="O954">
        <f>IF(E954="","",IFERROR(_xludf.MAXIFS(PAYMENTS!A:A,PAYMENTS!C:C,E954),""))</f>
        <v/>
      </c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>
        <f>IF(E955="","",SUMIF(PAYMENTS!C:C,E955,PAYMENTS!E:E))</f>
        <v/>
      </c>
      <c r="M955">
        <f>IF(E955="","",J955-L955)</f>
        <v/>
      </c>
      <c r="N955">
        <f>IF(E955="","",IF(M955&lt;=0,"Paid",IF(L955&gt;0,"Part Paid","Unpaid")))</f>
        <v/>
      </c>
      <c r="O955">
        <f>IF(E955="","",IFERROR(_xludf.MAXIFS(PAYMENTS!A:A,PAYMENTS!C:C,E955),""))</f>
        <v/>
      </c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>
        <f>IF(E956="","",SUMIF(PAYMENTS!C:C,E956,PAYMENTS!E:E))</f>
        <v/>
      </c>
      <c r="M956">
        <f>IF(E956="","",J956-L956)</f>
        <v/>
      </c>
      <c r="N956">
        <f>IF(E956="","",IF(M956&lt;=0,"Paid",IF(L956&gt;0,"Part Paid","Unpaid")))</f>
        <v/>
      </c>
      <c r="O956">
        <f>IF(E956="","",IFERROR(_xludf.MAXIFS(PAYMENTS!A:A,PAYMENTS!C:C,E956),""))</f>
        <v/>
      </c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>
        <f>IF(E957="","",SUMIF(PAYMENTS!C:C,E957,PAYMENTS!E:E))</f>
        <v/>
      </c>
      <c r="M957">
        <f>IF(E957="","",J957-L957)</f>
        <v/>
      </c>
      <c r="N957">
        <f>IF(E957="","",IF(M957&lt;=0,"Paid",IF(L957&gt;0,"Part Paid","Unpaid")))</f>
        <v/>
      </c>
      <c r="O957">
        <f>IF(E957="","",IFERROR(_xludf.MAXIFS(PAYMENTS!A:A,PAYMENTS!C:C,E957),""))</f>
        <v/>
      </c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>
        <f>IF(E958="","",SUMIF(PAYMENTS!C:C,E958,PAYMENTS!E:E))</f>
        <v/>
      </c>
      <c r="M958">
        <f>IF(E958="","",J958-L958)</f>
        <v/>
      </c>
      <c r="N958">
        <f>IF(E958="","",IF(M958&lt;=0,"Paid",IF(L958&gt;0,"Part Paid","Unpaid")))</f>
        <v/>
      </c>
      <c r="O958">
        <f>IF(E958="","",IFERROR(_xludf.MAXIFS(PAYMENTS!A:A,PAYMENTS!C:C,E958),""))</f>
        <v/>
      </c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>
        <f>IF(E959="","",SUMIF(PAYMENTS!C:C,E959,PAYMENTS!E:E))</f>
        <v/>
      </c>
      <c r="M959">
        <f>IF(E959="","",J959-L959)</f>
        <v/>
      </c>
      <c r="N959">
        <f>IF(E959="","",IF(M959&lt;=0,"Paid",IF(L959&gt;0,"Part Paid","Unpaid")))</f>
        <v/>
      </c>
      <c r="O959">
        <f>IF(E959="","",IFERROR(_xludf.MAXIFS(PAYMENTS!A:A,PAYMENTS!C:C,E959),""))</f>
        <v/>
      </c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>
        <f>IF(E960="","",SUMIF(PAYMENTS!C:C,E960,PAYMENTS!E:E))</f>
        <v/>
      </c>
      <c r="M960">
        <f>IF(E960="","",J960-L960)</f>
        <v/>
      </c>
      <c r="N960">
        <f>IF(E960="","",IF(M960&lt;=0,"Paid",IF(L960&gt;0,"Part Paid","Unpaid")))</f>
        <v/>
      </c>
      <c r="O960">
        <f>IF(E960="","",IFERROR(_xludf.MAXIFS(PAYMENTS!A:A,PAYMENTS!C:C,E960),""))</f>
        <v/>
      </c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>
        <f>IF(E961="","",SUMIF(PAYMENTS!C:C,E961,PAYMENTS!E:E))</f>
        <v/>
      </c>
      <c r="M961">
        <f>IF(E961="","",J961-L961)</f>
        <v/>
      </c>
      <c r="N961">
        <f>IF(E961="","",IF(M961&lt;=0,"Paid",IF(L961&gt;0,"Part Paid","Unpaid")))</f>
        <v/>
      </c>
      <c r="O961">
        <f>IF(E961="","",IFERROR(_xludf.MAXIFS(PAYMENTS!A:A,PAYMENTS!C:C,E961),""))</f>
        <v/>
      </c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>
        <f>IF(E962="","",SUMIF(PAYMENTS!C:C,E962,PAYMENTS!E:E))</f>
        <v/>
      </c>
      <c r="M962">
        <f>IF(E962="","",J962-L962)</f>
        <v/>
      </c>
      <c r="N962">
        <f>IF(E962="","",IF(M962&lt;=0,"Paid",IF(L962&gt;0,"Part Paid","Unpaid")))</f>
        <v/>
      </c>
      <c r="O962">
        <f>IF(E962="","",IFERROR(_xludf.MAXIFS(PAYMENTS!A:A,PAYMENTS!C:C,E962),""))</f>
        <v/>
      </c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>
        <f>IF(E963="","",SUMIF(PAYMENTS!C:C,E963,PAYMENTS!E:E))</f>
        <v/>
      </c>
      <c r="M963">
        <f>IF(E963="","",J963-L963)</f>
        <v/>
      </c>
      <c r="N963">
        <f>IF(E963="","",IF(M963&lt;=0,"Paid",IF(L963&gt;0,"Part Paid","Unpaid")))</f>
        <v/>
      </c>
      <c r="O963">
        <f>IF(E963="","",IFERROR(_xludf.MAXIFS(PAYMENTS!A:A,PAYMENTS!C:C,E963),""))</f>
        <v/>
      </c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>
        <f>IF(E964="","",SUMIF(PAYMENTS!C:C,E964,PAYMENTS!E:E))</f>
        <v/>
      </c>
      <c r="M964">
        <f>IF(E964="","",J964-L964)</f>
        <v/>
      </c>
      <c r="N964">
        <f>IF(E964="","",IF(M964&lt;=0,"Paid",IF(L964&gt;0,"Part Paid","Unpaid")))</f>
        <v/>
      </c>
      <c r="O964">
        <f>IF(E964="","",IFERROR(_xludf.MAXIFS(PAYMENTS!A:A,PAYMENTS!C:C,E964),""))</f>
        <v/>
      </c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>
        <f>IF(E965="","",SUMIF(PAYMENTS!C:C,E965,PAYMENTS!E:E))</f>
        <v/>
      </c>
      <c r="M965">
        <f>IF(E965="","",J965-L965)</f>
        <v/>
      </c>
      <c r="N965">
        <f>IF(E965="","",IF(M965&lt;=0,"Paid",IF(L965&gt;0,"Part Paid","Unpaid")))</f>
        <v/>
      </c>
      <c r="O965">
        <f>IF(E965="","",IFERROR(_xludf.MAXIFS(PAYMENTS!A:A,PAYMENTS!C:C,E965),""))</f>
        <v/>
      </c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>
        <f>IF(E966="","",SUMIF(PAYMENTS!C:C,E966,PAYMENTS!E:E))</f>
        <v/>
      </c>
      <c r="M966">
        <f>IF(E966="","",J966-L966)</f>
        <v/>
      </c>
      <c r="N966">
        <f>IF(E966="","",IF(M966&lt;=0,"Paid",IF(L966&gt;0,"Part Paid","Unpaid")))</f>
        <v/>
      </c>
      <c r="O966">
        <f>IF(E966="","",IFERROR(_xludf.MAXIFS(PAYMENTS!A:A,PAYMENTS!C:C,E966),""))</f>
        <v/>
      </c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>
        <f>IF(E967="","",SUMIF(PAYMENTS!C:C,E967,PAYMENTS!E:E))</f>
        <v/>
      </c>
      <c r="M967">
        <f>IF(E967="","",J967-L967)</f>
        <v/>
      </c>
      <c r="N967">
        <f>IF(E967="","",IF(M967&lt;=0,"Paid",IF(L967&gt;0,"Part Paid","Unpaid")))</f>
        <v/>
      </c>
      <c r="O967">
        <f>IF(E967="","",IFERROR(_xludf.MAXIFS(PAYMENTS!A:A,PAYMENTS!C:C,E967),""))</f>
        <v/>
      </c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>
        <f>IF(E968="","",SUMIF(PAYMENTS!C:C,E968,PAYMENTS!E:E))</f>
        <v/>
      </c>
      <c r="M968">
        <f>IF(E968="","",J968-L968)</f>
        <v/>
      </c>
      <c r="N968">
        <f>IF(E968="","",IF(M968&lt;=0,"Paid",IF(L968&gt;0,"Part Paid","Unpaid")))</f>
        <v/>
      </c>
      <c r="O968">
        <f>IF(E968="","",IFERROR(_xludf.MAXIFS(PAYMENTS!A:A,PAYMENTS!C:C,E968),""))</f>
        <v/>
      </c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>
        <f>IF(E969="","",SUMIF(PAYMENTS!C:C,E969,PAYMENTS!E:E))</f>
        <v/>
      </c>
      <c r="M969">
        <f>IF(E969="","",J969-L969)</f>
        <v/>
      </c>
      <c r="N969">
        <f>IF(E969="","",IF(M969&lt;=0,"Paid",IF(L969&gt;0,"Part Paid","Unpaid")))</f>
        <v/>
      </c>
      <c r="O969">
        <f>IF(E969="","",IFERROR(_xludf.MAXIFS(PAYMENTS!A:A,PAYMENTS!C:C,E969),""))</f>
        <v/>
      </c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>
        <f>IF(E970="","",SUMIF(PAYMENTS!C:C,E970,PAYMENTS!E:E))</f>
        <v/>
      </c>
      <c r="M970">
        <f>IF(E970="","",J970-L970)</f>
        <v/>
      </c>
      <c r="N970">
        <f>IF(E970="","",IF(M970&lt;=0,"Paid",IF(L970&gt;0,"Part Paid","Unpaid")))</f>
        <v/>
      </c>
      <c r="O970">
        <f>IF(E970="","",IFERROR(_xludf.MAXIFS(PAYMENTS!A:A,PAYMENTS!C:C,E970),""))</f>
        <v/>
      </c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>
        <f>IF(E971="","",SUMIF(PAYMENTS!C:C,E971,PAYMENTS!E:E))</f>
        <v/>
      </c>
      <c r="M971">
        <f>IF(E971="","",J971-L971)</f>
        <v/>
      </c>
      <c r="N971">
        <f>IF(E971="","",IF(M971&lt;=0,"Paid",IF(L971&gt;0,"Part Paid","Unpaid")))</f>
        <v/>
      </c>
      <c r="O971">
        <f>IF(E971="","",IFERROR(_xludf.MAXIFS(PAYMENTS!A:A,PAYMENTS!C:C,E971),""))</f>
        <v/>
      </c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>
        <f>IF(E972="","",SUMIF(PAYMENTS!C:C,E972,PAYMENTS!E:E))</f>
        <v/>
      </c>
      <c r="M972">
        <f>IF(E972="","",J972-L972)</f>
        <v/>
      </c>
      <c r="N972">
        <f>IF(E972="","",IF(M972&lt;=0,"Paid",IF(L972&gt;0,"Part Paid","Unpaid")))</f>
        <v/>
      </c>
      <c r="O972">
        <f>IF(E972="","",IFERROR(_xludf.MAXIFS(PAYMENTS!A:A,PAYMENTS!C:C,E972),""))</f>
        <v/>
      </c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>
        <f>IF(E973="","",SUMIF(PAYMENTS!C:C,E973,PAYMENTS!E:E))</f>
        <v/>
      </c>
      <c r="M973">
        <f>IF(E973="","",J973-L973)</f>
        <v/>
      </c>
      <c r="N973">
        <f>IF(E973="","",IF(M973&lt;=0,"Paid",IF(L973&gt;0,"Part Paid","Unpaid")))</f>
        <v/>
      </c>
      <c r="O973">
        <f>IF(E973="","",IFERROR(_xludf.MAXIFS(PAYMENTS!A:A,PAYMENTS!C:C,E973),""))</f>
        <v/>
      </c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>
        <f>IF(E974="","",SUMIF(PAYMENTS!C:C,E974,PAYMENTS!E:E))</f>
        <v/>
      </c>
      <c r="M974">
        <f>IF(E974="","",J974-L974)</f>
        <v/>
      </c>
      <c r="N974">
        <f>IF(E974="","",IF(M974&lt;=0,"Paid",IF(L974&gt;0,"Part Paid","Unpaid")))</f>
        <v/>
      </c>
      <c r="O974">
        <f>IF(E974="","",IFERROR(_xludf.MAXIFS(PAYMENTS!A:A,PAYMENTS!C:C,E974),""))</f>
        <v/>
      </c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>
        <f>IF(E975="","",SUMIF(PAYMENTS!C:C,E975,PAYMENTS!E:E))</f>
        <v/>
      </c>
      <c r="M975">
        <f>IF(E975="","",J975-L975)</f>
        <v/>
      </c>
      <c r="N975">
        <f>IF(E975="","",IF(M975&lt;=0,"Paid",IF(L975&gt;0,"Part Paid","Unpaid")))</f>
        <v/>
      </c>
      <c r="O975">
        <f>IF(E975="","",IFERROR(_xludf.MAXIFS(PAYMENTS!A:A,PAYMENTS!C:C,E975),""))</f>
        <v/>
      </c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>
        <f>IF(E976="","",SUMIF(PAYMENTS!C:C,E976,PAYMENTS!E:E))</f>
        <v/>
      </c>
      <c r="M976">
        <f>IF(E976="","",J976-L976)</f>
        <v/>
      </c>
      <c r="N976">
        <f>IF(E976="","",IF(M976&lt;=0,"Paid",IF(L976&gt;0,"Part Paid","Unpaid")))</f>
        <v/>
      </c>
      <c r="O976">
        <f>IF(E976="","",IFERROR(_xludf.MAXIFS(PAYMENTS!A:A,PAYMENTS!C:C,E976),""))</f>
        <v/>
      </c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>
        <f>IF(E977="","",SUMIF(PAYMENTS!C:C,E977,PAYMENTS!E:E))</f>
        <v/>
      </c>
      <c r="M977">
        <f>IF(E977="","",J977-L977)</f>
        <v/>
      </c>
      <c r="N977">
        <f>IF(E977="","",IF(M977&lt;=0,"Paid",IF(L977&gt;0,"Part Paid","Unpaid")))</f>
        <v/>
      </c>
      <c r="O977">
        <f>IF(E977="","",IFERROR(_xludf.MAXIFS(PAYMENTS!A:A,PAYMENTS!C:C,E977),""))</f>
        <v/>
      </c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>
        <f>IF(E978="","",SUMIF(PAYMENTS!C:C,E978,PAYMENTS!E:E))</f>
        <v/>
      </c>
      <c r="M978">
        <f>IF(E978="","",J978-L978)</f>
        <v/>
      </c>
      <c r="N978">
        <f>IF(E978="","",IF(M978&lt;=0,"Paid",IF(L978&gt;0,"Part Paid","Unpaid")))</f>
        <v/>
      </c>
      <c r="O978">
        <f>IF(E978="","",IFERROR(_xludf.MAXIFS(PAYMENTS!A:A,PAYMENTS!C:C,E978),""))</f>
        <v/>
      </c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>
        <f>IF(E979="","",SUMIF(PAYMENTS!C:C,E979,PAYMENTS!E:E))</f>
        <v/>
      </c>
      <c r="M979">
        <f>IF(E979="","",J979-L979)</f>
        <v/>
      </c>
      <c r="N979">
        <f>IF(E979="","",IF(M979&lt;=0,"Paid",IF(L979&gt;0,"Part Paid","Unpaid")))</f>
        <v/>
      </c>
      <c r="O979">
        <f>IF(E979="","",IFERROR(_xludf.MAXIFS(PAYMENTS!A:A,PAYMENTS!C:C,E979),""))</f>
        <v/>
      </c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>
        <f>IF(E980="","",SUMIF(PAYMENTS!C:C,E980,PAYMENTS!E:E))</f>
        <v/>
      </c>
      <c r="M980">
        <f>IF(E980="","",J980-L980)</f>
        <v/>
      </c>
      <c r="N980">
        <f>IF(E980="","",IF(M980&lt;=0,"Paid",IF(L980&gt;0,"Part Paid","Unpaid")))</f>
        <v/>
      </c>
      <c r="O980">
        <f>IF(E980="","",IFERROR(_xludf.MAXIFS(PAYMENTS!A:A,PAYMENTS!C:C,E980),""))</f>
        <v/>
      </c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>
        <f>IF(E981="","",SUMIF(PAYMENTS!C:C,E981,PAYMENTS!E:E))</f>
        <v/>
      </c>
      <c r="M981">
        <f>IF(E981="","",J981-L981)</f>
        <v/>
      </c>
      <c r="N981">
        <f>IF(E981="","",IF(M981&lt;=0,"Paid",IF(L981&gt;0,"Part Paid","Unpaid")))</f>
        <v/>
      </c>
      <c r="O981">
        <f>IF(E981="","",IFERROR(_xludf.MAXIFS(PAYMENTS!A:A,PAYMENTS!C:C,E981),""))</f>
        <v/>
      </c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>
        <f>IF(E982="","",SUMIF(PAYMENTS!C:C,E982,PAYMENTS!E:E))</f>
        <v/>
      </c>
      <c r="M982">
        <f>IF(E982="","",J982-L982)</f>
        <v/>
      </c>
      <c r="N982">
        <f>IF(E982="","",IF(M982&lt;=0,"Paid",IF(L982&gt;0,"Part Paid","Unpaid")))</f>
        <v/>
      </c>
      <c r="O982">
        <f>IF(E982="","",IFERROR(_xludf.MAXIFS(PAYMENTS!A:A,PAYMENTS!C:C,E982),""))</f>
        <v/>
      </c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>
        <f>IF(E983="","",SUMIF(PAYMENTS!C:C,E983,PAYMENTS!E:E))</f>
        <v/>
      </c>
      <c r="M983">
        <f>IF(E983="","",J983-L983)</f>
        <v/>
      </c>
      <c r="N983">
        <f>IF(E983="","",IF(M983&lt;=0,"Paid",IF(L983&gt;0,"Part Paid","Unpaid")))</f>
        <v/>
      </c>
      <c r="O983">
        <f>IF(E983="","",IFERROR(_xludf.MAXIFS(PAYMENTS!A:A,PAYMENTS!C:C,E983),""))</f>
        <v/>
      </c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>
        <f>IF(E984="","",SUMIF(PAYMENTS!C:C,E984,PAYMENTS!E:E))</f>
        <v/>
      </c>
      <c r="M984">
        <f>IF(E984="","",J984-L984)</f>
        <v/>
      </c>
      <c r="N984">
        <f>IF(E984="","",IF(M984&lt;=0,"Paid",IF(L984&gt;0,"Part Paid","Unpaid")))</f>
        <v/>
      </c>
      <c r="O984">
        <f>IF(E984="","",IFERROR(_xludf.MAXIFS(PAYMENTS!A:A,PAYMENTS!C:C,E984),""))</f>
        <v/>
      </c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>
        <f>IF(E985="","",SUMIF(PAYMENTS!C:C,E985,PAYMENTS!E:E))</f>
        <v/>
      </c>
      <c r="M985">
        <f>IF(E985="","",J985-L985)</f>
        <v/>
      </c>
      <c r="N985">
        <f>IF(E985="","",IF(M985&lt;=0,"Paid",IF(L985&gt;0,"Part Paid","Unpaid")))</f>
        <v/>
      </c>
      <c r="O985">
        <f>IF(E985="","",IFERROR(_xludf.MAXIFS(PAYMENTS!A:A,PAYMENTS!C:C,E985),""))</f>
        <v/>
      </c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>
        <f>IF(E986="","",SUMIF(PAYMENTS!C:C,E986,PAYMENTS!E:E))</f>
        <v/>
      </c>
      <c r="M986">
        <f>IF(E986="","",J986-L986)</f>
        <v/>
      </c>
      <c r="N986">
        <f>IF(E986="","",IF(M986&lt;=0,"Paid",IF(L986&gt;0,"Part Paid","Unpaid")))</f>
        <v/>
      </c>
      <c r="O986">
        <f>IF(E986="","",IFERROR(_xludf.MAXIFS(PAYMENTS!A:A,PAYMENTS!C:C,E986),""))</f>
        <v/>
      </c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>
        <f>IF(E987="","",SUMIF(PAYMENTS!C:C,E987,PAYMENTS!E:E))</f>
        <v/>
      </c>
      <c r="M987">
        <f>IF(E987="","",J987-L987)</f>
        <v/>
      </c>
      <c r="N987">
        <f>IF(E987="","",IF(M987&lt;=0,"Paid",IF(L987&gt;0,"Part Paid","Unpaid")))</f>
        <v/>
      </c>
      <c r="O987">
        <f>IF(E987="","",IFERROR(_xludf.MAXIFS(PAYMENTS!A:A,PAYMENTS!C:C,E987),""))</f>
        <v/>
      </c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>
        <f>IF(E988="","",SUMIF(PAYMENTS!C:C,E988,PAYMENTS!E:E))</f>
        <v/>
      </c>
      <c r="M988">
        <f>IF(E988="","",J988-L988)</f>
        <v/>
      </c>
      <c r="N988">
        <f>IF(E988="","",IF(M988&lt;=0,"Paid",IF(L988&gt;0,"Part Paid","Unpaid")))</f>
        <v/>
      </c>
      <c r="O988">
        <f>IF(E988="","",IFERROR(_xludf.MAXIFS(PAYMENTS!A:A,PAYMENTS!C:C,E988),""))</f>
        <v/>
      </c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>
        <f>IF(E989="","",SUMIF(PAYMENTS!C:C,E989,PAYMENTS!E:E))</f>
        <v/>
      </c>
      <c r="M989">
        <f>IF(E989="","",J989-L989)</f>
        <v/>
      </c>
      <c r="N989">
        <f>IF(E989="","",IF(M989&lt;=0,"Paid",IF(L989&gt;0,"Part Paid","Unpaid")))</f>
        <v/>
      </c>
      <c r="O989">
        <f>IF(E989="","",IFERROR(_xludf.MAXIFS(PAYMENTS!A:A,PAYMENTS!C:C,E989),""))</f>
        <v/>
      </c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>
        <f>IF(E990="","",SUMIF(PAYMENTS!C:C,E990,PAYMENTS!E:E))</f>
        <v/>
      </c>
      <c r="M990">
        <f>IF(E990="","",J990-L990)</f>
        <v/>
      </c>
      <c r="N990">
        <f>IF(E990="","",IF(M990&lt;=0,"Paid",IF(L990&gt;0,"Part Paid","Unpaid")))</f>
        <v/>
      </c>
      <c r="O990">
        <f>IF(E990="","",IFERROR(_xludf.MAXIFS(PAYMENTS!A:A,PAYMENTS!C:C,E990),""))</f>
        <v/>
      </c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>
        <f>IF(E991="","",SUMIF(PAYMENTS!C:C,E991,PAYMENTS!E:E))</f>
        <v/>
      </c>
      <c r="M991">
        <f>IF(E991="","",J991-L991)</f>
        <v/>
      </c>
      <c r="N991">
        <f>IF(E991="","",IF(M991&lt;=0,"Paid",IF(L991&gt;0,"Part Paid","Unpaid")))</f>
        <v/>
      </c>
      <c r="O991">
        <f>IF(E991="","",IFERROR(_xludf.MAXIFS(PAYMENTS!A:A,PAYMENTS!C:C,E991),""))</f>
        <v/>
      </c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>
        <f>IF(E992="","",SUMIF(PAYMENTS!C:C,E992,PAYMENTS!E:E))</f>
        <v/>
      </c>
      <c r="M992">
        <f>IF(E992="","",J992-L992)</f>
        <v/>
      </c>
      <c r="N992">
        <f>IF(E992="","",IF(M992&lt;=0,"Paid",IF(L992&gt;0,"Part Paid","Unpaid")))</f>
        <v/>
      </c>
      <c r="O992">
        <f>IF(E992="","",IFERROR(_xludf.MAXIFS(PAYMENTS!A:A,PAYMENTS!C:C,E992),""))</f>
        <v/>
      </c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>
        <f>IF(E993="","",SUMIF(PAYMENTS!C:C,E993,PAYMENTS!E:E))</f>
        <v/>
      </c>
      <c r="M993">
        <f>IF(E993="","",J993-L993)</f>
        <v/>
      </c>
      <c r="N993">
        <f>IF(E993="","",IF(M993&lt;=0,"Paid",IF(L993&gt;0,"Part Paid","Unpaid")))</f>
        <v/>
      </c>
      <c r="O993">
        <f>IF(E993="","",IFERROR(_xludf.MAXIFS(PAYMENTS!A:A,PAYMENTS!C:C,E993),""))</f>
        <v/>
      </c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>
        <f>IF(E994="","",SUMIF(PAYMENTS!C:C,E994,PAYMENTS!E:E))</f>
        <v/>
      </c>
      <c r="M994">
        <f>IF(E994="","",J994-L994)</f>
        <v/>
      </c>
      <c r="N994">
        <f>IF(E994="","",IF(M994&lt;=0,"Paid",IF(L994&gt;0,"Part Paid","Unpaid")))</f>
        <v/>
      </c>
      <c r="O994">
        <f>IF(E994="","",IFERROR(_xludf.MAXIFS(PAYMENTS!A:A,PAYMENTS!C:C,E994),""))</f>
        <v/>
      </c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>
        <f>IF(E995="","",SUMIF(PAYMENTS!C:C,E995,PAYMENTS!E:E))</f>
        <v/>
      </c>
      <c r="M995">
        <f>IF(E995="","",J995-L995)</f>
        <v/>
      </c>
      <c r="N995">
        <f>IF(E995="","",IF(M995&lt;=0,"Paid",IF(L995&gt;0,"Part Paid","Unpaid")))</f>
        <v/>
      </c>
      <c r="O995">
        <f>IF(E995="","",IFERROR(_xludf.MAXIFS(PAYMENTS!A:A,PAYMENTS!C:C,E995),""))</f>
        <v/>
      </c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>
        <f>IF(E996="","",SUMIF(PAYMENTS!C:C,E996,PAYMENTS!E:E))</f>
        <v/>
      </c>
      <c r="M996">
        <f>IF(E996="","",J996-L996)</f>
        <v/>
      </c>
      <c r="N996">
        <f>IF(E996="","",IF(M996&lt;=0,"Paid",IF(L996&gt;0,"Part Paid","Unpaid")))</f>
        <v/>
      </c>
      <c r="O996">
        <f>IF(E996="","",IFERROR(_xludf.MAXIFS(PAYMENTS!A:A,PAYMENTS!C:C,E996),""))</f>
        <v/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>
        <f>IF(E997="","",SUMIF(PAYMENTS!C:C,E997,PAYMENTS!E:E))</f>
        <v/>
      </c>
      <c r="M997">
        <f>IF(E997="","",J997-L997)</f>
        <v/>
      </c>
      <c r="N997">
        <f>IF(E997="","",IF(M997&lt;=0,"Paid",IF(L997&gt;0,"Part Paid","Unpaid")))</f>
        <v/>
      </c>
      <c r="O997">
        <f>IF(E997="","",IFERROR(_xludf.MAXIFS(PAYMENTS!A:A,PAYMENTS!C:C,E997),""))</f>
        <v/>
      </c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>
        <f>IF(E998="","",SUMIF(PAYMENTS!C:C,E998,PAYMENTS!E:E))</f>
        <v/>
      </c>
      <c r="M998">
        <f>IF(E998="","",J998-L998)</f>
        <v/>
      </c>
      <c r="N998">
        <f>IF(E998="","",IF(M998&lt;=0,"Paid",IF(L998&gt;0,"Part Paid","Unpaid")))</f>
        <v/>
      </c>
      <c r="O998">
        <f>IF(E998="","",IFERROR(_xludf.MAXIFS(PAYMENTS!A:A,PAYMENTS!C:C,E998),""))</f>
        <v/>
      </c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>
        <f>IF(E999="","",SUMIF(PAYMENTS!C:C,E999,PAYMENTS!E:E))</f>
        <v/>
      </c>
      <c r="M999">
        <f>IF(E999="","",J999-L999)</f>
        <v/>
      </c>
      <c r="N999">
        <f>IF(E999="","",IF(M999&lt;=0,"Paid",IF(L999&gt;0,"Part Paid","Unpaid")))</f>
        <v/>
      </c>
      <c r="O999">
        <f>IF(E999="","",IFERROR(_xludf.MAXIFS(PAYMENTS!A:A,PAYMENTS!C:C,E999),""))</f>
        <v/>
      </c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>
        <f>IF(E1000="","",SUMIF(PAYMENTS!C:C,E1000,PAYMENTS!E:E))</f>
        <v/>
      </c>
      <c r="M1000">
        <f>IF(E1000="","",J1000-L1000)</f>
        <v/>
      </c>
      <c r="N1000">
        <f>IF(E1000="","",IF(M1000&lt;=0,"Paid",IF(L1000&gt;0,"Part Paid","Unpaid")))</f>
        <v/>
      </c>
      <c r="O1000">
        <f>IF(E1000="","",IFERROR(_xludf.MAXIFS(PAYMENTS!A:A,PAYMENTS!C:C,E1000),""))</f>
        <v/>
      </c>
    </row>
  </sheetData>
  <conditionalFormatting sqref="N2:N1000">
    <cfRule type="cellIs" priority="1" operator="equal" dxfId="1">
      <formula>"Unpaid"</formula>
    </cfRule>
    <cfRule type="cellIs" priority="2" operator="equal" dxfId="5">
      <formula>"Part Paid"</formula>
    </cfRule>
    <cfRule type="cellIs" priority="3" operator="equal" dxfId="0">
      <formula>"Paid"</formula>
    </cfRule>
  </conditionalFormatting>
  <dataValidations count="1">
    <dataValidation sqref="K2:K1000" showDropDown="0" showInputMessage="0" showErrorMessage="0" allowBlank="0" type="list">
      <formula1>"Pending,Approved,Rejected"</formula1>
    </dataValidation>
  </dataValidations>
  <pageMargins left="0.75" right="0.75" top="1" bottom="1" header="0.5" footer="0.5"/>
  <pageSetup orientation="portrait" scale="52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Registration Date</t>
        </is>
      </c>
      <c r="B1" s="1" t="inlineStr">
        <is>
          <t>Year</t>
        </is>
      </c>
      <c r="C1" s="1" t="inlineStr">
        <is>
          <t>Grade</t>
        </is>
      </c>
      <c r="D1" s="1" t="inlineStr">
        <is>
          <t>Applicant Sequence</t>
        </is>
      </c>
      <c r="E1" s="1" t="inlineStr">
        <is>
          <t>Student Number</t>
        </is>
      </c>
      <c r="F1" s="1" t="inlineStr">
        <is>
          <t>Full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Package Name</t>
        </is>
      </c>
      <c r="J1" s="1" t="inlineStr">
        <is>
          <t>Total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2" customWidth="1" style="10" min="2" max="2"/>
    <col width="18" customWidth="1" style="10" min="3" max="3"/>
    <col width="28" customWidth="1" style="10" min="4" max="4"/>
    <col width="10" customWidth="1" style="10" min="5" max="5"/>
    <col width="12" customWidth="1" style="10" min="6" max="6"/>
    <col width="14" customWidth="1" style="10" min="7" max="7"/>
    <col width="22" customWidth="1" style="10" min="8" max="8"/>
    <col width="26" customWidth="1" style="10" min="9" max="9"/>
  </cols>
  <sheetData>
    <row r="1" ht="28.8" customHeight="1" s="10">
      <c r="A1" s="12" t="inlineStr">
        <is>
          <t>Session Date</t>
        </is>
      </c>
      <c r="B1" s="12" t="inlineStr">
        <is>
          <t>Grade (auto)</t>
        </is>
      </c>
      <c r="C1" s="12" t="inlineStr">
        <is>
          <t>Student Number</t>
        </is>
      </c>
      <c r="D1" s="12" t="inlineStr">
        <is>
          <t>Learner Name (auto)</t>
        </is>
      </c>
      <c r="E1" s="12" t="inlineStr">
        <is>
          <t>Present?</t>
        </is>
      </c>
      <c r="F1" s="12" t="inlineStr">
        <is>
          <t>Arrival Time</t>
        </is>
      </c>
      <c r="G1" s="12" t="inlineStr">
        <is>
          <t>Departure Time</t>
        </is>
      </c>
      <c r="H1" s="12" t="inlineStr">
        <is>
          <t>Reason (if absent)</t>
        </is>
      </c>
      <c r="I1" s="12" t="inlineStr">
        <is>
          <t>Notes</t>
        </is>
      </c>
    </row>
    <row r="2">
      <c r="B2" s="4">
        <f>IFERROR(_xludf.XLOOKUP(C2,MASTER_REGISTER!E:E,MASTER_REGISTER!C:C,""),"")</f>
        <v/>
      </c>
      <c r="C2" s="4" t="n"/>
      <c r="D2">
        <f>IFERROR(_xludf.XLOOKUP(C2,MASTER_REGISTER!E:E,MASTER_REGISTER!F:F,""),"")</f>
        <v/>
      </c>
      <c r="E2" s="4" t="n"/>
    </row>
    <row r="3">
      <c r="B3" s="4">
        <f>IFERROR(_xludf.XLOOKUP(C3,MASTER_REGISTER!E:E,MASTER_REGISTER!C:C,""),"")</f>
        <v/>
      </c>
      <c r="C3" s="4" t="n"/>
      <c r="D3">
        <f>IFERROR(_xludf.XLOOKUP(C3,MASTER_REGISTER!E:E,MASTER_REGISTER!F:F,""),"")</f>
        <v/>
      </c>
      <c r="E3" s="4" t="n"/>
    </row>
    <row r="4">
      <c r="B4" s="4">
        <f>IFERROR(_xludf.XLOOKUP(C4,MASTER_REGISTER!E:E,MASTER_REGISTER!C:C,""),"")</f>
        <v/>
      </c>
      <c r="C4" s="4" t="n"/>
      <c r="D4">
        <f>IFERROR(_xludf.XLOOKUP(C4,MASTER_REGISTER!E:E,MASTER_REGISTER!F:F,""),"")</f>
        <v/>
      </c>
      <c r="E4" s="4" t="n"/>
    </row>
    <row r="5">
      <c r="B5" s="4">
        <f>IFERROR(_xludf.XLOOKUP(C5,MASTER_REGISTER!E:E,MASTER_REGISTER!C:C,""),"")</f>
        <v/>
      </c>
      <c r="C5" s="4" t="n"/>
      <c r="D5">
        <f>IFERROR(_xludf.XLOOKUP(C5,MASTER_REGISTER!E:E,MASTER_REGISTER!F:F,""),"")</f>
        <v/>
      </c>
      <c r="E5" s="4" t="n"/>
    </row>
    <row r="6">
      <c r="B6" s="4">
        <f>IFERROR(_xludf.XLOOKUP(C6,MASTER_REGISTER!E:E,MASTER_REGISTER!C:C,""),"")</f>
        <v/>
      </c>
      <c r="C6" s="4" t="n"/>
      <c r="D6">
        <f>IFERROR(_xludf.XLOOKUP(C6,MASTER_REGISTER!E:E,MASTER_REGISTER!F:F,""),"")</f>
        <v/>
      </c>
      <c r="E6" s="4" t="n"/>
    </row>
    <row r="7">
      <c r="B7" s="4">
        <f>IFERROR(_xludf.XLOOKUP(C7,MASTER_REGISTER!E:E,MASTER_REGISTER!C:C,""),"")</f>
        <v/>
      </c>
      <c r="C7" s="4" t="n"/>
      <c r="D7">
        <f>IFERROR(_xludf.XLOOKUP(C7,MASTER_REGISTER!E:E,MASTER_REGISTER!F:F,""),"")</f>
        <v/>
      </c>
      <c r="E7" s="4" t="n"/>
    </row>
    <row r="8">
      <c r="B8" s="4">
        <f>IFERROR(_xludf.XLOOKUP(C8,MASTER_REGISTER!E:E,MASTER_REGISTER!C:C,""),"")</f>
        <v/>
      </c>
      <c r="C8" s="4" t="n"/>
      <c r="D8">
        <f>IFERROR(_xludf.XLOOKUP(C8,MASTER_REGISTER!E:E,MASTER_REGISTER!F:F,""),"")</f>
        <v/>
      </c>
      <c r="E8" s="4" t="n"/>
    </row>
    <row r="9">
      <c r="B9" s="4">
        <f>IFERROR(_xludf.XLOOKUP(C9,MASTER_REGISTER!E:E,MASTER_REGISTER!C:C,""),"")</f>
        <v/>
      </c>
      <c r="C9" s="4" t="n"/>
      <c r="D9">
        <f>IFERROR(_xludf.XLOOKUP(C9,MASTER_REGISTER!E:E,MASTER_REGISTER!F:F,""),"")</f>
        <v/>
      </c>
      <c r="E9" s="4" t="n"/>
    </row>
    <row r="10">
      <c r="B10" s="4">
        <f>IFERROR(_xludf.XLOOKUP(C10,MASTER_REGISTER!E:E,MASTER_REGISTER!C:C,""),"")</f>
        <v/>
      </c>
      <c r="C10" s="4" t="n"/>
      <c r="D10">
        <f>IFERROR(_xludf.XLOOKUP(C10,MASTER_REGISTER!E:E,MASTER_REGISTER!F:F,""),"")</f>
        <v/>
      </c>
      <c r="E10" s="4" t="n"/>
    </row>
    <row r="11">
      <c r="B11" s="4">
        <f>IFERROR(_xludf.XLOOKUP(C11,MASTER_REGISTER!E:E,MASTER_REGISTER!C:C,""),"")</f>
        <v/>
      </c>
      <c r="C11" s="4" t="n"/>
      <c r="D11">
        <f>IFERROR(_xludf.XLOOKUP(C11,MASTER_REGISTER!E:E,MASTER_REGISTER!F:F,""),"")</f>
        <v/>
      </c>
      <c r="E11" s="4" t="n"/>
    </row>
    <row r="12">
      <c r="B12" s="4">
        <f>IFERROR(_xludf.XLOOKUP(C12,MASTER_REGISTER!E:E,MASTER_REGISTER!C:C,""),"")</f>
        <v/>
      </c>
      <c r="C12" s="4" t="n"/>
      <c r="D12">
        <f>IFERROR(_xludf.XLOOKUP(C12,MASTER_REGISTER!E:E,MASTER_REGISTER!F:F,""),"")</f>
        <v/>
      </c>
      <c r="E12" s="4" t="n"/>
    </row>
    <row r="13">
      <c r="B13" s="4">
        <f>IFERROR(_xludf.XLOOKUP(C13,MASTER_REGISTER!E:E,MASTER_REGISTER!C:C,""),"")</f>
        <v/>
      </c>
      <c r="C13" s="4" t="n"/>
      <c r="D13">
        <f>IFERROR(_xludf.XLOOKUP(C13,MASTER_REGISTER!E:E,MASTER_REGISTER!F:F,""),"")</f>
        <v/>
      </c>
      <c r="E13" s="4" t="n"/>
    </row>
    <row r="14">
      <c r="B14" s="4">
        <f>IFERROR(_xludf.XLOOKUP(C14,MASTER_REGISTER!E:E,MASTER_REGISTER!C:C,""),"")</f>
        <v/>
      </c>
      <c r="C14" s="4" t="n"/>
      <c r="D14">
        <f>IFERROR(_xludf.XLOOKUP(C14,MASTER_REGISTER!E:E,MASTER_REGISTER!F:F,""),"")</f>
        <v/>
      </c>
      <c r="E14" s="4" t="n"/>
    </row>
    <row r="15">
      <c r="B15" s="4">
        <f>IFERROR(_xludf.XLOOKUP(C15,MASTER_REGISTER!E:E,MASTER_REGISTER!C:C,""),"")</f>
        <v/>
      </c>
      <c r="C15" s="4" t="n"/>
      <c r="D15">
        <f>IFERROR(_xludf.XLOOKUP(C15,MASTER_REGISTER!E:E,MASTER_REGISTER!F:F,""),"")</f>
        <v/>
      </c>
      <c r="E15" s="4" t="n"/>
    </row>
    <row r="16">
      <c r="B16" s="4">
        <f>IFERROR(_xludf.XLOOKUP(C16,MASTER_REGISTER!E:E,MASTER_REGISTER!C:C,""),"")</f>
        <v/>
      </c>
      <c r="C16" s="4" t="n"/>
      <c r="D16">
        <f>IFERROR(_xludf.XLOOKUP(C16,MASTER_REGISTER!E:E,MASTER_REGISTER!F:F,""),"")</f>
        <v/>
      </c>
      <c r="E16" s="4" t="n"/>
    </row>
    <row r="17">
      <c r="B17" s="4">
        <f>IFERROR(_xludf.XLOOKUP(C17,MASTER_REGISTER!E:E,MASTER_REGISTER!C:C,""),"")</f>
        <v/>
      </c>
      <c r="C17" s="4" t="n"/>
      <c r="D17">
        <f>IFERROR(_xludf.XLOOKUP(C17,MASTER_REGISTER!E:E,MASTER_REGISTER!F:F,""),"")</f>
        <v/>
      </c>
      <c r="E17" s="4" t="n"/>
    </row>
    <row r="18">
      <c r="B18" s="4">
        <f>IFERROR(_xludf.XLOOKUP(C18,MASTER_REGISTER!E:E,MASTER_REGISTER!C:C,""),"")</f>
        <v/>
      </c>
      <c r="C18" s="4" t="n"/>
      <c r="D18">
        <f>IFERROR(_xludf.XLOOKUP(C18,MASTER_REGISTER!E:E,MASTER_REGISTER!F:F,""),"")</f>
        <v/>
      </c>
      <c r="E18" s="4" t="n"/>
    </row>
    <row r="19">
      <c r="B19" s="4">
        <f>IFERROR(_xludf.XLOOKUP(C19,MASTER_REGISTER!E:E,MASTER_REGISTER!C:C,""),"")</f>
        <v/>
      </c>
      <c r="C19" s="4" t="n"/>
      <c r="D19">
        <f>IFERROR(_xludf.XLOOKUP(C19,MASTER_REGISTER!E:E,MASTER_REGISTER!F:F,""),"")</f>
        <v/>
      </c>
      <c r="E19" s="4" t="n"/>
    </row>
    <row r="20">
      <c r="B20" s="4">
        <f>IFERROR(_xludf.XLOOKUP(C20,MASTER_REGISTER!E:E,MASTER_REGISTER!C:C,""),"")</f>
        <v/>
      </c>
      <c r="C20" s="4" t="n"/>
      <c r="D20">
        <f>IFERROR(_xludf.XLOOKUP(C20,MASTER_REGISTER!E:E,MASTER_REGISTER!F:F,""),"")</f>
        <v/>
      </c>
      <c r="E20" s="4" t="n"/>
    </row>
    <row r="21">
      <c r="B21" s="4">
        <f>IFERROR(_xludf.XLOOKUP(C21,MASTER_REGISTER!E:E,MASTER_REGISTER!C:C,""),"")</f>
        <v/>
      </c>
      <c r="C21" s="4" t="n"/>
      <c r="D21">
        <f>IFERROR(_xludf.XLOOKUP(C21,MASTER_REGISTER!E:E,MASTER_REGISTER!F:F,""),"")</f>
        <v/>
      </c>
      <c r="E21" s="4" t="n"/>
    </row>
    <row r="22">
      <c r="B22" s="4">
        <f>IFERROR(_xludf.XLOOKUP(C22,MASTER_REGISTER!E:E,MASTER_REGISTER!C:C,""),"")</f>
        <v/>
      </c>
      <c r="C22" s="4" t="n"/>
      <c r="D22">
        <f>IFERROR(_xludf.XLOOKUP(C22,MASTER_REGISTER!E:E,MASTER_REGISTER!F:F,""),"")</f>
        <v/>
      </c>
      <c r="E22" s="4" t="n"/>
    </row>
    <row r="23">
      <c r="B23" s="4">
        <f>IFERROR(_xludf.XLOOKUP(C23,MASTER_REGISTER!E:E,MASTER_REGISTER!C:C,""),"")</f>
        <v/>
      </c>
      <c r="C23" s="4" t="n"/>
      <c r="D23">
        <f>IFERROR(_xludf.XLOOKUP(C23,MASTER_REGISTER!E:E,MASTER_REGISTER!F:F,""),"")</f>
        <v/>
      </c>
      <c r="E23" s="4" t="n"/>
    </row>
    <row r="24">
      <c r="B24" s="4">
        <f>IFERROR(_xludf.XLOOKUP(C24,MASTER_REGISTER!E:E,MASTER_REGISTER!C:C,""),"")</f>
        <v/>
      </c>
      <c r="C24" s="4" t="n"/>
      <c r="D24">
        <f>IFERROR(_xludf.XLOOKUP(C24,MASTER_REGISTER!E:E,MASTER_REGISTER!F:F,""),"")</f>
        <v/>
      </c>
      <c r="E24" s="4" t="n"/>
    </row>
    <row r="25">
      <c r="B25" s="4">
        <f>IFERROR(_xludf.XLOOKUP(C25,MASTER_REGISTER!E:E,MASTER_REGISTER!C:C,""),"")</f>
        <v/>
      </c>
      <c r="C25" s="4" t="n"/>
      <c r="D25">
        <f>IFERROR(_xludf.XLOOKUP(C25,MASTER_REGISTER!E:E,MASTER_REGISTER!F:F,""),"")</f>
        <v/>
      </c>
      <c r="E25" s="4" t="n"/>
    </row>
    <row r="26">
      <c r="B26" s="4">
        <f>IFERROR(_xludf.XLOOKUP(C26,MASTER_REGISTER!E:E,MASTER_REGISTER!C:C,""),"")</f>
        <v/>
      </c>
      <c r="C26" s="4" t="n"/>
      <c r="D26">
        <f>IFERROR(_xludf.XLOOKUP(C26,MASTER_REGISTER!E:E,MASTER_REGISTER!F:F,""),"")</f>
        <v/>
      </c>
      <c r="E26" s="4" t="n"/>
    </row>
    <row r="27">
      <c r="B27" s="4">
        <f>IFERROR(_xludf.XLOOKUP(C27,MASTER_REGISTER!E:E,MASTER_REGISTER!C:C,""),"")</f>
        <v/>
      </c>
      <c r="C27" s="4" t="n"/>
      <c r="D27">
        <f>IFERROR(_xludf.XLOOKUP(C27,MASTER_REGISTER!E:E,MASTER_REGISTER!F:F,""),"")</f>
        <v/>
      </c>
      <c r="E27" s="4" t="n"/>
    </row>
    <row r="28">
      <c r="B28" s="4">
        <f>IFERROR(_xludf.XLOOKUP(C28,MASTER_REGISTER!E:E,MASTER_REGISTER!C:C,""),"")</f>
        <v/>
      </c>
      <c r="C28" s="4" t="n"/>
      <c r="D28">
        <f>IFERROR(_xludf.XLOOKUP(C28,MASTER_REGISTER!E:E,MASTER_REGISTER!F:F,""),"")</f>
        <v/>
      </c>
      <c r="E28" s="4" t="n"/>
    </row>
    <row r="29">
      <c r="B29" s="4">
        <f>IFERROR(_xludf.XLOOKUP(C29,MASTER_REGISTER!E:E,MASTER_REGISTER!C:C,""),"")</f>
        <v/>
      </c>
      <c r="C29" s="4" t="n"/>
      <c r="D29">
        <f>IFERROR(_xludf.XLOOKUP(C29,MASTER_REGISTER!E:E,MASTER_REGISTER!F:F,""),"")</f>
        <v/>
      </c>
      <c r="E29" s="4" t="n"/>
    </row>
    <row r="30">
      <c r="B30" s="4">
        <f>IFERROR(_xludf.XLOOKUP(C30,MASTER_REGISTER!E:E,MASTER_REGISTER!C:C,""),"")</f>
        <v/>
      </c>
      <c r="C30" s="4" t="n"/>
      <c r="D30">
        <f>IFERROR(_xludf.XLOOKUP(C30,MASTER_REGISTER!E:E,MASTER_REGISTER!F:F,""),"")</f>
        <v/>
      </c>
      <c r="E30" s="4" t="n"/>
    </row>
    <row r="31">
      <c r="B31" s="4">
        <f>IFERROR(_xludf.XLOOKUP(C31,MASTER_REGISTER!E:E,MASTER_REGISTER!C:C,""),"")</f>
        <v/>
      </c>
      <c r="C31" s="4" t="n"/>
      <c r="D31">
        <f>IFERROR(_xludf.XLOOKUP(C31,MASTER_REGISTER!E:E,MASTER_REGISTER!F:F,""),"")</f>
        <v/>
      </c>
      <c r="E31" s="4" t="n"/>
    </row>
    <row r="32">
      <c r="B32" s="4">
        <f>IFERROR(_xludf.XLOOKUP(C32,MASTER_REGISTER!E:E,MASTER_REGISTER!C:C,""),"")</f>
        <v/>
      </c>
      <c r="C32" s="4" t="n"/>
      <c r="D32">
        <f>IFERROR(_xludf.XLOOKUP(C32,MASTER_REGISTER!E:E,MASTER_REGISTER!F:F,""),"")</f>
        <v/>
      </c>
      <c r="E32" s="4" t="n"/>
    </row>
    <row r="33">
      <c r="B33" s="4">
        <f>IFERROR(_xludf.XLOOKUP(C33,MASTER_REGISTER!E:E,MASTER_REGISTER!C:C,""),"")</f>
        <v/>
      </c>
      <c r="C33" s="4" t="n"/>
      <c r="D33">
        <f>IFERROR(_xludf.XLOOKUP(C33,MASTER_REGISTER!E:E,MASTER_REGISTER!F:F,""),"")</f>
        <v/>
      </c>
      <c r="E33" s="4" t="n"/>
    </row>
    <row r="34">
      <c r="B34" s="4">
        <f>IFERROR(_xludf.XLOOKUP(C34,MASTER_REGISTER!E:E,MASTER_REGISTER!C:C,""),"")</f>
        <v/>
      </c>
      <c r="C34" s="4" t="n"/>
      <c r="D34">
        <f>IFERROR(_xludf.XLOOKUP(C34,MASTER_REGISTER!E:E,MASTER_REGISTER!F:F,""),"")</f>
        <v/>
      </c>
      <c r="E34" s="4" t="n"/>
    </row>
    <row r="35">
      <c r="B35" s="4">
        <f>IFERROR(_xludf.XLOOKUP(C35,MASTER_REGISTER!E:E,MASTER_REGISTER!C:C,""),"")</f>
        <v/>
      </c>
      <c r="C35" s="4" t="n"/>
      <c r="D35">
        <f>IFERROR(_xludf.XLOOKUP(C35,MASTER_REGISTER!E:E,MASTER_REGISTER!F:F,""),"")</f>
        <v/>
      </c>
      <c r="E35" s="4" t="n"/>
    </row>
    <row r="36">
      <c r="B36" s="4">
        <f>IFERROR(_xludf.XLOOKUP(C36,MASTER_REGISTER!E:E,MASTER_REGISTER!C:C,""),"")</f>
        <v/>
      </c>
      <c r="C36" s="4" t="n"/>
      <c r="D36">
        <f>IFERROR(_xludf.XLOOKUP(C36,MASTER_REGISTER!E:E,MASTER_REGISTER!F:F,""),"")</f>
        <v/>
      </c>
      <c r="E36" s="4" t="n"/>
    </row>
    <row r="37">
      <c r="B37" s="4">
        <f>IFERROR(_xludf.XLOOKUP(C37,MASTER_REGISTER!E:E,MASTER_REGISTER!C:C,""),"")</f>
        <v/>
      </c>
      <c r="C37" s="4" t="n"/>
      <c r="D37">
        <f>IFERROR(_xludf.XLOOKUP(C37,MASTER_REGISTER!E:E,MASTER_REGISTER!F:F,""),"")</f>
        <v/>
      </c>
      <c r="E37" s="4" t="n"/>
    </row>
    <row r="38">
      <c r="B38" s="4">
        <f>IFERROR(_xludf.XLOOKUP(C38,MASTER_REGISTER!E:E,MASTER_REGISTER!C:C,""),"")</f>
        <v/>
      </c>
      <c r="C38" s="4" t="n"/>
      <c r="D38">
        <f>IFERROR(_xludf.XLOOKUP(C38,MASTER_REGISTER!E:E,MASTER_REGISTER!F:F,""),"")</f>
        <v/>
      </c>
      <c r="E38" s="4" t="n"/>
    </row>
    <row r="39">
      <c r="B39" s="4">
        <f>IFERROR(_xludf.XLOOKUP(C39,MASTER_REGISTER!E:E,MASTER_REGISTER!C:C,""),"")</f>
        <v/>
      </c>
      <c r="C39" s="4" t="n"/>
      <c r="D39">
        <f>IFERROR(_xludf.XLOOKUP(C39,MASTER_REGISTER!E:E,MASTER_REGISTER!F:F,""),"")</f>
        <v/>
      </c>
      <c r="E39" s="4" t="n"/>
    </row>
    <row r="40">
      <c r="B40" s="4">
        <f>IFERROR(_xludf.XLOOKUP(C40,MASTER_REGISTER!E:E,MASTER_REGISTER!C:C,""),"")</f>
        <v/>
      </c>
      <c r="C40" s="4" t="n"/>
      <c r="D40">
        <f>IFERROR(_xludf.XLOOKUP(C40,MASTER_REGISTER!E:E,MASTER_REGISTER!F:F,""),"")</f>
        <v/>
      </c>
      <c r="E40" s="4" t="n"/>
    </row>
    <row r="41">
      <c r="B41" s="4">
        <f>IFERROR(_xludf.XLOOKUP(C41,MASTER_REGISTER!E:E,MASTER_REGISTER!C:C,""),"")</f>
        <v/>
      </c>
      <c r="C41" s="4" t="n"/>
      <c r="D41">
        <f>IFERROR(_xludf.XLOOKUP(C41,MASTER_REGISTER!E:E,MASTER_REGISTER!F:F,""),"")</f>
        <v/>
      </c>
      <c r="E41" s="4" t="n"/>
    </row>
    <row r="42">
      <c r="B42" s="4">
        <f>IFERROR(_xludf.XLOOKUP(C42,MASTER_REGISTER!E:E,MASTER_REGISTER!C:C,""),"")</f>
        <v/>
      </c>
      <c r="C42" s="4" t="n"/>
      <c r="D42">
        <f>IFERROR(_xludf.XLOOKUP(C42,MASTER_REGISTER!E:E,MASTER_REGISTER!F:F,""),"")</f>
        <v/>
      </c>
      <c r="E42" s="4" t="n"/>
    </row>
    <row r="43">
      <c r="B43" s="4">
        <f>IFERROR(_xludf.XLOOKUP(C43,MASTER_REGISTER!E:E,MASTER_REGISTER!C:C,""),"")</f>
        <v/>
      </c>
      <c r="C43" s="4" t="n"/>
      <c r="D43">
        <f>IFERROR(_xludf.XLOOKUP(C43,MASTER_REGISTER!E:E,MASTER_REGISTER!F:F,""),"")</f>
        <v/>
      </c>
      <c r="E43" s="4" t="n"/>
    </row>
    <row r="44">
      <c r="B44" s="4">
        <f>IFERROR(_xludf.XLOOKUP(C44,MASTER_REGISTER!E:E,MASTER_REGISTER!C:C,""),"")</f>
        <v/>
      </c>
      <c r="C44" s="4" t="n"/>
      <c r="D44">
        <f>IFERROR(_xludf.XLOOKUP(C44,MASTER_REGISTER!E:E,MASTER_REGISTER!F:F,""),"")</f>
        <v/>
      </c>
      <c r="E44" s="4" t="n"/>
    </row>
    <row r="45">
      <c r="B45" s="4">
        <f>IFERROR(_xludf.XLOOKUP(C45,MASTER_REGISTER!E:E,MASTER_REGISTER!C:C,""),"")</f>
        <v/>
      </c>
      <c r="C45" s="4" t="n"/>
      <c r="D45">
        <f>IFERROR(_xludf.XLOOKUP(C45,MASTER_REGISTER!E:E,MASTER_REGISTER!F:F,""),"")</f>
        <v/>
      </c>
      <c r="E45" s="4" t="n"/>
    </row>
    <row r="46">
      <c r="B46" s="4">
        <f>IFERROR(_xludf.XLOOKUP(C46,MASTER_REGISTER!E:E,MASTER_REGISTER!C:C,""),"")</f>
        <v/>
      </c>
      <c r="C46" s="4" t="n"/>
      <c r="D46">
        <f>IFERROR(_xludf.XLOOKUP(C46,MASTER_REGISTER!E:E,MASTER_REGISTER!F:F,""),"")</f>
        <v/>
      </c>
      <c r="E46" s="4" t="n"/>
    </row>
    <row r="47">
      <c r="B47" s="4">
        <f>IFERROR(_xludf.XLOOKUP(C47,MASTER_REGISTER!E:E,MASTER_REGISTER!C:C,""),"")</f>
        <v/>
      </c>
      <c r="C47" s="4" t="n"/>
      <c r="D47">
        <f>IFERROR(_xludf.XLOOKUP(C47,MASTER_REGISTER!E:E,MASTER_REGISTER!F:F,""),"")</f>
        <v/>
      </c>
      <c r="E47" s="4" t="n"/>
    </row>
    <row r="48">
      <c r="B48" s="4">
        <f>IFERROR(_xludf.XLOOKUP(C48,MASTER_REGISTER!E:E,MASTER_REGISTER!C:C,""),"")</f>
        <v/>
      </c>
      <c r="C48" s="4" t="n"/>
      <c r="D48">
        <f>IFERROR(_xludf.XLOOKUP(C48,MASTER_REGISTER!E:E,MASTER_REGISTER!F:F,""),"")</f>
        <v/>
      </c>
      <c r="E48" s="4" t="n"/>
    </row>
    <row r="49">
      <c r="B49" s="4">
        <f>IFERROR(_xludf.XLOOKUP(C49,MASTER_REGISTER!E:E,MASTER_REGISTER!C:C,""),"")</f>
        <v/>
      </c>
      <c r="C49" s="4" t="n"/>
      <c r="D49">
        <f>IFERROR(_xludf.XLOOKUP(C49,MASTER_REGISTER!E:E,MASTER_REGISTER!F:F,""),"")</f>
        <v/>
      </c>
      <c r="E49" s="4" t="n"/>
    </row>
    <row r="50">
      <c r="B50" s="4">
        <f>IFERROR(_xludf.XLOOKUP(C50,MASTER_REGISTER!E:E,MASTER_REGISTER!C:C,""),"")</f>
        <v/>
      </c>
      <c r="C50" s="4" t="n"/>
      <c r="D50">
        <f>IFERROR(_xludf.XLOOKUP(C50,MASTER_REGISTER!E:E,MASTER_REGISTER!F:F,""),"")</f>
        <v/>
      </c>
      <c r="E50" s="4" t="n"/>
    </row>
    <row r="51">
      <c r="B51" s="4">
        <f>IFERROR(_xludf.XLOOKUP(C51,MASTER_REGISTER!E:E,MASTER_REGISTER!C:C,""),"")</f>
        <v/>
      </c>
      <c r="C51" s="4" t="n"/>
      <c r="D51">
        <f>IFERROR(_xludf.XLOOKUP(C51,MASTER_REGISTER!E:E,MASTER_REGISTER!F:F,""),"")</f>
        <v/>
      </c>
      <c r="E51" s="4" t="n"/>
    </row>
    <row r="52">
      <c r="B52" s="4">
        <f>IFERROR(_xludf.XLOOKUP(C52,MASTER_REGISTER!E:E,MASTER_REGISTER!C:C,""),"")</f>
        <v/>
      </c>
      <c r="C52" s="4" t="n"/>
      <c r="D52">
        <f>IFERROR(_xludf.XLOOKUP(C52,MASTER_REGISTER!E:E,MASTER_REGISTER!F:F,""),"")</f>
        <v/>
      </c>
      <c r="E52" s="4" t="n"/>
    </row>
    <row r="53">
      <c r="B53" s="4">
        <f>IFERROR(_xludf.XLOOKUP(C53,MASTER_REGISTER!E:E,MASTER_REGISTER!C:C,""),"")</f>
        <v/>
      </c>
      <c r="C53" s="4" t="n"/>
      <c r="D53">
        <f>IFERROR(_xludf.XLOOKUP(C53,MASTER_REGISTER!E:E,MASTER_REGISTER!F:F,""),"")</f>
        <v/>
      </c>
      <c r="E53" s="4" t="n"/>
    </row>
    <row r="54">
      <c r="B54" s="4">
        <f>IFERROR(_xludf.XLOOKUP(C54,MASTER_REGISTER!E:E,MASTER_REGISTER!C:C,""),"")</f>
        <v/>
      </c>
      <c r="C54" s="4" t="n"/>
      <c r="D54">
        <f>IFERROR(_xludf.XLOOKUP(C54,MASTER_REGISTER!E:E,MASTER_REGISTER!F:F,""),"")</f>
        <v/>
      </c>
      <c r="E54" s="4" t="n"/>
    </row>
    <row r="55">
      <c r="B55" s="4">
        <f>IFERROR(_xludf.XLOOKUP(C55,MASTER_REGISTER!E:E,MASTER_REGISTER!C:C,""),"")</f>
        <v/>
      </c>
      <c r="C55" s="4" t="n"/>
      <c r="D55">
        <f>IFERROR(_xludf.XLOOKUP(C55,MASTER_REGISTER!E:E,MASTER_REGISTER!F:F,""),"")</f>
        <v/>
      </c>
      <c r="E55" s="4" t="n"/>
    </row>
    <row r="56">
      <c r="B56" s="4">
        <f>IFERROR(_xludf.XLOOKUP(C56,MASTER_REGISTER!E:E,MASTER_REGISTER!C:C,""),"")</f>
        <v/>
      </c>
      <c r="C56" s="4" t="n"/>
      <c r="D56">
        <f>IFERROR(_xludf.XLOOKUP(C56,MASTER_REGISTER!E:E,MASTER_REGISTER!F:F,""),"")</f>
        <v/>
      </c>
      <c r="E56" s="4" t="n"/>
    </row>
    <row r="57">
      <c r="B57" s="4">
        <f>IFERROR(_xludf.XLOOKUP(C57,MASTER_REGISTER!E:E,MASTER_REGISTER!C:C,""),"")</f>
        <v/>
      </c>
      <c r="C57" s="4" t="n"/>
      <c r="D57">
        <f>IFERROR(_xludf.XLOOKUP(C57,MASTER_REGISTER!E:E,MASTER_REGISTER!F:F,""),"")</f>
        <v/>
      </c>
      <c r="E57" s="4" t="n"/>
    </row>
    <row r="58">
      <c r="B58" s="4">
        <f>IFERROR(_xludf.XLOOKUP(C58,MASTER_REGISTER!E:E,MASTER_REGISTER!C:C,""),"")</f>
        <v/>
      </c>
      <c r="C58" s="4" t="n"/>
      <c r="D58">
        <f>IFERROR(_xludf.XLOOKUP(C58,MASTER_REGISTER!E:E,MASTER_REGISTER!F:F,""),"")</f>
        <v/>
      </c>
      <c r="E58" s="4" t="n"/>
    </row>
    <row r="59">
      <c r="B59" s="4">
        <f>IFERROR(_xludf.XLOOKUP(C59,MASTER_REGISTER!E:E,MASTER_REGISTER!C:C,""),"")</f>
        <v/>
      </c>
      <c r="C59" s="4" t="n"/>
      <c r="D59">
        <f>IFERROR(_xludf.XLOOKUP(C59,MASTER_REGISTER!E:E,MASTER_REGISTER!F:F,""),"")</f>
        <v/>
      </c>
      <c r="E59" s="4" t="n"/>
    </row>
    <row r="60">
      <c r="B60" s="4">
        <f>IFERROR(_xludf.XLOOKUP(C60,MASTER_REGISTER!E:E,MASTER_REGISTER!C:C,""),"")</f>
        <v/>
      </c>
      <c r="C60" s="4" t="n"/>
      <c r="D60">
        <f>IFERROR(_xludf.XLOOKUP(C60,MASTER_REGISTER!E:E,MASTER_REGISTER!F:F,""),"")</f>
        <v/>
      </c>
      <c r="E60" s="4" t="n"/>
    </row>
    <row r="61">
      <c r="B61" s="4">
        <f>IFERROR(_xludf.XLOOKUP(C61,MASTER_REGISTER!E:E,MASTER_REGISTER!C:C,""),"")</f>
        <v/>
      </c>
      <c r="C61" s="4" t="n"/>
      <c r="D61">
        <f>IFERROR(_xludf.XLOOKUP(C61,MASTER_REGISTER!E:E,MASTER_REGISTER!F:F,""),"")</f>
        <v/>
      </c>
      <c r="E61" s="4" t="n"/>
    </row>
    <row r="62">
      <c r="B62" s="4">
        <f>IFERROR(_xludf.XLOOKUP(C62,MASTER_REGISTER!E:E,MASTER_REGISTER!C:C,""),"")</f>
        <v/>
      </c>
      <c r="C62" s="4" t="n"/>
      <c r="D62">
        <f>IFERROR(_xludf.XLOOKUP(C62,MASTER_REGISTER!E:E,MASTER_REGISTER!F:F,""),"")</f>
        <v/>
      </c>
      <c r="E62" s="4" t="n"/>
    </row>
    <row r="63">
      <c r="B63" s="4">
        <f>IFERROR(_xludf.XLOOKUP(C63,MASTER_REGISTER!E:E,MASTER_REGISTER!C:C,""),"")</f>
        <v/>
      </c>
      <c r="C63" s="4" t="n"/>
      <c r="D63">
        <f>IFERROR(_xludf.XLOOKUP(C63,MASTER_REGISTER!E:E,MASTER_REGISTER!F:F,""),"")</f>
        <v/>
      </c>
      <c r="E63" s="4" t="n"/>
    </row>
    <row r="64">
      <c r="B64" s="4">
        <f>IFERROR(_xludf.XLOOKUP(C64,MASTER_REGISTER!E:E,MASTER_REGISTER!C:C,""),"")</f>
        <v/>
      </c>
      <c r="C64" s="4" t="n"/>
      <c r="D64">
        <f>IFERROR(_xludf.XLOOKUP(C64,MASTER_REGISTER!E:E,MASTER_REGISTER!F:F,""),"")</f>
        <v/>
      </c>
      <c r="E64" s="4" t="n"/>
    </row>
    <row r="65">
      <c r="B65" s="4">
        <f>IFERROR(_xludf.XLOOKUP(C65,MASTER_REGISTER!E:E,MASTER_REGISTER!C:C,""),"")</f>
        <v/>
      </c>
      <c r="C65" s="4" t="n"/>
      <c r="D65">
        <f>IFERROR(_xludf.XLOOKUP(C65,MASTER_REGISTER!E:E,MASTER_REGISTER!F:F,""),"")</f>
        <v/>
      </c>
      <c r="E65" s="4" t="n"/>
    </row>
    <row r="66">
      <c r="B66" s="4">
        <f>IFERROR(_xludf.XLOOKUP(C66,MASTER_REGISTER!E:E,MASTER_REGISTER!C:C,""),"")</f>
        <v/>
      </c>
      <c r="C66" s="4" t="n"/>
      <c r="D66">
        <f>IFERROR(_xludf.XLOOKUP(C66,MASTER_REGISTER!E:E,MASTER_REGISTER!F:F,""),"")</f>
        <v/>
      </c>
      <c r="E66" s="4" t="n"/>
    </row>
    <row r="67">
      <c r="B67" s="4">
        <f>IFERROR(_xludf.XLOOKUP(C67,MASTER_REGISTER!E:E,MASTER_REGISTER!C:C,""),"")</f>
        <v/>
      </c>
      <c r="C67" s="4" t="n"/>
      <c r="D67">
        <f>IFERROR(_xludf.XLOOKUP(C67,MASTER_REGISTER!E:E,MASTER_REGISTER!F:F,""),"")</f>
        <v/>
      </c>
      <c r="E67" s="4" t="n"/>
    </row>
    <row r="68">
      <c r="B68" s="4">
        <f>IFERROR(_xludf.XLOOKUP(C68,MASTER_REGISTER!E:E,MASTER_REGISTER!C:C,""),"")</f>
        <v/>
      </c>
      <c r="C68" s="4" t="n"/>
      <c r="D68">
        <f>IFERROR(_xludf.XLOOKUP(C68,MASTER_REGISTER!E:E,MASTER_REGISTER!F:F,""),"")</f>
        <v/>
      </c>
      <c r="E68" s="4" t="n"/>
    </row>
    <row r="69">
      <c r="B69" s="4">
        <f>IFERROR(_xludf.XLOOKUP(C69,MASTER_REGISTER!E:E,MASTER_REGISTER!C:C,""),"")</f>
        <v/>
      </c>
      <c r="C69" s="4" t="n"/>
      <c r="D69">
        <f>IFERROR(_xludf.XLOOKUP(C69,MASTER_REGISTER!E:E,MASTER_REGISTER!F:F,""),"")</f>
        <v/>
      </c>
      <c r="E69" s="4" t="n"/>
    </row>
    <row r="70">
      <c r="B70" s="4">
        <f>IFERROR(_xludf.XLOOKUP(C70,MASTER_REGISTER!E:E,MASTER_REGISTER!C:C,""),"")</f>
        <v/>
      </c>
      <c r="C70" s="4" t="n"/>
      <c r="D70">
        <f>IFERROR(_xludf.XLOOKUP(C70,MASTER_REGISTER!E:E,MASTER_REGISTER!F:F,""),"")</f>
        <v/>
      </c>
      <c r="E70" s="4" t="n"/>
    </row>
    <row r="71">
      <c r="B71" s="4">
        <f>IFERROR(_xludf.XLOOKUP(C71,MASTER_REGISTER!E:E,MASTER_REGISTER!C:C,""),"")</f>
        <v/>
      </c>
      <c r="C71" s="4" t="n"/>
      <c r="D71">
        <f>IFERROR(_xludf.XLOOKUP(C71,MASTER_REGISTER!E:E,MASTER_REGISTER!F:F,""),"")</f>
        <v/>
      </c>
      <c r="E71" s="4" t="n"/>
    </row>
    <row r="72">
      <c r="B72" s="4">
        <f>IFERROR(_xludf.XLOOKUP(C72,MASTER_REGISTER!E:E,MASTER_REGISTER!C:C,""),"")</f>
        <v/>
      </c>
      <c r="C72" s="4" t="n"/>
      <c r="D72">
        <f>IFERROR(_xludf.XLOOKUP(C72,MASTER_REGISTER!E:E,MASTER_REGISTER!F:F,""),"")</f>
        <v/>
      </c>
      <c r="E72" s="4" t="n"/>
    </row>
    <row r="73">
      <c r="B73" s="4">
        <f>IFERROR(_xludf.XLOOKUP(C73,MASTER_REGISTER!E:E,MASTER_REGISTER!C:C,""),"")</f>
        <v/>
      </c>
      <c r="C73" s="4" t="n"/>
      <c r="D73">
        <f>IFERROR(_xludf.XLOOKUP(C73,MASTER_REGISTER!E:E,MASTER_REGISTER!F:F,""),"")</f>
        <v/>
      </c>
      <c r="E73" s="4" t="n"/>
    </row>
    <row r="74">
      <c r="B74" s="4">
        <f>IFERROR(_xludf.XLOOKUP(C74,MASTER_REGISTER!E:E,MASTER_REGISTER!C:C,""),"")</f>
        <v/>
      </c>
      <c r="C74" s="4" t="n"/>
      <c r="D74">
        <f>IFERROR(_xludf.XLOOKUP(C74,MASTER_REGISTER!E:E,MASTER_REGISTER!F:F,""),"")</f>
        <v/>
      </c>
      <c r="E74" s="4" t="n"/>
    </row>
    <row r="75">
      <c r="B75" s="4">
        <f>IFERROR(_xludf.XLOOKUP(C75,MASTER_REGISTER!E:E,MASTER_REGISTER!C:C,""),"")</f>
        <v/>
      </c>
      <c r="C75" s="4" t="n"/>
      <c r="D75">
        <f>IFERROR(_xludf.XLOOKUP(C75,MASTER_REGISTER!E:E,MASTER_REGISTER!F:F,""),"")</f>
        <v/>
      </c>
      <c r="E75" s="4" t="n"/>
    </row>
    <row r="76">
      <c r="B76" s="4">
        <f>IFERROR(_xludf.XLOOKUP(C76,MASTER_REGISTER!E:E,MASTER_REGISTER!C:C,""),"")</f>
        <v/>
      </c>
      <c r="C76" s="4" t="n"/>
      <c r="D76">
        <f>IFERROR(_xludf.XLOOKUP(C76,MASTER_REGISTER!E:E,MASTER_REGISTER!F:F,""),"")</f>
        <v/>
      </c>
      <c r="E76" s="4" t="n"/>
    </row>
    <row r="77">
      <c r="B77" s="4">
        <f>IFERROR(_xludf.XLOOKUP(C77,MASTER_REGISTER!E:E,MASTER_REGISTER!C:C,""),"")</f>
        <v/>
      </c>
      <c r="C77" s="4" t="n"/>
      <c r="D77">
        <f>IFERROR(_xludf.XLOOKUP(C77,MASTER_REGISTER!E:E,MASTER_REGISTER!F:F,""),"")</f>
        <v/>
      </c>
      <c r="E77" s="4" t="n"/>
    </row>
    <row r="78">
      <c r="B78" s="4">
        <f>IFERROR(_xludf.XLOOKUP(C78,MASTER_REGISTER!E:E,MASTER_REGISTER!C:C,""),"")</f>
        <v/>
      </c>
      <c r="C78" s="4" t="n"/>
      <c r="D78">
        <f>IFERROR(_xludf.XLOOKUP(C78,MASTER_REGISTER!E:E,MASTER_REGISTER!F:F,""),"")</f>
        <v/>
      </c>
      <c r="E78" s="4" t="n"/>
    </row>
    <row r="79">
      <c r="B79" s="4">
        <f>IFERROR(_xludf.XLOOKUP(C79,MASTER_REGISTER!E:E,MASTER_REGISTER!C:C,""),"")</f>
        <v/>
      </c>
      <c r="C79" s="4" t="n"/>
      <c r="D79">
        <f>IFERROR(_xludf.XLOOKUP(C79,MASTER_REGISTER!E:E,MASTER_REGISTER!F:F,""),"")</f>
        <v/>
      </c>
      <c r="E79" s="4" t="n"/>
    </row>
    <row r="80">
      <c r="B80" s="4">
        <f>IFERROR(_xludf.XLOOKUP(C80,MASTER_REGISTER!E:E,MASTER_REGISTER!C:C,""),"")</f>
        <v/>
      </c>
      <c r="C80" s="4" t="n"/>
      <c r="D80">
        <f>IFERROR(_xludf.XLOOKUP(C80,MASTER_REGISTER!E:E,MASTER_REGISTER!F:F,""),"")</f>
        <v/>
      </c>
      <c r="E80" s="4" t="n"/>
    </row>
    <row r="81">
      <c r="B81" s="4">
        <f>IFERROR(_xludf.XLOOKUP(C81,MASTER_REGISTER!E:E,MASTER_REGISTER!C:C,""),"")</f>
        <v/>
      </c>
      <c r="C81" s="4" t="n"/>
      <c r="D81">
        <f>IFERROR(_xludf.XLOOKUP(C81,MASTER_REGISTER!E:E,MASTER_REGISTER!F:F,""),"")</f>
        <v/>
      </c>
      <c r="E81" s="4" t="n"/>
    </row>
    <row r="82">
      <c r="B82" s="4">
        <f>IFERROR(_xludf.XLOOKUP(C82,MASTER_REGISTER!E:E,MASTER_REGISTER!C:C,""),"")</f>
        <v/>
      </c>
      <c r="C82" s="4" t="n"/>
      <c r="D82">
        <f>IFERROR(_xludf.XLOOKUP(C82,MASTER_REGISTER!E:E,MASTER_REGISTER!F:F,""),"")</f>
        <v/>
      </c>
      <c r="E82" s="4" t="n"/>
    </row>
    <row r="83">
      <c r="B83" s="4">
        <f>IFERROR(_xludf.XLOOKUP(C83,MASTER_REGISTER!E:E,MASTER_REGISTER!C:C,""),"")</f>
        <v/>
      </c>
      <c r="C83" s="4" t="n"/>
      <c r="D83">
        <f>IFERROR(_xludf.XLOOKUP(C83,MASTER_REGISTER!E:E,MASTER_REGISTER!F:F,""),"")</f>
        <v/>
      </c>
      <c r="E83" s="4" t="n"/>
    </row>
    <row r="84">
      <c r="B84" s="4">
        <f>IFERROR(_xludf.XLOOKUP(C84,MASTER_REGISTER!E:E,MASTER_REGISTER!C:C,""),"")</f>
        <v/>
      </c>
      <c r="C84" s="4" t="n"/>
      <c r="D84">
        <f>IFERROR(_xludf.XLOOKUP(C84,MASTER_REGISTER!E:E,MASTER_REGISTER!F:F,""),"")</f>
        <v/>
      </c>
      <c r="E84" s="4" t="n"/>
    </row>
    <row r="85">
      <c r="B85" s="4">
        <f>IFERROR(_xludf.XLOOKUP(C85,MASTER_REGISTER!E:E,MASTER_REGISTER!C:C,""),"")</f>
        <v/>
      </c>
      <c r="C85" s="4" t="n"/>
      <c r="D85">
        <f>IFERROR(_xludf.XLOOKUP(C85,MASTER_REGISTER!E:E,MASTER_REGISTER!F:F,""),"")</f>
        <v/>
      </c>
      <c r="E85" s="4" t="n"/>
    </row>
    <row r="86">
      <c r="B86" s="4">
        <f>IFERROR(_xludf.XLOOKUP(C86,MASTER_REGISTER!E:E,MASTER_REGISTER!C:C,""),"")</f>
        <v/>
      </c>
      <c r="C86" s="4" t="n"/>
      <c r="D86">
        <f>IFERROR(_xludf.XLOOKUP(C86,MASTER_REGISTER!E:E,MASTER_REGISTER!F:F,""),"")</f>
        <v/>
      </c>
      <c r="E86" s="4" t="n"/>
    </row>
    <row r="87">
      <c r="B87" s="4">
        <f>IFERROR(_xludf.XLOOKUP(C87,MASTER_REGISTER!E:E,MASTER_REGISTER!C:C,""),"")</f>
        <v/>
      </c>
      <c r="C87" s="4" t="n"/>
      <c r="D87">
        <f>IFERROR(_xludf.XLOOKUP(C87,MASTER_REGISTER!E:E,MASTER_REGISTER!F:F,""),"")</f>
        <v/>
      </c>
      <c r="E87" s="4" t="n"/>
    </row>
    <row r="88">
      <c r="B88" s="4">
        <f>IFERROR(_xludf.XLOOKUP(C88,MASTER_REGISTER!E:E,MASTER_REGISTER!C:C,""),"")</f>
        <v/>
      </c>
      <c r="C88" s="4" t="n"/>
      <c r="D88">
        <f>IFERROR(_xludf.XLOOKUP(C88,MASTER_REGISTER!E:E,MASTER_REGISTER!F:F,""),"")</f>
        <v/>
      </c>
      <c r="E88" s="4" t="n"/>
    </row>
    <row r="89">
      <c r="B89" s="4">
        <f>IFERROR(_xludf.XLOOKUP(C89,MASTER_REGISTER!E:E,MASTER_REGISTER!C:C,""),"")</f>
        <v/>
      </c>
      <c r="C89" s="4" t="n"/>
      <c r="D89">
        <f>IFERROR(_xludf.XLOOKUP(C89,MASTER_REGISTER!E:E,MASTER_REGISTER!F:F,""),"")</f>
        <v/>
      </c>
      <c r="E89" s="4" t="n"/>
    </row>
    <row r="90">
      <c r="B90" s="4">
        <f>IFERROR(_xludf.XLOOKUP(C90,MASTER_REGISTER!E:E,MASTER_REGISTER!C:C,""),"")</f>
        <v/>
      </c>
      <c r="C90" s="4" t="n"/>
      <c r="D90">
        <f>IFERROR(_xludf.XLOOKUP(C90,MASTER_REGISTER!E:E,MASTER_REGISTER!F:F,""),"")</f>
        <v/>
      </c>
      <c r="E90" s="4" t="n"/>
    </row>
    <row r="91">
      <c r="B91" s="4">
        <f>IFERROR(_xludf.XLOOKUP(C91,MASTER_REGISTER!E:E,MASTER_REGISTER!C:C,""),"")</f>
        <v/>
      </c>
      <c r="C91" s="4" t="n"/>
      <c r="D91">
        <f>IFERROR(_xludf.XLOOKUP(C91,MASTER_REGISTER!E:E,MASTER_REGISTER!F:F,""),"")</f>
        <v/>
      </c>
      <c r="E91" s="4" t="n"/>
    </row>
    <row r="92">
      <c r="B92" s="4">
        <f>IFERROR(_xludf.XLOOKUP(C92,MASTER_REGISTER!E:E,MASTER_REGISTER!C:C,""),"")</f>
        <v/>
      </c>
      <c r="C92" s="4" t="n"/>
      <c r="D92">
        <f>IFERROR(_xludf.XLOOKUP(C92,MASTER_REGISTER!E:E,MASTER_REGISTER!F:F,""),"")</f>
        <v/>
      </c>
      <c r="E92" s="4" t="n"/>
    </row>
    <row r="93">
      <c r="B93" s="4">
        <f>IFERROR(_xludf.XLOOKUP(C93,MASTER_REGISTER!E:E,MASTER_REGISTER!C:C,""),"")</f>
        <v/>
      </c>
      <c r="C93" s="4" t="n"/>
      <c r="D93">
        <f>IFERROR(_xludf.XLOOKUP(C93,MASTER_REGISTER!E:E,MASTER_REGISTER!F:F,""),"")</f>
        <v/>
      </c>
      <c r="E93" s="4" t="n"/>
    </row>
    <row r="94">
      <c r="B94" s="4">
        <f>IFERROR(_xludf.XLOOKUP(C94,MASTER_REGISTER!E:E,MASTER_REGISTER!C:C,""),"")</f>
        <v/>
      </c>
      <c r="C94" s="4" t="n"/>
      <c r="D94">
        <f>IFERROR(_xludf.XLOOKUP(C94,MASTER_REGISTER!E:E,MASTER_REGISTER!F:F,""),"")</f>
        <v/>
      </c>
      <c r="E94" s="4" t="n"/>
    </row>
    <row r="95">
      <c r="B95" s="4">
        <f>IFERROR(_xludf.XLOOKUP(C95,MASTER_REGISTER!E:E,MASTER_REGISTER!C:C,""),"")</f>
        <v/>
      </c>
      <c r="C95" s="4" t="n"/>
      <c r="D95">
        <f>IFERROR(_xludf.XLOOKUP(C95,MASTER_REGISTER!E:E,MASTER_REGISTER!F:F,""),"")</f>
        <v/>
      </c>
      <c r="E95" s="4" t="n"/>
    </row>
    <row r="96">
      <c r="B96" s="4">
        <f>IFERROR(_xludf.XLOOKUP(C96,MASTER_REGISTER!E:E,MASTER_REGISTER!C:C,""),"")</f>
        <v/>
      </c>
      <c r="C96" s="4" t="n"/>
      <c r="D96">
        <f>IFERROR(_xludf.XLOOKUP(C96,MASTER_REGISTER!E:E,MASTER_REGISTER!F:F,""),"")</f>
        <v/>
      </c>
      <c r="E96" s="4" t="n"/>
    </row>
    <row r="97">
      <c r="B97" s="4">
        <f>IFERROR(_xludf.XLOOKUP(C97,MASTER_REGISTER!E:E,MASTER_REGISTER!C:C,""),"")</f>
        <v/>
      </c>
      <c r="C97" s="4" t="n"/>
      <c r="D97">
        <f>IFERROR(_xludf.XLOOKUP(C97,MASTER_REGISTER!E:E,MASTER_REGISTER!F:F,""),"")</f>
        <v/>
      </c>
      <c r="E97" s="4" t="n"/>
    </row>
    <row r="98">
      <c r="B98" s="4">
        <f>IFERROR(_xludf.XLOOKUP(C98,MASTER_REGISTER!E:E,MASTER_REGISTER!C:C,""),"")</f>
        <v/>
      </c>
      <c r="C98" s="4" t="n"/>
      <c r="D98">
        <f>IFERROR(_xludf.XLOOKUP(C98,MASTER_REGISTER!E:E,MASTER_REGISTER!F:F,""),"")</f>
        <v/>
      </c>
      <c r="E98" s="4" t="n"/>
    </row>
    <row r="99">
      <c r="B99" s="4">
        <f>IFERROR(_xludf.XLOOKUP(C99,MASTER_REGISTER!E:E,MASTER_REGISTER!C:C,""),"")</f>
        <v/>
      </c>
      <c r="C99" s="4" t="n"/>
      <c r="D99">
        <f>IFERROR(_xludf.XLOOKUP(C99,MASTER_REGISTER!E:E,MASTER_REGISTER!F:F,""),"")</f>
        <v/>
      </c>
      <c r="E99" s="4" t="n"/>
    </row>
    <row r="100">
      <c r="B100" s="4">
        <f>IFERROR(_xludf.XLOOKUP(C100,MASTER_REGISTER!E:E,MASTER_REGISTER!C:C,""),"")</f>
        <v/>
      </c>
      <c r="C100" s="4" t="n"/>
      <c r="D100">
        <f>IFERROR(_xludf.XLOOKUP(C100,MASTER_REGISTER!E:E,MASTER_REGISTER!F:F,""),"")</f>
        <v/>
      </c>
      <c r="E100" s="4" t="n"/>
    </row>
    <row r="101">
      <c r="B101" s="4">
        <f>IFERROR(_xludf.XLOOKUP(C101,MASTER_REGISTER!E:E,MASTER_REGISTER!C:C,""),"")</f>
        <v/>
      </c>
      <c r="C101" s="4" t="n"/>
      <c r="D101">
        <f>IFERROR(_xludf.XLOOKUP(C101,MASTER_REGISTER!E:E,MASTER_REGISTER!F:F,""),"")</f>
        <v/>
      </c>
      <c r="E101" s="4" t="n"/>
    </row>
    <row r="102">
      <c r="B102" s="4">
        <f>IFERROR(_xludf.XLOOKUP(C102,MASTER_REGISTER!E:E,MASTER_REGISTER!C:C,""),"")</f>
        <v/>
      </c>
      <c r="C102" s="4" t="n"/>
      <c r="D102">
        <f>IFERROR(_xludf.XLOOKUP(C102,MASTER_REGISTER!E:E,MASTER_REGISTER!F:F,""),"")</f>
        <v/>
      </c>
      <c r="E102" s="4" t="n"/>
    </row>
    <row r="103">
      <c r="B103" s="4">
        <f>IFERROR(_xludf.XLOOKUP(C103,MASTER_REGISTER!E:E,MASTER_REGISTER!C:C,""),"")</f>
        <v/>
      </c>
      <c r="C103" s="4" t="n"/>
      <c r="D103">
        <f>IFERROR(_xludf.XLOOKUP(C103,MASTER_REGISTER!E:E,MASTER_REGISTER!F:F,""),"")</f>
        <v/>
      </c>
      <c r="E103" s="4" t="n"/>
    </row>
    <row r="104">
      <c r="B104" s="4">
        <f>IFERROR(_xludf.XLOOKUP(C104,MASTER_REGISTER!E:E,MASTER_REGISTER!C:C,""),"")</f>
        <v/>
      </c>
      <c r="C104" s="4" t="n"/>
      <c r="D104">
        <f>IFERROR(_xludf.XLOOKUP(C104,MASTER_REGISTER!E:E,MASTER_REGISTER!F:F,""),"")</f>
        <v/>
      </c>
      <c r="E104" s="4" t="n"/>
    </row>
    <row r="105">
      <c r="B105" s="4">
        <f>IFERROR(_xludf.XLOOKUP(C105,MASTER_REGISTER!E:E,MASTER_REGISTER!C:C,""),"")</f>
        <v/>
      </c>
      <c r="C105" s="4" t="n"/>
      <c r="D105">
        <f>IFERROR(_xludf.XLOOKUP(C105,MASTER_REGISTER!E:E,MASTER_REGISTER!F:F,""),"")</f>
        <v/>
      </c>
      <c r="E105" s="4" t="n"/>
    </row>
    <row r="106">
      <c r="B106" s="4">
        <f>IFERROR(_xludf.XLOOKUP(C106,MASTER_REGISTER!E:E,MASTER_REGISTER!C:C,""),"")</f>
        <v/>
      </c>
      <c r="C106" s="4" t="n"/>
      <c r="D106">
        <f>IFERROR(_xludf.XLOOKUP(C106,MASTER_REGISTER!E:E,MASTER_REGISTER!F:F,""),"")</f>
        <v/>
      </c>
      <c r="E106" s="4" t="n"/>
    </row>
    <row r="107">
      <c r="B107" s="4">
        <f>IFERROR(_xludf.XLOOKUP(C107,MASTER_REGISTER!E:E,MASTER_REGISTER!C:C,""),"")</f>
        <v/>
      </c>
      <c r="C107" s="4" t="n"/>
      <c r="D107">
        <f>IFERROR(_xludf.XLOOKUP(C107,MASTER_REGISTER!E:E,MASTER_REGISTER!F:F,""),"")</f>
        <v/>
      </c>
      <c r="E107" s="4" t="n"/>
    </row>
    <row r="108">
      <c r="B108" s="4">
        <f>IFERROR(_xludf.XLOOKUP(C108,MASTER_REGISTER!E:E,MASTER_REGISTER!C:C,""),"")</f>
        <v/>
      </c>
      <c r="C108" s="4" t="n"/>
      <c r="D108">
        <f>IFERROR(_xludf.XLOOKUP(C108,MASTER_REGISTER!E:E,MASTER_REGISTER!F:F,""),"")</f>
        <v/>
      </c>
      <c r="E108" s="4" t="n"/>
    </row>
    <row r="109">
      <c r="B109" s="4">
        <f>IFERROR(_xludf.XLOOKUP(C109,MASTER_REGISTER!E:E,MASTER_REGISTER!C:C,""),"")</f>
        <v/>
      </c>
      <c r="C109" s="4" t="n"/>
      <c r="D109">
        <f>IFERROR(_xludf.XLOOKUP(C109,MASTER_REGISTER!E:E,MASTER_REGISTER!F:F,""),"")</f>
        <v/>
      </c>
      <c r="E109" s="4" t="n"/>
    </row>
    <row r="110">
      <c r="B110" s="4">
        <f>IFERROR(_xludf.XLOOKUP(C110,MASTER_REGISTER!E:E,MASTER_REGISTER!C:C,""),"")</f>
        <v/>
      </c>
      <c r="C110" s="4" t="n"/>
      <c r="D110">
        <f>IFERROR(_xludf.XLOOKUP(C110,MASTER_REGISTER!E:E,MASTER_REGISTER!F:F,""),"")</f>
        <v/>
      </c>
      <c r="E110" s="4" t="n"/>
    </row>
    <row r="111">
      <c r="B111" s="4">
        <f>IFERROR(_xludf.XLOOKUP(C111,MASTER_REGISTER!E:E,MASTER_REGISTER!C:C,""),"")</f>
        <v/>
      </c>
      <c r="C111" s="4" t="n"/>
      <c r="D111">
        <f>IFERROR(_xludf.XLOOKUP(C111,MASTER_REGISTER!E:E,MASTER_REGISTER!F:F,""),"")</f>
        <v/>
      </c>
      <c r="E111" s="4" t="n"/>
    </row>
    <row r="112">
      <c r="B112" s="4">
        <f>IFERROR(_xludf.XLOOKUP(C112,MASTER_REGISTER!E:E,MASTER_REGISTER!C:C,""),"")</f>
        <v/>
      </c>
      <c r="C112" s="4" t="n"/>
      <c r="D112">
        <f>IFERROR(_xludf.XLOOKUP(C112,MASTER_REGISTER!E:E,MASTER_REGISTER!F:F,""),"")</f>
        <v/>
      </c>
      <c r="E112" s="4" t="n"/>
    </row>
    <row r="113">
      <c r="B113" s="4">
        <f>IFERROR(_xludf.XLOOKUP(C113,MASTER_REGISTER!E:E,MASTER_REGISTER!C:C,""),"")</f>
        <v/>
      </c>
      <c r="C113" s="4" t="n"/>
      <c r="D113">
        <f>IFERROR(_xludf.XLOOKUP(C113,MASTER_REGISTER!E:E,MASTER_REGISTER!F:F,""),"")</f>
        <v/>
      </c>
      <c r="E113" s="4" t="n"/>
    </row>
    <row r="114">
      <c r="B114" s="4">
        <f>IFERROR(_xludf.XLOOKUP(C114,MASTER_REGISTER!E:E,MASTER_REGISTER!C:C,""),"")</f>
        <v/>
      </c>
      <c r="C114" s="4" t="n"/>
      <c r="D114">
        <f>IFERROR(_xludf.XLOOKUP(C114,MASTER_REGISTER!E:E,MASTER_REGISTER!F:F,""),"")</f>
        <v/>
      </c>
      <c r="E114" s="4" t="n"/>
    </row>
    <row r="115">
      <c r="B115" s="4">
        <f>IFERROR(_xludf.XLOOKUP(C115,MASTER_REGISTER!E:E,MASTER_REGISTER!C:C,""),"")</f>
        <v/>
      </c>
      <c r="C115" s="4" t="n"/>
      <c r="D115">
        <f>IFERROR(_xludf.XLOOKUP(C115,MASTER_REGISTER!E:E,MASTER_REGISTER!F:F,""),"")</f>
        <v/>
      </c>
      <c r="E115" s="4" t="n"/>
    </row>
    <row r="116">
      <c r="B116" s="4">
        <f>IFERROR(_xludf.XLOOKUP(C116,MASTER_REGISTER!E:E,MASTER_REGISTER!C:C,""),"")</f>
        <v/>
      </c>
      <c r="C116" s="4" t="n"/>
      <c r="D116">
        <f>IFERROR(_xludf.XLOOKUP(C116,MASTER_REGISTER!E:E,MASTER_REGISTER!F:F,""),"")</f>
        <v/>
      </c>
      <c r="E116" s="4" t="n"/>
    </row>
    <row r="117">
      <c r="B117" s="4">
        <f>IFERROR(_xludf.XLOOKUP(C117,MASTER_REGISTER!E:E,MASTER_REGISTER!C:C,""),"")</f>
        <v/>
      </c>
      <c r="C117" s="4" t="n"/>
      <c r="D117">
        <f>IFERROR(_xludf.XLOOKUP(C117,MASTER_REGISTER!E:E,MASTER_REGISTER!F:F,""),"")</f>
        <v/>
      </c>
      <c r="E117" s="4" t="n"/>
    </row>
    <row r="118">
      <c r="B118" s="4">
        <f>IFERROR(_xludf.XLOOKUP(C118,MASTER_REGISTER!E:E,MASTER_REGISTER!C:C,""),"")</f>
        <v/>
      </c>
      <c r="C118" s="4" t="n"/>
      <c r="D118">
        <f>IFERROR(_xludf.XLOOKUP(C118,MASTER_REGISTER!E:E,MASTER_REGISTER!F:F,""),"")</f>
        <v/>
      </c>
      <c r="E118" s="4" t="n"/>
    </row>
    <row r="119">
      <c r="B119" s="4">
        <f>IFERROR(_xludf.XLOOKUP(C119,MASTER_REGISTER!E:E,MASTER_REGISTER!C:C,""),"")</f>
        <v/>
      </c>
      <c r="C119" s="4" t="n"/>
      <c r="D119">
        <f>IFERROR(_xludf.XLOOKUP(C119,MASTER_REGISTER!E:E,MASTER_REGISTER!F:F,""),"")</f>
        <v/>
      </c>
      <c r="E119" s="4" t="n"/>
    </row>
    <row r="120">
      <c r="B120" s="4">
        <f>IFERROR(_xludf.XLOOKUP(C120,MASTER_REGISTER!E:E,MASTER_REGISTER!C:C,""),"")</f>
        <v/>
      </c>
      <c r="C120" s="4" t="n"/>
      <c r="D120">
        <f>IFERROR(_xludf.XLOOKUP(C120,MASTER_REGISTER!E:E,MASTER_REGISTER!F:F,""),"")</f>
        <v/>
      </c>
      <c r="E120" s="4" t="n"/>
    </row>
    <row r="121">
      <c r="B121" s="4">
        <f>IFERROR(_xludf.XLOOKUP(C121,MASTER_REGISTER!E:E,MASTER_REGISTER!C:C,""),"")</f>
        <v/>
      </c>
      <c r="C121" s="4" t="n"/>
      <c r="D121">
        <f>IFERROR(_xludf.XLOOKUP(C121,MASTER_REGISTER!E:E,MASTER_REGISTER!F:F,""),"")</f>
        <v/>
      </c>
      <c r="E121" s="4" t="n"/>
    </row>
    <row r="122">
      <c r="B122" s="4">
        <f>IFERROR(_xludf.XLOOKUP(C122,MASTER_REGISTER!E:E,MASTER_REGISTER!C:C,""),"")</f>
        <v/>
      </c>
      <c r="C122" s="4" t="n"/>
      <c r="D122">
        <f>IFERROR(_xludf.XLOOKUP(C122,MASTER_REGISTER!E:E,MASTER_REGISTER!F:F,""),"")</f>
        <v/>
      </c>
      <c r="E122" s="4" t="n"/>
    </row>
    <row r="123">
      <c r="B123" s="4">
        <f>IFERROR(_xludf.XLOOKUP(C123,MASTER_REGISTER!E:E,MASTER_REGISTER!C:C,""),"")</f>
        <v/>
      </c>
      <c r="C123" s="4" t="n"/>
      <c r="D123">
        <f>IFERROR(_xludf.XLOOKUP(C123,MASTER_REGISTER!E:E,MASTER_REGISTER!F:F,""),"")</f>
        <v/>
      </c>
      <c r="E123" s="4" t="n"/>
    </row>
    <row r="124">
      <c r="B124" s="4">
        <f>IFERROR(_xludf.XLOOKUP(C124,MASTER_REGISTER!E:E,MASTER_REGISTER!C:C,""),"")</f>
        <v/>
      </c>
      <c r="C124" s="4" t="n"/>
      <c r="D124">
        <f>IFERROR(_xludf.XLOOKUP(C124,MASTER_REGISTER!E:E,MASTER_REGISTER!F:F,""),"")</f>
        <v/>
      </c>
      <c r="E124" s="4" t="n"/>
    </row>
    <row r="125">
      <c r="B125" s="4">
        <f>IFERROR(_xludf.XLOOKUP(C125,MASTER_REGISTER!E:E,MASTER_REGISTER!C:C,""),"")</f>
        <v/>
      </c>
      <c r="C125" s="4" t="n"/>
      <c r="D125">
        <f>IFERROR(_xludf.XLOOKUP(C125,MASTER_REGISTER!E:E,MASTER_REGISTER!F:F,""),"")</f>
        <v/>
      </c>
      <c r="E125" s="4" t="n"/>
    </row>
    <row r="126">
      <c r="B126" s="4">
        <f>IFERROR(_xludf.XLOOKUP(C126,MASTER_REGISTER!E:E,MASTER_REGISTER!C:C,""),"")</f>
        <v/>
      </c>
      <c r="C126" s="4" t="n"/>
      <c r="D126">
        <f>IFERROR(_xludf.XLOOKUP(C126,MASTER_REGISTER!E:E,MASTER_REGISTER!F:F,""),"")</f>
        <v/>
      </c>
      <c r="E126" s="4" t="n"/>
    </row>
    <row r="127">
      <c r="B127" s="4">
        <f>IFERROR(_xludf.XLOOKUP(C127,MASTER_REGISTER!E:E,MASTER_REGISTER!C:C,""),"")</f>
        <v/>
      </c>
      <c r="C127" s="4" t="n"/>
      <c r="D127">
        <f>IFERROR(_xludf.XLOOKUP(C127,MASTER_REGISTER!E:E,MASTER_REGISTER!F:F,""),"")</f>
        <v/>
      </c>
      <c r="E127" s="4" t="n"/>
    </row>
    <row r="128">
      <c r="B128" s="4">
        <f>IFERROR(_xludf.XLOOKUP(C128,MASTER_REGISTER!E:E,MASTER_REGISTER!C:C,""),"")</f>
        <v/>
      </c>
      <c r="C128" s="4" t="n"/>
      <c r="D128">
        <f>IFERROR(_xludf.XLOOKUP(C128,MASTER_REGISTER!E:E,MASTER_REGISTER!F:F,""),"")</f>
        <v/>
      </c>
      <c r="E128" s="4" t="n"/>
    </row>
    <row r="129">
      <c r="B129" s="4">
        <f>IFERROR(_xludf.XLOOKUP(C129,MASTER_REGISTER!E:E,MASTER_REGISTER!C:C,""),"")</f>
        <v/>
      </c>
      <c r="C129" s="4" t="n"/>
      <c r="D129">
        <f>IFERROR(_xludf.XLOOKUP(C129,MASTER_REGISTER!E:E,MASTER_REGISTER!F:F,""),"")</f>
        <v/>
      </c>
      <c r="E129" s="4" t="n"/>
    </row>
    <row r="130">
      <c r="B130" s="4">
        <f>IFERROR(_xludf.XLOOKUP(C130,MASTER_REGISTER!E:E,MASTER_REGISTER!C:C,""),"")</f>
        <v/>
      </c>
      <c r="C130" s="4" t="n"/>
      <c r="D130">
        <f>IFERROR(_xludf.XLOOKUP(C130,MASTER_REGISTER!E:E,MASTER_REGISTER!F:F,""),"")</f>
        <v/>
      </c>
      <c r="E130" s="4" t="n"/>
    </row>
    <row r="131">
      <c r="B131" s="4">
        <f>IFERROR(_xludf.XLOOKUP(C131,MASTER_REGISTER!E:E,MASTER_REGISTER!C:C,""),"")</f>
        <v/>
      </c>
      <c r="C131" s="4" t="n"/>
      <c r="D131">
        <f>IFERROR(_xludf.XLOOKUP(C131,MASTER_REGISTER!E:E,MASTER_REGISTER!F:F,""),"")</f>
        <v/>
      </c>
      <c r="E131" s="4" t="n"/>
    </row>
    <row r="132">
      <c r="B132" s="4">
        <f>IFERROR(_xludf.XLOOKUP(C132,MASTER_REGISTER!E:E,MASTER_REGISTER!C:C,""),"")</f>
        <v/>
      </c>
      <c r="C132" s="4" t="n"/>
      <c r="D132">
        <f>IFERROR(_xludf.XLOOKUP(C132,MASTER_REGISTER!E:E,MASTER_REGISTER!F:F,""),"")</f>
        <v/>
      </c>
      <c r="E132" s="4" t="n"/>
    </row>
    <row r="133">
      <c r="B133" s="4">
        <f>IFERROR(_xludf.XLOOKUP(C133,MASTER_REGISTER!E:E,MASTER_REGISTER!C:C,""),"")</f>
        <v/>
      </c>
      <c r="C133" s="4" t="n"/>
      <c r="D133">
        <f>IFERROR(_xludf.XLOOKUP(C133,MASTER_REGISTER!E:E,MASTER_REGISTER!F:F,""),"")</f>
        <v/>
      </c>
      <c r="E133" s="4" t="n"/>
    </row>
    <row r="134">
      <c r="B134" s="4">
        <f>IFERROR(_xludf.XLOOKUP(C134,MASTER_REGISTER!E:E,MASTER_REGISTER!C:C,""),"")</f>
        <v/>
      </c>
      <c r="C134" s="4" t="n"/>
      <c r="D134">
        <f>IFERROR(_xludf.XLOOKUP(C134,MASTER_REGISTER!E:E,MASTER_REGISTER!F:F,""),"")</f>
        <v/>
      </c>
      <c r="E134" s="4" t="n"/>
    </row>
    <row r="135">
      <c r="B135" s="4">
        <f>IFERROR(_xludf.XLOOKUP(C135,MASTER_REGISTER!E:E,MASTER_REGISTER!C:C,""),"")</f>
        <v/>
      </c>
      <c r="C135" s="4" t="n"/>
      <c r="D135">
        <f>IFERROR(_xludf.XLOOKUP(C135,MASTER_REGISTER!E:E,MASTER_REGISTER!F:F,""),"")</f>
        <v/>
      </c>
      <c r="E135" s="4" t="n"/>
    </row>
    <row r="136">
      <c r="B136" s="4">
        <f>IFERROR(_xludf.XLOOKUP(C136,MASTER_REGISTER!E:E,MASTER_REGISTER!C:C,""),"")</f>
        <v/>
      </c>
      <c r="C136" s="4" t="n"/>
      <c r="D136">
        <f>IFERROR(_xludf.XLOOKUP(C136,MASTER_REGISTER!E:E,MASTER_REGISTER!F:F,""),"")</f>
        <v/>
      </c>
      <c r="E136" s="4" t="n"/>
    </row>
    <row r="137">
      <c r="B137" s="4">
        <f>IFERROR(_xludf.XLOOKUP(C137,MASTER_REGISTER!E:E,MASTER_REGISTER!C:C,""),"")</f>
        <v/>
      </c>
      <c r="C137" s="4" t="n"/>
      <c r="D137">
        <f>IFERROR(_xludf.XLOOKUP(C137,MASTER_REGISTER!E:E,MASTER_REGISTER!F:F,""),"")</f>
        <v/>
      </c>
      <c r="E137" s="4" t="n"/>
    </row>
    <row r="138">
      <c r="B138" s="4">
        <f>IFERROR(_xludf.XLOOKUP(C138,MASTER_REGISTER!E:E,MASTER_REGISTER!C:C,""),"")</f>
        <v/>
      </c>
      <c r="C138" s="4" t="n"/>
      <c r="D138">
        <f>IFERROR(_xludf.XLOOKUP(C138,MASTER_REGISTER!E:E,MASTER_REGISTER!F:F,""),"")</f>
        <v/>
      </c>
      <c r="E138" s="4" t="n"/>
    </row>
    <row r="139">
      <c r="B139" s="4">
        <f>IFERROR(_xludf.XLOOKUP(C139,MASTER_REGISTER!E:E,MASTER_REGISTER!C:C,""),"")</f>
        <v/>
      </c>
      <c r="C139" s="4" t="n"/>
      <c r="D139">
        <f>IFERROR(_xludf.XLOOKUP(C139,MASTER_REGISTER!E:E,MASTER_REGISTER!F:F,""),"")</f>
        <v/>
      </c>
      <c r="E139" s="4" t="n"/>
    </row>
    <row r="140">
      <c r="B140" s="4">
        <f>IFERROR(_xludf.XLOOKUP(C140,MASTER_REGISTER!E:E,MASTER_REGISTER!C:C,""),"")</f>
        <v/>
      </c>
      <c r="C140" s="4" t="n"/>
      <c r="D140">
        <f>IFERROR(_xludf.XLOOKUP(C140,MASTER_REGISTER!E:E,MASTER_REGISTER!F:F,""),"")</f>
        <v/>
      </c>
      <c r="E140" s="4" t="n"/>
    </row>
    <row r="141">
      <c r="B141" s="4">
        <f>IFERROR(_xludf.XLOOKUP(C141,MASTER_REGISTER!E:E,MASTER_REGISTER!C:C,""),"")</f>
        <v/>
      </c>
      <c r="C141" s="4" t="n"/>
      <c r="D141">
        <f>IFERROR(_xludf.XLOOKUP(C141,MASTER_REGISTER!E:E,MASTER_REGISTER!F:F,""),"")</f>
        <v/>
      </c>
      <c r="E141" s="4" t="n"/>
    </row>
    <row r="142">
      <c r="B142" s="4">
        <f>IFERROR(_xludf.XLOOKUP(C142,MASTER_REGISTER!E:E,MASTER_REGISTER!C:C,""),"")</f>
        <v/>
      </c>
      <c r="C142" s="4" t="n"/>
      <c r="D142">
        <f>IFERROR(_xludf.XLOOKUP(C142,MASTER_REGISTER!E:E,MASTER_REGISTER!F:F,""),"")</f>
        <v/>
      </c>
      <c r="E142" s="4" t="n"/>
    </row>
    <row r="143">
      <c r="B143" s="4">
        <f>IFERROR(_xludf.XLOOKUP(C143,MASTER_REGISTER!E:E,MASTER_REGISTER!C:C,""),"")</f>
        <v/>
      </c>
      <c r="C143" s="4" t="n"/>
      <c r="D143">
        <f>IFERROR(_xludf.XLOOKUP(C143,MASTER_REGISTER!E:E,MASTER_REGISTER!F:F,""),"")</f>
        <v/>
      </c>
      <c r="E143" s="4" t="n"/>
    </row>
    <row r="144">
      <c r="B144" s="4">
        <f>IFERROR(_xludf.XLOOKUP(C144,MASTER_REGISTER!E:E,MASTER_REGISTER!C:C,""),"")</f>
        <v/>
      </c>
      <c r="C144" s="4" t="n"/>
      <c r="D144">
        <f>IFERROR(_xludf.XLOOKUP(C144,MASTER_REGISTER!E:E,MASTER_REGISTER!F:F,""),"")</f>
        <v/>
      </c>
      <c r="E144" s="4" t="n"/>
    </row>
    <row r="145">
      <c r="B145" s="4">
        <f>IFERROR(_xludf.XLOOKUP(C145,MASTER_REGISTER!E:E,MASTER_REGISTER!C:C,""),"")</f>
        <v/>
      </c>
      <c r="C145" s="4" t="n"/>
      <c r="D145">
        <f>IFERROR(_xludf.XLOOKUP(C145,MASTER_REGISTER!E:E,MASTER_REGISTER!F:F,""),"")</f>
        <v/>
      </c>
      <c r="E145" s="4" t="n"/>
    </row>
    <row r="146">
      <c r="B146" s="4">
        <f>IFERROR(_xludf.XLOOKUP(C146,MASTER_REGISTER!E:E,MASTER_REGISTER!C:C,""),"")</f>
        <v/>
      </c>
      <c r="C146" s="4" t="n"/>
      <c r="D146">
        <f>IFERROR(_xludf.XLOOKUP(C146,MASTER_REGISTER!E:E,MASTER_REGISTER!F:F,""),"")</f>
        <v/>
      </c>
      <c r="E146" s="4" t="n"/>
    </row>
    <row r="147">
      <c r="B147" s="4">
        <f>IFERROR(_xludf.XLOOKUP(C147,MASTER_REGISTER!E:E,MASTER_REGISTER!C:C,""),"")</f>
        <v/>
      </c>
      <c r="C147" s="4" t="n"/>
      <c r="D147">
        <f>IFERROR(_xludf.XLOOKUP(C147,MASTER_REGISTER!E:E,MASTER_REGISTER!F:F,""),"")</f>
        <v/>
      </c>
      <c r="E147" s="4" t="n"/>
    </row>
    <row r="148">
      <c r="B148" s="4">
        <f>IFERROR(_xludf.XLOOKUP(C148,MASTER_REGISTER!E:E,MASTER_REGISTER!C:C,""),"")</f>
        <v/>
      </c>
      <c r="C148" s="4" t="n"/>
      <c r="D148">
        <f>IFERROR(_xludf.XLOOKUP(C148,MASTER_REGISTER!E:E,MASTER_REGISTER!F:F,""),"")</f>
        <v/>
      </c>
      <c r="E148" s="4" t="n"/>
    </row>
    <row r="149">
      <c r="B149" s="4">
        <f>IFERROR(_xludf.XLOOKUP(C149,MASTER_REGISTER!E:E,MASTER_REGISTER!C:C,""),"")</f>
        <v/>
      </c>
      <c r="C149" s="4" t="n"/>
      <c r="D149">
        <f>IFERROR(_xludf.XLOOKUP(C149,MASTER_REGISTER!E:E,MASTER_REGISTER!F:F,""),"")</f>
        <v/>
      </c>
      <c r="E149" s="4" t="n"/>
    </row>
    <row r="150">
      <c r="B150" s="4">
        <f>IFERROR(_xludf.XLOOKUP(C150,MASTER_REGISTER!E:E,MASTER_REGISTER!C:C,""),"")</f>
        <v/>
      </c>
      <c r="C150" s="4" t="n"/>
      <c r="D150">
        <f>IFERROR(_xludf.XLOOKUP(C150,MASTER_REGISTER!E:E,MASTER_REGISTER!F:F,""),"")</f>
        <v/>
      </c>
      <c r="E150" s="4" t="n"/>
    </row>
    <row r="151">
      <c r="B151" s="4">
        <f>IFERROR(_xludf.XLOOKUP(C151,MASTER_REGISTER!E:E,MASTER_REGISTER!C:C,""),"")</f>
        <v/>
      </c>
      <c r="C151" s="4" t="n"/>
      <c r="D151">
        <f>IFERROR(_xludf.XLOOKUP(C151,MASTER_REGISTER!E:E,MASTER_REGISTER!F:F,""),"")</f>
        <v/>
      </c>
      <c r="E151" s="4" t="n"/>
    </row>
    <row r="152">
      <c r="B152" s="4">
        <f>IFERROR(_xludf.XLOOKUP(C152,MASTER_REGISTER!E:E,MASTER_REGISTER!C:C,""),"")</f>
        <v/>
      </c>
      <c r="C152" s="4" t="n"/>
      <c r="D152">
        <f>IFERROR(_xludf.XLOOKUP(C152,MASTER_REGISTER!E:E,MASTER_REGISTER!F:F,""),"")</f>
        <v/>
      </c>
      <c r="E152" s="4" t="n"/>
    </row>
    <row r="153">
      <c r="B153" s="4">
        <f>IFERROR(_xludf.XLOOKUP(C153,MASTER_REGISTER!E:E,MASTER_REGISTER!C:C,""),"")</f>
        <v/>
      </c>
      <c r="C153" s="4" t="n"/>
      <c r="D153">
        <f>IFERROR(_xludf.XLOOKUP(C153,MASTER_REGISTER!E:E,MASTER_REGISTER!F:F,""),"")</f>
        <v/>
      </c>
      <c r="E153" s="4" t="n"/>
    </row>
    <row r="154">
      <c r="B154" s="4">
        <f>IFERROR(_xludf.XLOOKUP(C154,MASTER_REGISTER!E:E,MASTER_REGISTER!C:C,""),"")</f>
        <v/>
      </c>
      <c r="C154" s="4" t="n"/>
      <c r="D154">
        <f>IFERROR(_xludf.XLOOKUP(C154,MASTER_REGISTER!E:E,MASTER_REGISTER!F:F,""),"")</f>
        <v/>
      </c>
      <c r="E154" s="4" t="n"/>
    </row>
    <row r="155">
      <c r="B155" s="4">
        <f>IFERROR(_xludf.XLOOKUP(C155,MASTER_REGISTER!E:E,MASTER_REGISTER!C:C,""),"")</f>
        <v/>
      </c>
      <c r="C155" s="4" t="n"/>
      <c r="D155">
        <f>IFERROR(_xludf.XLOOKUP(C155,MASTER_REGISTER!E:E,MASTER_REGISTER!F:F,""),"")</f>
        <v/>
      </c>
      <c r="E155" s="4" t="n"/>
    </row>
    <row r="156">
      <c r="B156" s="4">
        <f>IFERROR(_xludf.XLOOKUP(C156,MASTER_REGISTER!E:E,MASTER_REGISTER!C:C,""),"")</f>
        <v/>
      </c>
      <c r="C156" s="4" t="n"/>
      <c r="D156">
        <f>IFERROR(_xludf.XLOOKUP(C156,MASTER_REGISTER!E:E,MASTER_REGISTER!F:F,""),"")</f>
        <v/>
      </c>
      <c r="E156" s="4" t="n"/>
    </row>
    <row r="157">
      <c r="B157" s="4">
        <f>IFERROR(_xludf.XLOOKUP(C157,MASTER_REGISTER!E:E,MASTER_REGISTER!C:C,""),"")</f>
        <v/>
      </c>
      <c r="C157" s="4" t="n"/>
      <c r="D157">
        <f>IFERROR(_xludf.XLOOKUP(C157,MASTER_REGISTER!E:E,MASTER_REGISTER!F:F,""),"")</f>
        <v/>
      </c>
      <c r="E157" s="4" t="n"/>
    </row>
    <row r="158">
      <c r="B158" s="4">
        <f>IFERROR(_xludf.XLOOKUP(C158,MASTER_REGISTER!E:E,MASTER_REGISTER!C:C,""),"")</f>
        <v/>
      </c>
      <c r="C158" s="4" t="n"/>
      <c r="D158">
        <f>IFERROR(_xludf.XLOOKUP(C158,MASTER_REGISTER!E:E,MASTER_REGISTER!F:F,""),"")</f>
        <v/>
      </c>
      <c r="E158" s="4" t="n"/>
    </row>
    <row r="159">
      <c r="B159" s="4">
        <f>IFERROR(_xludf.XLOOKUP(C159,MASTER_REGISTER!E:E,MASTER_REGISTER!C:C,""),"")</f>
        <v/>
      </c>
      <c r="C159" s="4" t="n"/>
      <c r="D159">
        <f>IFERROR(_xludf.XLOOKUP(C159,MASTER_REGISTER!E:E,MASTER_REGISTER!F:F,""),"")</f>
        <v/>
      </c>
      <c r="E159" s="4" t="n"/>
    </row>
    <row r="160">
      <c r="B160" s="4">
        <f>IFERROR(_xludf.XLOOKUP(C160,MASTER_REGISTER!E:E,MASTER_REGISTER!C:C,""),"")</f>
        <v/>
      </c>
      <c r="C160" s="4" t="n"/>
      <c r="D160">
        <f>IFERROR(_xludf.XLOOKUP(C160,MASTER_REGISTER!E:E,MASTER_REGISTER!F:F,""),"")</f>
        <v/>
      </c>
      <c r="E160" s="4" t="n"/>
    </row>
    <row r="161">
      <c r="B161" s="4">
        <f>IFERROR(_xludf.XLOOKUP(C161,MASTER_REGISTER!E:E,MASTER_REGISTER!C:C,""),"")</f>
        <v/>
      </c>
      <c r="C161" s="4" t="n"/>
      <c r="D161">
        <f>IFERROR(_xludf.XLOOKUP(C161,MASTER_REGISTER!E:E,MASTER_REGISTER!F:F,""),"")</f>
        <v/>
      </c>
      <c r="E161" s="4" t="n"/>
    </row>
    <row r="162">
      <c r="B162" s="4">
        <f>IFERROR(_xludf.XLOOKUP(C162,MASTER_REGISTER!E:E,MASTER_REGISTER!C:C,""),"")</f>
        <v/>
      </c>
      <c r="C162" s="4" t="n"/>
      <c r="D162">
        <f>IFERROR(_xludf.XLOOKUP(C162,MASTER_REGISTER!E:E,MASTER_REGISTER!F:F,""),"")</f>
        <v/>
      </c>
      <c r="E162" s="4" t="n"/>
    </row>
    <row r="163">
      <c r="B163" s="4">
        <f>IFERROR(_xludf.XLOOKUP(C163,MASTER_REGISTER!E:E,MASTER_REGISTER!C:C,""),"")</f>
        <v/>
      </c>
      <c r="C163" s="4" t="n"/>
      <c r="D163">
        <f>IFERROR(_xludf.XLOOKUP(C163,MASTER_REGISTER!E:E,MASTER_REGISTER!F:F,""),"")</f>
        <v/>
      </c>
      <c r="E163" s="4" t="n"/>
    </row>
    <row r="164">
      <c r="B164" s="4">
        <f>IFERROR(_xludf.XLOOKUP(C164,MASTER_REGISTER!E:E,MASTER_REGISTER!C:C,""),"")</f>
        <v/>
      </c>
      <c r="C164" s="4" t="n"/>
      <c r="D164">
        <f>IFERROR(_xludf.XLOOKUP(C164,MASTER_REGISTER!E:E,MASTER_REGISTER!F:F,""),"")</f>
        <v/>
      </c>
      <c r="E164" s="4" t="n"/>
    </row>
    <row r="165">
      <c r="B165" s="4">
        <f>IFERROR(_xludf.XLOOKUP(C165,MASTER_REGISTER!E:E,MASTER_REGISTER!C:C,""),"")</f>
        <v/>
      </c>
      <c r="C165" s="4" t="n"/>
      <c r="D165">
        <f>IFERROR(_xludf.XLOOKUP(C165,MASTER_REGISTER!E:E,MASTER_REGISTER!F:F,""),"")</f>
        <v/>
      </c>
      <c r="E165" s="4" t="n"/>
    </row>
    <row r="166">
      <c r="B166" s="4">
        <f>IFERROR(_xludf.XLOOKUP(C166,MASTER_REGISTER!E:E,MASTER_REGISTER!C:C,""),"")</f>
        <v/>
      </c>
      <c r="C166" s="4" t="n"/>
      <c r="D166">
        <f>IFERROR(_xludf.XLOOKUP(C166,MASTER_REGISTER!E:E,MASTER_REGISTER!F:F,""),"")</f>
        <v/>
      </c>
      <c r="E166" s="4" t="n"/>
    </row>
    <row r="167">
      <c r="B167" s="4">
        <f>IFERROR(_xludf.XLOOKUP(C167,MASTER_REGISTER!E:E,MASTER_REGISTER!C:C,""),"")</f>
        <v/>
      </c>
      <c r="C167" s="4" t="n"/>
      <c r="D167">
        <f>IFERROR(_xludf.XLOOKUP(C167,MASTER_REGISTER!E:E,MASTER_REGISTER!F:F,""),"")</f>
        <v/>
      </c>
      <c r="E167" s="4" t="n"/>
    </row>
    <row r="168">
      <c r="B168" s="4">
        <f>IFERROR(_xludf.XLOOKUP(C168,MASTER_REGISTER!E:E,MASTER_REGISTER!C:C,""),"")</f>
        <v/>
      </c>
      <c r="C168" s="4" t="n"/>
      <c r="D168">
        <f>IFERROR(_xludf.XLOOKUP(C168,MASTER_REGISTER!E:E,MASTER_REGISTER!F:F,""),"")</f>
        <v/>
      </c>
      <c r="E168" s="4" t="n"/>
    </row>
    <row r="169">
      <c r="B169" s="4">
        <f>IFERROR(_xludf.XLOOKUP(C169,MASTER_REGISTER!E:E,MASTER_REGISTER!C:C,""),"")</f>
        <v/>
      </c>
      <c r="C169" s="4" t="n"/>
      <c r="D169">
        <f>IFERROR(_xludf.XLOOKUP(C169,MASTER_REGISTER!E:E,MASTER_REGISTER!F:F,""),"")</f>
        <v/>
      </c>
      <c r="E169" s="4" t="n"/>
    </row>
    <row r="170">
      <c r="B170" s="4">
        <f>IFERROR(_xludf.XLOOKUP(C170,MASTER_REGISTER!E:E,MASTER_REGISTER!C:C,""),"")</f>
        <v/>
      </c>
      <c r="C170" s="4" t="n"/>
      <c r="D170">
        <f>IFERROR(_xludf.XLOOKUP(C170,MASTER_REGISTER!E:E,MASTER_REGISTER!F:F,""),"")</f>
        <v/>
      </c>
      <c r="E170" s="4" t="n"/>
    </row>
    <row r="171">
      <c r="B171" s="4">
        <f>IFERROR(_xludf.XLOOKUP(C171,MASTER_REGISTER!E:E,MASTER_REGISTER!C:C,""),"")</f>
        <v/>
      </c>
      <c r="C171" s="4" t="n"/>
      <c r="D171">
        <f>IFERROR(_xludf.XLOOKUP(C171,MASTER_REGISTER!E:E,MASTER_REGISTER!F:F,""),"")</f>
        <v/>
      </c>
      <c r="E171" s="4" t="n"/>
    </row>
    <row r="172">
      <c r="B172" s="4">
        <f>IFERROR(_xludf.XLOOKUP(C172,MASTER_REGISTER!E:E,MASTER_REGISTER!C:C,""),"")</f>
        <v/>
      </c>
      <c r="C172" s="4" t="n"/>
      <c r="D172">
        <f>IFERROR(_xludf.XLOOKUP(C172,MASTER_REGISTER!E:E,MASTER_REGISTER!F:F,""),"")</f>
        <v/>
      </c>
      <c r="E172" s="4" t="n"/>
    </row>
    <row r="173">
      <c r="B173" s="4">
        <f>IFERROR(_xludf.XLOOKUP(C173,MASTER_REGISTER!E:E,MASTER_REGISTER!C:C,""),"")</f>
        <v/>
      </c>
      <c r="C173" s="4" t="n"/>
      <c r="D173">
        <f>IFERROR(_xludf.XLOOKUP(C173,MASTER_REGISTER!E:E,MASTER_REGISTER!F:F,""),"")</f>
        <v/>
      </c>
      <c r="E173" s="4" t="n"/>
    </row>
    <row r="174">
      <c r="B174" s="4">
        <f>IFERROR(_xludf.XLOOKUP(C174,MASTER_REGISTER!E:E,MASTER_REGISTER!C:C,""),"")</f>
        <v/>
      </c>
      <c r="C174" s="4" t="n"/>
      <c r="D174">
        <f>IFERROR(_xludf.XLOOKUP(C174,MASTER_REGISTER!E:E,MASTER_REGISTER!F:F,""),"")</f>
        <v/>
      </c>
      <c r="E174" s="4" t="n"/>
    </row>
    <row r="175">
      <c r="B175" s="4">
        <f>IFERROR(_xludf.XLOOKUP(C175,MASTER_REGISTER!E:E,MASTER_REGISTER!C:C,""),"")</f>
        <v/>
      </c>
      <c r="C175" s="4" t="n"/>
      <c r="D175">
        <f>IFERROR(_xludf.XLOOKUP(C175,MASTER_REGISTER!E:E,MASTER_REGISTER!F:F,""),"")</f>
        <v/>
      </c>
      <c r="E175" s="4" t="n"/>
    </row>
    <row r="176">
      <c r="B176" s="4">
        <f>IFERROR(_xludf.XLOOKUP(C176,MASTER_REGISTER!E:E,MASTER_REGISTER!C:C,""),"")</f>
        <v/>
      </c>
      <c r="C176" s="4" t="n"/>
      <c r="D176">
        <f>IFERROR(_xludf.XLOOKUP(C176,MASTER_REGISTER!E:E,MASTER_REGISTER!F:F,""),"")</f>
        <v/>
      </c>
      <c r="E176" s="4" t="n"/>
    </row>
    <row r="177">
      <c r="B177" s="4">
        <f>IFERROR(_xludf.XLOOKUP(C177,MASTER_REGISTER!E:E,MASTER_REGISTER!C:C,""),"")</f>
        <v/>
      </c>
      <c r="C177" s="4" t="n"/>
      <c r="D177">
        <f>IFERROR(_xludf.XLOOKUP(C177,MASTER_REGISTER!E:E,MASTER_REGISTER!F:F,""),"")</f>
        <v/>
      </c>
      <c r="E177" s="4" t="n"/>
    </row>
    <row r="178">
      <c r="B178" s="4">
        <f>IFERROR(_xludf.XLOOKUP(C178,MASTER_REGISTER!E:E,MASTER_REGISTER!C:C,""),"")</f>
        <v/>
      </c>
      <c r="C178" s="4" t="n"/>
      <c r="D178">
        <f>IFERROR(_xludf.XLOOKUP(C178,MASTER_REGISTER!E:E,MASTER_REGISTER!F:F,""),"")</f>
        <v/>
      </c>
      <c r="E178" s="4" t="n"/>
    </row>
    <row r="179">
      <c r="B179" s="4">
        <f>IFERROR(_xludf.XLOOKUP(C179,MASTER_REGISTER!E:E,MASTER_REGISTER!C:C,""),"")</f>
        <v/>
      </c>
      <c r="C179" s="4" t="n"/>
      <c r="D179">
        <f>IFERROR(_xludf.XLOOKUP(C179,MASTER_REGISTER!E:E,MASTER_REGISTER!F:F,""),"")</f>
        <v/>
      </c>
      <c r="E179" s="4" t="n"/>
    </row>
    <row r="180">
      <c r="B180" s="4">
        <f>IFERROR(_xludf.XLOOKUP(C180,MASTER_REGISTER!E:E,MASTER_REGISTER!C:C,""),"")</f>
        <v/>
      </c>
      <c r="C180" s="4" t="n"/>
      <c r="D180">
        <f>IFERROR(_xludf.XLOOKUP(C180,MASTER_REGISTER!E:E,MASTER_REGISTER!F:F,""),"")</f>
        <v/>
      </c>
      <c r="E180" s="4" t="n"/>
    </row>
    <row r="181">
      <c r="B181" s="4">
        <f>IFERROR(_xludf.XLOOKUP(C181,MASTER_REGISTER!E:E,MASTER_REGISTER!C:C,""),"")</f>
        <v/>
      </c>
      <c r="C181" s="4" t="n"/>
      <c r="D181">
        <f>IFERROR(_xludf.XLOOKUP(C181,MASTER_REGISTER!E:E,MASTER_REGISTER!F:F,""),"")</f>
        <v/>
      </c>
      <c r="E181" s="4" t="n"/>
    </row>
    <row r="182">
      <c r="B182" s="4">
        <f>IFERROR(_xludf.XLOOKUP(C182,MASTER_REGISTER!E:E,MASTER_REGISTER!C:C,""),"")</f>
        <v/>
      </c>
      <c r="C182" s="4" t="n"/>
      <c r="D182">
        <f>IFERROR(_xludf.XLOOKUP(C182,MASTER_REGISTER!E:E,MASTER_REGISTER!F:F,""),"")</f>
        <v/>
      </c>
      <c r="E182" s="4" t="n"/>
    </row>
    <row r="183">
      <c r="B183" s="4">
        <f>IFERROR(_xludf.XLOOKUP(C183,MASTER_REGISTER!E:E,MASTER_REGISTER!C:C,""),"")</f>
        <v/>
      </c>
      <c r="C183" s="4" t="n"/>
      <c r="D183">
        <f>IFERROR(_xludf.XLOOKUP(C183,MASTER_REGISTER!E:E,MASTER_REGISTER!F:F,""),"")</f>
        <v/>
      </c>
      <c r="E183" s="4" t="n"/>
    </row>
    <row r="184">
      <c r="B184" s="4">
        <f>IFERROR(_xludf.XLOOKUP(C184,MASTER_REGISTER!E:E,MASTER_REGISTER!C:C,""),"")</f>
        <v/>
      </c>
      <c r="C184" s="4" t="n"/>
      <c r="D184">
        <f>IFERROR(_xludf.XLOOKUP(C184,MASTER_REGISTER!E:E,MASTER_REGISTER!F:F,""),"")</f>
        <v/>
      </c>
      <c r="E184" s="4" t="n"/>
    </row>
    <row r="185">
      <c r="B185" s="4">
        <f>IFERROR(_xludf.XLOOKUP(C185,MASTER_REGISTER!E:E,MASTER_REGISTER!C:C,""),"")</f>
        <v/>
      </c>
      <c r="C185" s="4" t="n"/>
      <c r="D185">
        <f>IFERROR(_xludf.XLOOKUP(C185,MASTER_REGISTER!E:E,MASTER_REGISTER!F:F,""),"")</f>
        <v/>
      </c>
      <c r="E185" s="4" t="n"/>
    </row>
    <row r="186">
      <c r="B186" s="4">
        <f>IFERROR(_xludf.XLOOKUP(C186,MASTER_REGISTER!E:E,MASTER_REGISTER!C:C,""),"")</f>
        <v/>
      </c>
      <c r="C186" s="4" t="n"/>
      <c r="D186">
        <f>IFERROR(_xludf.XLOOKUP(C186,MASTER_REGISTER!E:E,MASTER_REGISTER!F:F,""),"")</f>
        <v/>
      </c>
      <c r="E186" s="4" t="n"/>
    </row>
    <row r="187">
      <c r="B187" s="4">
        <f>IFERROR(_xludf.XLOOKUP(C187,MASTER_REGISTER!E:E,MASTER_REGISTER!C:C,""),"")</f>
        <v/>
      </c>
      <c r="C187" s="4" t="n"/>
      <c r="D187">
        <f>IFERROR(_xludf.XLOOKUP(C187,MASTER_REGISTER!E:E,MASTER_REGISTER!F:F,""),"")</f>
        <v/>
      </c>
      <c r="E187" s="4" t="n"/>
    </row>
    <row r="188">
      <c r="B188" s="4">
        <f>IFERROR(_xludf.XLOOKUP(C188,MASTER_REGISTER!E:E,MASTER_REGISTER!C:C,""),"")</f>
        <v/>
      </c>
      <c r="C188" s="4" t="n"/>
      <c r="D188">
        <f>IFERROR(_xludf.XLOOKUP(C188,MASTER_REGISTER!E:E,MASTER_REGISTER!F:F,""),"")</f>
        <v/>
      </c>
      <c r="E188" s="4" t="n"/>
    </row>
    <row r="189">
      <c r="B189" s="4">
        <f>IFERROR(_xludf.XLOOKUP(C189,MASTER_REGISTER!E:E,MASTER_REGISTER!C:C,""),"")</f>
        <v/>
      </c>
      <c r="C189" s="4" t="n"/>
      <c r="D189">
        <f>IFERROR(_xludf.XLOOKUP(C189,MASTER_REGISTER!E:E,MASTER_REGISTER!F:F,""),"")</f>
        <v/>
      </c>
      <c r="E189" s="4" t="n"/>
    </row>
    <row r="190">
      <c r="B190" s="4">
        <f>IFERROR(_xludf.XLOOKUP(C190,MASTER_REGISTER!E:E,MASTER_REGISTER!C:C,""),"")</f>
        <v/>
      </c>
      <c r="C190" s="4" t="n"/>
      <c r="D190">
        <f>IFERROR(_xludf.XLOOKUP(C190,MASTER_REGISTER!E:E,MASTER_REGISTER!F:F,""),"")</f>
        <v/>
      </c>
      <c r="E190" s="4" t="n"/>
    </row>
    <row r="191">
      <c r="B191" s="4">
        <f>IFERROR(_xludf.XLOOKUP(C191,MASTER_REGISTER!E:E,MASTER_REGISTER!C:C,""),"")</f>
        <v/>
      </c>
      <c r="C191" s="4" t="n"/>
      <c r="D191">
        <f>IFERROR(_xludf.XLOOKUP(C191,MASTER_REGISTER!E:E,MASTER_REGISTER!F:F,""),"")</f>
        <v/>
      </c>
      <c r="E191" s="4" t="n"/>
    </row>
    <row r="192">
      <c r="B192" s="4">
        <f>IFERROR(_xludf.XLOOKUP(C192,MASTER_REGISTER!E:E,MASTER_REGISTER!C:C,""),"")</f>
        <v/>
      </c>
      <c r="C192" s="4" t="n"/>
      <c r="D192">
        <f>IFERROR(_xludf.XLOOKUP(C192,MASTER_REGISTER!E:E,MASTER_REGISTER!F:F,""),"")</f>
        <v/>
      </c>
      <c r="E192" s="4" t="n"/>
    </row>
    <row r="193">
      <c r="B193" s="4">
        <f>IFERROR(_xludf.XLOOKUP(C193,MASTER_REGISTER!E:E,MASTER_REGISTER!C:C,""),"")</f>
        <v/>
      </c>
      <c r="C193" s="4" t="n"/>
      <c r="D193">
        <f>IFERROR(_xludf.XLOOKUP(C193,MASTER_REGISTER!E:E,MASTER_REGISTER!F:F,""),"")</f>
        <v/>
      </c>
      <c r="E193" s="4" t="n"/>
    </row>
    <row r="194">
      <c r="B194" s="4">
        <f>IFERROR(_xludf.XLOOKUP(C194,MASTER_REGISTER!E:E,MASTER_REGISTER!C:C,""),"")</f>
        <v/>
      </c>
      <c r="C194" s="4" t="n"/>
      <c r="D194">
        <f>IFERROR(_xludf.XLOOKUP(C194,MASTER_REGISTER!E:E,MASTER_REGISTER!F:F,""),"")</f>
        <v/>
      </c>
      <c r="E194" s="4" t="n"/>
    </row>
    <row r="195">
      <c r="B195" s="4">
        <f>IFERROR(_xludf.XLOOKUP(C195,MASTER_REGISTER!E:E,MASTER_REGISTER!C:C,""),"")</f>
        <v/>
      </c>
      <c r="C195" s="4" t="n"/>
      <c r="D195">
        <f>IFERROR(_xludf.XLOOKUP(C195,MASTER_REGISTER!E:E,MASTER_REGISTER!F:F,""),"")</f>
        <v/>
      </c>
      <c r="E195" s="4" t="n"/>
    </row>
    <row r="196">
      <c r="B196" s="4">
        <f>IFERROR(_xludf.XLOOKUP(C196,MASTER_REGISTER!E:E,MASTER_REGISTER!C:C,""),"")</f>
        <v/>
      </c>
      <c r="C196" s="4" t="n"/>
      <c r="D196">
        <f>IFERROR(_xludf.XLOOKUP(C196,MASTER_REGISTER!E:E,MASTER_REGISTER!F:F,""),"")</f>
        <v/>
      </c>
      <c r="E196" s="4" t="n"/>
    </row>
    <row r="197">
      <c r="B197" s="4">
        <f>IFERROR(_xludf.XLOOKUP(C197,MASTER_REGISTER!E:E,MASTER_REGISTER!C:C,""),"")</f>
        <v/>
      </c>
      <c r="C197" s="4" t="n"/>
      <c r="D197">
        <f>IFERROR(_xludf.XLOOKUP(C197,MASTER_REGISTER!E:E,MASTER_REGISTER!F:F,""),"")</f>
        <v/>
      </c>
      <c r="E197" s="4" t="n"/>
    </row>
    <row r="198">
      <c r="B198" s="4">
        <f>IFERROR(_xludf.XLOOKUP(C198,MASTER_REGISTER!E:E,MASTER_REGISTER!C:C,""),"")</f>
        <v/>
      </c>
      <c r="C198" s="4" t="n"/>
      <c r="D198">
        <f>IFERROR(_xludf.XLOOKUP(C198,MASTER_REGISTER!E:E,MASTER_REGISTER!F:F,""),"")</f>
        <v/>
      </c>
      <c r="E198" s="4" t="n"/>
    </row>
    <row r="199">
      <c r="B199" s="4">
        <f>IFERROR(_xludf.XLOOKUP(C199,MASTER_REGISTER!E:E,MASTER_REGISTER!C:C,""),"")</f>
        <v/>
      </c>
      <c r="C199" s="4" t="n"/>
      <c r="D199">
        <f>IFERROR(_xludf.XLOOKUP(C199,MASTER_REGISTER!E:E,MASTER_REGISTER!F:F,""),"")</f>
        <v/>
      </c>
      <c r="E199" s="4" t="n"/>
    </row>
    <row r="200">
      <c r="B200" s="4">
        <f>IFERROR(_xludf.XLOOKUP(C200,MASTER_REGISTER!E:E,MASTER_REGISTER!C:C,""),"")</f>
        <v/>
      </c>
      <c r="C200" s="4" t="n"/>
      <c r="D200">
        <f>IFERROR(_xludf.XLOOKUP(C200,MASTER_REGISTER!E:E,MASTER_REGISTER!F:F,""),"")</f>
        <v/>
      </c>
      <c r="E200" s="4" t="n"/>
    </row>
    <row r="201">
      <c r="B201" s="4">
        <f>IFERROR(_xludf.XLOOKUP(C201,MASTER_REGISTER!E:E,MASTER_REGISTER!C:C,""),"")</f>
        <v/>
      </c>
      <c r="C201" s="4" t="n"/>
      <c r="D201">
        <f>IFERROR(_xludf.XLOOKUP(C201,MASTER_REGISTER!E:E,MASTER_REGISTER!F:F,""),"")</f>
        <v/>
      </c>
      <c r="E201" s="4" t="n"/>
    </row>
    <row r="202">
      <c r="B202" s="4">
        <f>IFERROR(_xludf.XLOOKUP(C202,MASTER_REGISTER!E:E,MASTER_REGISTER!C:C,""),"")</f>
        <v/>
      </c>
      <c r="C202" s="4" t="n"/>
      <c r="D202">
        <f>IFERROR(_xludf.XLOOKUP(C202,MASTER_REGISTER!E:E,MASTER_REGISTER!F:F,""),"")</f>
        <v/>
      </c>
      <c r="E202" s="4" t="n"/>
    </row>
    <row r="203">
      <c r="B203" s="4">
        <f>IFERROR(_xludf.XLOOKUP(C203,MASTER_REGISTER!E:E,MASTER_REGISTER!C:C,""),"")</f>
        <v/>
      </c>
      <c r="C203" s="4" t="n"/>
      <c r="D203">
        <f>IFERROR(_xludf.XLOOKUP(C203,MASTER_REGISTER!E:E,MASTER_REGISTER!F:F,""),"")</f>
        <v/>
      </c>
      <c r="E203" s="4" t="n"/>
    </row>
    <row r="204">
      <c r="B204" s="4">
        <f>IFERROR(_xludf.XLOOKUP(C204,MASTER_REGISTER!E:E,MASTER_REGISTER!C:C,""),"")</f>
        <v/>
      </c>
      <c r="C204" s="4" t="n"/>
      <c r="D204">
        <f>IFERROR(_xludf.XLOOKUP(C204,MASTER_REGISTER!E:E,MASTER_REGISTER!F:F,""),"")</f>
        <v/>
      </c>
      <c r="E204" s="4" t="n"/>
    </row>
    <row r="205">
      <c r="B205" s="4">
        <f>IFERROR(_xludf.XLOOKUP(C205,MASTER_REGISTER!E:E,MASTER_REGISTER!C:C,""),"")</f>
        <v/>
      </c>
      <c r="C205" s="4" t="n"/>
      <c r="D205">
        <f>IFERROR(_xludf.XLOOKUP(C205,MASTER_REGISTER!E:E,MASTER_REGISTER!F:F,""),"")</f>
        <v/>
      </c>
      <c r="E205" s="4" t="n"/>
    </row>
    <row r="206">
      <c r="B206" s="4">
        <f>IFERROR(_xludf.XLOOKUP(C206,MASTER_REGISTER!E:E,MASTER_REGISTER!C:C,""),"")</f>
        <v/>
      </c>
      <c r="C206" s="4" t="n"/>
      <c r="D206">
        <f>IFERROR(_xludf.XLOOKUP(C206,MASTER_REGISTER!E:E,MASTER_REGISTER!F:F,""),"")</f>
        <v/>
      </c>
      <c r="E206" s="4" t="n"/>
    </row>
    <row r="207">
      <c r="B207" s="4">
        <f>IFERROR(_xludf.XLOOKUP(C207,MASTER_REGISTER!E:E,MASTER_REGISTER!C:C,""),"")</f>
        <v/>
      </c>
      <c r="C207" s="4" t="n"/>
      <c r="D207">
        <f>IFERROR(_xludf.XLOOKUP(C207,MASTER_REGISTER!E:E,MASTER_REGISTER!F:F,""),"")</f>
        <v/>
      </c>
      <c r="E207" s="4" t="n"/>
    </row>
    <row r="208">
      <c r="B208" s="4">
        <f>IFERROR(_xludf.XLOOKUP(C208,MASTER_REGISTER!E:E,MASTER_REGISTER!C:C,""),"")</f>
        <v/>
      </c>
      <c r="C208" s="4" t="n"/>
      <c r="D208">
        <f>IFERROR(_xludf.XLOOKUP(C208,MASTER_REGISTER!E:E,MASTER_REGISTER!F:F,""),"")</f>
        <v/>
      </c>
      <c r="E208" s="4" t="n"/>
    </row>
    <row r="209">
      <c r="B209" s="4">
        <f>IFERROR(_xludf.XLOOKUP(C209,MASTER_REGISTER!E:E,MASTER_REGISTER!C:C,""),"")</f>
        <v/>
      </c>
      <c r="C209" s="4" t="n"/>
      <c r="D209">
        <f>IFERROR(_xludf.XLOOKUP(C209,MASTER_REGISTER!E:E,MASTER_REGISTER!F:F,""),"")</f>
        <v/>
      </c>
      <c r="E209" s="4" t="n"/>
    </row>
    <row r="210">
      <c r="B210" s="4">
        <f>IFERROR(_xludf.XLOOKUP(C210,MASTER_REGISTER!E:E,MASTER_REGISTER!C:C,""),"")</f>
        <v/>
      </c>
      <c r="C210" s="4" t="n"/>
      <c r="D210">
        <f>IFERROR(_xludf.XLOOKUP(C210,MASTER_REGISTER!E:E,MASTER_REGISTER!F:F,""),"")</f>
        <v/>
      </c>
      <c r="E210" s="4" t="n"/>
    </row>
    <row r="211">
      <c r="B211" s="4">
        <f>IFERROR(_xludf.XLOOKUP(C211,MASTER_REGISTER!E:E,MASTER_REGISTER!C:C,""),"")</f>
        <v/>
      </c>
      <c r="C211" s="4" t="n"/>
      <c r="D211">
        <f>IFERROR(_xludf.XLOOKUP(C211,MASTER_REGISTER!E:E,MASTER_REGISTER!F:F,""),"")</f>
        <v/>
      </c>
      <c r="E211" s="4" t="n"/>
    </row>
    <row r="212">
      <c r="B212" s="4">
        <f>IFERROR(_xludf.XLOOKUP(C212,MASTER_REGISTER!E:E,MASTER_REGISTER!C:C,""),"")</f>
        <v/>
      </c>
      <c r="C212" s="4" t="n"/>
      <c r="D212">
        <f>IFERROR(_xludf.XLOOKUP(C212,MASTER_REGISTER!E:E,MASTER_REGISTER!F:F,""),"")</f>
        <v/>
      </c>
      <c r="E212" s="4" t="n"/>
    </row>
    <row r="213">
      <c r="B213" s="4">
        <f>IFERROR(_xludf.XLOOKUP(C213,MASTER_REGISTER!E:E,MASTER_REGISTER!C:C,""),"")</f>
        <v/>
      </c>
      <c r="C213" s="4" t="n"/>
      <c r="D213">
        <f>IFERROR(_xludf.XLOOKUP(C213,MASTER_REGISTER!E:E,MASTER_REGISTER!F:F,""),"")</f>
        <v/>
      </c>
      <c r="E213" s="4" t="n"/>
    </row>
    <row r="214">
      <c r="B214" s="4">
        <f>IFERROR(_xludf.XLOOKUP(C214,MASTER_REGISTER!E:E,MASTER_REGISTER!C:C,""),"")</f>
        <v/>
      </c>
      <c r="C214" s="4" t="n"/>
      <c r="D214">
        <f>IFERROR(_xludf.XLOOKUP(C214,MASTER_REGISTER!E:E,MASTER_REGISTER!F:F,""),"")</f>
        <v/>
      </c>
      <c r="E214" s="4" t="n"/>
    </row>
    <row r="215">
      <c r="B215" s="4">
        <f>IFERROR(_xludf.XLOOKUP(C215,MASTER_REGISTER!E:E,MASTER_REGISTER!C:C,""),"")</f>
        <v/>
      </c>
      <c r="C215" s="4" t="n"/>
      <c r="D215">
        <f>IFERROR(_xludf.XLOOKUP(C215,MASTER_REGISTER!E:E,MASTER_REGISTER!F:F,""),"")</f>
        <v/>
      </c>
      <c r="E215" s="4" t="n"/>
    </row>
    <row r="216">
      <c r="B216" s="4">
        <f>IFERROR(_xludf.XLOOKUP(C216,MASTER_REGISTER!E:E,MASTER_REGISTER!C:C,""),"")</f>
        <v/>
      </c>
      <c r="C216" s="4" t="n"/>
      <c r="D216">
        <f>IFERROR(_xludf.XLOOKUP(C216,MASTER_REGISTER!E:E,MASTER_REGISTER!F:F,""),"")</f>
        <v/>
      </c>
      <c r="E216" s="4" t="n"/>
    </row>
    <row r="217">
      <c r="B217" s="4">
        <f>IFERROR(_xludf.XLOOKUP(C217,MASTER_REGISTER!E:E,MASTER_REGISTER!C:C,""),"")</f>
        <v/>
      </c>
      <c r="C217" s="4" t="n"/>
      <c r="D217">
        <f>IFERROR(_xludf.XLOOKUP(C217,MASTER_REGISTER!E:E,MASTER_REGISTER!F:F,""),"")</f>
        <v/>
      </c>
      <c r="E217" s="4" t="n"/>
    </row>
    <row r="218">
      <c r="B218" s="4">
        <f>IFERROR(_xludf.XLOOKUP(C218,MASTER_REGISTER!E:E,MASTER_REGISTER!C:C,""),"")</f>
        <v/>
      </c>
      <c r="C218" s="4" t="n"/>
      <c r="D218">
        <f>IFERROR(_xludf.XLOOKUP(C218,MASTER_REGISTER!E:E,MASTER_REGISTER!F:F,""),"")</f>
        <v/>
      </c>
      <c r="E218" s="4" t="n"/>
    </row>
    <row r="219">
      <c r="B219" s="4">
        <f>IFERROR(_xludf.XLOOKUP(C219,MASTER_REGISTER!E:E,MASTER_REGISTER!C:C,""),"")</f>
        <v/>
      </c>
      <c r="C219" s="4" t="n"/>
      <c r="D219">
        <f>IFERROR(_xludf.XLOOKUP(C219,MASTER_REGISTER!E:E,MASTER_REGISTER!F:F,""),"")</f>
        <v/>
      </c>
      <c r="E219" s="4" t="n"/>
    </row>
    <row r="220">
      <c r="B220" s="4">
        <f>IFERROR(_xludf.XLOOKUP(C220,MASTER_REGISTER!E:E,MASTER_REGISTER!C:C,""),"")</f>
        <v/>
      </c>
      <c r="C220" s="4" t="n"/>
      <c r="D220">
        <f>IFERROR(_xludf.XLOOKUP(C220,MASTER_REGISTER!E:E,MASTER_REGISTER!F:F,""),"")</f>
        <v/>
      </c>
      <c r="E220" s="4" t="n"/>
    </row>
    <row r="221">
      <c r="B221" s="4">
        <f>IFERROR(_xludf.XLOOKUP(C221,MASTER_REGISTER!E:E,MASTER_REGISTER!C:C,""),"")</f>
        <v/>
      </c>
      <c r="C221" s="4" t="n"/>
      <c r="D221">
        <f>IFERROR(_xludf.XLOOKUP(C221,MASTER_REGISTER!E:E,MASTER_REGISTER!F:F,""),"")</f>
        <v/>
      </c>
      <c r="E221" s="4" t="n"/>
    </row>
    <row r="222">
      <c r="B222" s="4">
        <f>IFERROR(_xludf.XLOOKUP(C222,MASTER_REGISTER!E:E,MASTER_REGISTER!C:C,""),"")</f>
        <v/>
      </c>
      <c r="C222" s="4" t="n"/>
      <c r="D222">
        <f>IFERROR(_xludf.XLOOKUP(C222,MASTER_REGISTER!E:E,MASTER_REGISTER!F:F,""),"")</f>
        <v/>
      </c>
      <c r="E222" s="4" t="n"/>
    </row>
    <row r="223">
      <c r="B223" s="4">
        <f>IFERROR(_xludf.XLOOKUP(C223,MASTER_REGISTER!E:E,MASTER_REGISTER!C:C,""),"")</f>
        <v/>
      </c>
      <c r="C223" s="4" t="n"/>
      <c r="D223">
        <f>IFERROR(_xludf.XLOOKUP(C223,MASTER_REGISTER!E:E,MASTER_REGISTER!F:F,""),"")</f>
        <v/>
      </c>
      <c r="E223" s="4" t="n"/>
    </row>
    <row r="224">
      <c r="B224" s="4">
        <f>IFERROR(_xludf.XLOOKUP(C224,MASTER_REGISTER!E:E,MASTER_REGISTER!C:C,""),"")</f>
        <v/>
      </c>
      <c r="C224" s="4" t="n"/>
      <c r="D224">
        <f>IFERROR(_xludf.XLOOKUP(C224,MASTER_REGISTER!E:E,MASTER_REGISTER!F:F,""),"")</f>
        <v/>
      </c>
      <c r="E224" s="4" t="n"/>
    </row>
    <row r="225">
      <c r="B225" s="4">
        <f>IFERROR(_xludf.XLOOKUP(C225,MASTER_REGISTER!E:E,MASTER_REGISTER!C:C,""),"")</f>
        <v/>
      </c>
      <c r="C225" s="4" t="n"/>
      <c r="D225">
        <f>IFERROR(_xludf.XLOOKUP(C225,MASTER_REGISTER!E:E,MASTER_REGISTER!F:F,""),"")</f>
        <v/>
      </c>
      <c r="E225" s="4" t="n"/>
    </row>
    <row r="226">
      <c r="B226" s="4">
        <f>IFERROR(_xludf.XLOOKUP(C226,MASTER_REGISTER!E:E,MASTER_REGISTER!C:C,""),"")</f>
        <v/>
      </c>
      <c r="C226" s="4" t="n"/>
      <c r="D226">
        <f>IFERROR(_xludf.XLOOKUP(C226,MASTER_REGISTER!E:E,MASTER_REGISTER!F:F,""),"")</f>
        <v/>
      </c>
      <c r="E226" s="4" t="n"/>
    </row>
    <row r="227">
      <c r="B227" s="4">
        <f>IFERROR(_xludf.XLOOKUP(C227,MASTER_REGISTER!E:E,MASTER_REGISTER!C:C,""),"")</f>
        <v/>
      </c>
      <c r="C227" s="4" t="n"/>
      <c r="D227">
        <f>IFERROR(_xludf.XLOOKUP(C227,MASTER_REGISTER!E:E,MASTER_REGISTER!F:F,""),"")</f>
        <v/>
      </c>
      <c r="E227" s="4" t="n"/>
    </row>
    <row r="228">
      <c r="B228" s="4">
        <f>IFERROR(_xludf.XLOOKUP(C228,MASTER_REGISTER!E:E,MASTER_REGISTER!C:C,""),"")</f>
        <v/>
      </c>
      <c r="C228" s="4" t="n"/>
      <c r="D228">
        <f>IFERROR(_xludf.XLOOKUP(C228,MASTER_REGISTER!E:E,MASTER_REGISTER!F:F,""),"")</f>
        <v/>
      </c>
      <c r="E228" s="4" t="n"/>
    </row>
    <row r="229">
      <c r="B229" s="4">
        <f>IFERROR(_xludf.XLOOKUP(C229,MASTER_REGISTER!E:E,MASTER_REGISTER!C:C,""),"")</f>
        <v/>
      </c>
      <c r="C229" s="4" t="n"/>
      <c r="D229">
        <f>IFERROR(_xludf.XLOOKUP(C229,MASTER_REGISTER!E:E,MASTER_REGISTER!F:F,""),"")</f>
        <v/>
      </c>
      <c r="E229" s="4" t="n"/>
    </row>
    <row r="230">
      <c r="B230" s="4">
        <f>IFERROR(_xludf.XLOOKUP(C230,MASTER_REGISTER!E:E,MASTER_REGISTER!C:C,""),"")</f>
        <v/>
      </c>
      <c r="C230" s="4" t="n"/>
      <c r="D230">
        <f>IFERROR(_xludf.XLOOKUP(C230,MASTER_REGISTER!E:E,MASTER_REGISTER!F:F,""),"")</f>
        <v/>
      </c>
      <c r="E230" s="4" t="n"/>
    </row>
    <row r="231">
      <c r="B231" s="4">
        <f>IFERROR(_xludf.XLOOKUP(C231,MASTER_REGISTER!E:E,MASTER_REGISTER!C:C,""),"")</f>
        <v/>
      </c>
      <c r="C231" s="4" t="n"/>
      <c r="D231">
        <f>IFERROR(_xludf.XLOOKUP(C231,MASTER_REGISTER!E:E,MASTER_REGISTER!F:F,""),"")</f>
        <v/>
      </c>
      <c r="E231" s="4" t="n"/>
    </row>
    <row r="232">
      <c r="B232" s="4">
        <f>IFERROR(_xludf.XLOOKUP(C232,MASTER_REGISTER!E:E,MASTER_REGISTER!C:C,""),"")</f>
        <v/>
      </c>
      <c r="C232" s="4" t="n"/>
      <c r="D232">
        <f>IFERROR(_xludf.XLOOKUP(C232,MASTER_REGISTER!E:E,MASTER_REGISTER!F:F,""),"")</f>
        <v/>
      </c>
      <c r="E232" s="4" t="n"/>
    </row>
    <row r="233">
      <c r="B233" s="4">
        <f>IFERROR(_xludf.XLOOKUP(C233,MASTER_REGISTER!E:E,MASTER_REGISTER!C:C,""),"")</f>
        <v/>
      </c>
      <c r="C233" s="4" t="n"/>
      <c r="D233">
        <f>IFERROR(_xludf.XLOOKUP(C233,MASTER_REGISTER!E:E,MASTER_REGISTER!F:F,""),"")</f>
        <v/>
      </c>
      <c r="E233" s="4" t="n"/>
    </row>
    <row r="234">
      <c r="B234" s="4">
        <f>IFERROR(_xludf.XLOOKUP(C234,MASTER_REGISTER!E:E,MASTER_REGISTER!C:C,""),"")</f>
        <v/>
      </c>
      <c r="C234" s="4" t="n"/>
      <c r="D234">
        <f>IFERROR(_xludf.XLOOKUP(C234,MASTER_REGISTER!E:E,MASTER_REGISTER!F:F,""),"")</f>
        <v/>
      </c>
      <c r="E234" s="4" t="n"/>
    </row>
    <row r="235">
      <c r="B235" s="4">
        <f>IFERROR(_xludf.XLOOKUP(C235,MASTER_REGISTER!E:E,MASTER_REGISTER!C:C,""),"")</f>
        <v/>
      </c>
      <c r="C235" s="4" t="n"/>
      <c r="D235">
        <f>IFERROR(_xludf.XLOOKUP(C235,MASTER_REGISTER!E:E,MASTER_REGISTER!F:F,""),"")</f>
        <v/>
      </c>
      <c r="E235" s="4" t="n"/>
    </row>
    <row r="236">
      <c r="B236" s="4">
        <f>IFERROR(_xludf.XLOOKUP(C236,MASTER_REGISTER!E:E,MASTER_REGISTER!C:C,""),"")</f>
        <v/>
      </c>
      <c r="C236" s="4" t="n"/>
      <c r="D236">
        <f>IFERROR(_xludf.XLOOKUP(C236,MASTER_REGISTER!E:E,MASTER_REGISTER!F:F,""),"")</f>
        <v/>
      </c>
      <c r="E236" s="4" t="n"/>
    </row>
    <row r="237">
      <c r="B237" s="4">
        <f>IFERROR(_xludf.XLOOKUP(C237,MASTER_REGISTER!E:E,MASTER_REGISTER!C:C,""),"")</f>
        <v/>
      </c>
      <c r="C237" s="4" t="n"/>
      <c r="D237">
        <f>IFERROR(_xludf.XLOOKUP(C237,MASTER_REGISTER!E:E,MASTER_REGISTER!F:F,""),"")</f>
        <v/>
      </c>
      <c r="E237" s="4" t="n"/>
    </row>
    <row r="238">
      <c r="B238" s="4">
        <f>IFERROR(_xludf.XLOOKUP(C238,MASTER_REGISTER!E:E,MASTER_REGISTER!C:C,""),"")</f>
        <v/>
      </c>
      <c r="C238" s="4" t="n"/>
      <c r="D238">
        <f>IFERROR(_xludf.XLOOKUP(C238,MASTER_REGISTER!E:E,MASTER_REGISTER!F:F,""),"")</f>
        <v/>
      </c>
      <c r="E238" s="4" t="n"/>
    </row>
    <row r="239">
      <c r="B239" s="4">
        <f>IFERROR(_xludf.XLOOKUP(C239,MASTER_REGISTER!E:E,MASTER_REGISTER!C:C,""),"")</f>
        <v/>
      </c>
      <c r="C239" s="4" t="n"/>
      <c r="D239">
        <f>IFERROR(_xludf.XLOOKUP(C239,MASTER_REGISTER!E:E,MASTER_REGISTER!F:F,""),"")</f>
        <v/>
      </c>
      <c r="E239" s="4" t="n"/>
    </row>
    <row r="240">
      <c r="B240" s="4">
        <f>IFERROR(_xludf.XLOOKUP(C240,MASTER_REGISTER!E:E,MASTER_REGISTER!C:C,""),"")</f>
        <v/>
      </c>
      <c r="C240" s="4" t="n"/>
      <c r="D240">
        <f>IFERROR(_xludf.XLOOKUP(C240,MASTER_REGISTER!E:E,MASTER_REGISTER!F:F,""),"")</f>
        <v/>
      </c>
      <c r="E240" s="4" t="n"/>
    </row>
    <row r="241">
      <c r="B241" s="4">
        <f>IFERROR(_xludf.XLOOKUP(C241,MASTER_REGISTER!E:E,MASTER_REGISTER!C:C,""),"")</f>
        <v/>
      </c>
      <c r="C241" s="4" t="n"/>
      <c r="D241">
        <f>IFERROR(_xludf.XLOOKUP(C241,MASTER_REGISTER!E:E,MASTER_REGISTER!F:F,""),"")</f>
        <v/>
      </c>
      <c r="E241" s="4" t="n"/>
    </row>
    <row r="242">
      <c r="B242" s="4">
        <f>IFERROR(_xludf.XLOOKUP(C242,MASTER_REGISTER!E:E,MASTER_REGISTER!C:C,""),"")</f>
        <v/>
      </c>
      <c r="C242" s="4" t="n"/>
      <c r="D242">
        <f>IFERROR(_xludf.XLOOKUP(C242,MASTER_REGISTER!E:E,MASTER_REGISTER!F:F,""),"")</f>
        <v/>
      </c>
      <c r="E242" s="4" t="n"/>
    </row>
    <row r="243">
      <c r="B243" s="4">
        <f>IFERROR(_xludf.XLOOKUP(C243,MASTER_REGISTER!E:E,MASTER_REGISTER!C:C,""),"")</f>
        <v/>
      </c>
      <c r="C243" s="4" t="n"/>
      <c r="D243">
        <f>IFERROR(_xludf.XLOOKUP(C243,MASTER_REGISTER!E:E,MASTER_REGISTER!F:F,""),"")</f>
        <v/>
      </c>
      <c r="E243" s="4" t="n"/>
    </row>
    <row r="244">
      <c r="B244" s="4">
        <f>IFERROR(_xludf.XLOOKUP(C244,MASTER_REGISTER!E:E,MASTER_REGISTER!C:C,""),"")</f>
        <v/>
      </c>
      <c r="C244" s="4" t="n"/>
      <c r="D244">
        <f>IFERROR(_xludf.XLOOKUP(C244,MASTER_REGISTER!E:E,MASTER_REGISTER!F:F,""),"")</f>
        <v/>
      </c>
      <c r="E244" s="4" t="n"/>
    </row>
    <row r="245">
      <c r="B245" s="4">
        <f>IFERROR(_xludf.XLOOKUP(C245,MASTER_REGISTER!E:E,MASTER_REGISTER!C:C,""),"")</f>
        <v/>
      </c>
      <c r="C245" s="4" t="n"/>
      <c r="D245">
        <f>IFERROR(_xludf.XLOOKUP(C245,MASTER_REGISTER!E:E,MASTER_REGISTER!F:F,""),"")</f>
        <v/>
      </c>
      <c r="E245" s="4" t="n"/>
    </row>
    <row r="246">
      <c r="B246" s="4">
        <f>IFERROR(_xludf.XLOOKUP(C246,MASTER_REGISTER!E:E,MASTER_REGISTER!C:C,""),"")</f>
        <v/>
      </c>
      <c r="C246" s="4" t="n"/>
      <c r="D246">
        <f>IFERROR(_xludf.XLOOKUP(C246,MASTER_REGISTER!E:E,MASTER_REGISTER!F:F,""),"")</f>
        <v/>
      </c>
      <c r="E246" s="4" t="n"/>
    </row>
    <row r="247">
      <c r="B247" s="4">
        <f>IFERROR(_xludf.XLOOKUP(C247,MASTER_REGISTER!E:E,MASTER_REGISTER!C:C,""),"")</f>
        <v/>
      </c>
      <c r="C247" s="4" t="n"/>
      <c r="D247">
        <f>IFERROR(_xludf.XLOOKUP(C247,MASTER_REGISTER!E:E,MASTER_REGISTER!F:F,""),"")</f>
        <v/>
      </c>
      <c r="E247" s="4" t="n"/>
    </row>
    <row r="248">
      <c r="B248" s="4">
        <f>IFERROR(_xludf.XLOOKUP(C248,MASTER_REGISTER!E:E,MASTER_REGISTER!C:C,""),"")</f>
        <v/>
      </c>
      <c r="C248" s="4" t="n"/>
      <c r="D248">
        <f>IFERROR(_xludf.XLOOKUP(C248,MASTER_REGISTER!E:E,MASTER_REGISTER!F:F,""),"")</f>
        <v/>
      </c>
      <c r="E248" s="4" t="n"/>
    </row>
    <row r="249">
      <c r="B249" s="4">
        <f>IFERROR(_xludf.XLOOKUP(C249,MASTER_REGISTER!E:E,MASTER_REGISTER!C:C,""),"")</f>
        <v/>
      </c>
      <c r="C249" s="4" t="n"/>
      <c r="D249">
        <f>IFERROR(_xludf.XLOOKUP(C249,MASTER_REGISTER!E:E,MASTER_REGISTER!F:F,""),"")</f>
        <v/>
      </c>
      <c r="E249" s="4" t="n"/>
    </row>
    <row r="250">
      <c r="B250" s="4">
        <f>IFERROR(_xludf.XLOOKUP(C250,MASTER_REGISTER!E:E,MASTER_REGISTER!C:C,""),"")</f>
        <v/>
      </c>
      <c r="C250" s="4" t="n"/>
      <c r="D250">
        <f>IFERROR(_xludf.XLOOKUP(C250,MASTER_REGISTER!E:E,MASTER_REGISTER!F:F,""),"")</f>
        <v/>
      </c>
      <c r="E250" s="4" t="n"/>
    </row>
    <row r="251">
      <c r="B251" s="4">
        <f>IFERROR(_xludf.XLOOKUP(C251,MASTER_REGISTER!E:E,MASTER_REGISTER!C:C,""),"")</f>
        <v/>
      </c>
      <c r="C251" s="4" t="n"/>
      <c r="D251">
        <f>IFERROR(_xludf.XLOOKUP(C251,MASTER_REGISTER!E:E,MASTER_REGISTER!F:F,""),"")</f>
        <v/>
      </c>
      <c r="E251" s="4" t="n"/>
    </row>
    <row r="252">
      <c r="B252" s="4">
        <f>IFERROR(_xludf.XLOOKUP(C252,MASTER_REGISTER!E:E,MASTER_REGISTER!C:C,""),"")</f>
        <v/>
      </c>
      <c r="C252" s="4" t="n"/>
      <c r="D252">
        <f>IFERROR(_xludf.XLOOKUP(C252,MASTER_REGISTER!E:E,MASTER_REGISTER!F:F,""),"")</f>
        <v/>
      </c>
      <c r="E252" s="4" t="n"/>
    </row>
    <row r="253">
      <c r="B253" s="4">
        <f>IFERROR(_xludf.XLOOKUP(C253,MASTER_REGISTER!E:E,MASTER_REGISTER!C:C,""),"")</f>
        <v/>
      </c>
      <c r="C253" s="4" t="n"/>
      <c r="D253">
        <f>IFERROR(_xludf.XLOOKUP(C253,MASTER_REGISTER!E:E,MASTER_REGISTER!F:F,""),"")</f>
        <v/>
      </c>
      <c r="E253" s="4" t="n"/>
    </row>
    <row r="254">
      <c r="B254" s="4">
        <f>IFERROR(_xludf.XLOOKUP(C254,MASTER_REGISTER!E:E,MASTER_REGISTER!C:C,""),"")</f>
        <v/>
      </c>
      <c r="C254" s="4" t="n"/>
      <c r="D254">
        <f>IFERROR(_xludf.XLOOKUP(C254,MASTER_REGISTER!E:E,MASTER_REGISTER!F:F,""),"")</f>
        <v/>
      </c>
      <c r="E254" s="4" t="n"/>
    </row>
    <row r="255">
      <c r="B255" s="4">
        <f>IFERROR(_xludf.XLOOKUP(C255,MASTER_REGISTER!E:E,MASTER_REGISTER!C:C,""),"")</f>
        <v/>
      </c>
      <c r="C255" s="4" t="n"/>
      <c r="D255">
        <f>IFERROR(_xludf.XLOOKUP(C255,MASTER_REGISTER!E:E,MASTER_REGISTER!F:F,""),"")</f>
        <v/>
      </c>
      <c r="E255" s="4" t="n"/>
    </row>
    <row r="256">
      <c r="B256" s="4">
        <f>IFERROR(_xludf.XLOOKUP(C256,MASTER_REGISTER!E:E,MASTER_REGISTER!C:C,""),"")</f>
        <v/>
      </c>
      <c r="C256" s="4" t="n"/>
      <c r="D256">
        <f>IFERROR(_xludf.XLOOKUP(C256,MASTER_REGISTER!E:E,MASTER_REGISTER!F:F,""),"")</f>
        <v/>
      </c>
      <c r="E256" s="4" t="n"/>
    </row>
    <row r="257">
      <c r="B257" s="4">
        <f>IFERROR(_xludf.XLOOKUP(C257,MASTER_REGISTER!E:E,MASTER_REGISTER!C:C,""),"")</f>
        <v/>
      </c>
      <c r="C257" s="4" t="n"/>
      <c r="D257">
        <f>IFERROR(_xludf.XLOOKUP(C257,MASTER_REGISTER!E:E,MASTER_REGISTER!F:F,""),"")</f>
        <v/>
      </c>
      <c r="E257" s="4" t="n"/>
    </row>
    <row r="258">
      <c r="B258" s="4">
        <f>IFERROR(_xludf.XLOOKUP(C258,MASTER_REGISTER!E:E,MASTER_REGISTER!C:C,""),"")</f>
        <v/>
      </c>
      <c r="C258" s="4" t="n"/>
      <c r="D258">
        <f>IFERROR(_xludf.XLOOKUP(C258,MASTER_REGISTER!E:E,MASTER_REGISTER!F:F,""),"")</f>
        <v/>
      </c>
      <c r="E258" s="4" t="n"/>
    </row>
    <row r="259">
      <c r="B259" s="4">
        <f>IFERROR(_xludf.XLOOKUP(C259,MASTER_REGISTER!E:E,MASTER_REGISTER!C:C,""),"")</f>
        <v/>
      </c>
      <c r="C259" s="4" t="n"/>
      <c r="D259">
        <f>IFERROR(_xludf.XLOOKUP(C259,MASTER_REGISTER!E:E,MASTER_REGISTER!F:F,""),"")</f>
        <v/>
      </c>
      <c r="E259" s="4" t="n"/>
    </row>
    <row r="260">
      <c r="B260" s="4">
        <f>IFERROR(_xludf.XLOOKUP(C260,MASTER_REGISTER!E:E,MASTER_REGISTER!C:C,""),"")</f>
        <v/>
      </c>
      <c r="C260" s="4" t="n"/>
      <c r="D260">
        <f>IFERROR(_xludf.XLOOKUP(C260,MASTER_REGISTER!E:E,MASTER_REGISTER!F:F,""),"")</f>
        <v/>
      </c>
      <c r="E260" s="4" t="n"/>
    </row>
    <row r="261">
      <c r="B261" s="4">
        <f>IFERROR(_xludf.XLOOKUP(C261,MASTER_REGISTER!E:E,MASTER_REGISTER!C:C,""),"")</f>
        <v/>
      </c>
      <c r="C261" s="4" t="n"/>
      <c r="D261">
        <f>IFERROR(_xludf.XLOOKUP(C261,MASTER_REGISTER!E:E,MASTER_REGISTER!F:F,""),"")</f>
        <v/>
      </c>
      <c r="E261" s="4" t="n"/>
    </row>
    <row r="262">
      <c r="B262" s="4">
        <f>IFERROR(_xludf.XLOOKUP(C262,MASTER_REGISTER!E:E,MASTER_REGISTER!C:C,""),"")</f>
        <v/>
      </c>
      <c r="C262" s="4" t="n"/>
      <c r="D262">
        <f>IFERROR(_xludf.XLOOKUP(C262,MASTER_REGISTER!E:E,MASTER_REGISTER!F:F,""),"")</f>
        <v/>
      </c>
      <c r="E262" s="4" t="n"/>
    </row>
    <row r="263">
      <c r="B263" s="4">
        <f>IFERROR(_xludf.XLOOKUP(C263,MASTER_REGISTER!E:E,MASTER_REGISTER!C:C,""),"")</f>
        <v/>
      </c>
      <c r="C263" s="4" t="n"/>
      <c r="D263">
        <f>IFERROR(_xludf.XLOOKUP(C263,MASTER_REGISTER!E:E,MASTER_REGISTER!F:F,""),"")</f>
        <v/>
      </c>
      <c r="E263" s="4" t="n"/>
    </row>
    <row r="264">
      <c r="B264" s="4">
        <f>IFERROR(_xludf.XLOOKUP(C264,MASTER_REGISTER!E:E,MASTER_REGISTER!C:C,""),"")</f>
        <v/>
      </c>
      <c r="C264" s="4" t="n"/>
      <c r="D264">
        <f>IFERROR(_xludf.XLOOKUP(C264,MASTER_REGISTER!E:E,MASTER_REGISTER!F:F,""),"")</f>
        <v/>
      </c>
      <c r="E264" s="4" t="n"/>
    </row>
    <row r="265">
      <c r="B265" s="4">
        <f>IFERROR(_xludf.XLOOKUP(C265,MASTER_REGISTER!E:E,MASTER_REGISTER!C:C,""),"")</f>
        <v/>
      </c>
      <c r="C265" s="4" t="n"/>
      <c r="D265">
        <f>IFERROR(_xludf.XLOOKUP(C265,MASTER_REGISTER!E:E,MASTER_REGISTER!F:F,""),"")</f>
        <v/>
      </c>
      <c r="E265" s="4" t="n"/>
    </row>
    <row r="266">
      <c r="B266" s="4">
        <f>IFERROR(_xludf.XLOOKUP(C266,MASTER_REGISTER!E:E,MASTER_REGISTER!C:C,""),"")</f>
        <v/>
      </c>
      <c r="C266" s="4" t="n"/>
      <c r="D266">
        <f>IFERROR(_xludf.XLOOKUP(C266,MASTER_REGISTER!E:E,MASTER_REGISTER!F:F,""),"")</f>
        <v/>
      </c>
      <c r="E266" s="4" t="n"/>
    </row>
    <row r="267">
      <c r="B267" s="4">
        <f>IFERROR(_xludf.XLOOKUP(C267,MASTER_REGISTER!E:E,MASTER_REGISTER!C:C,""),"")</f>
        <v/>
      </c>
      <c r="C267" s="4" t="n"/>
      <c r="D267">
        <f>IFERROR(_xludf.XLOOKUP(C267,MASTER_REGISTER!E:E,MASTER_REGISTER!F:F,""),"")</f>
        <v/>
      </c>
      <c r="E267" s="4" t="n"/>
    </row>
    <row r="268">
      <c r="B268" s="4">
        <f>IFERROR(_xludf.XLOOKUP(C268,MASTER_REGISTER!E:E,MASTER_REGISTER!C:C,""),"")</f>
        <v/>
      </c>
      <c r="C268" s="4" t="n"/>
      <c r="D268">
        <f>IFERROR(_xludf.XLOOKUP(C268,MASTER_REGISTER!E:E,MASTER_REGISTER!F:F,""),"")</f>
        <v/>
      </c>
      <c r="E268" s="4" t="n"/>
    </row>
    <row r="269">
      <c r="B269" s="4">
        <f>IFERROR(_xludf.XLOOKUP(C269,MASTER_REGISTER!E:E,MASTER_REGISTER!C:C,""),"")</f>
        <v/>
      </c>
      <c r="C269" s="4" t="n"/>
      <c r="D269">
        <f>IFERROR(_xludf.XLOOKUP(C269,MASTER_REGISTER!E:E,MASTER_REGISTER!F:F,""),"")</f>
        <v/>
      </c>
      <c r="E269" s="4" t="n"/>
    </row>
    <row r="270">
      <c r="B270" s="4">
        <f>IFERROR(_xludf.XLOOKUP(C270,MASTER_REGISTER!E:E,MASTER_REGISTER!C:C,""),"")</f>
        <v/>
      </c>
      <c r="C270" s="4" t="n"/>
      <c r="D270">
        <f>IFERROR(_xludf.XLOOKUP(C270,MASTER_REGISTER!E:E,MASTER_REGISTER!F:F,""),"")</f>
        <v/>
      </c>
      <c r="E270" s="4" t="n"/>
    </row>
    <row r="271">
      <c r="B271" s="4">
        <f>IFERROR(_xludf.XLOOKUP(C271,MASTER_REGISTER!E:E,MASTER_REGISTER!C:C,""),"")</f>
        <v/>
      </c>
      <c r="C271" s="4" t="n"/>
      <c r="D271">
        <f>IFERROR(_xludf.XLOOKUP(C271,MASTER_REGISTER!E:E,MASTER_REGISTER!F:F,""),"")</f>
        <v/>
      </c>
      <c r="E271" s="4" t="n"/>
    </row>
    <row r="272">
      <c r="B272" s="4">
        <f>IFERROR(_xludf.XLOOKUP(C272,MASTER_REGISTER!E:E,MASTER_REGISTER!C:C,""),"")</f>
        <v/>
      </c>
      <c r="C272" s="4" t="n"/>
      <c r="D272">
        <f>IFERROR(_xludf.XLOOKUP(C272,MASTER_REGISTER!E:E,MASTER_REGISTER!F:F,""),"")</f>
        <v/>
      </c>
      <c r="E272" s="4" t="n"/>
    </row>
    <row r="273">
      <c r="B273" s="4">
        <f>IFERROR(_xludf.XLOOKUP(C273,MASTER_REGISTER!E:E,MASTER_REGISTER!C:C,""),"")</f>
        <v/>
      </c>
      <c r="C273" s="4" t="n"/>
      <c r="D273">
        <f>IFERROR(_xludf.XLOOKUP(C273,MASTER_REGISTER!E:E,MASTER_REGISTER!F:F,""),"")</f>
        <v/>
      </c>
      <c r="E273" s="4" t="n"/>
    </row>
    <row r="274">
      <c r="B274" s="4">
        <f>IFERROR(_xludf.XLOOKUP(C274,MASTER_REGISTER!E:E,MASTER_REGISTER!C:C,""),"")</f>
        <v/>
      </c>
      <c r="C274" s="4" t="n"/>
      <c r="D274">
        <f>IFERROR(_xludf.XLOOKUP(C274,MASTER_REGISTER!E:E,MASTER_REGISTER!F:F,""),"")</f>
        <v/>
      </c>
      <c r="E274" s="4" t="n"/>
    </row>
    <row r="275">
      <c r="B275" s="4">
        <f>IFERROR(_xludf.XLOOKUP(C275,MASTER_REGISTER!E:E,MASTER_REGISTER!C:C,""),"")</f>
        <v/>
      </c>
      <c r="C275" s="4" t="n"/>
      <c r="D275">
        <f>IFERROR(_xludf.XLOOKUP(C275,MASTER_REGISTER!E:E,MASTER_REGISTER!F:F,""),"")</f>
        <v/>
      </c>
      <c r="E275" s="4" t="n"/>
    </row>
    <row r="276">
      <c r="B276" s="4">
        <f>IFERROR(_xludf.XLOOKUP(C276,MASTER_REGISTER!E:E,MASTER_REGISTER!C:C,""),"")</f>
        <v/>
      </c>
      <c r="C276" s="4" t="n"/>
      <c r="D276">
        <f>IFERROR(_xludf.XLOOKUP(C276,MASTER_REGISTER!E:E,MASTER_REGISTER!F:F,""),"")</f>
        <v/>
      </c>
      <c r="E276" s="4" t="n"/>
    </row>
    <row r="277">
      <c r="B277" s="4">
        <f>IFERROR(_xludf.XLOOKUP(C277,MASTER_REGISTER!E:E,MASTER_REGISTER!C:C,""),"")</f>
        <v/>
      </c>
      <c r="C277" s="4" t="n"/>
      <c r="D277">
        <f>IFERROR(_xludf.XLOOKUP(C277,MASTER_REGISTER!E:E,MASTER_REGISTER!F:F,""),"")</f>
        <v/>
      </c>
      <c r="E277" s="4" t="n"/>
    </row>
    <row r="278">
      <c r="B278" s="4">
        <f>IFERROR(_xludf.XLOOKUP(C278,MASTER_REGISTER!E:E,MASTER_REGISTER!C:C,""),"")</f>
        <v/>
      </c>
      <c r="C278" s="4" t="n"/>
      <c r="D278">
        <f>IFERROR(_xludf.XLOOKUP(C278,MASTER_REGISTER!E:E,MASTER_REGISTER!F:F,""),"")</f>
        <v/>
      </c>
      <c r="E278" s="4" t="n"/>
    </row>
    <row r="279">
      <c r="B279" s="4">
        <f>IFERROR(_xludf.XLOOKUP(C279,MASTER_REGISTER!E:E,MASTER_REGISTER!C:C,""),"")</f>
        <v/>
      </c>
      <c r="C279" s="4" t="n"/>
      <c r="D279">
        <f>IFERROR(_xludf.XLOOKUP(C279,MASTER_REGISTER!E:E,MASTER_REGISTER!F:F,""),"")</f>
        <v/>
      </c>
      <c r="E279" s="4" t="n"/>
    </row>
    <row r="280">
      <c r="B280" s="4">
        <f>IFERROR(_xludf.XLOOKUP(C280,MASTER_REGISTER!E:E,MASTER_REGISTER!C:C,""),"")</f>
        <v/>
      </c>
      <c r="C280" s="4" t="n"/>
      <c r="D280">
        <f>IFERROR(_xludf.XLOOKUP(C280,MASTER_REGISTER!E:E,MASTER_REGISTER!F:F,""),"")</f>
        <v/>
      </c>
      <c r="E280" s="4" t="n"/>
    </row>
    <row r="281">
      <c r="B281" s="4">
        <f>IFERROR(_xludf.XLOOKUP(C281,MASTER_REGISTER!E:E,MASTER_REGISTER!C:C,""),"")</f>
        <v/>
      </c>
      <c r="C281" s="4" t="n"/>
      <c r="D281">
        <f>IFERROR(_xludf.XLOOKUP(C281,MASTER_REGISTER!E:E,MASTER_REGISTER!F:F,""),"")</f>
        <v/>
      </c>
      <c r="E281" s="4" t="n"/>
    </row>
    <row r="282">
      <c r="B282" s="4">
        <f>IFERROR(_xludf.XLOOKUP(C282,MASTER_REGISTER!E:E,MASTER_REGISTER!C:C,""),"")</f>
        <v/>
      </c>
      <c r="C282" s="4" t="n"/>
      <c r="D282">
        <f>IFERROR(_xludf.XLOOKUP(C282,MASTER_REGISTER!E:E,MASTER_REGISTER!F:F,""),"")</f>
        <v/>
      </c>
      <c r="E282" s="4" t="n"/>
    </row>
    <row r="283">
      <c r="B283" s="4">
        <f>IFERROR(_xludf.XLOOKUP(C283,MASTER_REGISTER!E:E,MASTER_REGISTER!C:C,""),"")</f>
        <v/>
      </c>
      <c r="C283" s="4" t="n"/>
      <c r="D283">
        <f>IFERROR(_xludf.XLOOKUP(C283,MASTER_REGISTER!E:E,MASTER_REGISTER!F:F,""),"")</f>
        <v/>
      </c>
      <c r="E283" s="4" t="n"/>
    </row>
    <row r="284">
      <c r="B284" s="4">
        <f>IFERROR(_xludf.XLOOKUP(C284,MASTER_REGISTER!E:E,MASTER_REGISTER!C:C,""),"")</f>
        <v/>
      </c>
      <c r="C284" s="4" t="n"/>
      <c r="D284">
        <f>IFERROR(_xludf.XLOOKUP(C284,MASTER_REGISTER!E:E,MASTER_REGISTER!F:F,""),"")</f>
        <v/>
      </c>
      <c r="E284" s="4" t="n"/>
    </row>
    <row r="285">
      <c r="B285" s="4">
        <f>IFERROR(_xludf.XLOOKUP(C285,MASTER_REGISTER!E:E,MASTER_REGISTER!C:C,""),"")</f>
        <v/>
      </c>
      <c r="C285" s="4" t="n"/>
      <c r="D285">
        <f>IFERROR(_xludf.XLOOKUP(C285,MASTER_REGISTER!E:E,MASTER_REGISTER!F:F,""),"")</f>
        <v/>
      </c>
      <c r="E285" s="4" t="n"/>
    </row>
    <row r="286">
      <c r="B286" s="4">
        <f>IFERROR(_xludf.XLOOKUP(C286,MASTER_REGISTER!E:E,MASTER_REGISTER!C:C,""),"")</f>
        <v/>
      </c>
      <c r="C286" s="4" t="n"/>
      <c r="D286">
        <f>IFERROR(_xludf.XLOOKUP(C286,MASTER_REGISTER!E:E,MASTER_REGISTER!F:F,""),"")</f>
        <v/>
      </c>
      <c r="E286" s="4" t="n"/>
    </row>
    <row r="287">
      <c r="B287" s="4">
        <f>IFERROR(_xludf.XLOOKUP(C287,MASTER_REGISTER!E:E,MASTER_REGISTER!C:C,""),"")</f>
        <v/>
      </c>
      <c r="C287" s="4" t="n"/>
      <c r="D287">
        <f>IFERROR(_xludf.XLOOKUP(C287,MASTER_REGISTER!E:E,MASTER_REGISTER!F:F,""),"")</f>
        <v/>
      </c>
      <c r="E287" s="4" t="n"/>
    </row>
    <row r="288">
      <c r="B288" s="4">
        <f>IFERROR(_xludf.XLOOKUP(C288,MASTER_REGISTER!E:E,MASTER_REGISTER!C:C,""),"")</f>
        <v/>
      </c>
      <c r="C288" s="4" t="n"/>
      <c r="D288">
        <f>IFERROR(_xludf.XLOOKUP(C288,MASTER_REGISTER!E:E,MASTER_REGISTER!F:F,""),"")</f>
        <v/>
      </c>
      <c r="E288" s="4" t="n"/>
    </row>
    <row r="289">
      <c r="B289" s="4">
        <f>IFERROR(_xludf.XLOOKUP(C289,MASTER_REGISTER!E:E,MASTER_REGISTER!C:C,""),"")</f>
        <v/>
      </c>
      <c r="C289" s="4" t="n"/>
      <c r="D289">
        <f>IFERROR(_xludf.XLOOKUP(C289,MASTER_REGISTER!E:E,MASTER_REGISTER!F:F,""),"")</f>
        <v/>
      </c>
      <c r="E289" s="4" t="n"/>
    </row>
    <row r="290">
      <c r="B290" s="4">
        <f>IFERROR(_xludf.XLOOKUP(C290,MASTER_REGISTER!E:E,MASTER_REGISTER!C:C,""),"")</f>
        <v/>
      </c>
      <c r="C290" s="4" t="n"/>
      <c r="D290">
        <f>IFERROR(_xludf.XLOOKUP(C290,MASTER_REGISTER!E:E,MASTER_REGISTER!F:F,""),"")</f>
        <v/>
      </c>
      <c r="E290" s="4" t="n"/>
    </row>
    <row r="291">
      <c r="B291" s="4">
        <f>IFERROR(_xludf.XLOOKUP(C291,MASTER_REGISTER!E:E,MASTER_REGISTER!C:C,""),"")</f>
        <v/>
      </c>
      <c r="C291" s="4" t="n"/>
      <c r="D291">
        <f>IFERROR(_xludf.XLOOKUP(C291,MASTER_REGISTER!E:E,MASTER_REGISTER!F:F,""),"")</f>
        <v/>
      </c>
      <c r="E291" s="4" t="n"/>
    </row>
    <row r="292">
      <c r="B292" s="4">
        <f>IFERROR(_xludf.XLOOKUP(C292,MASTER_REGISTER!E:E,MASTER_REGISTER!C:C,""),"")</f>
        <v/>
      </c>
      <c r="C292" s="4" t="n"/>
      <c r="D292">
        <f>IFERROR(_xludf.XLOOKUP(C292,MASTER_REGISTER!E:E,MASTER_REGISTER!F:F,""),"")</f>
        <v/>
      </c>
      <c r="E292" s="4" t="n"/>
    </row>
    <row r="293">
      <c r="B293" s="4">
        <f>IFERROR(_xludf.XLOOKUP(C293,MASTER_REGISTER!E:E,MASTER_REGISTER!C:C,""),"")</f>
        <v/>
      </c>
      <c r="C293" s="4" t="n"/>
      <c r="D293">
        <f>IFERROR(_xludf.XLOOKUP(C293,MASTER_REGISTER!E:E,MASTER_REGISTER!F:F,""),"")</f>
        <v/>
      </c>
      <c r="E293" s="4" t="n"/>
    </row>
    <row r="294">
      <c r="B294" s="4">
        <f>IFERROR(_xludf.XLOOKUP(C294,MASTER_REGISTER!E:E,MASTER_REGISTER!C:C,""),"")</f>
        <v/>
      </c>
      <c r="C294" s="4" t="n"/>
      <c r="D294">
        <f>IFERROR(_xludf.XLOOKUP(C294,MASTER_REGISTER!E:E,MASTER_REGISTER!F:F,""),"")</f>
        <v/>
      </c>
      <c r="E294" s="4" t="n"/>
    </row>
    <row r="295">
      <c r="B295" s="4">
        <f>IFERROR(_xludf.XLOOKUP(C295,MASTER_REGISTER!E:E,MASTER_REGISTER!C:C,""),"")</f>
        <v/>
      </c>
      <c r="C295" s="4" t="n"/>
      <c r="D295">
        <f>IFERROR(_xludf.XLOOKUP(C295,MASTER_REGISTER!E:E,MASTER_REGISTER!F:F,""),"")</f>
        <v/>
      </c>
      <c r="E295" s="4" t="n"/>
    </row>
    <row r="296">
      <c r="B296" s="4">
        <f>IFERROR(_xludf.XLOOKUP(C296,MASTER_REGISTER!E:E,MASTER_REGISTER!C:C,""),"")</f>
        <v/>
      </c>
      <c r="C296" s="4" t="n"/>
      <c r="D296">
        <f>IFERROR(_xludf.XLOOKUP(C296,MASTER_REGISTER!E:E,MASTER_REGISTER!F:F,""),"")</f>
        <v/>
      </c>
      <c r="E296" s="4" t="n"/>
    </row>
    <row r="297">
      <c r="B297" s="4">
        <f>IFERROR(_xludf.XLOOKUP(C297,MASTER_REGISTER!E:E,MASTER_REGISTER!C:C,""),"")</f>
        <v/>
      </c>
      <c r="C297" s="4" t="n"/>
      <c r="D297">
        <f>IFERROR(_xludf.XLOOKUP(C297,MASTER_REGISTER!E:E,MASTER_REGISTER!F:F,""),"")</f>
        <v/>
      </c>
      <c r="E297" s="4" t="n"/>
    </row>
    <row r="298">
      <c r="B298" s="4">
        <f>IFERROR(_xludf.XLOOKUP(C298,MASTER_REGISTER!E:E,MASTER_REGISTER!C:C,""),"")</f>
        <v/>
      </c>
      <c r="C298" s="4" t="n"/>
      <c r="D298">
        <f>IFERROR(_xludf.XLOOKUP(C298,MASTER_REGISTER!E:E,MASTER_REGISTER!F:F,""),"")</f>
        <v/>
      </c>
      <c r="E298" s="4" t="n"/>
    </row>
    <row r="299">
      <c r="B299" s="4">
        <f>IFERROR(_xludf.XLOOKUP(C299,MASTER_REGISTER!E:E,MASTER_REGISTER!C:C,""),"")</f>
        <v/>
      </c>
      <c r="C299" s="4" t="n"/>
      <c r="D299">
        <f>IFERROR(_xludf.XLOOKUP(C299,MASTER_REGISTER!E:E,MASTER_REGISTER!F:F,""),"")</f>
        <v/>
      </c>
      <c r="E299" s="4" t="n"/>
    </row>
    <row r="300">
      <c r="B300" s="4">
        <f>IFERROR(_xludf.XLOOKUP(C300,MASTER_REGISTER!E:E,MASTER_REGISTER!C:C,""),"")</f>
        <v/>
      </c>
      <c r="C300" s="4" t="n"/>
      <c r="D300">
        <f>IFERROR(_xludf.XLOOKUP(C300,MASTER_REGISTER!E:E,MASTER_REGISTER!F:F,""),"")</f>
        <v/>
      </c>
      <c r="E300" s="4" t="n"/>
    </row>
    <row r="301">
      <c r="B301" s="4">
        <f>IFERROR(_xludf.XLOOKUP(C301,MASTER_REGISTER!E:E,MASTER_REGISTER!C:C,""),"")</f>
        <v/>
      </c>
      <c r="C301" s="4" t="n"/>
      <c r="D301">
        <f>IFERROR(_xludf.XLOOKUP(C301,MASTER_REGISTER!E:E,MASTER_REGISTER!F:F,""),"")</f>
        <v/>
      </c>
      <c r="E301" s="4" t="n"/>
    </row>
    <row r="302">
      <c r="B302" s="4">
        <f>IFERROR(_xludf.XLOOKUP(C302,MASTER_REGISTER!E:E,MASTER_REGISTER!C:C,""),"")</f>
        <v/>
      </c>
      <c r="C302" s="4" t="n"/>
      <c r="D302">
        <f>IFERROR(_xludf.XLOOKUP(C302,MASTER_REGISTER!E:E,MASTER_REGISTER!F:F,""),"")</f>
        <v/>
      </c>
      <c r="E302" s="4" t="n"/>
    </row>
    <row r="303">
      <c r="B303" s="4">
        <f>IFERROR(_xludf.XLOOKUP(C303,MASTER_REGISTER!E:E,MASTER_REGISTER!C:C,""),"")</f>
        <v/>
      </c>
      <c r="C303" s="4" t="n"/>
      <c r="D303">
        <f>IFERROR(_xludf.XLOOKUP(C303,MASTER_REGISTER!E:E,MASTER_REGISTER!F:F,""),"")</f>
        <v/>
      </c>
      <c r="E303" s="4" t="n"/>
    </row>
    <row r="304">
      <c r="B304" s="4">
        <f>IFERROR(_xludf.XLOOKUP(C304,MASTER_REGISTER!E:E,MASTER_REGISTER!C:C,""),"")</f>
        <v/>
      </c>
      <c r="C304" s="4" t="n"/>
      <c r="D304">
        <f>IFERROR(_xludf.XLOOKUP(C304,MASTER_REGISTER!E:E,MASTER_REGISTER!F:F,""),"")</f>
        <v/>
      </c>
      <c r="E304" s="4" t="n"/>
    </row>
    <row r="305">
      <c r="B305" s="4">
        <f>IFERROR(_xludf.XLOOKUP(C305,MASTER_REGISTER!E:E,MASTER_REGISTER!C:C,""),"")</f>
        <v/>
      </c>
      <c r="C305" s="4" t="n"/>
      <c r="D305">
        <f>IFERROR(_xludf.XLOOKUP(C305,MASTER_REGISTER!E:E,MASTER_REGISTER!F:F,""),"")</f>
        <v/>
      </c>
      <c r="E305" s="4" t="n"/>
    </row>
    <row r="306">
      <c r="B306" s="4">
        <f>IFERROR(_xludf.XLOOKUP(C306,MASTER_REGISTER!E:E,MASTER_REGISTER!C:C,""),"")</f>
        <v/>
      </c>
      <c r="C306" s="4" t="n"/>
      <c r="D306">
        <f>IFERROR(_xludf.XLOOKUP(C306,MASTER_REGISTER!E:E,MASTER_REGISTER!F:F,""),"")</f>
        <v/>
      </c>
      <c r="E306" s="4" t="n"/>
    </row>
    <row r="307">
      <c r="B307" s="4">
        <f>IFERROR(_xludf.XLOOKUP(C307,MASTER_REGISTER!E:E,MASTER_REGISTER!C:C,""),"")</f>
        <v/>
      </c>
      <c r="C307" s="4" t="n"/>
      <c r="D307">
        <f>IFERROR(_xludf.XLOOKUP(C307,MASTER_REGISTER!E:E,MASTER_REGISTER!F:F,""),"")</f>
        <v/>
      </c>
      <c r="E307" s="4" t="n"/>
    </row>
    <row r="308">
      <c r="B308" s="4">
        <f>IFERROR(_xludf.XLOOKUP(C308,MASTER_REGISTER!E:E,MASTER_REGISTER!C:C,""),"")</f>
        <v/>
      </c>
      <c r="C308" s="4" t="n"/>
      <c r="D308">
        <f>IFERROR(_xludf.XLOOKUP(C308,MASTER_REGISTER!E:E,MASTER_REGISTER!F:F,""),"")</f>
        <v/>
      </c>
      <c r="E308" s="4" t="n"/>
    </row>
    <row r="309">
      <c r="B309" s="4">
        <f>IFERROR(_xludf.XLOOKUP(C309,MASTER_REGISTER!E:E,MASTER_REGISTER!C:C,""),"")</f>
        <v/>
      </c>
      <c r="C309" s="4" t="n"/>
      <c r="D309">
        <f>IFERROR(_xludf.XLOOKUP(C309,MASTER_REGISTER!E:E,MASTER_REGISTER!F:F,""),"")</f>
        <v/>
      </c>
      <c r="E309" s="4" t="n"/>
    </row>
    <row r="310">
      <c r="B310" s="4">
        <f>IFERROR(_xludf.XLOOKUP(C310,MASTER_REGISTER!E:E,MASTER_REGISTER!C:C,""),"")</f>
        <v/>
      </c>
      <c r="C310" s="4" t="n"/>
      <c r="D310">
        <f>IFERROR(_xludf.XLOOKUP(C310,MASTER_REGISTER!E:E,MASTER_REGISTER!F:F,""),"")</f>
        <v/>
      </c>
      <c r="E310" s="4" t="n"/>
    </row>
    <row r="311">
      <c r="B311" s="4">
        <f>IFERROR(_xludf.XLOOKUP(C311,MASTER_REGISTER!E:E,MASTER_REGISTER!C:C,""),"")</f>
        <v/>
      </c>
      <c r="C311" s="4" t="n"/>
      <c r="D311">
        <f>IFERROR(_xludf.XLOOKUP(C311,MASTER_REGISTER!E:E,MASTER_REGISTER!F:F,""),"")</f>
        <v/>
      </c>
      <c r="E311" s="4" t="n"/>
    </row>
    <row r="312">
      <c r="B312" s="4">
        <f>IFERROR(_xludf.XLOOKUP(C312,MASTER_REGISTER!E:E,MASTER_REGISTER!C:C,""),"")</f>
        <v/>
      </c>
      <c r="C312" s="4" t="n"/>
      <c r="D312">
        <f>IFERROR(_xludf.XLOOKUP(C312,MASTER_REGISTER!E:E,MASTER_REGISTER!F:F,""),"")</f>
        <v/>
      </c>
      <c r="E312" s="4" t="n"/>
    </row>
    <row r="313">
      <c r="B313" s="4">
        <f>IFERROR(_xludf.XLOOKUP(C313,MASTER_REGISTER!E:E,MASTER_REGISTER!C:C,""),"")</f>
        <v/>
      </c>
      <c r="C313" s="4" t="n"/>
      <c r="D313">
        <f>IFERROR(_xludf.XLOOKUP(C313,MASTER_REGISTER!E:E,MASTER_REGISTER!F:F,""),"")</f>
        <v/>
      </c>
      <c r="E313" s="4" t="n"/>
    </row>
    <row r="314">
      <c r="B314" s="4">
        <f>IFERROR(_xludf.XLOOKUP(C314,MASTER_REGISTER!E:E,MASTER_REGISTER!C:C,""),"")</f>
        <v/>
      </c>
      <c r="C314" s="4" t="n"/>
      <c r="D314">
        <f>IFERROR(_xludf.XLOOKUP(C314,MASTER_REGISTER!E:E,MASTER_REGISTER!F:F,""),"")</f>
        <v/>
      </c>
      <c r="E314" s="4" t="n"/>
    </row>
    <row r="315">
      <c r="B315" s="4">
        <f>IFERROR(_xludf.XLOOKUP(C315,MASTER_REGISTER!E:E,MASTER_REGISTER!C:C,""),"")</f>
        <v/>
      </c>
      <c r="C315" s="4" t="n"/>
      <c r="D315">
        <f>IFERROR(_xludf.XLOOKUP(C315,MASTER_REGISTER!E:E,MASTER_REGISTER!F:F,""),"")</f>
        <v/>
      </c>
      <c r="E315" s="4" t="n"/>
    </row>
    <row r="316">
      <c r="B316" s="4">
        <f>IFERROR(_xludf.XLOOKUP(C316,MASTER_REGISTER!E:E,MASTER_REGISTER!C:C,""),"")</f>
        <v/>
      </c>
      <c r="C316" s="4" t="n"/>
      <c r="D316">
        <f>IFERROR(_xludf.XLOOKUP(C316,MASTER_REGISTER!E:E,MASTER_REGISTER!F:F,""),"")</f>
        <v/>
      </c>
      <c r="E316" s="4" t="n"/>
    </row>
    <row r="317">
      <c r="B317" s="4">
        <f>IFERROR(_xludf.XLOOKUP(C317,MASTER_REGISTER!E:E,MASTER_REGISTER!C:C,""),"")</f>
        <v/>
      </c>
      <c r="C317" s="4" t="n"/>
      <c r="D317">
        <f>IFERROR(_xludf.XLOOKUP(C317,MASTER_REGISTER!E:E,MASTER_REGISTER!F:F,""),"")</f>
        <v/>
      </c>
      <c r="E317" s="4" t="n"/>
    </row>
    <row r="318">
      <c r="B318" s="4">
        <f>IFERROR(_xludf.XLOOKUP(C318,MASTER_REGISTER!E:E,MASTER_REGISTER!C:C,""),"")</f>
        <v/>
      </c>
      <c r="C318" s="4" t="n"/>
      <c r="D318">
        <f>IFERROR(_xludf.XLOOKUP(C318,MASTER_REGISTER!E:E,MASTER_REGISTER!F:F,""),"")</f>
        <v/>
      </c>
      <c r="E318" s="4" t="n"/>
    </row>
    <row r="319">
      <c r="B319" s="4">
        <f>IFERROR(_xludf.XLOOKUP(C319,MASTER_REGISTER!E:E,MASTER_REGISTER!C:C,""),"")</f>
        <v/>
      </c>
      <c r="C319" s="4" t="n"/>
      <c r="D319">
        <f>IFERROR(_xludf.XLOOKUP(C319,MASTER_REGISTER!E:E,MASTER_REGISTER!F:F,""),"")</f>
        <v/>
      </c>
      <c r="E319" s="4" t="n"/>
    </row>
    <row r="320">
      <c r="B320" s="4">
        <f>IFERROR(_xludf.XLOOKUP(C320,MASTER_REGISTER!E:E,MASTER_REGISTER!C:C,""),"")</f>
        <v/>
      </c>
      <c r="C320" s="4" t="n"/>
      <c r="D320">
        <f>IFERROR(_xludf.XLOOKUP(C320,MASTER_REGISTER!E:E,MASTER_REGISTER!F:F,""),"")</f>
        <v/>
      </c>
      <c r="E320" s="4" t="n"/>
    </row>
    <row r="321">
      <c r="B321" s="4">
        <f>IFERROR(_xludf.XLOOKUP(C321,MASTER_REGISTER!E:E,MASTER_REGISTER!C:C,""),"")</f>
        <v/>
      </c>
      <c r="C321" s="4" t="n"/>
      <c r="D321">
        <f>IFERROR(_xludf.XLOOKUP(C321,MASTER_REGISTER!E:E,MASTER_REGISTER!F:F,""),"")</f>
        <v/>
      </c>
      <c r="E321" s="4" t="n"/>
    </row>
    <row r="322">
      <c r="B322" s="4">
        <f>IFERROR(_xludf.XLOOKUP(C322,MASTER_REGISTER!E:E,MASTER_REGISTER!C:C,""),"")</f>
        <v/>
      </c>
      <c r="C322" s="4" t="n"/>
      <c r="D322">
        <f>IFERROR(_xludf.XLOOKUP(C322,MASTER_REGISTER!E:E,MASTER_REGISTER!F:F,""),"")</f>
        <v/>
      </c>
      <c r="E322" s="4" t="n"/>
    </row>
    <row r="323">
      <c r="B323" s="4">
        <f>IFERROR(_xludf.XLOOKUP(C323,MASTER_REGISTER!E:E,MASTER_REGISTER!C:C,""),"")</f>
        <v/>
      </c>
      <c r="C323" s="4" t="n"/>
      <c r="D323">
        <f>IFERROR(_xludf.XLOOKUP(C323,MASTER_REGISTER!E:E,MASTER_REGISTER!F:F,""),"")</f>
        <v/>
      </c>
      <c r="E323" s="4" t="n"/>
    </row>
    <row r="324">
      <c r="B324" s="4">
        <f>IFERROR(_xludf.XLOOKUP(C324,MASTER_REGISTER!E:E,MASTER_REGISTER!C:C,""),"")</f>
        <v/>
      </c>
      <c r="C324" s="4" t="n"/>
      <c r="D324">
        <f>IFERROR(_xludf.XLOOKUP(C324,MASTER_REGISTER!E:E,MASTER_REGISTER!F:F,""),"")</f>
        <v/>
      </c>
      <c r="E324" s="4" t="n"/>
    </row>
    <row r="325">
      <c r="B325" s="4">
        <f>IFERROR(_xludf.XLOOKUP(C325,MASTER_REGISTER!E:E,MASTER_REGISTER!C:C,""),"")</f>
        <v/>
      </c>
      <c r="C325" s="4" t="n"/>
      <c r="D325">
        <f>IFERROR(_xludf.XLOOKUP(C325,MASTER_REGISTER!E:E,MASTER_REGISTER!F:F,""),"")</f>
        <v/>
      </c>
      <c r="E325" s="4" t="n"/>
    </row>
    <row r="326">
      <c r="B326" s="4">
        <f>IFERROR(_xludf.XLOOKUP(C326,MASTER_REGISTER!E:E,MASTER_REGISTER!C:C,""),"")</f>
        <v/>
      </c>
      <c r="C326" s="4" t="n"/>
      <c r="D326">
        <f>IFERROR(_xludf.XLOOKUP(C326,MASTER_REGISTER!E:E,MASTER_REGISTER!F:F,""),"")</f>
        <v/>
      </c>
      <c r="E326" s="4" t="n"/>
    </row>
    <row r="327">
      <c r="B327" s="4">
        <f>IFERROR(_xludf.XLOOKUP(C327,MASTER_REGISTER!E:E,MASTER_REGISTER!C:C,""),"")</f>
        <v/>
      </c>
      <c r="C327" s="4" t="n"/>
      <c r="D327">
        <f>IFERROR(_xludf.XLOOKUP(C327,MASTER_REGISTER!E:E,MASTER_REGISTER!F:F,""),"")</f>
        <v/>
      </c>
      <c r="E327" s="4" t="n"/>
    </row>
    <row r="328">
      <c r="B328" s="4">
        <f>IFERROR(_xludf.XLOOKUP(C328,MASTER_REGISTER!E:E,MASTER_REGISTER!C:C,""),"")</f>
        <v/>
      </c>
      <c r="C328" s="4" t="n"/>
      <c r="D328">
        <f>IFERROR(_xludf.XLOOKUP(C328,MASTER_REGISTER!E:E,MASTER_REGISTER!F:F,""),"")</f>
        <v/>
      </c>
      <c r="E328" s="4" t="n"/>
    </row>
    <row r="329">
      <c r="B329" s="4">
        <f>IFERROR(_xludf.XLOOKUP(C329,MASTER_REGISTER!E:E,MASTER_REGISTER!C:C,""),"")</f>
        <v/>
      </c>
      <c r="C329" s="4" t="n"/>
      <c r="D329">
        <f>IFERROR(_xludf.XLOOKUP(C329,MASTER_REGISTER!E:E,MASTER_REGISTER!F:F,""),"")</f>
        <v/>
      </c>
      <c r="E329" s="4" t="n"/>
    </row>
    <row r="330">
      <c r="B330" s="4">
        <f>IFERROR(_xludf.XLOOKUP(C330,MASTER_REGISTER!E:E,MASTER_REGISTER!C:C,""),"")</f>
        <v/>
      </c>
      <c r="C330" s="4" t="n"/>
      <c r="D330">
        <f>IFERROR(_xludf.XLOOKUP(C330,MASTER_REGISTER!E:E,MASTER_REGISTER!F:F,""),"")</f>
        <v/>
      </c>
      <c r="E330" s="4" t="n"/>
    </row>
    <row r="331">
      <c r="B331" s="4">
        <f>IFERROR(_xludf.XLOOKUP(C331,MASTER_REGISTER!E:E,MASTER_REGISTER!C:C,""),"")</f>
        <v/>
      </c>
      <c r="C331" s="4" t="n"/>
      <c r="D331">
        <f>IFERROR(_xludf.XLOOKUP(C331,MASTER_REGISTER!E:E,MASTER_REGISTER!F:F,""),"")</f>
        <v/>
      </c>
      <c r="E331" s="4" t="n"/>
    </row>
    <row r="332">
      <c r="B332" s="4">
        <f>IFERROR(_xludf.XLOOKUP(C332,MASTER_REGISTER!E:E,MASTER_REGISTER!C:C,""),"")</f>
        <v/>
      </c>
      <c r="C332" s="4" t="n"/>
      <c r="D332">
        <f>IFERROR(_xludf.XLOOKUP(C332,MASTER_REGISTER!E:E,MASTER_REGISTER!F:F,""),"")</f>
        <v/>
      </c>
      <c r="E332" s="4" t="n"/>
    </row>
    <row r="333">
      <c r="B333" s="4">
        <f>IFERROR(_xludf.XLOOKUP(C333,MASTER_REGISTER!E:E,MASTER_REGISTER!C:C,""),"")</f>
        <v/>
      </c>
      <c r="C333" s="4" t="n"/>
      <c r="D333">
        <f>IFERROR(_xludf.XLOOKUP(C333,MASTER_REGISTER!E:E,MASTER_REGISTER!F:F,""),"")</f>
        <v/>
      </c>
      <c r="E333" s="4" t="n"/>
    </row>
    <row r="334">
      <c r="B334" s="4">
        <f>IFERROR(_xludf.XLOOKUP(C334,MASTER_REGISTER!E:E,MASTER_REGISTER!C:C,""),"")</f>
        <v/>
      </c>
      <c r="C334" s="4" t="n"/>
      <c r="D334">
        <f>IFERROR(_xludf.XLOOKUP(C334,MASTER_REGISTER!E:E,MASTER_REGISTER!F:F,""),"")</f>
        <v/>
      </c>
      <c r="E334" s="4" t="n"/>
    </row>
    <row r="335">
      <c r="B335" s="4">
        <f>IFERROR(_xludf.XLOOKUP(C335,MASTER_REGISTER!E:E,MASTER_REGISTER!C:C,""),"")</f>
        <v/>
      </c>
      <c r="C335" s="4" t="n"/>
      <c r="D335">
        <f>IFERROR(_xludf.XLOOKUP(C335,MASTER_REGISTER!E:E,MASTER_REGISTER!F:F,""),"")</f>
        <v/>
      </c>
      <c r="E335" s="4" t="n"/>
    </row>
    <row r="336">
      <c r="B336" s="4">
        <f>IFERROR(_xludf.XLOOKUP(C336,MASTER_REGISTER!E:E,MASTER_REGISTER!C:C,""),"")</f>
        <v/>
      </c>
      <c r="C336" s="4" t="n"/>
      <c r="D336">
        <f>IFERROR(_xludf.XLOOKUP(C336,MASTER_REGISTER!E:E,MASTER_REGISTER!F:F,""),"")</f>
        <v/>
      </c>
      <c r="E336" s="4" t="n"/>
    </row>
    <row r="337">
      <c r="B337" s="4">
        <f>IFERROR(_xludf.XLOOKUP(C337,MASTER_REGISTER!E:E,MASTER_REGISTER!C:C,""),"")</f>
        <v/>
      </c>
      <c r="C337" s="4" t="n"/>
      <c r="D337">
        <f>IFERROR(_xludf.XLOOKUP(C337,MASTER_REGISTER!E:E,MASTER_REGISTER!F:F,""),"")</f>
        <v/>
      </c>
      <c r="E337" s="4" t="n"/>
    </row>
    <row r="338">
      <c r="B338" s="4">
        <f>IFERROR(_xludf.XLOOKUP(C338,MASTER_REGISTER!E:E,MASTER_REGISTER!C:C,""),"")</f>
        <v/>
      </c>
      <c r="C338" s="4" t="n"/>
      <c r="D338">
        <f>IFERROR(_xludf.XLOOKUP(C338,MASTER_REGISTER!E:E,MASTER_REGISTER!F:F,""),"")</f>
        <v/>
      </c>
      <c r="E338" s="4" t="n"/>
    </row>
    <row r="339">
      <c r="B339" s="4">
        <f>IFERROR(_xludf.XLOOKUP(C339,MASTER_REGISTER!E:E,MASTER_REGISTER!C:C,""),"")</f>
        <v/>
      </c>
      <c r="C339" s="4" t="n"/>
      <c r="D339">
        <f>IFERROR(_xludf.XLOOKUP(C339,MASTER_REGISTER!E:E,MASTER_REGISTER!F:F,""),"")</f>
        <v/>
      </c>
      <c r="E339" s="4" t="n"/>
    </row>
    <row r="340">
      <c r="B340" s="4">
        <f>IFERROR(_xludf.XLOOKUP(C340,MASTER_REGISTER!E:E,MASTER_REGISTER!C:C,""),"")</f>
        <v/>
      </c>
      <c r="C340" s="4" t="n"/>
      <c r="D340">
        <f>IFERROR(_xludf.XLOOKUP(C340,MASTER_REGISTER!E:E,MASTER_REGISTER!F:F,""),"")</f>
        <v/>
      </c>
      <c r="E340" s="4" t="n"/>
    </row>
    <row r="341">
      <c r="B341" s="4">
        <f>IFERROR(_xludf.XLOOKUP(C341,MASTER_REGISTER!E:E,MASTER_REGISTER!C:C,""),"")</f>
        <v/>
      </c>
      <c r="C341" s="4" t="n"/>
      <c r="D341">
        <f>IFERROR(_xludf.XLOOKUP(C341,MASTER_REGISTER!E:E,MASTER_REGISTER!F:F,""),"")</f>
        <v/>
      </c>
      <c r="E341" s="4" t="n"/>
    </row>
    <row r="342">
      <c r="B342" s="4">
        <f>IFERROR(_xludf.XLOOKUP(C342,MASTER_REGISTER!E:E,MASTER_REGISTER!C:C,""),"")</f>
        <v/>
      </c>
      <c r="C342" s="4" t="n"/>
      <c r="D342">
        <f>IFERROR(_xludf.XLOOKUP(C342,MASTER_REGISTER!E:E,MASTER_REGISTER!F:F,""),"")</f>
        <v/>
      </c>
      <c r="E342" s="4" t="n"/>
    </row>
    <row r="343">
      <c r="B343" s="4">
        <f>IFERROR(_xludf.XLOOKUP(C343,MASTER_REGISTER!E:E,MASTER_REGISTER!C:C,""),"")</f>
        <v/>
      </c>
      <c r="C343" s="4" t="n"/>
      <c r="D343">
        <f>IFERROR(_xludf.XLOOKUP(C343,MASTER_REGISTER!E:E,MASTER_REGISTER!F:F,""),"")</f>
        <v/>
      </c>
      <c r="E343" s="4" t="n"/>
    </row>
    <row r="344">
      <c r="B344" s="4">
        <f>IFERROR(_xludf.XLOOKUP(C344,MASTER_REGISTER!E:E,MASTER_REGISTER!C:C,""),"")</f>
        <v/>
      </c>
      <c r="C344" s="4" t="n"/>
      <c r="D344">
        <f>IFERROR(_xludf.XLOOKUP(C344,MASTER_REGISTER!E:E,MASTER_REGISTER!F:F,""),"")</f>
        <v/>
      </c>
      <c r="E344" s="4" t="n"/>
    </row>
    <row r="345">
      <c r="B345" s="4">
        <f>IFERROR(_xludf.XLOOKUP(C345,MASTER_REGISTER!E:E,MASTER_REGISTER!C:C,""),"")</f>
        <v/>
      </c>
      <c r="C345" s="4" t="n"/>
      <c r="D345">
        <f>IFERROR(_xludf.XLOOKUP(C345,MASTER_REGISTER!E:E,MASTER_REGISTER!F:F,""),"")</f>
        <v/>
      </c>
      <c r="E345" s="4" t="n"/>
    </row>
    <row r="346">
      <c r="B346" s="4">
        <f>IFERROR(_xludf.XLOOKUP(C346,MASTER_REGISTER!E:E,MASTER_REGISTER!C:C,""),"")</f>
        <v/>
      </c>
      <c r="C346" s="4" t="n"/>
      <c r="D346">
        <f>IFERROR(_xludf.XLOOKUP(C346,MASTER_REGISTER!E:E,MASTER_REGISTER!F:F,""),"")</f>
        <v/>
      </c>
      <c r="E346" s="4" t="n"/>
    </row>
    <row r="347">
      <c r="B347" s="4">
        <f>IFERROR(_xludf.XLOOKUP(C347,MASTER_REGISTER!E:E,MASTER_REGISTER!C:C,""),"")</f>
        <v/>
      </c>
      <c r="C347" s="4" t="n"/>
      <c r="D347">
        <f>IFERROR(_xludf.XLOOKUP(C347,MASTER_REGISTER!E:E,MASTER_REGISTER!F:F,""),"")</f>
        <v/>
      </c>
      <c r="E347" s="4" t="n"/>
    </row>
    <row r="348">
      <c r="B348" s="4">
        <f>IFERROR(_xludf.XLOOKUP(C348,MASTER_REGISTER!E:E,MASTER_REGISTER!C:C,""),"")</f>
        <v/>
      </c>
      <c r="C348" s="4" t="n"/>
      <c r="D348">
        <f>IFERROR(_xludf.XLOOKUP(C348,MASTER_REGISTER!E:E,MASTER_REGISTER!F:F,""),"")</f>
        <v/>
      </c>
      <c r="E348" s="4" t="n"/>
    </row>
    <row r="349">
      <c r="B349" s="4">
        <f>IFERROR(_xludf.XLOOKUP(C349,MASTER_REGISTER!E:E,MASTER_REGISTER!C:C,""),"")</f>
        <v/>
      </c>
      <c r="C349" s="4" t="n"/>
      <c r="D349">
        <f>IFERROR(_xludf.XLOOKUP(C349,MASTER_REGISTER!E:E,MASTER_REGISTER!F:F,""),"")</f>
        <v/>
      </c>
      <c r="E349" s="4" t="n"/>
    </row>
    <row r="350">
      <c r="B350" s="4">
        <f>IFERROR(_xludf.XLOOKUP(C350,MASTER_REGISTER!E:E,MASTER_REGISTER!C:C,""),"")</f>
        <v/>
      </c>
      <c r="C350" s="4" t="n"/>
      <c r="D350">
        <f>IFERROR(_xludf.XLOOKUP(C350,MASTER_REGISTER!E:E,MASTER_REGISTER!F:F,""),"")</f>
        <v/>
      </c>
      <c r="E350" s="4" t="n"/>
    </row>
    <row r="351">
      <c r="B351" s="4">
        <f>IFERROR(_xludf.XLOOKUP(C351,MASTER_REGISTER!E:E,MASTER_REGISTER!C:C,""),"")</f>
        <v/>
      </c>
      <c r="C351" s="4" t="n"/>
      <c r="D351">
        <f>IFERROR(_xludf.XLOOKUP(C351,MASTER_REGISTER!E:E,MASTER_REGISTER!F:F,""),"")</f>
        <v/>
      </c>
      <c r="E351" s="4" t="n"/>
    </row>
    <row r="352">
      <c r="B352" s="4">
        <f>IFERROR(_xludf.XLOOKUP(C352,MASTER_REGISTER!E:E,MASTER_REGISTER!C:C,""),"")</f>
        <v/>
      </c>
      <c r="C352" s="4" t="n"/>
      <c r="D352">
        <f>IFERROR(_xludf.XLOOKUP(C352,MASTER_REGISTER!E:E,MASTER_REGISTER!F:F,""),"")</f>
        <v/>
      </c>
      <c r="E352" s="4" t="n"/>
    </row>
    <row r="353">
      <c r="B353" s="4">
        <f>IFERROR(_xludf.XLOOKUP(C353,MASTER_REGISTER!E:E,MASTER_REGISTER!C:C,""),"")</f>
        <v/>
      </c>
      <c r="C353" s="4" t="n"/>
      <c r="D353">
        <f>IFERROR(_xludf.XLOOKUP(C353,MASTER_REGISTER!E:E,MASTER_REGISTER!F:F,""),"")</f>
        <v/>
      </c>
      <c r="E353" s="4" t="n"/>
    </row>
    <row r="354">
      <c r="B354" s="4">
        <f>IFERROR(_xludf.XLOOKUP(C354,MASTER_REGISTER!E:E,MASTER_REGISTER!C:C,""),"")</f>
        <v/>
      </c>
      <c r="C354" s="4" t="n"/>
      <c r="D354">
        <f>IFERROR(_xludf.XLOOKUP(C354,MASTER_REGISTER!E:E,MASTER_REGISTER!F:F,""),"")</f>
        <v/>
      </c>
      <c r="E354" s="4" t="n"/>
    </row>
    <row r="355">
      <c r="B355" s="4">
        <f>IFERROR(_xludf.XLOOKUP(C355,MASTER_REGISTER!E:E,MASTER_REGISTER!C:C,""),"")</f>
        <v/>
      </c>
      <c r="C355" s="4" t="n"/>
      <c r="D355">
        <f>IFERROR(_xludf.XLOOKUP(C355,MASTER_REGISTER!E:E,MASTER_REGISTER!F:F,""),"")</f>
        <v/>
      </c>
      <c r="E355" s="4" t="n"/>
    </row>
    <row r="356">
      <c r="B356" s="4">
        <f>IFERROR(_xludf.XLOOKUP(C356,MASTER_REGISTER!E:E,MASTER_REGISTER!C:C,""),"")</f>
        <v/>
      </c>
      <c r="C356" s="4" t="n"/>
      <c r="D356">
        <f>IFERROR(_xludf.XLOOKUP(C356,MASTER_REGISTER!E:E,MASTER_REGISTER!F:F,""),"")</f>
        <v/>
      </c>
      <c r="E356" s="4" t="n"/>
    </row>
    <row r="357">
      <c r="B357" s="4">
        <f>IFERROR(_xludf.XLOOKUP(C357,MASTER_REGISTER!E:E,MASTER_REGISTER!C:C,""),"")</f>
        <v/>
      </c>
      <c r="C357" s="4" t="n"/>
      <c r="D357">
        <f>IFERROR(_xludf.XLOOKUP(C357,MASTER_REGISTER!E:E,MASTER_REGISTER!F:F,""),"")</f>
        <v/>
      </c>
      <c r="E357" s="4" t="n"/>
    </row>
    <row r="358">
      <c r="B358" s="4">
        <f>IFERROR(_xludf.XLOOKUP(C358,MASTER_REGISTER!E:E,MASTER_REGISTER!C:C,""),"")</f>
        <v/>
      </c>
      <c r="C358" s="4" t="n"/>
      <c r="D358">
        <f>IFERROR(_xludf.XLOOKUP(C358,MASTER_REGISTER!E:E,MASTER_REGISTER!F:F,""),"")</f>
        <v/>
      </c>
      <c r="E358" s="4" t="n"/>
    </row>
    <row r="359">
      <c r="B359" s="4">
        <f>IFERROR(_xludf.XLOOKUP(C359,MASTER_REGISTER!E:E,MASTER_REGISTER!C:C,""),"")</f>
        <v/>
      </c>
      <c r="C359" s="4" t="n"/>
      <c r="D359">
        <f>IFERROR(_xludf.XLOOKUP(C359,MASTER_REGISTER!E:E,MASTER_REGISTER!F:F,""),"")</f>
        <v/>
      </c>
      <c r="E359" s="4" t="n"/>
    </row>
    <row r="360">
      <c r="B360" s="4">
        <f>IFERROR(_xludf.XLOOKUP(C360,MASTER_REGISTER!E:E,MASTER_REGISTER!C:C,""),"")</f>
        <v/>
      </c>
      <c r="C360" s="4" t="n"/>
      <c r="D360">
        <f>IFERROR(_xludf.XLOOKUP(C360,MASTER_REGISTER!E:E,MASTER_REGISTER!F:F,""),"")</f>
        <v/>
      </c>
      <c r="E360" s="4" t="n"/>
    </row>
    <row r="361">
      <c r="B361" s="4">
        <f>IFERROR(_xludf.XLOOKUP(C361,MASTER_REGISTER!E:E,MASTER_REGISTER!C:C,""),"")</f>
        <v/>
      </c>
      <c r="C361" s="4" t="n"/>
      <c r="D361">
        <f>IFERROR(_xludf.XLOOKUP(C361,MASTER_REGISTER!E:E,MASTER_REGISTER!F:F,""),"")</f>
        <v/>
      </c>
      <c r="E361" s="4" t="n"/>
    </row>
    <row r="362">
      <c r="B362" s="4">
        <f>IFERROR(_xludf.XLOOKUP(C362,MASTER_REGISTER!E:E,MASTER_REGISTER!C:C,""),"")</f>
        <v/>
      </c>
      <c r="C362" s="4" t="n"/>
      <c r="D362">
        <f>IFERROR(_xludf.XLOOKUP(C362,MASTER_REGISTER!E:E,MASTER_REGISTER!F:F,""),"")</f>
        <v/>
      </c>
      <c r="E362" s="4" t="n"/>
    </row>
    <row r="363">
      <c r="B363" s="4">
        <f>IFERROR(_xludf.XLOOKUP(C363,MASTER_REGISTER!E:E,MASTER_REGISTER!C:C,""),"")</f>
        <v/>
      </c>
      <c r="C363" s="4" t="n"/>
      <c r="D363">
        <f>IFERROR(_xludf.XLOOKUP(C363,MASTER_REGISTER!E:E,MASTER_REGISTER!F:F,""),"")</f>
        <v/>
      </c>
      <c r="E363" s="4" t="n"/>
    </row>
    <row r="364">
      <c r="B364" s="4">
        <f>IFERROR(_xludf.XLOOKUP(C364,MASTER_REGISTER!E:E,MASTER_REGISTER!C:C,""),"")</f>
        <v/>
      </c>
      <c r="C364" s="4" t="n"/>
      <c r="D364">
        <f>IFERROR(_xludf.XLOOKUP(C364,MASTER_REGISTER!E:E,MASTER_REGISTER!F:F,""),"")</f>
        <v/>
      </c>
      <c r="E364" s="4" t="n"/>
    </row>
    <row r="365">
      <c r="B365" s="4">
        <f>IFERROR(_xludf.XLOOKUP(C365,MASTER_REGISTER!E:E,MASTER_REGISTER!C:C,""),"")</f>
        <v/>
      </c>
      <c r="C365" s="4" t="n"/>
      <c r="D365">
        <f>IFERROR(_xludf.XLOOKUP(C365,MASTER_REGISTER!E:E,MASTER_REGISTER!F:F,""),"")</f>
        <v/>
      </c>
      <c r="E365" s="4" t="n"/>
    </row>
    <row r="366">
      <c r="B366" s="4">
        <f>IFERROR(_xludf.XLOOKUP(C366,MASTER_REGISTER!E:E,MASTER_REGISTER!C:C,""),"")</f>
        <v/>
      </c>
      <c r="C366" s="4" t="n"/>
      <c r="D366">
        <f>IFERROR(_xludf.XLOOKUP(C366,MASTER_REGISTER!E:E,MASTER_REGISTER!F:F,""),"")</f>
        <v/>
      </c>
      <c r="E366" s="4" t="n"/>
    </row>
    <row r="367">
      <c r="B367" s="4">
        <f>IFERROR(_xludf.XLOOKUP(C367,MASTER_REGISTER!E:E,MASTER_REGISTER!C:C,""),"")</f>
        <v/>
      </c>
      <c r="C367" s="4" t="n"/>
      <c r="D367">
        <f>IFERROR(_xludf.XLOOKUP(C367,MASTER_REGISTER!E:E,MASTER_REGISTER!F:F,""),"")</f>
        <v/>
      </c>
      <c r="E367" s="4" t="n"/>
    </row>
    <row r="368">
      <c r="B368" s="4">
        <f>IFERROR(_xludf.XLOOKUP(C368,MASTER_REGISTER!E:E,MASTER_REGISTER!C:C,""),"")</f>
        <v/>
      </c>
      <c r="C368" s="4" t="n"/>
      <c r="D368">
        <f>IFERROR(_xludf.XLOOKUP(C368,MASTER_REGISTER!E:E,MASTER_REGISTER!F:F,""),"")</f>
        <v/>
      </c>
      <c r="E368" s="4" t="n"/>
    </row>
    <row r="369">
      <c r="B369" s="4">
        <f>IFERROR(_xludf.XLOOKUP(C369,MASTER_REGISTER!E:E,MASTER_REGISTER!C:C,""),"")</f>
        <v/>
      </c>
      <c r="C369" s="4" t="n"/>
      <c r="D369">
        <f>IFERROR(_xludf.XLOOKUP(C369,MASTER_REGISTER!E:E,MASTER_REGISTER!F:F,""),"")</f>
        <v/>
      </c>
      <c r="E369" s="4" t="n"/>
    </row>
    <row r="370">
      <c r="B370" s="4">
        <f>IFERROR(_xludf.XLOOKUP(C370,MASTER_REGISTER!E:E,MASTER_REGISTER!C:C,""),"")</f>
        <v/>
      </c>
      <c r="C370" s="4" t="n"/>
      <c r="D370">
        <f>IFERROR(_xludf.XLOOKUP(C370,MASTER_REGISTER!E:E,MASTER_REGISTER!F:F,""),"")</f>
        <v/>
      </c>
      <c r="E370" s="4" t="n"/>
    </row>
    <row r="371">
      <c r="B371" s="4">
        <f>IFERROR(_xludf.XLOOKUP(C371,MASTER_REGISTER!E:E,MASTER_REGISTER!C:C,""),"")</f>
        <v/>
      </c>
      <c r="C371" s="4" t="n"/>
      <c r="D371">
        <f>IFERROR(_xludf.XLOOKUP(C371,MASTER_REGISTER!E:E,MASTER_REGISTER!F:F,""),"")</f>
        <v/>
      </c>
      <c r="E371" s="4" t="n"/>
    </row>
    <row r="372">
      <c r="B372" s="4">
        <f>IFERROR(_xludf.XLOOKUP(C372,MASTER_REGISTER!E:E,MASTER_REGISTER!C:C,""),"")</f>
        <v/>
      </c>
      <c r="C372" s="4" t="n"/>
      <c r="D372">
        <f>IFERROR(_xludf.XLOOKUP(C372,MASTER_REGISTER!E:E,MASTER_REGISTER!F:F,""),"")</f>
        <v/>
      </c>
      <c r="E372" s="4" t="n"/>
    </row>
    <row r="373">
      <c r="B373" s="4">
        <f>IFERROR(_xludf.XLOOKUP(C373,MASTER_REGISTER!E:E,MASTER_REGISTER!C:C,""),"")</f>
        <v/>
      </c>
      <c r="C373" s="4" t="n"/>
      <c r="D373">
        <f>IFERROR(_xludf.XLOOKUP(C373,MASTER_REGISTER!E:E,MASTER_REGISTER!F:F,""),"")</f>
        <v/>
      </c>
      <c r="E373" s="4" t="n"/>
    </row>
    <row r="374">
      <c r="B374" s="4">
        <f>IFERROR(_xludf.XLOOKUP(C374,MASTER_REGISTER!E:E,MASTER_REGISTER!C:C,""),"")</f>
        <v/>
      </c>
      <c r="C374" s="4" t="n"/>
      <c r="D374">
        <f>IFERROR(_xludf.XLOOKUP(C374,MASTER_REGISTER!E:E,MASTER_REGISTER!F:F,""),"")</f>
        <v/>
      </c>
      <c r="E374" s="4" t="n"/>
    </row>
    <row r="375">
      <c r="B375" s="4">
        <f>IFERROR(_xludf.XLOOKUP(C375,MASTER_REGISTER!E:E,MASTER_REGISTER!C:C,""),"")</f>
        <v/>
      </c>
      <c r="C375" s="4" t="n"/>
      <c r="D375">
        <f>IFERROR(_xludf.XLOOKUP(C375,MASTER_REGISTER!E:E,MASTER_REGISTER!F:F,""),"")</f>
        <v/>
      </c>
      <c r="E375" s="4" t="n"/>
    </row>
    <row r="376">
      <c r="B376" s="4">
        <f>IFERROR(_xludf.XLOOKUP(C376,MASTER_REGISTER!E:E,MASTER_REGISTER!C:C,""),"")</f>
        <v/>
      </c>
      <c r="C376" s="4" t="n"/>
      <c r="D376">
        <f>IFERROR(_xludf.XLOOKUP(C376,MASTER_REGISTER!E:E,MASTER_REGISTER!F:F,""),"")</f>
        <v/>
      </c>
      <c r="E376" s="4" t="n"/>
    </row>
    <row r="377">
      <c r="B377" s="4">
        <f>IFERROR(_xludf.XLOOKUP(C377,MASTER_REGISTER!E:E,MASTER_REGISTER!C:C,""),"")</f>
        <v/>
      </c>
      <c r="C377" s="4" t="n"/>
      <c r="D377">
        <f>IFERROR(_xludf.XLOOKUP(C377,MASTER_REGISTER!E:E,MASTER_REGISTER!F:F,""),"")</f>
        <v/>
      </c>
      <c r="E377" s="4" t="n"/>
    </row>
    <row r="378">
      <c r="B378" s="4">
        <f>IFERROR(_xludf.XLOOKUP(C378,MASTER_REGISTER!E:E,MASTER_REGISTER!C:C,""),"")</f>
        <v/>
      </c>
      <c r="C378" s="4" t="n"/>
      <c r="D378">
        <f>IFERROR(_xludf.XLOOKUP(C378,MASTER_REGISTER!E:E,MASTER_REGISTER!F:F,""),"")</f>
        <v/>
      </c>
      <c r="E378" s="4" t="n"/>
    </row>
    <row r="379">
      <c r="B379" s="4">
        <f>IFERROR(_xludf.XLOOKUP(C379,MASTER_REGISTER!E:E,MASTER_REGISTER!C:C,""),"")</f>
        <v/>
      </c>
      <c r="C379" s="4" t="n"/>
      <c r="D379">
        <f>IFERROR(_xludf.XLOOKUP(C379,MASTER_REGISTER!E:E,MASTER_REGISTER!F:F,""),"")</f>
        <v/>
      </c>
      <c r="E379" s="4" t="n"/>
    </row>
    <row r="380">
      <c r="B380" s="4">
        <f>IFERROR(_xludf.XLOOKUP(C380,MASTER_REGISTER!E:E,MASTER_REGISTER!C:C,""),"")</f>
        <v/>
      </c>
      <c r="C380" s="4" t="n"/>
      <c r="D380">
        <f>IFERROR(_xludf.XLOOKUP(C380,MASTER_REGISTER!E:E,MASTER_REGISTER!F:F,""),"")</f>
        <v/>
      </c>
      <c r="E380" s="4" t="n"/>
    </row>
    <row r="381">
      <c r="B381" s="4">
        <f>IFERROR(_xludf.XLOOKUP(C381,MASTER_REGISTER!E:E,MASTER_REGISTER!C:C,""),"")</f>
        <v/>
      </c>
      <c r="C381" s="4" t="n"/>
      <c r="D381">
        <f>IFERROR(_xludf.XLOOKUP(C381,MASTER_REGISTER!E:E,MASTER_REGISTER!F:F,""),"")</f>
        <v/>
      </c>
      <c r="E381" s="4" t="n"/>
    </row>
    <row r="382">
      <c r="B382" s="4">
        <f>IFERROR(_xludf.XLOOKUP(C382,MASTER_REGISTER!E:E,MASTER_REGISTER!C:C,""),"")</f>
        <v/>
      </c>
      <c r="C382" s="4" t="n"/>
      <c r="D382">
        <f>IFERROR(_xludf.XLOOKUP(C382,MASTER_REGISTER!E:E,MASTER_REGISTER!F:F,""),"")</f>
        <v/>
      </c>
      <c r="E382" s="4" t="n"/>
    </row>
    <row r="383">
      <c r="B383" s="4">
        <f>IFERROR(_xludf.XLOOKUP(C383,MASTER_REGISTER!E:E,MASTER_REGISTER!C:C,""),"")</f>
        <v/>
      </c>
      <c r="C383" s="4" t="n"/>
      <c r="D383">
        <f>IFERROR(_xludf.XLOOKUP(C383,MASTER_REGISTER!E:E,MASTER_REGISTER!F:F,""),"")</f>
        <v/>
      </c>
      <c r="E383" s="4" t="n"/>
    </row>
    <row r="384">
      <c r="B384" s="4">
        <f>IFERROR(_xludf.XLOOKUP(C384,MASTER_REGISTER!E:E,MASTER_REGISTER!C:C,""),"")</f>
        <v/>
      </c>
      <c r="C384" s="4" t="n"/>
      <c r="D384">
        <f>IFERROR(_xludf.XLOOKUP(C384,MASTER_REGISTER!E:E,MASTER_REGISTER!F:F,""),"")</f>
        <v/>
      </c>
      <c r="E384" s="4" t="n"/>
    </row>
    <row r="385">
      <c r="B385" s="4">
        <f>IFERROR(_xludf.XLOOKUP(C385,MASTER_REGISTER!E:E,MASTER_REGISTER!C:C,""),"")</f>
        <v/>
      </c>
      <c r="C385" s="4" t="n"/>
      <c r="D385">
        <f>IFERROR(_xludf.XLOOKUP(C385,MASTER_REGISTER!E:E,MASTER_REGISTER!F:F,""),"")</f>
        <v/>
      </c>
      <c r="E385" s="4" t="n"/>
    </row>
    <row r="386">
      <c r="B386" s="4">
        <f>IFERROR(_xludf.XLOOKUP(C386,MASTER_REGISTER!E:E,MASTER_REGISTER!C:C,""),"")</f>
        <v/>
      </c>
      <c r="C386" s="4" t="n"/>
      <c r="D386">
        <f>IFERROR(_xludf.XLOOKUP(C386,MASTER_REGISTER!E:E,MASTER_REGISTER!F:F,""),"")</f>
        <v/>
      </c>
      <c r="E386" s="4" t="n"/>
    </row>
    <row r="387">
      <c r="B387" s="4">
        <f>IFERROR(_xludf.XLOOKUP(C387,MASTER_REGISTER!E:E,MASTER_REGISTER!C:C,""),"")</f>
        <v/>
      </c>
      <c r="C387" s="4" t="n"/>
      <c r="D387">
        <f>IFERROR(_xludf.XLOOKUP(C387,MASTER_REGISTER!E:E,MASTER_REGISTER!F:F,""),"")</f>
        <v/>
      </c>
      <c r="E387" s="4" t="n"/>
    </row>
    <row r="388">
      <c r="B388" s="4">
        <f>IFERROR(_xludf.XLOOKUP(C388,MASTER_REGISTER!E:E,MASTER_REGISTER!C:C,""),"")</f>
        <v/>
      </c>
      <c r="C388" s="4" t="n"/>
      <c r="D388">
        <f>IFERROR(_xludf.XLOOKUP(C388,MASTER_REGISTER!E:E,MASTER_REGISTER!F:F,""),"")</f>
        <v/>
      </c>
      <c r="E388" s="4" t="n"/>
    </row>
    <row r="389">
      <c r="B389" s="4">
        <f>IFERROR(_xludf.XLOOKUP(C389,MASTER_REGISTER!E:E,MASTER_REGISTER!C:C,""),"")</f>
        <v/>
      </c>
      <c r="C389" s="4" t="n"/>
      <c r="D389">
        <f>IFERROR(_xludf.XLOOKUP(C389,MASTER_REGISTER!E:E,MASTER_REGISTER!F:F,""),"")</f>
        <v/>
      </c>
      <c r="E389" s="4" t="n"/>
    </row>
    <row r="390">
      <c r="B390" s="4">
        <f>IFERROR(_xludf.XLOOKUP(C390,MASTER_REGISTER!E:E,MASTER_REGISTER!C:C,""),"")</f>
        <v/>
      </c>
      <c r="C390" s="4" t="n"/>
      <c r="D390">
        <f>IFERROR(_xludf.XLOOKUP(C390,MASTER_REGISTER!E:E,MASTER_REGISTER!F:F,""),"")</f>
        <v/>
      </c>
      <c r="E390" s="4" t="n"/>
    </row>
    <row r="391">
      <c r="B391" s="4">
        <f>IFERROR(_xludf.XLOOKUP(C391,MASTER_REGISTER!E:E,MASTER_REGISTER!C:C,""),"")</f>
        <v/>
      </c>
      <c r="C391" s="4" t="n"/>
      <c r="D391">
        <f>IFERROR(_xludf.XLOOKUP(C391,MASTER_REGISTER!E:E,MASTER_REGISTER!F:F,""),"")</f>
        <v/>
      </c>
      <c r="E391" s="4" t="n"/>
    </row>
    <row r="392">
      <c r="B392" s="4">
        <f>IFERROR(_xludf.XLOOKUP(C392,MASTER_REGISTER!E:E,MASTER_REGISTER!C:C,""),"")</f>
        <v/>
      </c>
      <c r="C392" s="4" t="n"/>
      <c r="D392">
        <f>IFERROR(_xludf.XLOOKUP(C392,MASTER_REGISTER!E:E,MASTER_REGISTER!F:F,""),"")</f>
        <v/>
      </c>
      <c r="E392" s="4" t="n"/>
    </row>
    <row r="393">
      <c r="B393" s="4">
        <f>IFERROR(_xludf.XLOOKUP(C393,MASTER_REGISTER!E:E,MASTER_REGISTER!C:C,""),"")</f>
        <v/>
      </c>
      <c r="C393" s="4" t="n"/>
      <c r="D393">
        <f>IFERROR(_xludf.XLOOKUP(C393,MASTER_REGISTER!E:E,MASTER_REGISTER!F:F,""),"")</f>
        <v/>
      </c>
      <c r="E393" s="4" t="n"/>
    </row>
    <row r="394">
      <c r="B394" s="4">
        <f>IFERROR(_xludf.XLOOKUP(C394,MASTER_REGISTER!E:E,MASTER_REGISTER!C:C,""),"")</f>
        <v/>
      </c>
      <c r="C394" s="4" t="n"/>
      <c r="D394">
        <f>IFERROR(_xludf.XLOOKUP(C394,MASTER_REGISTER!E:E,MASTER_REGISTER!F:F,""),"")</f>
        <v/>
      </c>
      <c r="E394" s="4" t="n"/>
    </row>
    <row r="395">
      <c r="B395" s="4">
        <f>IFERROR(_xludf.XLOOKUP(C395,MASTER_REGISTER!E:E,MASTER_REGISTER!C:C,""),"")</f>
        <v/>
      </c>
      <c r="C395" s="4" t="n"/>
      <c r="D395">
        <f>IFERROR(_xludf.XLOOKUP(C395,MASTER_REGISTER!E:E,MASTER_REGISTER!F:F,""),"")</f>
        <v/>
      </c>
      <c r="E395" s="4" t="n"/>
    </row>
    <row r="396">
      <c r="B396" s="4">
        <f>IFERROR(_xludf.XLOOKUP(C396,MASTER_REGISTER!E:E,MASTER_REGISTER!C:C,""),"")</f>
        <v/>
      </c>
      <c r="C396" s="4" t="n"/>
      <c r="D396">
        <f>IFERROR(_xludf.XLOOKUP(C396,MASTER_REGISTER!E:E,MASTER_REGISTER!F:F,""),"")</f>
        <v/>
      </c>
      <c r="E396" s="4" t="n"/>
    </row>
    <row r="397">
      <c r="B397" s="4">
        <f>IFERROR(_xludf.XLOOKUP(C397,MASTER_REGISTER!E:E,MASTER_REGISTER!C:C,""),"")</f>
        <v/>
      </c>
      <c r="C397" s="4" t="n"/>
      <c r="D397">
        <f>IFERROR(_xludf.XLOOKUP(C397,MASTER_REGISTER!E:E,MASTER_REGISTER!F:F,""),"")</f>
        <v/>
      </c>
      <c r="E397" s="4" t="n"/>
    </row>
    <row r="398">
      <c r="B398" s="4">
        <f>IFERROR(_xludf.XLOOKUP(C398,MASTER_REGISTER!E:E,MASTER_REGISTER!C:C,""),"")</f>
        <v/>
      </c>
      <c r="C398" s="4" t="n"/>
      <c r="D398">
        <f>IFERROR(_xludf.XLOOKUP(C398,MASTER_REGISTER!E:E,MASTER_REGISTER!F:F,""),"")</f>
        <v/>
      </c>
      <c r="E398" s="4" t="n"/>
    </row>
    <row r="399">
      <c r="B399" s="4">
        <f>IFERROR(_xludf.XLOOKUP(C399,MASTER_REGISTER!E:E,MASTER_REGISTER!C:C,""),"")</f>
        <v/>
      </c>
      <c r="C399" s="4" t="n"/>
      <c r="D399">
        <f>IFERROR(_xludf.XLOOKUP(C399,MASTER_REGISTER!E:E,MASTER_REGISTER!F:F,""),"")</f>
        <v/>
      </c>
      <c r="E399" s="4" t="n"/>
    </row>
    <row r="400">
      <c r="B400" s="4">
        <f>IFERROR(_xludf.XLOOKUP(C400,MASTER_REGISTER!E:E,MASTER_REGISTER!C:C,""),"")</f>
        <v/>
      </c>
      <c r="C400" s="4" t="n"/>
      <c r="D400">
        <f>IFERROR(_xludf.XLOOKUP(C400,MASTER_REGISTER!E:E,MASTER_REGISTER!F:F,""),"")</f>
        <v/>
      </c>
      <c r="E400" s="4" t="n"/>
    </row>
    <row r="401">
      <c r="B401" s="4">
        <f>IFERROR(_xludf.XLOOKUP(C401,MASTER_REGISTER!E:E,MASTER_REGISTER!C:C,""),"")</f>
        <v/>
      </c>
      <c r="C401" s="4" t="n"/>
      <c r="D401">
        <f>IFERROR(_xludf.XLOOKUP(C401,MASTER_REGISTER!E:E,MASTER_REGISTER!F:F,""),"")</f>
        <v/>
      </c>
      <c r="E401" s="4" t="n"/>
    </row>
    <row r="402">
      <c r="B402" s="4">
        <f>IFERROR(_xludf.XLOOKUP(C402,MASTER_REGISTER!E:E,MASTER_REGISTER!C:C,""),"")</f>
        <v/>
      </c>
      <c r="C402" s="4" t="n"/>
      <c r="D402">
        <f>IFERROR(_xludf.XLOOKUP(C402,MASTER_REGISTER!E:E,MASTER_REGISTER!F:F,""),"")</f>
        <v/>
      </c>
      <c r="E402" s="4" t="n"/>
    </row>
    <row r="403">
      <c r="B403" s="4">
        <f>IFERROR(_xludf.XLOOKUP(C403,MASTER_REGISTER!E:E,MASTER_REGISTER!C:C,""),"")</f>
        <v/>
      </c>
      <c r="C403" s="4" t="n"/>
      <c r="D403">
        <f>IFERROR(_xludf.XLOOKUP(C403,MASTER_REGISTER!E:E,MASTER_REGISTER!F:F,""),"")</f>
        <v/>
      </c>
      <c r="E403" s="4" t="n"/>
    </row>
    <row r="404">
      <c r="B404" s="4">
        <f>IFERROR(_xludf.XLOOKUP(C404,MASTER_REGISTER!E:E,MASTER_REGISTER!C:C,""),"")</f>
        <v/>
      </c>
      <c r="C404" s="4" t="n"/>
      <c r="D404">
        <f>IFERROR(_xludf.XLOOKUP(C404,MASTER_REGISTER!E:E,MASTER_REGISTER!F:F,""),"")</f>
        <v/>
      </c>
      <c r="E404" s="4" t="n"/>
    </row>
    <row r="405">
      <c r="B405" s="4">
        <f>IFERROR(_xludf.XLOOKUP(C405,MASTER_REGISTER!E:E,MASTER_REGISTER!C:C,""),"")</f>
        <v/>
      </c>
      <c r="C405" s="4" t="n"/>
      <c r="D405">
        <f>IFERROR(_xludf.XLOOKUP(C405,MASTER_REGISTER!E:E,MASTER_REGISTER!F:F,""),"")</f>
        <v/>
      </c>
      <c r="E405" s="4" t="n"/>
    </row>
    <row r="406">
      <c r="B406" s="4">
        <f>IFERROR(_xludf.XLOOKUP(C406,MASTER_REGISTER!E:E,MASTER_REGISTER!C:C,""),"")</f>
        <v/>
      </c>
      <c r="C406" s="4" t="n"/>
      <c r="D406">
        <f>IFERROR(_xludf.XLOOKUP(C406,MASTER_REGISTER!E:E,MASTER_REGISTER!F:F,""),"")</f>
        <v/>
      </c>
      <c r="E406" s="4" t="n"/>
    </row>
    <row r="407">
      <c r="B407" s="4">
        <f>IFERROR(_xludf.XLOOKUP(C407,MASTER_REGISTER!E:E,MASTER_REGISTER!C:C,""),"")</f>
        <v/>
      </c>
      <c r="C407" s="4" t="n"/>
      <c r="D407">
        <f>IFERROR(_xludf.XLOOKUP(C407,MASTER_REGISTER!E:E,MASTER_REGISTER!F:F,""),"")</f>
        <v/>
      </c>
      <c r="E407" s="4" t="n"/>
    </row>
    <row r="408">
      <c r="B408" s="4">
        <f>IFERROR(_xludf.XLOOKUP(C408,MASTER_REGISTER!E:E,MASTER_REGISTER!C:C,""),"")</f>
        <v/>
      </c>
      <c r="C408" s="4" t="n"/>
      <c r="D408">
        <f>IFERROR(_xludf.XLOOKUP(C408,MASTER_REGISTER!E:E,MASTER_REGISTER!F:F,""),"")</f>
        <v/>
      </c>
      <c r="E408" s="4" t="n"/>
    </row>
    <row r="409">
      <c r="B409" s="4">
        <f>IFERROR(_xludf.XLOOKUP(C409,MASTER_REGISTER!E:E,MASTER_REGISTER!C:C,""),"")</f>
        <v/>
      </c>
      <c r="C409" s="4" t="n"/>
      <c r="D409">
        <f>IFERROR(_xludf.XLOOKUP(C409,MASTER_REGISTER!E:E,MASTER_REGISTER!F:F,""),"")</f>
        <v/>
      </c>
      <c r="E409" s="4" t="n"/>
    </row>
    <row r="410">
      <c r="B410" s="4">
        <f>IFERROR(_xludf.XLOOKUP(C410,MASTER_REGISTER!E:E,MASTER_REGISTER!C:C,""),"")</f>
        <v/>
      </c>
      <c r="C410" s="4" t="n"/>
      <c r="D410">
        <f>IFERROR(_xludf.XLOOKUP(C410,MASTER_REGISTER!E:E,MASTER_REGISTER!F:F,""),"")</f>
        <v/>
      </c>
      <c r="E410" s="4" t="n"/>
    </row>
    <row r="411">
      <c r="B411" s="4">
        <f>IFERROR(_xludf.XLOOKUP(C411,MASTER_REGISTER!E:E,MASTER_REGISTER!C:C,""),"")</f>
        <v/>
      </c>
      <c r="C411" s="4" t="n"/>
      <c r="D411">
        <f>IFERROR(_xludf.XLOOKUP(C411,MASTER_REGISTER!E:E,MASTER_REGISTER!F:F,""),"")</f>
        <v/>
      </c>
      <c r="E411" s="4" t="n"/>
    </row>
    <row r="412">
      <c r="B412" s="4">
        <f>IFERROR(_xludf.XLOOKUP(C412,MASTER_REGISTER!E:E,MASTER_REGISTER!C:C,""),"")</f>
        <v/>
      </c>
      <c r="C412" s="4" t="n"/>
      <c r="D412">
        <f>IFERROR(_xludf.XLOOKUP(C412,MASTER_REGISTER!E:E,MASTER_REGISTER!F:F,""),"")</f>
        <v/>
      </c>
      <c r="E412" s="4" t="n"/>
    </row>
    <row r="413">
      <c r="B413" s="4">
        <f>IFERROR(_xludf.XLOOKUP(C413,MASTER_REGISTER!E:E,MASTER_REGISTER!C:C,""),"")</f>
        <v/>
      </c>
      <c r="C413" s="4" t="n"/>
      <c r="D413">
        <f>IFERROR(_xludf.XLOOKUP(C413,MASTER_REGISTER!E:E,MASTER_REGISTER!F:F,""),"")</f>
        <v/>
      </c>
      <c r="E413" s="4" t="n"/>
    </row>
    <row r="414">
      <c r="B414" s="4">
        <f>IFERROR(_xludf.XLOOKUP(C414,MASTER_REGISTER!E:E,MASTER_REGISTER!C:C,""),"")</f>
        <v/>
      </c>
      <c r="C414" s="4" t="n"/>
      <c r="D414">
        <f>IFERROR(_xludf.XLOOKUP(C414,MASTER_REGISTER!E:E,MASTER_REGISTER!F:F,""),"")</f>
        <v/>
      </c>
      <c r="E414" s="4" t="n"/>
    </row>
    <row r="415">
      <c r="B415" s="4">
        <f>IFERROR(_xludf.XLOOKUP(C415,MASTER_REGISTER!E:E,MASTER_REGISTER!C:C,""),"")</f>
        <v/>
      </c>
      <c r="C415" s="4" t="n"/>
      <c r="D415">
        <f>IFERROR(_xludf.XLOOKUP(C415,MASTER_REGISTER!E:E,MASTER_REGISTER!F:F,""),"")</f>
        <v/>
      </c>
      <c r="E415" s="4" t="n"/>
    </row>
    <row r="416">
      <c r="B416" s="4">
        <f>IFERROR(_xludf.XLOOKUP(C416,MASTER_REGISTER!E:E,MASTER_REGISTER!C:C,""),"")</f>
        <v/>
      </c>
      <c r="C416" s="4" t="n"/>
      <c r="D416">
        <f>IFERROR(_xludf.XLOOKUP(C416,MASTER_REGISTER!E:E,MASTER_REGISTER!F:F,""),"")</f>
        <v/>
      </c>
      <c r="E416" s="4" t="n"/>
    </row>
    <row r="417">
      <c r="B417" s="4">
        <f>IFERROR(_xludf.XLOOKUP(C417,MASTER_REGISTER!E:E,MASTER_REGISTER!C:C,""),"")</f>
        <v/>
      </c>
      <c r="C417" s="4" t="n"/>
      <c r="D417">
        <f>IFERROR(_xludf.XLOOKUP(C417,MASTER_REGISTER!E:E,MASTER_REGISTER!F:F,""),"")</f>
        <v/>
      </c>
      <c r="E417" s="4" t="n"/>
    </row>
    <row r="418">
      <c r="B418" s="4">
        <f>IFERROR(_xludf.XLOOKUP(C418,MASTER_REGISTER!E:E,MASTER_REGISTER!C:C,""),"")</f>
        <v/>
      </c>
      <c r="C418" s="4" t="n"/>
      <c r="D418">
        <f>IFERROR(_xludf.XLOOKUP(C418,MASTER_REGISTER!E:E,MASTER_REGISTER!F:F,""),"")</f>
        <v/>
      </c>
      <c r="E418" s="4" t="n"/>
    </row>
    <row r="419">
      <c r="B419" s="4">
        <f>IFERROR(_xludf.XLOOKUP(C419,MASTER_REGISTER!E:E,MASTER_REGISTER!C:C,""),"")</f>
        <v/>
      </c>
      <c r="C419" s="4" t="n"/>
      <c r="D419">
        <f>IFERROR(_xludf.XLOOKUP(C419,MASTER_REGISTER!E:E,MASTER_REGISTER!F:F,""),"")</f>
        <v/>
      </c>
      <c r="E419" s="4" t="n"/>
    </row>
    <row r="420">
      <c r="B420" s="4">
        <f>IFERROR(_xludf.XLOOKUP(C420,MASTER_REGISTER!E:E,MASTER_REGISTER!C:C,""),"")</f>
        <v/>
      </c>
      <c r="C420" s="4" t="n"/>
      <c r="D420">
        <f>IFERROR(_xludf.XLOOKUP(C420,MASTER_REGISTER!E:E,MASTER_REGISTER!F:F,""),"")</f>
        <v/>
      </c>
      <c r="E420" s="4" t="n"/>
    </row>
    <row r="421">
      <c r="B421" s="4">
        <f>IFERROR(_xludf.XLOOKUP(C421,MASTER_REGISTER!E:E,MASTER_REGISTER!C:C,""),"")</f>
        <v/>
      </c>
      <c r="C421" s="4" t="n"/>
      <c r="D421">
        <f>IFERROR(_xludf.XLOOKUP(C421,MASTER_REGISTER!E:E,MASTER_REGISTER!F:F,""),"")</f>
        <v/>
      </c>
      <c r="E421" s="4" t="n"/>
    </row>
    <row r="422">
      <c r="B422" s="4">
        <f>IFERROR(_xludf.XLOOKUP(C422,MASTER_REGISTER!E:E,MASTER_REGISTER!C:C,""),"")</f>
        <v/>
      </c>
      <c r="C422" s="4" t="n"/>
      <c r="D422">
        <f>IFERROR(_xludf.XLOOKUP(C422,MASTER_REGISTER!E:E,MASTER_REGISTER!F:F,""),"")</f>
        <v/>
      </c>
      <c r="E422" s="4" t="n"/>
    </row>
    <row r="423">
      <c r="B423" s="4">
        <f>IFERROR(_xludf.XLOOKUP(C423,MASTER_REGISTER!E:E,MASTER_REGISTER!C:C,""),"")</f>
        <v/>
      </c>
      <c r="C423" s="4" t="n"/>
      <c r="D423">
        <f>IFERROR(_xludf.XLOOKUP(C423,MASTER_REGISTER!E:E,MASTER_REGISTER!F:F,""),"")</f>
        <v/>
      </c>
      <c r="E423" s="4" t="n"/>
    </row>
    <row r="424">
      <c r="B424" s="4">
        <f>IFERROR(_xludf.XLOOKUP(C424,MASTER_REGISTER!E:E,MASTER_REGISTER!C:C,""),"")</f>
        <v/>
      </c>
      <c r="C424" s="4" t="n"/>
      <c r="D424">
        <f>IFERROR(_xludf.XLOOKUP(C424,MASTER_REGISTER!E:E,MASTER_REGISTER!F:F,""),"")</f>
        <v/>
      </c>
      <c r="E424" s="4" t="n"/>
    </row>
    <row r="425">
      <c r="B425" s="4">
        <f>IFERROR(_xludf.XLOOKUP(C425,MASTER_REGISTER!E:E,MASTER_REGISTER!C:C,""),"")</f>
        <v/>
      </c>
      <c r="C425" s="4" t="n"/>
      <c r="D425">
        <f>IFERROR(_xludf.XLOOKUP(C425,MASTER_REGISTER!E:E,MASTER_REGISTER!F:F,""),"")</f>
        <v/>
      </c>
      <c r="E425" s="4" t="n"/>
    </row>
    <row r="426">
      <c r="B426" s="4">
        <f>IFERROR(_xludf.XLOOKUP(C426,MASTER_REGISTER!E:E,MASTER_REGISTER!C:C,""),"")</f>
        <v/>
      </c>
      <c r="C426" s="4" t="n"/>
      <c r="D426">
        <f>IFERROR(_xludf.XLOOKUP(C426,MASTER_REGISTER!E:E,MASTER_REGISTER!F:F,""),"")</f>
        <v/>
      </c>
      <c r="E426" s="4" t="n"/>
    </row>
    <row r="427">
      <c r="B427" s="4">
        <f>IFERROR(_xludf.XLOOKUP(C427,MASTER_REGISTER!E:E,MASTER_REGISTER!C:C,""),"")</f>
        <v/>
      </c>
      <c r="C427" s="4" t="n"/>
      <c r="D427">
        <f>IFERROR(_xludf.XLOOKUP(C427,MASTER_REGISTER!E:E,MASTER_REGISTER!F:F,""),"")</f>
        <v/>
      </c>
      <c r="E427" s="4" t="n"/>
    </row>
    <row r="428">
      <c r="B428" s="4">
        <f>IFERROR(_xludf.XLOOKUP(C428,MASTER_REGISTER!E:E,MASTER_REGISTER!C:C,""),"")</f>
        <v/>
      </c>
      <c r="C428" s="4" t="n"/>
      <c r="D428">
        <f>IFERROR(_xludf.XLOOKUP(C428,MASTER_REGISTER!E:E,MASTER_REGISTER!F:F,""),"")</f>
        <v/>
      </c>
      <c r="E428" s="4" t="n"/>
    </row>
    <row r="429">
      <c r="B429" s="4">
        <f>IFERROR(_xludf.XLOOKUP(C429,MASTER_REGISTER!E:E,MASTER_REGISTER!C:C,""),"")</f>
        <v/>
      </c>
      <c r="C429" s="4" t="n"/>
      <c r="D429">
        <f>IFERROR(_xludf.XLOOKUP(C429,MASTER_REGISTER!E:E,MASTER_REGISTER!F:F,""),"")</f>
        <v/>
      </c>
      <c r="E429" s="4" t="n"/>
    </row>
    <row r="430">
      <c r="B430" s="4">
        <f>IFERROR(_xludf.XLOOKUP(C430,MASTER_REGISTER!E:E,MASTER_REGISTER!C:C,""),"")</f>
        <v/>
      </c>
      <c r="C430" s="4" t="n"/>
      <c r="D430">
        <f>IFERROR(_xludf.XLOOKUP(C430,MASTER_REGISTER!E:E,MASTER_REGISTER!F:F,""),"")</f>
        <v/>
      </c>
      <c r="E430" s="4" t="n"/>
    </row>
    <row r="431">
      <c r="B431" s="4">
        <f>IFERROR(_xludf.XLOOKUP(C431,MASTER_REGISTER!E:E,MASTER_REGISTER!C:C,""),"")</f>
        <v/>
      </c>
      <c r="C431" s="4" t="n"/>
      <c r="D431">
        <f>IFERROR(_xludf.XLOOKUP(C431,MASTER_REGISTER!E:E,MASTER_REGISTER!F:F,""),"")</f>
        <v/>
      </c>
      <c r="E431" s="4" t="n"/>
    </row>
    <row r="432">
      <c r="B432" s="4">
        <f>IFERROR(_xludf.XLOOKUP(C432,MASTER_REGISTER!E:E,MASTER_REGISTER!C:C,""),"")</f>
        <v/>
      </c>
      <c r="C432" s="4" t="n"/>
      <c r="D432">
        <f>IFERROR(_xludf.XLOOKUP(C432,MASTER_REGISTER!E:E,MASTER_REGISTER!F:F,""),"")</f>
        <v/>
      </c>
      <c r="E432" s="4" t="n"/>
    </row>
    <row r="433">
      <c r="B433" s="4">
        <f>IFERROR(_xludf.XLOOKUP(C433,MASTER_REGISTER!E:E,MASTER_REGISTER!C:C,""),"")</f>
        <v/>
      </c>
      <c r="C433" s="4" t="n"/>
      <c r="D433">
        <f>IFERROR(_xludf.XLOOKUP(C433,MASTER_REGISTER!E:E,MASTER_REGISTER!F:F,""),"")</f>
        <v/>
      </c>
      <c r="E433" s="4" t="n"/>
    </row>
    <row r="434">
      <c r="B434" s="4">
        <f>IFERROR(_xludf.XLOOKUP(C434,MASTER_REGISTER!E:E,MASTER_REGISTER!C:C,""),"")</f>
        <v/>
      </c>
      <c r="C434" s="4" t="n"/>
      <c r="D434">
        <f>IFERROR(_xludf.XLOOKUP(C434,MASTER_REGISTER!E:E,MASTER_REGISTER!F:F,""),"")</f>
        <v/>
      </c>
      <c r="E434" s="4" t="n"/>
    </row>
    <row r="435">
      <c r="B435" s="4">
        <f>IFERROR(_xludf.XLOOKUP(C435,MASTER_REGISTER!E:E,MASTER_REGISTER!C:C,""),"")</f>
        <v/>
      </c>
      <c r="C435" s="4" t="n"/>
      <c r="D435">
        <f>IFERROR(_xludf.XLOOKUP(C435,MASTER_REGISTER!E:E,MASTER_REGISTER!F:F,""),"")</f>
        <v/>
      </c>
      <c r="E435" s="4" t="n"/>
    </row>
    <row r="436">
      <c r="B436" s="4">
        <f>IFERROR(_xludf.XLOOKUP(C436,MASTER_REGISTER!E:E,MASTER_REGISTER!C:C,""),"")</f>
        <v/>
      </c>
      <c r="C436" s="4" t="n"/>
      <c r="D436">
        <f>IFERROR(_xludf.XLOOKUP(C436,MASTER_REGISTER!E:E,MASTER_REGISTER!F:F,""),"")</f>
        <v/>
      </c>
      <c r="E436" s="4" t="n"/>
    </row>
    <row r="437">
      <c r="B437" s="4">
        <f>IFERROR(_xludf.XLOOKUP(C437,MASTER_REGISTER!E:E,MASTER_REGISTER!C:C,""),"")</f>
        <v/>
      </c>
      <c r="C437" s="4" t="n"/>
      <c r="D437">
        <f>IFERROR(_xludf.XLOOKUP(C437,MASTER_REGISTER!E:E,MASTER_REGISTER!F:F,""),"")</f>
        <v/>
      </c>
      <c r="E437" s="4" t="n"/>
    </row>
    <row r="438">
      <c r="B438" s="4">
        <f>IFERROR(_xludf.XLOOKUP(C438,MASTER_REGISTER!E:E,MASTER_REGISTER!C:C,""),"")</f>
        <v/>
      </c>
      <c r="C438" s="4" t="n"/>
      <c r="D438">
        <f>IFERROR(_xludf.XLOOKUP(C438,MASTER_REGISTER!E:E,MASTER_REGISTER!F:F,""),"")</f>
        <v/>
      </c>
      <c r="E438" s="4" t="n"/>
    </row>
    <row r="439">
      <c r="B439" s="4">
        <f>IFERROR(_xludf.XLOOKUP(C439,MASTER_REGISTER!E:E,MASTER_REGISTER!C:C,""),"")</f>
        <v/>
      </c>
      <c r="C439" s="4" t="n"/>
      <c r="D439">
        <f>IFERROR(_xludf.XLOOKUP(C439,MASTER_REGISTER!E:E,MASTER_REGISTER!F:F,""),"")</f>
        <v/>
      </c>
      <c r="E439" s="4" t="n"/>
    </row>
    <row r="440">
      <c r="B440" s="4">
        <f>IFERROR(_xludf.XLOOKUP(C440,MASTER_REGISTER!E:E,MASTER_REGISTER!C:C,""),"")</f>
        <v/>
      </c>
      <c r="C440" s="4" t="n"/>
      <c r="D440">
        <f>IFERROR(_xludf.XLOOKUP(C440,MASTER_REGISTER!E:E,MASTER_REGISTER!F:F,""),"")</f>
        <v/>
      </c>
      <c r="E440" s="4" t="n"/>
    </row>
    <row r="441">
      <c r="B441" s="4">
        <f>IFERROR(_xludf.XLOOKUP(C441,MASTER_REGISTER!E:E,MASTER_REGISTER!C:C,""),"")</f>
        <v/>
      </c>
      <c r="C441" s="4" t="n"/>
      <c r="D441">
        <f>IFERROR(_xludf.XLOOKUP(C441,MASTER_REGISTER!E:E,MASTER_REGISTER!F:F,""),"")</f>
        <v/>
      </c>
      <c r="E441" s="4" t="n"/>
    </row>
    <row r="442">
      <c r="B442" s="4">
        <f>IFERROR(_xludf.XLOOKUP(C442,MASTER_REGISTER!E:E,MASTER_REGISTER!C:C,""),"")</f>
        <v/>
      </c>
      <c r="C442" s="4" t="n"/>
      <c r="D442">
        <f>IFERROR(_xludf.XLOOKUP(C442,MASTER_REGISTER!E:E,MASTER_REGISTER!F:F,""),"")</f>
        <v/>
      </c>
      <c r="E442" s="4" t="n"/>
    </row>
    <row r="443">
      <c r="B443" s="4">
        <f>IFERROR(_xludf.XLOOKUP(C443,MASTER_REGISTER!E:E,MASTER_REGISTER!C:C,""),"")</f>
        <v/>
      </c>
      <c r="C443" s="4" t="n"/>
      <c r="D443">
        <f>IFERROR(_xludf.XLOOKUP(C443,MASTER_REGISTER!E:E,MASTER_REGISTER!F:F,""),"")</f>
        <v/>
      </c>
      <c r="E443" s="4" t="n"/>
    </row>
    <row r="444">
      <c r="B444" s="4">
        <f>IFERROR(_xludf.XLOOKUP(C444,MASTER_REGISTER!E:E,MASTER_REGISTER!C:C,""),"")</f>
        <v/>
      </c>
      <c r="C444" s="4" t="n"/>
      <c r="D444">
        <f>IFERROR(_xludf.XLOOKUP(C444,MASTER_REGISTER!E:E,MASTER_REGISTER!F:F,""),"")</f>
        <v/>
      </c>
      <c r="E444" s="4" t="n"/>
    </row>
    <row r="445">
      <c r="B445" s="4">
        <f>IFERROR(_xludf.XLOOKUP(C445,MASTER_REGISTER!E:E,MASTER_REGISTER!C:C,""),"")</f>
        <v/>
      </c>
      <c r="C445" s="4" t="n"/>
      <c r="D445">
        <f>IFERROR(_xludf.XLOOKUP(C445,MASTER_REGISTER!E:E,MASTER_REGISTER!F:F,""),"")</f>
        <v/>
      </c>
      <c r="E445" s="4" t="n"/>
    </row>
    <row r="446">
      <c r="B446" s="4">
        <f>IFERROR(_xludf.XLOOKUP(C446,MASTER_REGISTER!E:E,MASTER_REGISTER!C:C,""),"")</f>
        <v/>
      </c>
      <c r="C446" s="4" t="n"/>
      <c r="D446">
        <f>IFERROR(_xludf.XLOOKUP(C446,MASTER_REGISTER!E:E,MASTER_REGISTER!F:F,""),"")</f>
        <v/>
      </c>
      <c r="E446" s="4" t="n"/>
    </row>
    <row r="447">
      <c r="B447" s="4">
        <f>IFERROR(_xludf.XLOOKUP(C447,MASTER_REGISTER!E:E,MASTER_REGISTER!C:C,""),"")</f>
        <v/>
      </c>
      <c r="C447" s="4" t="n"/>
      <c r="D447">
        <f>IFERROR(_xludf.XLOOKUP(C447,MASTER_REGISTER!E:E,MASTER_REGISTER!F:F,""),"")</f>
        <v/>
      </c>
      <c r="E447" s="4" t="n"/>
    </row>
    <row r="448">
      <c r="B448" s="4">
        <f>IFERROR(_xludf.XLOOKUP(C448,MASTER_REGISTER!E:E,MASTER_REGISTER!C:C,""),"")</f>
        <v/>
      </c>
      <c r="C448" s="4" t="n"/>
      <c r="D448">
        <f>IFERROR(_xludf.XLOOKUP(C448,MASTER_REGISTER!E:E,MASTER_REGISTER!F:F,""),"")</f>
        <v/>
      </c>
      <c r="E448" s="4" t="n"/>
    </row>
    <row r="449">
      <c r="B449" s="4">
        <f>IFERROR(_xludf.XLOOKUP(C449,MASTER_REGISTER!E:E,MASTER_REGISTER!C:C,""),"")</f>
        <v/>
      </c>
      <c r="C449" s="4" t="n"/>
      <c r="D449">
        <f>IFERROR(_xludf.XLOOKUP(C449,MASTER_REGISTER!E:E,MASTER_REGISTER!F:F,""),"")</f>
        <v/>
      </c>
      <c r="E449" s="4" t="n"/>
    </row>
    <row r="450">
      <c r="B450" s="4">
        <f>IFERROR(_xludf.XLOOKUP(C450,MASTER_REGISTER!E:E,MASTER_REGISTER!C:C,""),"")</f>
        <v/>
      </c>
      <c r="C450" s="4" t="n"/>
      <c r="D450">
        <f>IFERROR(_xludf.XLOOKUP(C450,MASTER_REGISTER!E:E,MASTER_REGISTER!F:F,""),"")</f>
        <v/>
      </c>
      <c r="E450" s="4" t="n"/>
    </row>
    <row r="451">
      <c r="B451" s="4">
        <f>IFERROR(_xludf.XLOOKUP(C451,MASTER_REGISTER!E:E,MASTER_REGISTER!C:C,""),"")</f>
        <v/>
      </c>
      <c r="C451" s="4" t="n"/>
      <c r="D451">
        <f>IFERROR(_xludf.XLOOKUP(C451,MASTER_REGISTER!E:E,MASTER_REGISTER!F:F,""),"")</f>
        <v/>
      </c>
      <c r="E451" s="4" t="n"/>
    </row>
    <row r="452">
      <c r="B452" s="4">
        <f>IFERROR(_xludf.XLOOKUP(C452,MASTER_REGISTER!E:E,MASTER_REGISTER!C:C,""),"")</f>
        <v/>
      </c>
      <c r="C452" s="4" t="n"/>
      <c r="D452">
        <f>IFERROR(_xludf.XLOOKUP(C452,MASTER_REGISTER!E:E,MASTER_REGISTER!F:F,""),"")</f>
        <v/>
      </c>
      <c r="E452" s="4" t="n"/>
    </row>
    <row r="453">
      <c r="B453" s="4">
        <f>IFERROR(_xludf.XLOOKUP(C453,MASTER_REGISTER!E:E,MASTER_REGISTER!C:C,""),"")</f>
        <v/>
      </c>
      <c r="C453" s="4" t="n"/>
      <c r="D453">
        <f>IFERROR(_xludf.XLOOKUP(C453,MASTER_REGISTER!E:E,MASTER_REGISTER!F:F,""),"")</f>
        <v/>
      </c>
      <c r="E453" s="4" t="n"/>
    </row>
    <row r="454">
      <c r="B454" s="4">
        <f>IFERROR(_xludf.XLOOKUP(C454,MASTER_REGISTER!E:E,MASTER_REGISTER!C:C,""),"")</f>
        <v/>
      </c>
      <c r="C454" s="4" t="n"/>
      <c r="D454">
        <f>IFERROR(_xludf.XLOOKUP(C454,MASTER_REGISTER!E:E,MASTER_REGISTER!F:F,""),"")</f>
        <v/>
      </c>
      <c r="E454" s="4" t="n"/>
    </row>
    <row r="455">
      <c r="B455" s="4">
        <f>IFERROR(_xludf.XLOOKUP(C455,MASTER_REGISTER!E:E,MASTER_REGISTER!C:C,""),"")</f>
        <v/>
      </c>
      <c r="C455" s="4" t="n"/>
      <c r="D455">
        <f>IFERROR(_xludf.XLOOKUP(C455,MASTER_REGISTER!E:E,MASTER_REGISTER!F:F,""),"")</f>
        <v/>
      </c>
      <c r="E455" s="4" t="n"/>
    </row>
    <row r="456">
      <c r="B456" s="4">
        <f>IFERROR(_xludf.XLOOKUP(C456,MASTER_REGISTER!E:E,MASTER_REGISTER!C:C,""),"")</f>
        <v/>
      </c>
      <c r="C456" s="4" t="n"/>
      <c r="D456">
        <f>IFERROR(_xludf.XLOOKUP(C456,MASTER_REGISTER!E:E,MASTER_REGISTER!F:F,""),"")</f>
        <v/>
      </c>
      <c r="E456" s="4" t="n"/>
    </row>
    <row r="457">
      <c r="B457" s="4">
        <f>IFERROR(_xludf.XLOOKUP(C457,MASTER_REGISTER!E:E,MASTER_REGISTER!C:C,""),"")</f>
        <v/>
      </c>
      <c r="C457" s="4" t="n"/>
      <c r="D457">
        <f>IFERROR(_xludf.XLOOKUP(C457,MASTER_REGISTER!E:E,MASTER_REGISTER!F:F,""),"")</f>
        <v/>
      </c>
      <c r="E457" s="4" t="n"/>
    </row>
    <row r="458">
      <c r="B458" s="4">
        <f>IFERROR(_xludf.XLOOKUP(C458,MASTER_REGISTER!E:E,MASTER_REGISTER!C:C,""),"")</f>
        <v/>
      </c>
      <c r="C458" s="4" t="n"/>
      <c r="D458">
        <f>IFERROR(_xludf.XLOOKUP(C458,MASTER_REGISTER!E:E,MASTER_REGISTER!F:F,""),"")</f>
        <v/>
      </c>
      <c r="E458" s="4" t="n"/>
    </row>
    <row r="459">
      <c r="B459" s="4">
        <f>IFERROR(_xludf.XLOOKUP(C459,MASTER_REGISTER!E:E,MASTER_REGISTER!C:C,""),"")</f>
        <v/>
      </c>
      <c r="C459" s="4" t="n"/>
      <c r="D459">
        <f>IFERROR(_xludf.XLOOKUP(C459,MASTER_REGISTER!E:E,MASTER_REGISTER!F:F,""),"")</f>
        <v/>
      </c>
      <c r="E459" s="4" t="n"/>
    </row>
    <row r="460">
      <c r="B460" s="4">
        <f>IFERROR(_xludf.XLOOKUP(C460,MASTER_REGISTER!E:E,MASTER_REGISTER!C:C,""),"")</f>
        <v/>
      </c>
      <c r="C460" s="4" t="n"/>
      <c r="D460">
        <f>IFERROR(_xludf.XLOOKUP(C460,MASTER_REGISTER!E:E,MASTER_REGISTER!F:F,""),"")</f>
        <v/>
      </c>
      <c r="E460" s="4" t="n"/>
    </row>
    <row r="461">
      <c r="B461" s="4">
        <f>IFERROR(_xludf.XLOOKUP(C461,MASTER_REGISTER!E:E,MASTER_REGISTER!C:C,""),"")</f>
        <v/>
      </c>
      <c r="C461" s="4" t="n"/>
      <c r="D461">
        <f>IFERROR(_xludf.XLOOKUP(C461,MASTER_REGISTER!E:E,MASTER_REGISTER!F:F,""),"")</f>
        <v/>
      </c>
      <c r="E461" s="4" t="n"/>
    </row>
    <row r="462">
      <c r="B462" s="4">
        <f>IFERROR(_xludf.XLOOKUP(C462,MASTER_REGISTER!E:E,MASTER_REGISTER!C:C,""),"")</f>
        <v/>
      </c>
      <c r="C462" s="4" t="n"/>
      <c r="D462">
        <f>IFERROR(_xludf.XLOOKUP(C462,MASTER_REGISTER!E:E,MASTER_REGISTER!F:F,""),"")</f>
        <v/>
      </c>
      <c r="E462" s="4" t="n"/>
    </row>
    <row r="463">
      <c r="B463" s="4">
        <f>IFERROR(_xludf.XLOOKUP(C463,MASTER_REGISTER!E:E,MASTER_REGISTER!C:C,""),"")</f>
        <v/>
      </c>
      <c r="C463" s="4" t="n"/>
      <c r="D463">
        <f>IFERROR(_xludf.XLOOKUP(C463,MASTER_REGISTER!E:E,MASTER_REGISTER!F:F,""),"")</f>
        <v/>
      </c>
      <c r="E463" s="4" t="n"/>
    </row>
    <row r="464">
      <c r="B464" s="4">
        <f>IFERROR(_xludf.XLOOKUP(C464,MASTER_REGISTER!E:E,MASTER_REGISTER!C:C,""),"")</f>
        <v/>
      </c>
      <c r="C464" s="4" t="n"/>
      <c r="D464">
        <f>IFERROR(_xludf.XLOOKUP(C464,MASTER_REGISTER!E:E,MASTER_REGISTER!F:F,""),"")</f>
        <v/>
      </c>
      <c r="E464" s="4" t="n"/>
    </row>
    <row r="465">
      <c r="B465" s="4">
        <f>IFERROR(_xludf.XLOOKUP(C465,MASTER_REGISTER!E:E,MASTER_REGISTER!C:C,""),"")</f>
        <v/>
      </c>
      <c r="C465" s="4" t="n"/>
      <c r="D465">
        <f>IFERROR(_xludf.XLOOKUP(C465,MASTER_REGISTER!E:E,MASTER_REGISTER!F:F,""),"")</f>
        <v/>
      </c>
      <c r="E465" s="4" t="n"/>
    </row>
    <row r="466">
      <c r="B466" s="4">
        <f>IFERROR(_xludf.XLOOKUP(C466,MASTER_REGISTER!E:E,MASTER_REGISTER!C:C,""),"")</f>
        <v/>
      </c>
      <c r="C466" s="4" t="n"/>
      <c r="D466">
        <f>IFERROR(_xludf.XLOOKUP(C466,MASTER_REGISTER!E:E,MASTER_REGISTER!F:F,""),"")</f>
        <v/>
      </c>
      <c r="E466" s="4" t="n"/>
    </row>
    <row r="467">
      <c r="B467" s="4">
        <f>IFERROR(_xludf.XLOOKUP(C467,MASTER_REGISTER!E:E,MASTER_REGISTER!C:C,""),"")</f>
        <v/>
      </c>
      <c r="C467" s="4" t="n"/>
      <c r="D467">
        <f>IFERROR(_xludf.XLOOKUP(C467,MASTER_REGISTER!E:E,MASTER_REGISTER!F:F,""),"")</f>
        <v/>
      </c>
      <c r="E467" s="4" t="n"/>
    </row>
    <row r="468">
      <c r="B468" s="4">
        <f>IFERROR(_xludf.XLOOKUP(C468,MASTER_REGISTER!E:E,MASTER_REGISTER!C:C,""),"")</f>
        <v/>
      </c>
      <c r="C468" s="4" t="n"/>
      <c r="D468">
        <f>IFERROR(_xludf.XLOOKUP(C468,MASTER_REGISTER!E:E,MASTER_REGISTER!F:F,""),"")</f>
        <v/>
      </c>
      <c r="E468" s="4" t="n"/>
    </row>
    <row r="469">
      <c r="B469" s="4">
        <f>IFERROR(_xludf.XLOOKUP(C469,MASTER_REGISTER!E:E,MASTER_REGISTER!C:C,""),"")</f>
        <v/>
      </c>
      <c r="C469" s="4" t="n"/>
      <c r="D469">
        <f>IFERROR(_xludf.XLOOKUP(C469,MASTER_REGISTER!E:E,MASTER_REGISTER!F:F,""),"")</f>
        <v/>
      </c>
      <c r="E469" s="4" t="n"/>
    </row>
    <row r="470">
      <c r="B470" s="4">
        <f>IFERROR(_xludf.XLOOKUP(C470,MASTER_REGISTER!E:E,MASTER_REGISTER!C:C,""),"")</f>
        <v/>
      </c>
      <c r="C470" s="4" t="n"/>
      <c r="D470">
        <f>IFERROR(_xludf.XLOOKUP(C470,MASTER_REGISTER!E:E,MASTER_REGISTER!F:F,""),"")</f>
        <v/>
      </c>
      <c r="E470" s="4" t="n"/>
    </row>
    <row r="471">
      <c r="B471" s="4">
        <f>IFERROR(_xludf.XLOOKUP(C471,MASTER_REGISTER!E:E,MASTER_REGISTER!C:C,""),"")</f>
        <v/>
      </c>
      <c r="C471" s="4" t="n"/>
      <c r="D471">
        <f>IFERROR(_xludf.XLOOKUP(C471,MASTER_REGISTER!E:E,MASTER_REGISTER!F:F,""),"")</f>
        <v/>
      </c>
      <c r="E471" s="4" t="n"/>
    </row>
    <row r="472">
      <c r="B472" s="4">
        <f>IFERROR(_xludf.XLOOKUP(C472,MASTER_REGISTER!E:E,MASTER_REGISTER!C:C,""),"")</f>
        <v/>
      </c>
      <c r="C472" s="4" t="n"/>
      <c r="D472">
        <f>IFERROR(_xludf.XLOOKUP(C472,MASTER_REGISTER!E:E,MASTER_REGISTER!F:F,""),"")</f>
        <v/>
      </c>
      <c r="E472" s="4" t="n"/>
    </row>
    <row r="473">
      <c r="B473" s="4">
        <f>IFERROR(_xludf.XLOOKUP(C473,MASTER_REGISTER!E:E,MASTER_REGISTER!C:C,""),"")</f>
        <v/>
      </c>
      <c r="C473" s="4" t="n"/>
      <c r="D473">
        <f>IFERROR(_xludf.XLOOKUP(C473,MASTER_REGISTER!E:E,MASTER_REGISTER!F:F,""),"")</f>
        <v/>
      </c>
      <c r="E473" s="4" t="n"/>
    </row>
    <row r="474">
      <c r="B474" s="4">
        <f>IFERROR(_xludf.XLOOKUP(C474,MASTER_REGISTER!E:E,MASTER_REGISTER!C:C,""),"")</f>
        <v/>
      </c>
      <c r="C474" s="4" t="n"/>
      <c r="D474">
        <f>IFERROR(_xludf.XLOOKUP(C474,MASTER_REGISTER!E:E,MASTER_REGISTER!F:F,""),"")</f>
        <v/>
      </c>
      <c r="E474" s="4" t="n"/>
    </row>
    <row r="475">
      <c r="B475" s="4">
        <f>IFERROR(_xludf.XLOOKUP(C475,MASTER_REGISTER!E:E,MASTER_REGISTER!C:C,""),"")</f>
        <v/>
      </c>
      <c r="C475" s="4" t="n"/>
      <c r="D475">
        <f>IFERROR(_xludf.XLOOKUP(C475,MASTER_REGISTER!E:E,MASTER_REGISTER!F:F,""),"")</f>
        <v/>
      </c>
      <c r="E475" s="4" t="n"/>
    </row>
    <row r="476">
      <c r="B476" s="4">
        <f>IFERROR(_xludf.XLOOKUP(C476,MASTER_REGISTER!E:E,MASTER_REGISTER!C:C,""),"")</f>
        <v/>
      </c>
      <c r="C476" s="4" t="n"/>
      <c r="D476">
        <f>IFERROR(_xludf.XLOOKUP(C476,MASTER_REGISTER!E:E,MASTER_REGISTER!F:F,""),"")</f>
        <v/>
      </c>
      <c r="E476" s="4" t="n"/>
    </row>
    <row r="477">
      <c r="B477" s="4">
        <f>IFERROR(_xludf.XLOOKUP(C477,MASTER_REGISTER!E:E,MASTER_REGISTER!C:C,""),"")</f>
        <v/>
      </c>
      <c r="C477" s="4" t="n"/>
      <c r="D477">
        <f>IFERROR(_xludf.XLOOKUP(C477,MASTER_REGISTER!E:E,MASTER_REGISTER!F:F,""),"")</f>
        <v/>
      </c>
      <c r="E477" s="4" t="n"/>
    </row>
    <row r="478">
      <c r="B478" s="4">
        <f>IFERROR(_xludf.XLOOKUP(C478,MASTER_REGISTER!E:E,MASTER_REGISTER!C:C,""),"")</f>
        <v/>
      </c>
      <c r="C478" s="4" t="n"/>
      <c r="D478">
        <f>IFERROR(_xludf.XLOOKUP(C478,MASTER_REGISTER!E:E,MASTER_REGISTER!F:F,""),"")</f>
        <v/>
      </c>
      <c r="E478" s="4" t="n"/>
    </row>
    <row r="479">
      <c r="B479" s="4">
        <f>IFERROR(_xludf.XLOOKUP(C479,MASTER_REGISTER!E:E,MASTER_REGISTER!C:C,""),"")</f>
        <v/>
      </c>
      <c r="C479" s="4" t="n"/>
      <c r="D479">
        <f>IFERROR(_xludf.XLOOKUP(C479,MASTER_REGISTER!E:E,MASTER_REGISTER!F:F,""),"")</f>
        <v/>
      </c>
      <c r="E479" s="4" t="n"/>
    </row>
    <row r="480">
      <c r="B480" s="4">
        <f>IFERROR(_xludf.XLOOKUP(C480,MASTER_REGISTER!E:E,MASTER_REGISTER!C:C,""),"")</f>
        <v/>
      </c>
      <c r="C480" s="4" t="n"/>
      <c r="D480">
        <f>IFERROR(_xludf.XLOOKUP(C480,MASTER_REGISTER!E:E,MASTER_REGISTER!F:F,""),"")</f>
        <v/>
      </c>
      <c r="E480" s="4" t="n"/>
    </row>
    <row r="481">
      <c r="B481" s="4">
        <f>IFERROR(_xludf.XLOOKUP(C481,MASTER_REGISTER!E:E,MASTER_REGISTER!C:C,""),"")</f>
        <v/>
      </c>
      <c r="C481" s="4" t="n"/>
      <c r="D481">
        <f>IFERROR(_xludf.XLOOKUP(C481,MASTER_REGISTER!E:E,MASTER_REGISTER!F:F,""),"")</f>
        <v/>
      </c>
      <c r="E481" s="4" t="n"/>
    </row>
    <row r="482">
      <c r="B482" s="4">
        <f>IFERROR(_xludf.XLOOKUP(C482,MASTER_REGISTER!E:E,MASTER_REGISTER!C:C,""),"")</f>
        <v/>
      </c>
      <c r="C482" s="4" t="n"/>
      <c r="D482">
        <f>IFERROR(_xludf.XLOOKUP(C482,MASTER_REGISTER!E:E,MASTER_REGISTER!F:F,""),"")</f>
        <v/>
      </c>
      <c r="E482" s="4" t="n"/>
    </row>
    <row r="483">
      <c r="B483" s="4">
        <f>IFERROR(_xludf.XLOOKUP(C483,MASTER_REGISTER!E:E,MASTER_REGISTER!C:C,""),"")</f>
        <v/>
      </c>
      <c r="C483" s="4" t="n"/>
      <c r="D483">
        <f>IFERROR(_xludf.XLOOKUP(C483,MASTER_REGISTER!E:E,MASTER_REGISTER!F:F,""),"")</f>
        <v/>
      </c>
      <c r="E483" s="4" t="n"/>
    </row>
    <row r="484">
      <c r="B484" s="4">
        <f>IFERROR(_xludf.XLOOKUP(C484,MASTER_REGISTER!E:E,MASTER_REGISTER!C:C,""),"")</f>
        <v/>
      </c>
      <c r="C484" s="4" t="n"/>
      <c r="D484">
        <f>IFERROR(_xludf.XLOOKUP(C484,MASTER_REGISTER!E:E,MASTER_REGISTER!F:F,""),"")</f>
        <v/>
      </c>
      <c r="E484" s="4" t="n"/>
    </row>
    <row r="485">
      <c r="B485" s="4">
        <f>IFERROR(_xludf.XLOOKUP(C485,MASTER_REGISTER!E:E,MASTER_REGISTER!C:C,""),"")</f>
        <v/>
      </c>
      <c r="C485" s="4" t="n"/>
      <c r="D485">
        <f>IFERROR(_xludf.XLOOKUP(C485,MASTER_REGISTER!E:E,MASTER_REGISTER!F:F,""),"")</f>
        <v/>
      </c>
      <c r="E485" s="4" t="n"/>
    </row>
    <row r="486">
      <c r="B486" s="4">
        <f>IFERROR(_xludf.XLOOKUP(C486,MASTER_REGISTER!E:E,MASTER_REGISTER!C:C,""),"")</f>
        <v/>
      </c>
      <c r="C486" s="4" t="n"/>
      <c r="D486">
        <f>IFERROR(_xludf.XLOOKUP(C486,MASTER_REGISTER!E:E,MASTER_REGISTER!F:F,""),"")</f>
        <v/>
      </c>
      <c r="E486" s="4" t="n"/>
    </row>
    <row r="487">
      <c r="B487" s="4">
        <f>IFERROR(_xludf.XLOOKUP(C487,MASTER_REGISTER!E:E,MASTER_REGISTER!C:C,""),"")</f>
        <v/>
      </c>
      <c r="C487" s="4" t="n"/>
      <c r="D487">
        <f>IFERROR(_xludf.XLOOKUP(C487,MASTER_REGISTER!E:E,MASTER_REGISTER!F:F,""),"")</f>
        <v/>
      </c>
      <c r="E487" s="4" t="n"/>
    </row>
    <row r="488">
      <c r="B488" s="4">
        <f>IFERROR(_xludf.XLOOKUP(C488,MASTER_REGISTER!E:E,MASTER_REGISTER!C:C,""),"")</f>
        <v/>
      </c>
      <c r="C488" s="4" t="n"/>
      <c r="D488">
        <f>IFERROR(_xludf.XLOOKUP(C488,MASTER_REGISTER!E:E,MASTER_REGISTER!F:F,""),"")</f>
        <v/>
      </c>
      <c r="E488" s="4" t="n"/>
    </row>
    <row r="489">
      <c r="B489" s="4">
        <f>IFERROR(_xludf.XLOOKUP(C489,MASTER_REGISTER!E:E,MASTER_REGISTER!C:C,""),"")</f>
        <v/>
      </c>
      <c r="C489" s="4" t="n"/>
      <c r="D489">
        <f>IFERROR(_xludf.XLOOKUP(C489,MASTER_REGISTER!E:E,MASTER_REGISTER!F:F,""),"")</f>
        <v/>
      </c>
      <c r="E489" s="4" t="n"/>
    </row>
    <row r="490">
      <c r="B490" s="4">
        <f>IFERROR(_xludf.XLOOKUP(C490,MASTER_REGISTER!E:E,MASTER_REGISTER!C:C,""),"")</f>
        <v/>
      </c>
      <c r="C490" s="4" t="n"/>
      <c r="D490">
        <f>IFERROR(_xludf.XLOOKUP(C490,MASTER_REGISTER!E:E,MASTER_REGISTER!F:F,""),"")</f>
        <v/>
      </c>
      <c r="E490" s="4" t="n"/>
    </row>
    <row r="491">
      <c r="B491" s="4">
        <f>IFERROR(_xludf.XLOOKUP(C491,MASTER_REGISTER!E:E,MASTER_REGISTER!C:C,""),"")</f>
        <v/>
      </c>
      <c r="C491" s="4" t="n"/>
      <c r="D491">
        <f>IFERROR(_xludf.XLOOKUP(C491,MASTER_REGISTER!E:E,MASTER_REGISTER!F:F,""),"")</f>
        <v/>
      </c>
      <c r="E491" s="4" t="n"/>
    </row>
    <row r="492">
      <c r="B492" s="4">
        <f>IFERROR(_xludf.XLOOKUP(C492,MASTER_REGISTER!E:E,MASTER_REGISTER!C:C,""),"")</f>
        <v/>
      </c>
      <c r="C492" s="4" t="n"/>
      <c r="D492">
        <f>IFERROR(_xludf.XLOOKUP(C492,MASTER_REGISTER!E:E,MASTER_REGISTER!F:F,""),"")</f>
        <v/>
      </c>
      <c r="E492" s="4" t="n"/>
    </row>
    <row r="493">
      <c r="B493" s="4">
        <f>IFERROR(_xludf.XLOOKUP(C493,MASTER_REGISTER!E:E,MASTER_REGISTER!C:C,""),"")</f>
        <v/>
      </c>
      <c r="C493" s="4" t="n"/>
      <c r="D493">
        <f>IFERROR(_xludf.XLOOKUP(C493,MASTER_REGISTER!E:E,MASTER_REGISTER!F:F,""),"")</f>
        <v/>
      </c>
      <c r="E493" s="4" t="n"/>
    </row>
    <row r="494">
      <c r="B494" s="4">
        <f>IFERROR(_xludf.XLOOKUP(C494,MASTER_REGISTER!E:E,MASTER_REGISTER!C:C,""),"")</f>
        <v/>
      </c>
      <c r="C494" s="4" t="n"/>
      <c r="D494">
        <f>IFERROR(_xludf.XLOOKUP(C494,MASTER_REGISTER!E:E,MASTER_REGISTER!F:F,""),"")</f>
        <v/>
      </c>
      <c r="E494" s="4" t="n"/>
    </row>
    <row r="495">
      <c r="B495" s="4">
        <f>IFERROR(_xludf.XLOOKUP(C495,MASTER_REGISTER!E:E,MASTER_REGISTER!C:C,""),"")</f>
        <v/>
      </c>
      <c r="C495" s="4" t="n"/>
      <c r="D495">
        <f>IFERROR(_xludf.XLOOKUP(C495,MASTER_REGISTER!E:E,MASTER_REGISTER!F:F,""),"")</f>
        <v/>
      </c>
      <c r="E495" s="4" t="n"/>
    </row>
    <row r="496">
      <c r="B496" s="4">
        <f>IFERROR(_xludf.XLOOKUP(C496,MASTER_REGISTER!E:E,MASTER_REGISTER!C:C,""),"")</f>
        <v/>
      </c>
      <c r="C496" s="4" t="n"/>
      <c r="D496">
        <f>IFERROR(_xludf.XLOOKUP(C496,MASTER_REGISTER!E:E,MASTER_REGISTER!F:F,""),"")</f>
        <v/>
      </c>
      <c r="E496" s="4" t="n"/>
    </row>
    <row r="497">
      <c r="B497" s="4">
        <f>IFERROR(_xludf.XLOOKUP(C497,MASTER_REGISTER!E:E,MASTER_REGISTER!C:C,""),"")</f>
        <v/>
      </c>
      <c r="C497" s="4" t="n"/>
      <c r="D497">
        <f>IFERROR(_xludf.XLOOKUP(C497,MASTER_REGISTER!E:E,MASTER_REGISTER!F:F,""),"")</f>
        <v/>
      </c>
      <c r="E497" s="4" t="n"/>
    </row>
    <row r="498">
      <c r="B498" s="4">
        <f>IFERROR(_xludf.XLOOKUP(C498,MASTER_REGISTER!E:E,MASTER_REGISTER!C:C,""),"")</f>
        <v/>
      </c>
      <c r="C498" s="4" t="n"/>
      <c r="D498">
        <f>IFERROR(_xludf.XLOOKUP(C498,MASTER_REGISTER!E:E,MASTER_REGISTER!F:F,""),"")</f>
        <v/>
      </c>
      <c r="E498" s="4" t="n"/>
    </row>
    <row r="499">
      <c r="B499" s="4">
        <f>IFERROR(_xludf.XLOOKUP(C499,MASTER_REGISTER!E:E,MASTER_REGISTER!C:C,""),"")</f>
        <v/>
      </c>
      <c r="C499" s="4" t="n"/>
      <c r="D499">
        <f>IFERROR(_xludf.XLOOKUP(C499,MASTER_REGISTER!E:E,MASTER_REGISTER!F:F,""),"")</f>
        <v/>
      </c>
      <c r="E499" s="4" t="n"/>
    </row>
    <row r="500">
      <c r="B500" s="4">
        <f>IFERROR(_xludf.XLOOKUP(C500,MASTER_REGISTER!E:E,MASTER_REGISTER!C:C,""),"")</f>
        <v/>
      </c>
      <c r="C500" s="4" t="n"/>
      <c r="D500">
        <f>IFERROR(_xludf.XLOOKUP(C500,MASTER_REGISTER!E:E,MASTER_REGISTER!F:F,""),"")</f>
        <v/>
      </c>
      <c r="E500" s="4" t="n"/>
    </row>
    <row r="501">
      <c r="B501" s="4">
        <f>IFERROR(_xludf.XLOOKUP(C501,MASTER_REGISTER!E:E,MASTER_REGISTER!C:C,""),"")</f>
        <v/>
      </c>
      <c r="C501" s="4" t="n"/>
      <c r="D501">
        <f>IFERROR(_xludf.XLOOKUP(C501,MASTER_REGISTER!E:E,MASTER_REGISTER!F:F,""),"")</f>
        <v/>
      </c>
      <c r="E501" s="4" t="n"/>
    </row>
  </sheetData>
  <dataValidations count="1">
    <dataValidation sqref="E2:E5000" showDropDown="0" showInputMessage="0" showErrorMessage="0" allowBlank="0" type="list">
      <formula1>"Present,Absent"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style="10" min="1" max="1"/>
    <col width="28" customWidth="1" style="10" min="2" max="2"/>
    <col width="10" customWidth="1" style="10" min="3" max="3"/>
    <col width="18" customWidth="1" style="10" min="4" max="4"/>
    <col width="12" customWidth="1" style="10" min="5" max="6"/>
    <col width="14" customWidth="1" style="10" min="7" max="7"/>
    <col width="18" customWidth="1" style="10" min="8" max="8"/>
  </cols>
  <sheetData>
    <row r="1">
      <c r="A1" s="12" t="inlineStr">
        <is>
          <t>Student Number</t>
        </is>
      </c>
      <c r="B1" s="12" t="inlineStr">
        <is>
          <t>Learner Name</t>
        </is>
      </c>
      <c r="C1" s="12" t="inlineStr">
        <is>
          <t>Grade</t>
        </is>
      </c>
      <c r="D1" s="12" t="inlineStr">
        <is>
          <t>Sessions Recorded</t>
        </is>
      </c>
      <c r="E1" s="12" t="inlineStr">
        <is>
          <t>Days Present</t>
        </is>
      </c>
      <c r="F1" s="12" t="inlineStr">
        <is>
          <t>Days Absent</t>
        </is>
      </c>
      <c r="G1" s="12" t="inlineStr">
        <is>
          <t>Attendance %</t>
        </is>
      </c>
      <c r="H1" s="12" t="inlineStr">
        <is>
          <t>Attendance Flag</t>
        </is>
      </c>
    </row>
    <row r="2">
      <c r="A2">
        <f>IF(MASTER_REGISTER!E2="","",MASTER_REGISTER!E2)</f>
        <v/>
      </c>
      <c r="B2">
        <f>IF(A2="","",MASTER_REGISTER!F2)</f>
        <v/>
      </c>
      <c r="C2">
        <f>IF(A2="","",MASTER_REGISTER!C2)</f>
        <v/>
      </c>
      <c r="D2">
        <f>IF(A2="","",COUNTIF(ATTENDANCE_DAILY!C:C,A2))</f>
        <v/>
      </c>
      <c r="E2">
        <f>IF(A2="","",COUNTIFS(ATTENDANCE_DAILY!C:C,A2,ATTENDANCE_DAILY!E:E,"Present"))</f>
        <v/>
      </c>
      <c r="F2">
        <f>IF(A2="","",COUNTIFS(ATTENDANCE_DAILY!C:C,A2,ATTENDANCE_DAILY!E:E,"Absent"))</f>
        <v/>
      </c>
      <c r="G2" s="5">
        <f>IF(D2=0,"",E2/D2)</f>
        <v/>
      </c>
      <c r="H2" s="4">
        <f>IF(G2="","",IF(G2&lt;0.75,"Low Attendance","OK"))</f>
        <v/>
      </c>
    </row>
    <row r="3">
      <c r="A3">
        <f>IF(MASTER_REGISTER!E3="","",MASTER_REGISTER!E3)</f>
        <v/>
      </c>
      <c r="B3">
        <f>IF(A3="","",MASTER_REGISTER!F3)</f>
        <v/>
      </c>
      <c r="C3">
        <f>IF(A3="","",MASTER_REGISTER!C3)</f>
        <v/>
      </c>
      <c r="D3">
        <f>IF(A3="","",COUNTIF(ATTENDANCE_DAILY!C:C,A3))</f>
        <v/>
      </c>
      <c r="E3">
        <f>IF(A3="","",COUNTIFS(ATTENDANCE_DAILY!C:C,A3,ATTENDANCE_DAILY!E:E,"Present"))</f>
        <v/>
      </c>
      <c r="F3">
        <f>IF(A3="","",COUNTIFS(ATTENDANCE_DAILY!C:C,A3,ATTENDANCE_DAILY!E:E,"Absent"))</f>
        <v/>
      </c>
      <c r="G3" s="5">
        <f>IF(D3=0,"",E3/D3)</f>
        <v/>
      </c>
      <c r="H3" s="4">
        <f>IF(G3="","",IF(G3&lt;0.75,"Low Attendance","OK"))</f>
        <v/>
      </c>
    </row>
    <row r="4">
      <c r="A4">
        <f>IF(MASTER_REGISTER!E4="","",MASTER_REGISTER!E4)</f>
        <v/>
      </c>
      <c r="B4">
        <f>IF(A4="","",MASTER_REGISTER!F4)</f>
        <v/>
      </c>
      <c r="C4">
        <f>IF(A4="","",MASTER_REGISTER!C4)</f>
        <v/>
      </c>
      <c r="D4">
        <f>IF(A4="","",COUNTIF(ATTENDANCE_DAILY!C:C,A4))</f>
        <v/>
      </c>
      <c r="E4">
        <f>IF(A4="","",COUNTIFS(ATTENDANCE_DAILY!C:C,A4,ATTENDANCE_DAILY!E:E,"Present"))</f>
        <v/>
      </c>
      <c r="F4">
        <f>IF(A4="","",COUNTIFS(ATTENDANCE_DAILY!C:C,A4,ATTENDANCE_DAILY!E:E,"Absent"))</f>
        <v/>
      </c>
      <c r="G4" s="5">
        <f>IF(D4=0,"",E4/D4)</f>
        <v/>
      </c>
      <c r="H4" s="4">
        <f>IF(G4="","",IF(G4&lt;0.75,"Low Attendance","OK"))</f>
        <v/>
      </c>
    </row>
    <row r="5">
      <c r="A5">
        <f>IF(MASTER_REGISTER!E5="","",MASTER_REGISTER!E5)</f>
        <v/>
      </c>
      <c r="B5">
        <f>IF(A5="","",MASTER_REGISTER!F5)</f>
        <v/>
      </c>
      <c r="C5">
        <f>IF(A5="","",MASTER_REGISTER!C5)</f>
        <v/>
      </c>
      <c r="D5">
        <f>IF(A5="","",COUNTIF(ATTENDANCE_DAILY!C:C,A5))</f>
        <v/>
      </c>
      <c r="E5">
        <f>IF(A5="","",COUNTIFS(ATTENDANCE_DAILY!C:C,A5,ATTENDANCE_DAILY!E:E,"Present"))</f>
        <v/>
      </c>
      <c r="F5">
        <f>IF(A5="","",COUNTIFS(ATTENDANCE_DAILY!C:C,A5,ATTENDANCE_DAILY!E:E,"Absent"))</f>
        <v/>
      </c>
      <c r="G5" s="5">
        <f>IF(D5=0,"",E5/D5)</f>
        <v/>
      </c>
      <c r="H5" s="4">
        <f>IF(G5="","",IF(G5&lt;0.75,"Low Attendance","OK"))</f>
        <v/>
      </c>
    </row>
    <row r="6">
      <c r="A6">
        <f>IF(MASTER_REGISTER!E6="","",MASTER_REGISTER!E6)</f>
        <v/>
      </c>
      <c r="B6">
        <f>IF(A6="","",MASTER_REGISTER!F6)</f>
        <v/>
      </c>
      <c r="C6">
        <f>IF(A6="","",MASTER_REGISTER!C6)</f>
        <v/>
      </c>
      <c r="D6">
        <f>IF(A6="","",COUNTIF(ATTENDANCE_DAILY!C:C,A6))</f>
        <v/>
      </c>
      <c r="E6">
        <f>IF(A6="","",COUNTIFS(ATTENDANCE_DAILY!C:C,A6,ATTENDANCE_DAILY!E:E,"Present"))</f>
        <v/>
      </c>
      <c r="F6">
        <f>IF(A6="","",COUNTIFS(ATTENDANCE_DAILY!C:C,A6,ATTENDANCE_DAILY!E:E,"Absent"))</f>
        <v/>
      </c>
      <c r="G6" s="5">
        <f>IF(D6=0,"",E6/D6)</f>
        <v/>
      </c>
      <c r="H6" s="4">
        <f>IF(G6="","",IF(G6&lt;0.75,"Low Attendance","OK"))</f>
        <v/>
      </c>
    </row>
    <row r="7">
      <c r="A7">
        <f>IF(MASTER_REGISTER!E7="","",MASTER_REGISTER!E7)</f>
        <v/>
      </c>
      <c r="B7">
        <f>IF(A7="","",MASTER_REGISTER!F7)</f>
        <v/>
      </c>
      <c r="C7">
        <f>IF(A7="","",MASTER_REGISTER!C7)</f>
        <v/>
      </c>
      <c r="D7">
        <f>IF(A7="","",COUNTIF(ATTENDANCE_DAILY!C:C,A7))</f>
        <v/>
      </c>
      <c r="E7">
        <f>IF(A7="","",COUNTIFS(ATTENDANCE_DAILY!C:C,A7,ATTENDANCE_DAILY!E:E,"Present"))</f>
        <v/>
      </c>
      <c r="F7">
        <f>IF(A7="","",COUNTIFS(ATTENDANCE_DAILY!C:C,A7,ATTENDANCE_DAILY!E:E,"Absent"))</f>
        <v/>
      </c>
      <c r="G7" s="5">
        <f>IF(D7=0,"",E7/D7)</f>
        <v/>
      </c>
      <c r="H7" s="4">
        <f>IF(G7="","",IF(G7&lt;0.75,"Low Attendance","OK"))</f>
        <v/>
      </c>
    </row>
    <row r="8">
      <c r="A8">
        <f>IF(MASTER_REGISTER!E8="","",MASTER_REGISTER!E8)</f>
        <v/>
      </c>
      <c r="B8">
        <f>IF(A8="","",MASTER_REGISTER!F8)</f>
        <v/>
      </c>
      <c r="C8">
        <f>IF(A8="","",MASTER_REGISTER!C8)</f>
        <v/>
      </c>
      <c r="D8">
        <f>IF(A8="","",COUNTIF(ATTENDANCE_DAILY!C:C,A8))</f>
        <v/>
      </c>
      <c r="E8">
        <f>IF(A8="","",COUNTIFS(ATTENDANCE_DAILY!C:C,A8,ATTENDANCE_DAILY!E:E,"Present"))</f>
        <v/>
      </c>
      <c r="F8">
        <f>IF(A8="","",COUNTIFS(ATTENDANCE_DAILY!C:C,A8,ATTENDANCE_DAILY!E:E,"Absent"))</f>
        <v/>
      </c>
      <c r="G8" s="5">
        <f>IF(D8=0,"",E8/D8)</f>
        <v/>
      </c>
      <c r="H8" s="4">
        <f>IF(G8="","",IF(G8&lt;0.75,"Low Attendance","OK"))</f>
        <v/>
      </c>
    </row>
    <row r="9">
      <c r="A9">
        <f>IF(MASTER_REGISTER!E9="","",MASTER_REGISTER!E9)</f>
        <v/>
      </c>
      <c r="B9">
        <f>IF(A9="","",MASTER_REGISTER!F9)</f>
        <v/>
      </c>
      <c r="C9">
        <f>IF(A9="","",MASTER_REGISTER!C9)</f>
        <v/>
      </c>
      <c r="D9">
        <f>IF(A9="","",COUNTIF(ATTENDANCE_DAILY!C:C,A9))</f>
        <v/>
      </c>
      <c r="E9">
        <f>IF(A9="","",COUNTIFS(ATTENDANCE_DAILY!C:C,A9,ATTENDANCE_DAILY!E:E,"Present"))</f>
        <v/>
      </c>
      <c r="F9">
        <f>IF(A9="","",COUNTIFS(ATTENDANCE_DAILY!C:C,A9,ATTENDANCE_DAILY!E:E,"Absent"))</f>
        <v/>
      </c>
      <c r="G9" s="5">
        <f>IF(D9=0,"",E9/D9)</f>
        <v/>
      </c>
      <c r="H9" s="4">
        <f>IF(G9="","",IF(G9&lt;0.75,"Low Attendance","OK"))</f>
        <v/>
      </c>
    </row>
    <row r="10">
      <c r="A10">
        <f>IF(MASTER_REGISTER!E10="","",MASTER_REGISTER!E10)</f>
        <v/>
      </c>
      <c r="B10">
        <f>IF(A10="","",MASTER_REGISTER!F10)</f>
        <v/>
      </c>
      <c r="C10">
        <f>IF(A10="","",MASTER_REGISTER!C10)</f>
        <v/>
      </c>
      <c r="D10">
        <f>IF(A10="","",COUNTIF(ATTENDANCE_DAILY!C:C,A10))</f>
        <v/>
      </c>
      <c r="E10">
        <f>IF(A10="","",COUNTIFS(ATTENDANCE_DAILY!C:C,A10,ATTENDANCE_DAILY!E:E,"Present"))</f>
        <v/>
      </c>
      <c r="F10">
        <f>IF(A10="","",COUNTIFS(ATTENDANCE_DAILY!C:C,A10,ATTENDANCE_DAILY!E:E,"Absent"))</f>
        <v/>
      </c>
      <c r="G10" s="5">
        <f>IF(D10=0,"",E10/D10)</f>
        <v/>
      </c>
      <c r="H10" s="4">
        <f>IF(G10="","",IF(G10&lt;0.75,"Low Attendance","OK"))</f>
        <v/>
      </c>
    </row>
    <row r="11">
      <c r="A11">
        <f>IF(MASTER_REGISTER!E11="","",MASTER_REGISTER!E11)</f>
        <v/>
      </c>
      <c r="B11">
        <f>IF(A11="","",MASTER_REGISTER!F11)</f>
        <v/>
      </c>
      <c r="C11">
        <f>IF(A11="","",MASTER_REGISTER!C11)</f>
        <v/>
      </c>
      <c r="D11">
        <f>IF(A11="","",COUNTIF(ATTENDANCE_DAILY!C:C,A11))</f>
        <v/>
      </c>
      <c r="E11">
        <f>IF(A11="","",COUNTIFS(ATTENDANCE_DAILY!C:C,A11,ATTENDANCE_DAILY!E:E,"Present"))</f>
        <v/>
      </c>
      <c r="F11">
        <f>IF(A11="","",COUNTIFS(ATTENDANCE_DAILY!C:C,A11,ATTENDANCE_DAILY!E:E,"Absent"))</f>
        <v/>
      </c>
      <c r="G11" s="5">
        <f>IF(D11=0,"",E11/D11)</f>
        <v/>
      </c>
      <c r="H11" s="4">
        <f>IF(G11="","",IF(G11&lt;0.75,"Low Attendance","OK"))</f>
        <v/>
      </c>
    </row>
    <row r="12">
      <c r="A12">
        <f>IF(MASTER_REGISTER!E12="","",MASTER_REGISTER!E12)</f>
        <v/>
      </c>
      <c r="B12">
        <f>IF(A12="","",MASTER_REGISTER!F12)</f>
        <v/>
      </c>
      <c r="C12">
        <f>IF(A12="","",MASTER_REGISTER!C12)</f>
        <v/>
      </c>
      <c r="D12">
        <f>IF(A12="","",COUNTIF(ATTENDANCE_DAILY!C:C,A12))</f>
        <v/>
      </c>
      <c r="E12">
        <f>IF(A12="","",COUNTIFS(ATTENDANCE_DAILY!C:C,A12,ATTENDANCE_DAILY!E:E,"Present"))</f>
        <v/>
      </c>
      <c r="F12">
        <f>IF(A12="","",COUNTIFS(ATTENDANCE_DAILY!C:C,A12,ATTENDANCE_DAILY!E:E,"Absent"))</f>
        <v/>
      </c>
      <c r="G12" s="5">
        <f>IF(D12=0,"",E12/D12)</f>
        <v/>
      </c>
      <c r="H12" s="4">
        <f>IF(G12="","",IF(G12&lt;0.75,"Low Attendance","OK"))</f>
        <v/>
      </c>
    </row>
    <row r="13">
      <c r="A13">
        <f>IF(MASTER_REGISTER!E13="","",MASTER_REGISTER!E13)</f>
        <v/>
      </c>
      <c r="B13">
        <f>IF(A13="","",MASTER_REGISTER!F13)</f>
        <v/>
      </c>
      <c r="C13">
        <f>IF(A13="","",MASTER_REGISTER!C13)</f>
        <v/>
      </c>
      <c r="D13">
        <f>IF(A13="","",COUNTIF(ATTENDANCE_DAILY!C:C,A13))</f>
        <v/>
      </c>
      <c r="E13">
        <f>IF(A13="","",COUNTIFS(ATTENDANCE_DAILY!C:C,A13,ATTENDANCE_DAILY!E:E,"Present"))</f>
        <v/>
      </c>
      <c r="F13">
        <f>IF(A13="","",COUNTIFS(ATTENDANCE_DAILY!C:C,A13,ATTENDANCE_DAILY!E:E,"Absent"))</f>
        <v/>
      </c>
      <c r="G13" s="5">
        <f>IF(D13=0,"",E13/D13)</f>
        <v/>
      </c>
      <c r="H13" s="4">
        <f>IF(G13="","",IF(G13&lt;0.75,"Low Attendance","OK"))</f>
        <v/>
      </c>
    </row>
    <row r="14">
      <c r="A14">
        <f>IF(MASTER_REGISTER!E14="","",MASTER_REGISTER!E14)</f>
        <v/>
      </c>
      <c r="B14">
        <f>IF(A14="","",MASTER_REGISTER!F14)</f>
        <v/>
      </c>
      <c r="C14">
        <f>IF(A14="","",MASTER_REGISTER!C14)</f>
        <v/>
      </c>
      <c r="D14">
        <f>IF(A14="","",COUNTIF(ATTENDANCE_DAILY!C:C,A14))</f>
        <v/>
      </c>
      <c r="E14">
        <f>IF(A14="","",COUNTIFS(ATTENDANCE_DAILY!C:C,A14,ATTENDANCE_DAILY!E:E,"Present"))</f>
        <v/>
      </c>
      <c r="F14">
        <f>IF(A14="","",COUNTIFS(ATTENDANCE_DAILY!C:C,A14,ATTENDANCE_DAILY!E:E,"Absent"))</f>
        <v/>
      </c>
      <c r="G14" s="5">
        <f>IF(D14=0,"",E14/D14)</f>
        <v/>
      </c>
      <c r="H14" s="4">
        <f>IF(G14="","",IF(G14&lt;0.75,"Low Attendance","OK"))</f>
        <v/>
      </c>
    </row>
    <row r="15">
      <c r="A15">
        <f>IF(MASTER_REGISTER!E15="","",MASTER_REGISTER!E15)</f>
        <v/>
      </c>
      <c r="B15">
        <f>IF(A15="","",MASTER_REGISTER!F15)</f>
        <v/>
      </c>
      <c r="C15">
        <f>IF(A15="","",MASTER_REGISTER!C15)</f>
        <v/>
      </c>
      <c r="D15">
        <f>IF(A15="","",COUNTIF(ATTENDANCE_DAILY!C:C,A15))</f>
        <v/>
      </c>
      <c r="E15">
        <f>IF(A15="","",COUNTIFS(ATTENDANCE_DAILY!C:C,A15,ATTENDANCE_DAILY!E:E,"Present"))</f>
        <v/>
      </c>
      <c r="F15">
        <f>IF(A15="","",COUNTIFS(ATTENDANCE_DAILY!C:C,A15,ATTENDANCE_DAILY!E:E,"Absent"))</f>
        <v/>
      </c>
      <c r="G15" s="5">
        <f>IF(D15=0,"",E15/D15)</f>
        <v/>
      </c>
      <c r="H15" s="4">
        <f>IF(G15="","",IF(G15&lt;0.75,"Low Attendance","OK"))</f>
        <v/>
      </c>
    </row>
    <row r="16">
      <c r="A16">
        <f>IF(MASTER_REGISTER!E16="","",MASTER_REGISTER!E16)</f>
        <v/>
      </c>
      <c r="B16">
        <f>IF(A16="","",MASTER_REGISTER!F16)</f>
        <v/>
      </c>
      <c r="C16">
        <f>IF(A16="","",MASTER_REGISTER!C16)</f>
        <v/>
      </c>
      <c r="D16">
        <f>IF(A16="","",COUNTIF(ATTENDANCE_DAILY!C:C,A16))</f>
        <v/>
      </c>
      <c r="E16">
        <f>IF(A16="","",COUNTIFS(ATTENDANCE_DAILY!C:C,A16,ATTENDANCE_DAILY!E:E,"Present"))</f>
        <v/>
      </c>
      <c r="F16">
        <f>IF(A16="","",COUNTIFS(ATTENDANCE_DAILY!C:C,A16,ATTENDANCE_DAILY!E:E,"Absent"))</f>
        <v/>
      </c>
      <c r="G16" s="5">
        <f>IF(D16=0,"",E16/D16)</f>
        <v/>
      </c>
      <c r="H16" s="4">
        <f>IF(G16="","",IF(G16&lt;0.75,"Low Attendance","OK"))</f>
        <v/>
      </c>
    </row>
    <row r="17">
      <c r="A17">
        <f>IF(MASTER_REGISTER!E17="","",MASTER_REGISTER!E17)</f>
        <v/>
      </c>
      <c r="B17">
        <f>IF(A17="","",MASTER_REGISTER!F17)</f>
        <v/>
      </c>
      <c r="C17">
        <f>IF(A17="","",MASTER_REGISTER!C17)</f>
        <v/>
      </c>
      <c r="D17">
        <f>IF(A17="","",COUNTIF(ATTENDANCE_DAILY!C:C,A17))</f>
        <v/>
      </c>
      <c r="E17">
        <f>IF(A17="","",COUNTIFS(ATTENDANCE_DAILY!C:C,A17,ATTENDANCE_DAILY!E:E,"Present"))</f>
        <v/>
      </c>
      <c r="F17">
        <f>IF(A17="","",COUNTIFS(ATTENDANCE_DAILY!C:C,A17,ATTENDANCE_DAILY!E:E,"Absent"))</f>
        <v/>
      </c>
      <c r="G17" s="5">
        <f>IF(D17=0,"",E17/D17)</f>
        <v/>
      </c>
      <c r="H17" s="4">
        <f>IF(G17="","",IF(G17&lt;0.75,"Low Attendance","OK"))</f>
        <v/>
      </c>
    </row>
    <row r="18">
      <c r="A18">
        <f>IF(MASTER_REGISTER!E18="","",MASTER_REGISTER!E18)</f>
        <v/>
      </c>
      <c r="B18">
        <f>IF(A18="","",MASTER_REGISTER!F18)</f>
        <v/>
      </c>
      <c r="C18">
        <f>IF(A18="","",MASTER_REGISTER!C18)</f>
        <v/>
      </c>
      <c r="D18">
        <f>IF(A18="","",COUNTIF(ATTENDANCE_DAILY!C:C,A18))</f>
        <v/>
      </c>
      <c r="E18">
        <f>IF(A18="","",COUNTIFS(ATTENDANCE_DAILY!C:C,A18,ATTENDANCE_DAILY!E:E,"Present"))</f>
        <v/>
      </c>
      <c r="F18">
        <f>IF(A18="","",COUNTIFS(ATTENDANCE_DAILY!C:C,A18,ATTENDANCE_DAILY!E:E,"Absent"))</f>
        <v/>
      </c>
      <c r="G18" s="5">
        <f>IF(D18=0,"",E18/D18)</f>
        <v/>
      </c>
      <c r="H18" s="4">
        <f>IF(G18="","",IF(G18&lt;0.75,"Low Attendance","OK"))</f>
        <v/>
      </c>
    </row>
    <row r="19">
      <c r="A19">
        <f>IF(MASTER_REGISTER!E19="","",MASTER_REGISTER!E19)</f>
        <v/>
      </c>
      <c r="B19">
        <f>IF(A19="","",MASTER_REGISTER!F19)</f>
        <v/>
      </c>
      <c r="C19">
        <f>IF(A19="","",MASTER_REGISTER!C19)</f>
        <v/>
      </c>
      <c r="D19">
        <f>IF(A19="","",COUNTIF(ATTENDANCE_DAILY!C:C,A19))</f>
        <v/>
      </c>
      <c r="E19">
        <f>IF(A19="","",COUNTIFS(ATTENDANCE_DAILY!C:C,A19,ATTENDANCE_DAILY!E:E,"Present"))</f>
        <v/>
      </c>
      <c r="F19">
        <f>IF(A19="","",COUNTIFS(ATTENDANCE_DAILY!C:C,A19,ATTENDANCE_DAILY!E:E,"Absent"))</f>
        <v/>
      </c>
      <c r="G19" s="5">
        <f>IF(D19=0,"",E19/D19)</f>
        <v/>
      </c>
      <c r="H19" s="4">
        <f>IF(G19="","",IF(G19&lt;0.75,"Low Attendance","OK"))</f>
        <v/>
      </c>
    </row>
    <row r="20">
      <c r="A20">
        <f>IF(MASTER_REGISTER!E20="","",MASTER_REGISTER!E20)</f>
        <v/>
      </c>
      <c r="B20">
        <f>IF(A20="","",MASTER_REGISTER!F20)</f>
        <v/>
      </c>
      <c r="C20">
        <f>IF(A20="","",MASTER_REGISTER!C20)</f>
        <v/>
      </c>
      <c r="D20">
        <f>IF(A20="","",COUNTIF(ATTENDANCE_DAILY!C:C,A20))</f>
        <v/>
      </c>
      <c r="E20">
        <f>IF(A20="","",COUNTIFS(ATTENDANCE_DAILY!C:C,A20,ATTENDANCE_DAILY!E:E,"Present"))</f>
        <v/>
      </c>
      <c r="F20">
        <f>IF(A20="","",COUNTIFS(ATTENDANCE_DAILY!C:C,A20,ATTENDANCE_DAILY!E:E,"Absent"))</f>
        <v/>
      </c>
      <c r="G20" s="5">
        <f>IF(D20=0,"",E20/D20)</f>
        <v/>
      </c>
      <c r="H20" s="4">
        <f>IF(G20="","",IF(G20&lt;0.75,"Low Attendance","OK"))</f>
        <v/>
      </c>
    </row>
    <row r="21">
      <c r="A21">
        <f>IF(MASTER_REGISTER!E21="","",MASTER_REGISTER!E21)</f>
        <v/>
      </c>
      <c r="B21">
        <f>IF(A21="","",MASTER_REGISTER!F21)</f>
        <v/>
      </c>
      <c r="C21">
        <f>IF(A21="","",MASTER_REGISTER!C21)</f>
        <v/>
      </c>
      <c r="D21">
        <f>IF(A21="","",COUNTIF(ATTENDANCE_DAILY!C:C,A21))</f>
        <v/>
      </c>
      <c r="E21">
        <f>IF(A21="","",COUNTIFS(ATTENDANCE_DAILY!C:C,A21,ATTENDANCE_DAILY!E:E,"Present"))</f>
        <v/>
      </c>
      <c r="F21">
        <f>IF(A21="","",COUNTIFS(ATTENDANCE_DAILY!C:C,A21,ATTENDANCE_DAILY!E:E,"Absent"))</f>
        <v/>
      </c>
      <c r="G21" s="5">
        <f>IF(D21=0,"",E21/D21)</f>
        <v/>
      </c>
      <c r="H21" s="4">
        <f>IF(G21="","",IF(G21&lt;0.75,"Low Attendance","OK"))</f>
        <v/>
      </c>
    </row>
    <row r="22">
      <c r="A22">
        <f>IF(MASTER_REGISTER!E22="","",MASTER_REGISTER!E22)</f>
        <v/>
      </c>
      <c r="B22">
        <f>IF(A22="","",MASTER_REGISTER!F22)</f>
        <v/>
      </c>
      <c r="C22">
        <f>IF(A22="","",MASTER_REGISTER!C22)</f>
        <v/>
      </c>
      <c r="D22">
        <f>IF(A22="","",COUNTIF(ATTENDANCE_DAILY!C:C,A22))</f>
        <v/>
      </c>
      <c r="E22">
        <f>IF(A22="","",COUNTIFS(ATTENDANCE_DAILY!C:C,A22,ATTENDANCE_DAILY!E:E,"Present"))</f>
        <v/>
      </c>
      <c r="F22">
        <f>IF(A22="","",COUNTIFS(ATTENDANCE_DAILY!C:C,A22,ATTENDANCE_DAILY!E:E,"Absent"))</f>
        <v/>
      </c>
      <c r="G22" s="5">
        <f>IF(D22=0,"",E22/D22)</f>
        <v/>
      </c>
      <c r="H22" s="4">
        <f>IF(G22="","",IF(G22&lt;0.75,"Low Attendance","OK"))</f>
        <v/>
      </c>
    </row>
    <row r="23">
      <c r="A23">
        <f>IF(MASTER_REGISTER!E23="","",MASTER_REGISTER!E23)</f>
        <v/>
      </c>
      <c r="B23">
        <f>IF(A23="","",MASTER_REGISTER!F23)</f>
        <v/>
      </c>
      <c r="C23">
        <f>IF(A23="","",MASTER_REGISTER!C23)</f>
        <v/>
      </c>
      <c r="D23">
        <f>IF(A23="","",COUNTIF(ATTENDANCE_DAILY!C:C,A23))</f>
        <v/>
      </c>
      <c r="E23">
        <f>IF(A23="","",COUNTIFS(ATTENDANCE_DAILY!C:C,A23,ATTENDANCE_DAILY!E:E,"Present"))</f>
        <v/>
      </c>
      <c r="F23">
        <f>IF(A23="","",COUNTIFS(ATTENDANCE_DAILY!C:C,A23,ATTENDANCE_DAILY!E:E,"Absent"))</f>
        <v/>
      </c>
      <c r="G23" s="5">
        <f>IF(D23=0,"",E23/D23)</f>
        <v/>
      </c>
      <c r="H23" s="4">
        <f>IF(G23="","",IF(G23&lt;0.75,"Low Attendance","OK"))</f>
        <v/>
      </c>
    </row>
    <row r="24">
      <c r="A24">
        <f>IF(MASTER_REGISTER!E24="","",MASTER_REGISTER!E24)</f>
        <v/>
      </c>
      <c r="B24">
        <f>IF(A24="","",MASTER_REGISTER!F24)</f>
        <v/>
      </c>
      <c r="C24">
        <f>IF(A24="","",MASTER_REGISTER!C24)</f>
        <v/>
      </c>
      <c r="D24">
        <f>IF(A24="","",COUNTIF(ATTENDANCE_DAILY!C:C,A24))</f>
        <v/>
      </c>
      <c r="E24">
        <f>IF(A24="","",COUNTIFS(ATTENDANCE_DAILY!C:C,A24,ATTENDANCE_DAILY!E:E,"Present"))</f>
        <v/>
      </c>
      <c r="F24">
        <f>IF(A24="","",COUNTIFS(ATTENDANCE_DAILY!C:C,A24,ATTENDANCE_DAILY!E:E,"Absent"))</f>
        <v/>
      </c>
      <c r="G24" s="5">
        <f>IF(D24=0,"",E24/D24)</f>
        <v/>
      </c>
      <c r="H24" s="4">
        <f>IF(G24="","",IF(G24&lt;0.75,"Low Attendance","OK"))</f>
        <v/>
      </c>
    </row>
    <row r="25">
      <c r="A25">
        <f>IF(MASTER_REGISTER!E25="","",MASTER_REGISTER!E25)</f>
        <v/>
      </c>
      <c r="B25">
        <f>IF(A25="","",MASTER_REGISTER!F25)</f>
        <v/>
      </c>
      <c r="C25">
        <f>IF(A25="","",MASTER_REGISTER!C25)</f>
        <v/>
      </c>
      <c r="D25">
        <f>IF(A25="","",COUNTIF(ATTENDANCE_DAILY!C:C,A25))</f>
        <v/>
      </c>
      <c r="E25">
        <f>IF(A25="","",COUNTIFS(ATTENDANCE_DAILY!C:C,A25,ATTENDANCE_DAILY!E:E,"Present"))</f>
        <v/>
      </c>
      <c r="F25">
        <f>IF(A25="","",COUNTIFS(ATTENDANCE_DAILY!C:C,A25,ATTENDANCE_DAILY!E:E,"Absent"))</f>
        <v/>
      </c>
      <c r="G25" s="5">
        <f>IF(D25=0,"",E25/D25)</f>
        <v/>
      </c>
      <c r="H25" s="4">
        <f>IF(G25="","",IF(G25&lt;0.75,"Low Attendance","OK"))</f>
        <v/>
      </c>
    </row>
    <row r="26">
      <c r="A26">
        <f>IF(MASTER_REGISTER!E26="","",MASTER_REGISTER!E26)</f>
        <v/>
      </c>
      <c r="B26">
        <f>IF(A26="","",MASTER_REGISTER!F26)</f>
        <v/>
      </c>
      <c r="C26">
        <f>IF(A26="","",MASTER_REGISTER!C26)</f>
        <v/>
      </c>
      <c r="D26">
        <f>IF(A26="","",COUNTIF(ATTENDANCE_DAILY!C:C,A26))</f>
        <v/>
      </c>
      <c r="E26">
        <f>IF(A26="","",COUNTIFS(ATTENDANCE_DAILY!C:C,A26,ATTENDANCE_DAILY!E:E,"Present"))</f>
        <v/>
      </c>
      <c r="F26">
        <f>IF(A26="","",COUNTIFS(ATTENDANCE_DAILY!C:C,A26,ATTENDANCE_DAILY!E:E,"Absent"))</f>
        <v/>
      </c>
      <c r="G26" s="5">
        <f>IF(D26=0,"",E26/D26)</f>
        <v/>
      </c>
      <c r="H26" s="4">
        <f>IF(G26="","",IF(G26&lt;0.75,"Low Attendance","OK"))</f>
        <v/>
      </c>
    </row>
    <row r="27">
      <c r="A27">
        <f>IF(MASTER_REGISTER!E27="","",MASTER_REGISTER!E27)</f>
        <v/>
      </c>
      <c r="B27">
        <f>IF(A27="","",MASTER_REGISTER!F27)</f>
        <v/>
      </c>
      <c r="C27">
        <f>IF(A27="","",MASTER_REGISTER!C27)</f>
        <v/>
      </c>
      <c r="D27">
        <f>IF(A27="","",COUNTIF(ATTENDANCE_DAILY!C:C,A27))</f>
        <v/>
      </c>
      <c r="E27">
        <f>IF(A27="","",COUNTIFS(ATTENDANCE_DAILY!C:C,A27,ATTENDANCE_DAILY!E:E,"Present"))</f>
        <v/>
      </c>
      <c r="F27">
        <f>IF(A27="","",COUNTIFS(ATTENDANCE_DAILY!C:C,A27,ATTENDANCE_DAILY!E:E,"Absent"))</f>
        <v/>
      </c>
      <c r="G27" s="5">
        <f>IF(D27=0,"",E27/D27)</f>
        <v/>
      </c>
      <c r="H27" s="4">
        <f>IF(G27="","",IF(G27&lt;0.75,"Low Attendance","OK"))</f>
        <v/>
      </c>
    </row>
    <row r="28">
      <c r="A28">
        <f>IF(MASTER_REGISTER!E28="","",MASTER_REGISTER!E28)</f>
        <v/>
      </c>
      <c r="B28">
        <f>IF(A28="","",MASTER_REGISTER!F28)</f>
        <v/>
      </c>
      <c r="C28">
        <f>IF(A28="","",MASTER_REGISTER!C28)</f>
        <v/>
      </c>
      <c r="D28">
        <f>IF(A28="","",COUNTIF(ATTENDANCE_DAILY!C:C,A28))</f>
        <v/>
      </c>
      <c r="E28">
        <f>IF(A28="","",COUNTIFS(ATTENDANCE_DAILY!C:C,A28,ATTENDANCE_DAILY!E:E,"Present"))</f>
        <v/>
      </c>
      <c r="F28">
        <f>IF(A28="","",COUNTIFS(ATTENDANCE_DAILY!C:C,A28,ATTENDANCE_DAILY!E:E,"Absent"))</f>
        <v/>
      </c>
      <c r="G28" s="5">
        <f>IF(D28=0,"",E28/D28)</f>
        <v/>
      </c>
      <c r="H28" s="4">
        <f>IF(G28="","",IF(G28&lt;0.75,"Low Attendance","OK"))</f>
        <v/>
      </c>
    </row>
    <row r="29">
      <c r="A29">
        <f>IF(MASTER_REGISTER!E29="","",MASTER_REGISTER!E29)</f>
        <v/>
      </c>
      <c r="B29">
        <f>IF(A29="","",MASTER_REGISTER!F29)</f>
        <v/>
      </c>
      <c r="C29">
        <f>IF(A29="","",MASTER_REGISTER!C29)</f>
        <v/>
      </c>
      <c r="D29">
        <f>IF(A29="","",COUNTIF(ATTENDANCE_DAILY!C:C,A29))</f>
        <v/>
      </c>
      <c r="E29">
        <f>IF(A29="","",COUNTIFS(ATTENDANCE_DAILY!C:C,A29,ATTENDANCE_DAILY!E:E,"Present"))</f>
        <v/>
      </c>
      <c r="F29">
        <f>IF(A29="","",COUNTIFS(ATTENDANCE_DAILY!C:C,A29,ATTENDANCE_DAILY!E:E,"Absent"))</f>
        <v/>
      </c>
      <c r="G29" s="5">
        <f>IF(D29=0,"",E29/D29)</f>
        <v/>
      </c>
      <c r="H29" s="4">
        <f>IF(G29="","",IF(G29&lt;0.75,"Low Attendance","OK"))</f>
        <v/>
      </c>
    </row>
    <row r="30">
      <c r="A30">
        <f>IF(MASTER_REGISTER!E30="","",MASTER_REGISTER!E30)</f>
        <v/>
      </c>
      <c r="B30">
        <f>IF(A30="","",MASTER_REGISTER!F30)</f>
        <v/>
      </c>
      <c r="C30">
        <f>IF(A30="","",MASTER_REGISTER!C30)</f>
        <v/>
      </c>
      <c r="D30">
        <f>IF(A30="","",COUNTIF(ATTENDANCE_DAILY!C:C,A30))</f>
        <v/>
      </c>
      <c r="E30">
        <f>IF(A30="","",COUNTIFS(ATTENDANCE_DAILY!C:C,A30,ATTENDANCE_DAILY!E:E,"Present"))</f>
        <v/>
      </c>
      <c r="F30">
        <f>IF(A30="","",COUNTIFS(ATTENDANCE_DAILY!C:C,A30,ATTENDANCE_DAILY!E:E,"Absent"))</f>
        <v/>
      </c>
      <c r="G30" s="5">
        <f>IF(D30=0,"",E30/D30)</f>
        <v/>
      </c>
      <c r="H30" s="4">
        <f>IF(G30="","",IF(G30&lt;0.75,"Low Attendance","OK"))</f>
        <v/>
      </c>
    </row>
    <row r="31">
      <c r="A31">
        <f>IF(MASTER_REGISTER!E31="","",MASTER_REGISTER!E31)</f>
        <v/>
      </c>
      <c r="B31">
        <f>IF(A31="","",MASTER_REGISTER!F31)</f>
        <v/>
      </c>
      <c r="C31">
        <f>IF(A31="","",MASTER_REGISTER!C31)</f>
        <v/>
      </c>
      <c r="D31">
        <f>IF(A31="","",COUNTIF(ATTENDANCE_DAILY!C:C,A31))</f>
        <v/>
      </c>
      <c r="E31">
        <f>IF(A31="","",COUNTIFS(ATTENDANCE_DAILY!C:C,A31,ATTENDANCE_DAILY!E:E,"Present"))</f>
        <v/>
      </c>
      <c r="F31">
        <f>IF(A31="","",COUNTIFS(ATTENDANCE_DAILY!C:C,A31,ATTENDANCE_DAILY!E:E,"Absent"))</f>
        <v/>
      </c>
      <c r="G31" s="5">
        <f>IF(D31=0,"",E31/D31)</f>
        <v/>
      </c>
      <c r="H31" s="4">
        <f>IF(G31="","",IF(G31&lt;0.75,"Low Attendance","OK"))</f>
        <v/>
      </c>
    </row>
    <row r="32">
      <c r="A32">
        <f>IF(MASTER_REGISTER!E32="","",MASTER_REGISTER!E32)</f>
        <v/>
      </c>
      <c r="B32">
        <f>IF(A32="","",MASTER_REGISTER!F32)</f>
        <v/>
      </c>
      <c r="C32">
        <f>IF(A32="","",MASTER_REGISTER!C32)</f>
        <v/>
      </c>
      <c r="D32">
        <f>IF(A32="","",COUNTIF(ATTENDANCE_DAILY!C:C,A32))</f>
        <v/>
      </c>
      <c r="E32">
        <f>IF(A32="","",COUNTIFS(ATTENDANCE_DAILY!C:C,A32,ATTENDANCE_DAILY!E:E,"Present"))</f>
        <v/>
      </c>
      <c r="F32">
        <f>IF(A32="","",COUNTIFS(ATTENDANCE_DAILY!C:C,A32,ATTENDANCE_DAILY!E:E,"Absent"))</f>
        <v/>
      </c>
      <c r="G32" s="5">
        <f>IF(D32=0,"",E32/D32)</f>
        <v/>
      </c>
      <c r="H32" s="4">
        <f>IF(G32="","",IF(G32&lt;0.75,"Low Attendance","OK"))</f>
        <v/>
      </c>
    </row>
    <row r="33">
      <c r="A33">
        <f>IF(MASTER_REGISTER!E33="","",MASTER_REGISTER!E33)</f>
        <v/>
      </c>
      <c r="B33">
        <f>IF(A33="","",MASTER_REGISTER!F33)</f>
        <v/>
      </c>
      <c r="C33">
        <f>IF(A33="","",MASTER_REGISTER!C33)</f>
        <v/>
      </c>
      <c r="D33">
        <f>IF(A33="","",COUNTIF(ATTENDANCE_DAILY!C:C,A33))</f>
        <v/>
      </c>
      <c r="E33">
        <f>IF(A33="","",COUNTIFS(ATTENDANCE_DAILY!C:C,A33,ATTENDANCE_DAILY!E:E,"Present"))</f>
        <v/>
      </c>
      <c r="F33">
        <f>IF(A33="","",COUNTIFS(ATTENDANCE_DAILY!C:C,A33,ATTENDANCE_DAILY!E:E,"Absent"))</f>
        <v/>
      </c>
      <c r="G33" s="5">
        <f>IF(D33=0,"",E33/D33)</f>
        <v/>
      </c>
      <c r="H33" s="4">
        <f>IF(G33="","",IF(G33&lt;0.75,"Low Attendance","OK"))</f>
        <v/>
      </c>
    </row>
    <row r="34">
      <c r="A34">
        <f>IF(MASTER_REGISTER!E34="","",MASTER_REGISTER!E34)</f>
        <v/>
      </c>
      <c r="B34">
        <f>IF(A34="","",MASTER_REGISTER!F34)</f>
        <v/>
      </c>
      <c r="C34">
        <f>IF(A34="","",MASTER_REGISTER!C34)</f>
        <v/>
      </c>
      <c r="D34">
        <f>IF(A34="","",COUNTIF(ATTENDANCE_DAILY!C:C,A34))</f>
        <v/>
      </c>
      <c r="E34">
        <f>IF(A34="","",COUNTIFS(ATTENDANCE_DAILY!C:C,A34,ATTENDANCE_DAILY!E:E,"Present"))</f>
        <v/>
      </c>
      <c r="F34">
        <f>IF(A34="","",COUNTIFS(ATTENDANCE_DAILY!C:C,A34,ATTENDANCE_DAILY!E:E,"Absent"))</f>
        <v/>
      </c>
      <c r="G34" s="5">
        <f>IF(D34=0,"",E34/D34)</f>
        <v/>
      </c>
      <c r="H34" s="4">
        <f>IF(G34="","",IF(G34&lt;0.75,"Low Attendance","OK"))</f>
        <v/>
      </c>
    </row>
    <row r="35">
      <c r="A35">
        <f>IF(MASTER_REGISTER!E35="","",MASTER_REGISTER!E35)</f>
        <v/>
      </c>
      <c r="B35">
        <f>IF(A35="","",MASTER_REGISTER!F35)</f>
        <v/>
      </c>
      <c r="C35">
        <f>IF(A35="","",MASTER_REGISTER!C35)</f>
        <v/>
      </c>
      <c r="D35">
        <f>IF(A35="","",COUNTIF(ATTENDANCE_DAILY!C:C,A35))</f>
        <v/>
      </c>
      <c r="E35">
        <f>IF(A35="","",COUNTIFS(ATTENDANCE_DAILY!C:C,A35,ATTENDANCE_DAILY!E:E,"Present"))</f>
        <v/>
      </c>
      <c r="F35">
        <f>IF(A35="","",COUNTIFS(ATTENDANCE_DAILY!C:C,A35,ATTENDANCE_DAILY!E:E,"Absent"))</f>
        <v/>
      </c>
      <c r="G35" s="5">
        <f>IF(D35=0,"",E35/D35)</f>
        <v/>
      </c>
      <c r="H35" s="4">
        <f>IF(G35="","",IF(G35&lt;0.75,"Low Attendance","OK"))</f>
        <v/>
      </c>
    </row>
    <row r="36">
      <c r="A36">
        <f>IF(MASTER_REGISTER!E36="","",MASTER_REGISTER!E36)</f>
        <v/>
      </c>
      <c r="B36">
        <f>IF(A36="","",MASTER_REGISTER!F36)</f>
        <v/>
      </c>
      <c r="C36">
        <f>IF(A36="","",MASTER_REGISTER!C36)</f>
        <v/>
      </c>
      <c r="D36">
        <f>IF(A36="","",COUNTIF(ATTENDANCE_DAILY!C:C,A36))</f>
        <v/>
      </c>
      <c r="E36">
        <f>IF(A36="","",COUNTIFS(ATTENDANCE_DAILY!C:C,A36,ATTENDANCE_DAILY!E:E,"Present"))</f>
        <v/>
      </c>
      <c r="F36">
        <f>IF(A36="","",COUNTIFS(ATTENDANCE_DAILY!C:C,A36,ATTENDANCE_DAILY!E:E,"Absent"))</f>
        <v/>
      </c>
      <c r="G36" s="5">
        <f>IF(D36=0,"",E36/D36)</f>
        <v/>
      </c>
      <c r="H36" s="4">
        <f>IF(G36="","",IF(G36&lt;0.75,"Low Attendance","OK"))</f>
        <v/>
      </c>
    </row>
    <row r="37">
      <c r="A37">
        <f>IF(MASTER_REGISTER!E37="","",MASTER_REGISTER!E37)</f>
        <v/>
      </c>
      <c r="B37">
        <f>IF(A37="","",MASTER_REGISTER!F37)</f>
        <v/>
      </c>
      <c r="C37">
        <f>IF(A37="","",MASTER_REGISTER!C37)</f>
        <v/>
      </c>
      <c r="D37">
        <f>IF(A37="","",COUNTIF(ATTENDANCE_DAILY!C:C,A37))</f>
        <v/>
      </c>
      <c r="E37">
        <f>IF(A37="","",COUNTIFS(ATTENDANCE_DAILY!C:C,A37,ATTENDANCE_DAILY!E:E,"Present"))</f>
        <v/>
      </c>
      <c r="F37">
        <f>IF(A37="","",COUNTIFS(ATTENDANCE_DAILY!C:C,A37,ATTENDANCE_DAILY!E:E,"Absent"))</f>
        <v/>
      </c>
      <c r="G37" s="5">
        <f>IF(D37=0,"",E37/D37)</f>
        <v/>
      </c>
      <c r="H37" s="4">
        <f>IF(G37="","",IF(G37&lt;0.75,"Low Attendance","OK"))</f>
        <v/>
      </c>
    </row>
    <row r="38">
      <c r="A38">
        <f>IF(MASTER_REGISTER!E38="","",MASTER_REGISTER!E38)</f>
        <v/>
      </c>
      <c r="B38">
        <f>IF(A38="","",MASTER_REGISTER!F38)</f>
        <v/>
      </c>
      <c r="C38">
        <f>IF(A38="","",MASTER_REGISTER!C38)</f>
        <v/>
      </c>
      <c r="D38">
        <f>IF(A38="","",COUNTIF(ATTENDANCE_DAILY!C:C,A38))</f>
        <v/>
      </c>
      <c r="E38">
        <f>IF(A38="","",COUNTIFS(ATTENDANCE_DAILY!C:C,A38,ATTENDANCE_DAILY!E:E,"Present"))</f>
        <v/>
      </c>
      <c r="F38">
        <f>IF(A38="","",COUNTIFS(ATTENDANCE_DAILY!C:C,A38,ATTENDANCE_DAILY!E:E,"Absent"))</f>
        <v/>
      </c>
      <c r="G38" s="5">
        <f>IF(D38=0,"",E38/D38)</f>
        <v/>
      </c>
      <c r="H38" s="4">
        <f>IF(G38="","",IF(G38&lt;0.75,"Low Attendance","OK"))</f>
        <v/>
      </c>
    </row>
    <row r="39">
      <c r="A39">
        <f>IF(MASTER_REGISTER!E39="","",MASTER_REGISTER!E39)</f>
        <v/>
      </c>
      <c r="B39">
        <f>IF(A39="","",MASTER_REGISTER!F39)</f>
        <v/>
      </c>
      <c r="C39">
        <f>IF(A39="","",MASTER_REGISTER!C39)</f>
        <v/>
      </c>
      <c r="D39">
        <f>IF(A39="","",COUNTIF(ATTENDANCE_DAILY!C:C,A39))</f>
        <v/>
      </c>
      <c r="E39">
        <f>IF(A39="","",COUNTIFS(ATTENDANCE_DAILY!C:C,A39,ATTENDANCE_DAILY!E:E,"Present"))</f>
        <v/>
      </c>
      <c r="F39">
        <f>IF(A39="","",COUNTIFS(ATTENDANCE_DAILY!C:C,A39,ATTENDANCE_DAILY!E:E,"Absent"))</f>
        <v/>
      </c>
      <c r="G39" s="5">
        <f>IF(D39=0,"",E39/D39)</f>
        <v/>
      </c>
      <c r="H39" s="4">
        <f>IF(G39="","",IF(G39&lt;0.75,"Low Attendance","OK"))</f>
        <v/>
      </c>
    </row>
    <row r="40">
      <c r="A40">
        <f>IF(MASTER_REGISTER!E40="","",MASTER_REGISTER!E40)</f>
        <v/>
      </c>
      <c r="B40">
        <f>IF(A40="","",MASTER_REGISTER!F40)</f>
        <v/>
      </c>
      <c r="C40">
        <f>IF(A40="","",MASTER_REGISTER!C40)</f>
        <v/>
      </c>
      <c r="D40">
        <f>IF(A40="","",COUNTIF(ATTENDANCE_DAILY!C:C,A40))</f>
        <v/>
      </c>
      <c r="E40">
        <f>IF(A40="","",COUNTIFS(ATTENDANCE_DAILY!C:C,A40,ATTENDANCE_DAILY!E:E,"Present"))</f>
        <v/>
      </c>
      <c r="F40">
        <f>IF(A40="","",COUNTIFS(ATTENDANCE_DAILY!C:C,A40,ATTENDANCE_DAILY!E:E,"Absent"))</f>
        <v/>
      </c>
      <c r="G40" s="5">
        <f>IF(D40=0,"",E40/D40)</f>
        <v/>
      </c>
      <c r="H40" s="4">
        <f>IF(G40="","",IF(G40&lt;0.75,"Low Attendance","OK"))</f>
        <v/>
      </c>
    </row>
    <row r="41">
      <c r="A41">
        <f>IF(MASTER_REGISTER!E41="","",MASTER_REGISTER!E41)</f>
        <v/>
      </c>
      <c r="B41">
        <f>IF(A41="","",MASTER_REGISTER!F41)</f>
        <v/>
      </c>
      <c r="C41">
        <f>IF(A41="","",MASTER_REGISTER!C41)</f>
        <v/>
      </c>
      <c r="D41">
        <f>IF(A41="","",COUNTIF(ATTENDANCE_DAILY!C:C,A41))</f>
        <v/>
      </c>
      <c r="E41">
        <f>IF(A41="","",COUNTIFS(ATTENDANCE_DAILY!C:C,A41,ATTENDANCE_DAILY!E:E,"Present"))</f>
        <v/>
      </c>
      <c r="F41">
        <f>IF(A41="","",COUNTIFS(ATTENDANCE_DAILY!C:C,A41,ATTENDANCE_DAILY!E:E,"Absent"))</f>
        <v/>
      </c>
      <c r="G41" s="5">
        <f>IF(D41=0,"",E41/D41)</f>
        <v/>
      </c>
      <c r="H41" s="4">
        <f>IF(G41="","",IF(G41&lt;0.75,"Low Attendance","OK"))</f>
        <v/>
      </c>
    </row>
    <row r="42">
      <c r="A42">
        <f>IF(MASTER_REGISTER!E42="","",MASTER_REGISTER!E42)</f>
        <v/>
      </c>
      <c r="B42">
        <f>IF(A42="","",MASTER_REGISTER!F42)</f>
        <v/>
      </c>
      <c r="C42">
        <f>IF(A42="","",MASTER_REGISTER!C42)</f>
        <v/>
      </c>
      <c r="D42">
        <f>IF(A42="","",COUNTIF(ATTENDANCE_DAILY!C:C,A42))</f>
        <v/>
      </c>
      <c r="E42">
        <f>IF(A42="","",COUNTIFS(ATTENDANCE_DAILY!C:C,A42,ATTENDANCE_DAILY!E:E,"Present"))</f>
        <v/>
      </c>
      <c r="F42">
        <f>IF(A42="","",COUNTIFS(ATTENDANCE_DAILY!C:C,A42,ATTENDANCE_DAILY!E:E,"Absent"))</f>
        <v/>
      </c>
      <c r="G42" s="5">
        <f>IF(D42=0,"",E42/D42)</f>
        <v/>
      </c>
      <c r="H42" s="4">
        <f>IF(G42="","",IF(G42&lt;0.75,"Low Attendance","OK"))</f>
        <v/>
      </c>
    </row>
    <row r="43">
      <c r="A43">
        <f>IF(MASTER_REGISTER!E43="","",MASTER_REGISTER!E43)</f>
        <v/>
      </c>
      <c r="B43">
        <f>IF(A43="","",MASTER_REGISTER!F43)</f>
        <v/>
      </c>
      <c r="C43">
        <f>IF(A43="","",MASTER_REGISTER!C43)</f>
        <v/>
      </c>
      <c r="D43">
        <f>IF(A43="","",COUNTIF(ATTENDANCE_DAILY!C:C,A43))</f>
        <v/>
      </c>
      <c r="E43">
        <f>IF(A43="","",COUNTIFS(ATTENDANCE_DAILY!C:C,A43,ATTENDANCE_DAILY!E:E,"Present"))</f>
        <v/>
      </c>
      <c r="F43">
        <f>IF(A43="","",COUNTIFS(ATTENDANCE_DAILY!C:C,A43,ATTENDANCE_DAILY!E:E,"Absent"))</f>
        <v/>
      </c>
      <c r="G43" s="5">
        <f>IF(D43=0,"",E43/D43)</f>
        <v/>
      </c>
      <c r="H43" s="4">
        <f>IF(G43="","",IF(G43&lt;0.75,"Low Attendance","OK"))</f>
        <v/>
      </c>
    </row>
    <row r="44">
      <c r="A44">
        <f>IF(MASTER_REGISTER!E44="","",MASTER_REGISTER!E44)</f>
        <v/>
      </c>
      <c r="B44">
        <f>IF(A44="","",MASTER_REGISTER!F44)</f>
        <v/>
      </c>
      <c r="C44">
        <f>IF(A44="","",MASTER_REGISTER!C44)</f>
        <v/>
      </c>
      <c r="D44">
        <f>IF(A44="","",COUNTIF(ATTENDANCE_DAILY!C:C,A44))</f>
        <v/>
      </c>
      <c r="E44">
        <f>IF(A44="","",COUNTIFS(ATTENDANCE_DAILY!C:C,A44,ATTENDANCE_DAILY!E:E,"Present"))</f>
        <v/>
      </c>
      <c r="F44">
        <f>IF(A44="","",COUNTIFS(ATTENDANCE_DAILY!C:C,A44,ATTENDANCE_DAILY!E:E,"Absent"))</f>
        <v/>
      </c>
      <c r="G44" s="5">
        <f>IF(D44=0,"",E44/D44)</f>
        <v/>
      </c>
      <c r="H44" s="4">
        <f>IF(G44="","",IF(G44&lt;0.75,"Low Attendance","OK"))</f>
        <v/>
      </c>
    </row>
    <row r="45">
      <c r="A45">
        <f>IF(MASTER_REGISTER!E45="","",MASTER_REGISTER!E45)</f>
        <v/>
      </c>
      <c r="B45">
        <f>IF(A45="","",MASTER_REGISTER!F45)</f>
        <v/>
      </c>
      <c r="C45">
        <f>IF(A45="","",MASTER_REGISTER!C45)</f>
        <v/>
      </c>
      <c r="D45">
        <f>IF(A45="","",COUNTIF(ATTENDANCE_DAILY!C:C,A45))</f>
        <v/>
      </c>
      <c r="E45">
        <f>IF(A45="","",COUNTIFS(ATTENDANCE_DAILY!C:C,A45,ATTENDANCE_DAILY!E:E,"Present"))</f>
        <v/>
      </c>
      <c r="F45">
        <f>IF(A45="","",COUNTIFS(ATTENDANCE_DAILY!C:C,A45,ATTENDANCE_DAILY!E:E,"Absent"))</f>
        <v/>
      </c>
      <c r="G45" s="5">
        <f>IF(D45=0,"",E45/D45)</f>
        <v/>
      </c>
      <c r="H45" s="4">
        <f>IF(G45="","",IF(G45&lt;0.75,"Low Attendance","OK"))</f>
        <v/>
      </c>
    </row>
    <row r="46">
      <c r="A46">
        <f>IF(MASTER_REGISTER!E46="","",MASTER_REGISTER!E46)</f>
        <v/>
      </c>
      <c r="B46">
        <f>IF(A46="","",MASTER_REGISTER!F46)</f>
        <v/>
      </c>
      <c r="C46">
        <f>IF(A46="","",MASTER_REGISTER!C46)</f>
        <v/>
      </c>
      <c r="D46">
        <f>IF(A46="","",COUNTIF(ATTENDANCE_DAILY!C:C,A46))</f>
        <v/>
      </c>
      <c r="E46">
        <f>IF(A46="","",COUNTIFS(ATTENDANCE_DAILY!C:C,A46,ATTENDANCE_DAILY!E:E,"Present"))</f>
        <v/>
      </c>
      <c r="F46">
        <f>IF(A46="","",COUNTIFS(ATTENDANCE_DAILY!C:C,A46,ATTENDANCE_DAILY!E:E,"Absent"))</f>
        <v/>
      </c>
      <c r="G46" s="5">
        <f>IF(D46=0,"",E46/D46)</f>
        <v/>
      </c>
      <c r="H46" s="4">
        <f>IF(G46="","",IF(G46&lt;0.75,"Low Attendance","OK"))</f>
        <v/>
      </c>
    </row>
    <row r="47">
      <c r="A47">
        <f>IF(MASTER_REGISTER!E47="","",MASTER_REGISTER!E47)</f>
        <v/>
      </c>
      <c r="B47">
        <f>IF(A47="","",MASTER_REGISTER!F47)</f>
        <v/>
      </c>
      <c r="C47">
        <f>IF(A47="","",MASTER_REGISTER!C47)</f>
        <v/>
      </c>
      <c r="D47">
        <f>IF(A47="","",COUNTIF(ATTENDANCE_DAILY!C:C,A47))</f>
        <v/>
      </c>
      <c r="E47">
        <f>IF(A47="","",COUNTIFS(ATTENDANCE_DAILY!C:C,A47,ATTENDANCE_DAILY!E:E,"Present"))</f>
        <v/>
      </c>
      <c r="F47">
        <f>IF(A47="","",COUNTIFS(ATTENDANCE_DAILY!C:C,A47,ATTENDANCE_DAILY!E:E,"Absent"))</f>
        <v/>
      </c>
      <c r="G47" s="5">
        <f>IF(D47=0,"",E47/D47)</f>
        <v/>
      </c>
      <c r="H47" s="4">
        <f>IF(G47="","",IF(G47&lt;0.75,"Low Attendance","OK"))</f>
        <v/>
      </c>
    </row>
    <row r="48">
      <c r="A48">
        <f>IF(MASTER_REGISTER!E48="","",MASTER_REGISTER!E48)</f>
        <v/>
      </c>
      <c r="B48">
        <f>IF(A48="","",MASTER_REGISTER!F48)</f>
        <v/>
      </c>
      <c r="C48">
        <f>IF(A48="","",MASTER_REGISTER!C48)</f>
        <v/>
      </c>
      <c r="D48">
        <f>IF(A48="","",COUNTIF(ATTENDANCE_DAILY!C:C,A48))</f>
        <v/>
      </c>
      <c r="E48">
        <f>IF(A48="","",COUNTIFS(ATTENDANCE_DAILY!C:C,A48,ATTENDANCE_DAILY!E:E,"Present"))</f>
        <v/>
      </c>
      <c r="F48">
        <f>IF(A48="","",COUNTIFS(ATTENDANCE_DAILY!C:C,A48,ATTENDANCE_DAILY!E:E,"Absent"))</f>
        <v/>
      </c>
      <c r="G48" s="5">
        <f>IF(D48=0,"",E48/D48)</f>
        <v/>
      </c>
      <c r="H48" s="4">
        <f>IF(G48="","",IF(G48&lt;0.75,"Low Attendance","OK"))</f>
        <v/>
      </c>
    </row>
    <row r="49">
      <c r="A49">
        <f>IF(MASTER_REGISTER!E49="","",MASTER_REGISTER!E49)</f>
        <v/>
      </c>
      <c r="B49">
        <f>IF(A49="","",MASTER_REGISTER!F49)</f>
        <v/>
      </c>
      <c r="C49">
        <f>IF(A49="","",MASTER_REGISTER!C49)</f>
        <v/>
      </c>
      <c r="D49">
        <f>IF(A49="","",COUNTIF(ATTENDANCE_DAILY!C:C,A49))</f>
        <v/>
      </c>
      <c r="E49">
        <f>IF(A49="","",COUNTIFS(ATTENDANCE_DAILY!C:C,A49,ATTENDANCE_DAILY!E:E,"Present"))</f>
        <v/>
      </c>
      <c r="F49">
        <f>IF(A49="","",COUNTIFS(ATTENDANCE_DAILY!C:C,A49,ATTENDANCE_DAILY!E:E,"Absent"))</f>
        <v/>
      </c>
      <c r="G49" s="5">
        <f>IF(D49=0,"",E49/D49)</f>
        <v/>
      </c>
      <c r="H49" s="4">
        <f>IF(G49="","",IF(G49&lt;0.75,"Low Attendance","OK"))</f>
        <v/>
      </c>
    </row>
    <row r="50">
      <c r="A50">
        <f>IF(MASTER_REGISTER!E50="","",MASTER_REGISTER!E50)</f>
        <v/>
      </c>
      <c r="B50">
        <f>IF(A50="","",MASTER_REGISTER!F50)</f>
        <v/>
      </c>
      <c r="C50">
        <f>IF(A50="","",MASTER_REGISTER!C50)</f>
        <v/>
      </c>
      <c r="D50">
        <f>IF(A50="","",COUNTIF(ATTENDANCE_DAILY!C:C,A50))</f>
        <v/>
      </c>
      <c r="E50">
        <f>IF(A50="","",COUNTIFS(ATTENDANCE_DAILY!C:C,A50,ATTENDANCE_DAILY!E:E,"Present"))</f>
        <v/>
      </c>
      <c r="F50">
        <f>IF(A50="","",COUNTIFS(ATTENDANCE_DAILY!C:C,A50,ATTENDANCE_DAILY!E:E,"Absent"))</f>
        <v/>
      </c>
      <c r="G50" s="5">
        <f>IF(D50=0,"",E50/D50)</f>
        <v/>
      </c>
      <c r="H50" s="4">
        <f>IF(G50="","",IF(G50&lt;0.75,"Low Attendance","OK"))</f>
        <v/>
      </c>
    </row>
    <row r="51">
      <c r="A51">
        <f>IF(MASTER_REGISTER!E51="","",MASTER_REGISTER!E51)</f>
        <v/>
      </c>
      <c r="B51">
        <f>IF(A51="","",MASTER_REGISTER!F51)</f>
        <v/>
      </c>
      <c r="C51">
        <f>IF(A51="","",MASTER_REGISTER!C51)</f>
        <v/>
      </c>
      <c r="D51">
        <f>IF(A51="","",COUNTIF(ATTENDANCE_DAILY!C:C,A51))</f>
        <v/>
      </c>
      <c r="E51">
        <f>IF(A51="","",COUNTIFS(ATTENDANCE_DAILY!C:C,A51,ATTENDANCE_DAILY!E:E,"Present"))</f>
        <v/>
      </c>
      <c r="F51">
        <f>IF(A51="","",COUNTIFS(ATTENDANCE_DAILY!C:C,A51,ATTENDANCE_DAILY!E:E,"Absent"))</f>
        <v/>
      </c>
      <c r="G51" s="5">
        <f>IF(D51=0,"",E51/D51)</f>
        <v/>
      </c>
      <c r="H51" s="4">
        <f>IF(G51="","",IF(G51&lt;0.75,"Low Attendance","OK"))</f>
        <v/>
      </c>
    </row>
    <row r="52">
      <c r="A52">
        <f>IF(MASTER_REGISTER!E52="","",MASTER_REGISTER!E52)</f>
        <v/>
      </c>
      <c r="B52">
        <f>IF(A52="","",MASTER_REGISTER!F52)</f>
        <v/>
      </c>
      <c r="C52">
        <f>IF(A52="","",MASTER_REGISTER!C52)</f>
        <v/>
      </c>
      <c r="D52">
        <f>IF(A52="","",COUNTIF(ATTENDANCE_DAILY!C:C,A52))</f>
        <v/>
      </c>
      <c r="E52">
        <f>IF(A52="","",COUNTIFS(ATTENDANCE_DAILY!C:C,A52,ATTENDANCE_DAILY!E:E,"Present"))</f>
        <v/>
      </c>
      <c r="F52">
        <f>IF(A52="","",COUNTIFS(ATTENDANCE_DAILY!C:C,A52,ATTENDANCE_DAILY!E:E,"Absent"))</f>
        <v/>
      </c>
      <c r="G52" s="5">
        <f>IF(D52=0,"",E52/D52)</f>
        <v/>
      </c>
      <c r="H52" s="4">
        <f>IF(G52="","",IF(G52&lt;0.75,"Low Attendance","OK"))</f>
        <v/>
      </c>
    </row>
    <row r="53">
      <c r="A53">
        <f>IF(MASTER_REGISTER!E53="","",MASTER_REGISTER!E53)</f>
        <v/>
      </c>
      <c r="B53">
        <f>IF(A53="","",MASTER_REGISTER!F53)</f>
        <v/>
      </c>
      <c r="C53">
        <f>IF(A53="","",MASTER_REGISTER!C53)</f>
        <v/>
      </c>
      <c r="D53">
        <f>IF(A53="","",COUNTIF(ATTENDANCE_DAILY!C:C,A53))</f>
        <v/>
      </c>
      <c r="E53">
        <f>IF(A53="","",COUNTIFS(ATTENDANCE_DAILY!C:C,A53,ATTENDANCE_DAILY!E:E,"Present"))</f>
        <v/>
      </c>
      <c r="F53">
        <f>IF(A53="","",COUNTIFS(ATTENDANCE_DAILY!C:C,A53,ATTENDANCE_DAILY!E:E,"Absent"))</f>
        <v/>
      </c>
      <c r="G53" s="5">
        <f>IF(D53=0,"",E53/D53)</f>
        <v/>
      </c>
      <c r="H53" s="4">
        <f>IF(G53="","",IF(G53&lt;0.75,"Low Attendance","OK"))</f>
        <v/>
      </c>
    </row>
    <row r="54">
      <c r="A54">
        <f>IF(MASTER_REGISTER!E54="","",MASTER_REGISTER!E54)</f>
        <v/>
      </c>
      <c r="B54">
        <f>IF(A54="","",MASTER_REGISTER!F54)</f>
        <v/>
      </c>
      <c r="C54">
        <f>IF(A54="","",MASTER_REGISTER!C54)</f>
        <v/>
      </c>
      <c r="D54">
        <f>IF(A54="","",COUNTIF(ATTENDANCE_DAILY!C:C,A54))</f>
        <v/>
      </c>
      <c r="E54">
        <f>IF(A54="","",COUNTIFS(ATTENDANCE_DAILY!C:C,A54,ATTENDANCE_DAILY!E:E,"Present"))</f>
        <v/>
      </c>
      <c r="F54">
        <f>IF(A54="","",COUNTIFS(ATTENDANCE_DAILY!C:C,A54,ATTENDANCE_DAILY!E:E,"Absent"))</f>
        <v/>
      </c>
      <c r="G54" s="5">
        <f>IF(D54=0,"",E54/D54)</f>
        <v/>
      </c>
      <c r="H54" s="4">
        <f>IF(G54="","",IF(G54&lt;0.75,"Low Attendance","OK"))</f>
        <v/>
      </c>
    </row>
    <row r="55">
      <c r="A55">
        <f>IF(MASTER_REGISTER!E55="","",MASTER_REGISTER!E55)</f>
        <v/>
      </c>
      <c r="B55">
        <f>IF(A55="","",MASTER_REGISTER!F55)</f>
        <v/>
      </c>
      <c r="C55">
        <f>IF(A55="","",MASTER_REGISTER!C55)</f>
        <v/>
      </c>
      <c r="D55">
        <f>IF(A55="","",COUNTIF(ATTENDANCE_DAILY!C:C,A55))</f>
        <v/>
      </c>
      <c r="E55">
        <f>IF(A55="","",COUNTIFS(ATTENDANCE_DAILY!C:C,A55,ATTENDANCE_DAILY!E:E,"Present"))</f>
        <v/>
      </c>
      <c r="F55">
        <f>IF(A55="","",COUNTIFS(ATTENDANCE_DAILY!C:C,A55,ATTENDANCE_DAILY!E:E,"Absent"))</f>
        <v/>
      </c>
      <c r="G55" s="5">
        <f>IF(D55=0,"",E55/D55)</f>
        <v/>
      </c>
      <c r="H55" s="4">
        <f>IF(G55="","",IF(G55&lt;0.75,"Low Attendance","OK"))</f>
        <v/>
      </c>
    </row>
    <row r="56">
      <c r="A56">
        <f>IF(MASTER_REGISTER!E56="","",MASTER_REGISTER!E56)</f>
        <v/>
      </c>
      <c r="B56">
        <f>IF(A56="","",MASTER_REGISTER!F56)</f>
        <v/>
      </c>
      <c r="C56">
        <f>IF(A56="","",MASTER_REGISTER!C56)</f>
        <v/>
      </c>
      <c r="D56">
        <f>IF(A56="","",COUNTIF(ATTENDANCE_DAILY!C:C,A56))</f>
        <v/>
      </c>
      <c r="E56">
        <f>IF(A56="","",COUNTIFS(ATTENDANCE_DAILY!C:C,A56,ATTENDANCE_DAILY!E:E,"Present"))</f>
        <v/>
      </c>
      <c r="F56">
        <f>IF(A56="","",COUNTIFS(ATTENDANCE_DAILY!C:C,A56,ATTENDANCE_DAILY!E:E,"Absent"))</f>
        <v/>
      </c>
      <c r="G56" s="5">
        <f>IF(D56=0,"",E56/D56)</f>
        <v/>
      </c>
      <c r="H56" s="4">
        <f>IF(G56="","",IF(G56&lt;0.75,"Low Attendance","OK"))</f>
        <v/>
      </c>
    </row>
    <row r="57">
      <c r="A57">
        <f>IF(MASTER_REGISTER!E57="","",MASTER_REGISTER!E57)</f>
        <v/>
      </c>
      <c r="B57">
        <f>IF(A57="","",MASTER_REGISTER!F57)</f>
        <v/>
      </c>
      <c r="C57">
        <f>IF(A57="","",MASTER_REGISTER!C57)</f>
        <v/>
      </c>
      <c r="D57">
        <f>IF(A57="","",COUNTIF(ATTENDANCE_DAILY!C:C,A57))</f>
        <v/>
      </c>
      <c r="E57">
        <f>IF(A57="","",COUNTIFS(ATTENDANCE_DAILY!C:C,A57,ATTENDANCE_DAILY!E:E,"Present"))</f>
        <v/>
      </c>
      <c r="F57">
        <f>IF(A57="","",COUNTIFS(ATTENDANCE_DAILY!C:C,A57,ATTENDANCE_DAILY!E:E,"Absent"))</f>
        <v/>
      </c>
      <c r="G57" s="5">
        <f>IF(D57=0,"",E57/D57)</f>
        <v/>
      </c>
      <c r="H57" s="4">
        <f>IF(G57="","",IF(G57&lt;0.75,"Low Attendance","OK"))</f>
        <v/>
      </c>
    </row>
    <row r="58">
      <c r="A58">
        <f>IF(MASTER_REGISTER!E58="","",MASTER_REGISTER!E58)</f>
        <v/>
      </c>
      <c r="B58">
        <f>IF(A58="","",MASTER_REGISTER!F58)</f>
        <v/>
      </c>
      <c r="C58">
        <f>IF(A58="","",MASTER_REGISTER!C58)</f>
        <v/>
      </c>
      <c r="D58">
        <f>IF(A58="","",COUNTIF(ATTENDANCE_DAILY!C:C,A58))</f>
        <v/>
      </c>
      <c r="E58">
        <f>IF(A58="","",COUNTIFS(ATTENDANCE_DAILY!C:C,A58,ATTENDANCE_DAILY!E:E,"Present"))</f>
        <v/>
      </c>
      <c r="F58">
        <f>IF(A58="","",COUNTIFS(ATTENDANCE_DAILY!C:C,A58,ATTENDANCE_DAILY!E:E,"Absent"))</f>
        <v/>
      </c>
      <c r="G58" s="5">
        <f>IF(D58=0,"",E58/D58)</f>
        <v/>
      </c>
      <c r="H58" s="4">
        <f>IF(G58="","",IF(G58&lt;0.75,"Low Attendance","OK"))</f>
        <v/>
      </c>
    </row>
    <row r="59">
      <c r="A59">
        <f>IF(MASTER_REGISTER!E59="","",MASTER_REGISTER!E59)</f>
        <v/>
      </c>
      <c r="B59">
        <f>IF(A59="","",MASTER_REGISTER!F59)</f>
        <v/>
      </c>
      <c r="C59">
        <f>IF(A59="","",MASTER_REGISTER!C59)</f>
        <v/>
      </c>
      <c r="D59">
        <f>IF(A59="","",COUNTIF(ATTENDANCE_DAILY!C:C,A59))</f>
        <v/>
      </c>
      <c r="E59">
        <f>IF(A59="","",COUNTIFS(ATTENDANCE_DAILY!C:C,A59,ATTENDANCE_DAILY!E:E,"Present"))</f>
        <v/>
      </c>
      <c r="F59">
        <f>IF(A59="","",COUNTIFS(ATTENDANCE_DAILY!C:C,A59,ATTENDANCE_DAILY!E:E,"Absent"))</f>
        <v/>
      </c>
      <c r="G59" s="5">
        <f>IF(D59=0,"",E59/D59)</f>
        <v/>
      </c>
      <c r="H59" s="4">
        <f>IF(G59="","",IF(G59&lt;0.75,"Low Attendance","OK"))</f>
        <v/>
      </c>
    </row>
    <row r="60">
      <c r="A60">
        <f>IF(MASTER_REGISTER!E60="","",MASTER_REGISTER!E60)</f>
        <v/>
      </c>
      <c r="B60">
        <f>IF(A60="","",MASTER_REGISTER!F60)</f>
        <v/>
      </c>
      <c r="C60">
        <f>IF(A60="","",MASTER_REGISTER!C60)</f>
        <v/>
      </c>
      <c r="D60">
        <f>IF(A60="","",COUNTIF(ATTENDANCE_DAILY!C:C,A60))</f>
        <v/>
      </c>
      <c r="E60">
        <f>IF(A60="","",COUNTIFS(ATTENDANCE_DAILY!C:C,A60,ATTENDANCE_DAILY!E:E,"Present"))</f>
        <v/>
      </c>
      <c r="F60">
        <f>IF(A60="","",COUNTIFS(ATTENDANCE_DAILY!C:C,A60,ATTENDANCE_DAILY!E:E,"Absent"))</f>
        <v/>
      </c>
      <c r="G60" s="5">
        <f>IF(D60=0,"",E60/D60)</f>
        <v/>
      </c>
      <c r="H60" s="4">
        <f>IF(G60="","",IF(G60&lt;0.75,"Low Attendance","OK"))</f>
        <v/>
      </c>
    </row>
    <row r="61">
      <c r="A61">
        <f>IF(MASTER_REGISTER!E61="","",MASTER_REGISTER!E61)</f>
        <v/>
      </c>
      <c r="B61">
        <f>IF(A61="","",MASTER_REGISTER!F61)</f>
        <v/>
      </c>
      <c r="C61">
        <f>IF(A61="","",MASTER_REGISTER!C61)</f>
        <v/>
      </c>
      <c r="D61">
        <f>IF(A61="","",COUNTIF(ATTENDANCE_DAILY!C:C,A61))</f>
        <v/>
      </c>
      <c r="E61">
        <f>IF(A61="","",COUNTIFS(ATTENDANCE_DAILY!C:C,A61,ATTENDANCE_DAILY!E:E,"Present"))</f>
        <v/>
      </c>
      <c r="F61">
        <f>IF(A61="","",COUNTIFS(ATTENDANCE_DAILY!C:C,A61,ATTENDANCE_DAILY!E:E,"Absent"))</f>
        <v/>
      </c>
      <c r="G61" s="5">
        <f>IF(D61=0,"",E61/D61)</f>
        <v/>
      </c>
      <c r="H61" s="4">
        <f>IF(G61="","",IF(G61&lt;0.75,"Low Attendance","OK"))</f>
        <v/>
      </c>
    </row>
    <row r="62">
      <c r="A62">
        <f>IF(MASTER_REGISTER!E62="","",MASTER_REGISTER!E62)</f>
        <v/>
      </c>
      <c r="B62">
        <f>IF(A62="","",MASTER_REGISTER!F62)</f>
        <v/>
      </c>
      <c r="C62">
        <f>IF(A62="","",MASTER_REGISTER!C62)</f>
        <v/>
      </c>
      <c r="D62">
        <f>IF(A62="","",COUNTIF(ATTENDANCE_DAILY!C:C,A62))</f>
        <v/>
      </c>
      <c r="E62">
        <f>IF(A62="","",COUNTIFS(ATTENDANCE_DAILY!C:C,A62,ATTENDANCE_DAILY!E:E,"Present"))</f>
        <v/>
      </c>
      <c r="F62">
        <f>IF(A62="","",COUNTIFS(ATTENDANCE_DAILY!C:C,A62,ATTENDANCE_DAILY!E:E,"Absent"))</f>
        <v/>
      </c>
      <c r="G62" s="5">
        <f>IF(D62=0,"",E62/D62)</f>
        <v/>
      </c>
      <c r="H62" s="4">
        <f>IF(G62="","",IF(G62&lt;0.75,"Low Attendance","OK"))</f>
        <v/>
      </c>
    </row>
    <row r="63">
      <c r="A63">
        <f>IF(MASTER_REGISTER!E63="","",MASTER_REGISTER!E63)</f>
        <v/>
      </c>
      <c r="B63">
        <f>IF(A63="","",MASTER_REGISTER!F63)</f>
        <v/>
      </c>
      <c r="C63">
        <f>IF(A63="","",MASTER_REGISTER!C63)</f>
        <v/>
      </c>
      <c r="D63">
        <f>IF(A63="","",COUNTIF(ATTENDANCE_DAILY!C:C,A63))</f>
        <v/>
      </c>
      <c r="E63">
        <f>IF(A63="","",COUNTIFS(ATTENDANCE_DAILY!C:C,A63,ATTENDANCE_DAILY!E:E,"Present"))</f>
        <v/>
      </c>
      <c r="F63">
        <f>IF(A63="","",COUNTIFS(ATTENDANCE_DAILY!C:C,A63,ATTENDANCE_DAILY!E:E,"Absent"))</f>
        <v/>
      </c>
      <c r="G63" s="5">
        <f>IF(D63=0,"",E63/D63)</f>
        <v/>
      </c>
      <c r="H63" s="4">
        <f>IF(G63="","",IF(G63&lt;0.75,"Low Attendance","OK"))</f>
        <v/>
      </c>
    </row>
    <row r="64">
      <c r="A64">
        <f>IF(MASTER_REGISTER!E64="","",MASTER_REGISTER!E64)</f>
        <v/>
      </c>
      <c r="B64">
        <f>IF(A64="","",MASTER_REGISTER!F64)</f>
        <v/>
      </c>
      <c r="C64">
        <f>IF(A64="","",MASTER_REGISTER!C64)</f>
        <v/>
      </c>
      <c r="D64">
        <f>IF(A64="","",COUNTIF(ATTENDANCE_DAILY!C:C,A64))</f>
        <v/>
      </c>
      <c r="E64">
        <f>IF(A64="","",COUNTIFS(ATTENDANCE_DAILY!C:C,A64,ATTENDANCE_DAILY!E:E,"Present"))</f>
        <v/>
      </c>
      <c r="F64">
        <f>IF(A64="","",COUNTIFS(ATTENDANCE_DAILY!C:C,A64,ATTENDANCE_DAILY!E:E,"Absent"))</f>
        <v/>
      </c>
      <c r="G64" s="5">
        <f>IF(D64=0,"",E64/D64)</f>
        <v/>
      </c>
      <c r="H64" s="4">
        <f>IF(G64="","",IF(G64&lt;0.75,"Low Attendance","OK"))</f>
        <v/>
      </c>
    </row>
    <row r="65">
      <c r="A65">
        <f>IF(MASTER_REGISTER!E65="","",MASTER_REGISTER!E65)</f>
        <v/>
      </c>
      <c r="B65">
        <f>IF(A65="","",MASTER_REGISTER!F65)</f>
        <v/>
      </c>
      <c r="C65">
        <f>IF(A65="","",MASTER_REGISTER!C65)</f>
        <v/>
      </c>
      <c r="D65">
        <f>IF(A65="","",COUNTIF(ATTENDANCE_DAILY!C:C,A65))</f>
        <v/>
      </c>
      <c r="E65">
        <f>IF(A65="","",COUNTIFS(ATTENDANCE_DAILY!C:C,A65,ATTENDANCE_DAILY!E:E,"Present"))</f>
        <v/>
      </c>
      <c r="F65">
        <f>IF(A65="","",COUNTIFS(ATTENDANCE_DAILY!C:C,A65,ATTENDANCE_DAILY!E:E,"Absent"))</f>
        <v/>
      </c>
      <c r="G65" s="5">
        <f>IF(D65=0,"",E65/D65)</f>
        <v/>
      </c>
      <c r="H65" s="4">
        <f>IF(G65="","",IF(G65&lt;0.75,"Low Attendance","OK"))</f>
        <v/>
      </c>
    </row>
    <row r="66">
      <c r="A66">
        <f>IF(MASTER_REGISTER!E66="","",MASTER_REGISTER!E66)</f>
        <v/>
      </c>
      <c r="B66">
        <f>IF(A66="","",MASTER_REGISTER!F66)</f>
        <v/>
      </c>
      <c r="C66">
        <f>IF(A66="","",MASTER_REGISTER!C66)</f>
        <v/>
      </c>
      <c r="D66">
        <f>IF(A66="","",COUNTIF(ATTENDANCE_DAILY!C:C,A66))</f>
        <v/>
      </c>
      <c r="E66">
        <f>IF(A66="","",COUNTIFS(ATTENDANCE_DAILY!C:C,A66,ATTENDANCE_DAILY!E:E,"Present"))</f>
        <v/>
      </c>
      <c r="F66">
        <f>IF(A66="","",COUNTIFS(ATTENDANCE_DAILY!C:C,A66,ATTENDANCE_DAILY!E:E,"Absent"))</f>
        <v/>
      </c>
      <c r="G66" s="5">
        <f>IF(D66=0,"",E66/D66)</f>
        <v/>
      </c>
      <c r="H66" s="4">
        <f>IF(G66="","",IF(G66&lt;0.75,"Low Attendance","OK"))</f>
        <v/>
      </c>
    </row>
    <row r="67">
      <c r="A67">
        <f>IF(MASTER_REGISTER!E67="","",MASTER_REGISTER!E67)</f>
        <v/>
      </c>
      <c r="B67">
        <f>IF(A67="","",MASTER_REGISTER!F67)</f>
        <v/>
      </c>
      <c r="C67">
        <f>IF(A67="","",MASTER_REGISTER!C67)</f>
        <v/>
      </c>
      <c r="D67">
        <f>IF(A67="","",COUNTIF(ATTENDANCE_DAILY!C:C,A67))</f>
        <v/>
      </c>
      <c r="E67">
        <f>IF(A67="","",COUNTIFS(ATTENDANCE_DAILY!C:C,A67,ATTENDANCE_DAILY!E:E,"Present"))</f>
        <v/>
      </c>
      <c r="F67">
        <f>IF(A67="","",COUNTIFS(ATTENDANCE_DAILY!C:C,A67,ATTENDANCE_DAILY!E:E,"Absent"))</f>
        <v/>
      </c>
      <c r="G67" s="5">
        <f>IF(D67=0,"",E67/D67)</f>
        <v/>
      </c>
      <c r="H67" s="4">
        <f>IF(G67="","",IF(G67&lt;0.75,"Low Attendance","OK"))</f>
        <v/>
      </c>
    </row>
    <row r="68">
      <c r="A68">
        <f>IF(MASTER_REGISTER!E68="","",MASTER_REGISTER!E68)</f>
        <v/>
      </c>
      <c r="B68">
        <f>IF(A68="","",MASTER_REGISTER!F68)</f>
        <v/>
      </c>
      <c r="C68">
        <f>IF(A68="","",MASTER_REGISTER!C68)</f>
        <v/>
      </c>
      <c r="D68">
        <f>IF(A68="","",COUNTIF(ATTENDANCE_DAILY!C:C,A68))</f>
        <v/>
      </c>
      <c r="E68">
        <f>IF(A68="","",COUNTIFS(ATTENDANCE_DAILY!C:C,A68,ATTENDANCE_DAILY!E:E,"Present"))</f>
        <v/>
      </c>
      <c r="F68">
        <f>IF(A68="","",COUNTIFS(ATTENDANCE_DAILY!C:C,A68,ATTENDANCE_DAILY!E:E,"Absent"))</f>
        <v/>
      </c>
      <c r="G68" s="5">
        <f>IF(D68=0,"",E68/D68)</f>
        <v/>
      </c>
      <c r="H68" s="4">
        <f>IF(G68="","",IF(G68&lt;0.75,"Low Attendance","OK"))</f>
        <v/>
      </c>
    </row>
    <row r="69">
      <c r="A69">
        <f>IF(MASTER_REGISTER!E69="","",MASTER_REGISTER!E69)</f>
        <v/>
      </c>
      <c r="B69">
        <f>IF(A69="","",MASTER_REGISTER!F69)</f>
        <v/>
      </c>
      <c r="C69">
        <f>IF(A69="","",MASTER_REGISTER!C69)</f>
        <v/>
      </c>
      <c r="D69">
        <f>IF(A69="","",COUNTIF(ATTENDANCE_DAILY!C:C,A69))</f>
        <v/>
      </c>
      <c r="E69">
        <f>IF(A69="","",COUNTIFS(ATTENDANCE_DAILY!C:C,A69,ATTENDANCE_DAILY!E:E,"Present"))</f>
        <v/>
      </c>
      <c r="F69">
        <f>IF(A69="","",COUNTIFS(ATTENDANCE_DAILY!C:C,A69,ATTENDANCE_DAILY!E:E,"Absent"))</f>
        <v/>
      </c>
      <c r="G69" s="5">
        <f>IF(D69=0,"",E69/D69)</f>
        <v/>
      </c>
      <c r="H69" s="4">
        <f>IF(G69="","",IF(G69&lt;0.75,"Low Attendance","OK"))</f>
        <v/>
      </c>
    </row>
    <row r="70">
      <c r="A70">
        <f>IF(MASTER_REGISTER!E70="","",MASTER_REGISTER!E70)</f>
        <v/>
      </c>
      <c r="B70">
        <f>IF(A70="","",MASTER_REGISTER!F70)</f>
        <v/>
      </c>
      <c r="C70">
        <f>IF(A70="","",MASTER_REGISTER!C70)</f>
        <v/>
      </c>
      <c r="D70">
        <f>IF(A70="","",COUNTIF(ATTENDANCE_DAILY!C:C,A70))</f>
        <v/>
      </c>
      <c r="E70">
        <f>IF(A70="","",COUNTIFS(ATTENDANCE_DAILY!C:C,A70,ATTENDANCE_DAILY!E:E,"Present"))</f>
        <v/>
      </c>
      <c r="F70">
        <f>IF(A70="","",COUNTIFS(ATTENDANCE_DAILY!C:C,A70,ATTENDANCE_DAILY!E:E,"Absent"))</f>
        <v/>
      </c>
      <c r="G70" s="5">
        <f>IF(D70=0,"",E70/D70)</f>
        <v/>
      </c>
      <c r="H70" s="4">
        <f>IF(G70="","",IF(G70&lt;0.75,"Low Attendance","OK"))</f>
        <v/>
      </c>
    </row>
    <row r="71">
      <c r="A71">
        <f>IF(MASTER_REGISTER!E71="","",MASTER_REGISTER!E71)</f>
        <v/>
      </c>
      <c r="B71">
        <f>IF(A71="","",MASTER_REGISTER!F71)</f>
        <v/>
      </c>
      <c r="C71">
        <f>IF(A71="","",MASTER_REGISTER!C71)</f>
        <v/>
      </c>
      <c r="D71">
        <f>IF(A71="","",COUNTIF(ATTENDANCE_DAILY!C:C,A71))</f>
        <v/>
      </c>
      <c r="E71">
        <f>IF(A71="","",COUNTIFS(ATTENDANCE_DAILY!C:C,A71,ATTENDANCE_DAILY!E:E,"Present"))</f>
        <v/>
      </c>
      <c r="F71">
        <f>IF(A71="","",COUNTIFS(ATTENDANCE_DAILY!C:C,A71,ATTENDANCE_DAILY!E:E,"Absent"))</f>
        <v/>
      </c>
      <c r="G71" s="5">
        <f>IF(D71=0,"",E71/D71)</f>
        <v/>
      </c>
      <c r="H71" s="4">
        <f>IF(G71="","",IF(G71&lt;0.75,"Low Attendance","OK"))</f>
        <v/>
      </c>
    </row>
    <row r="72">
      <c r="A72">
        <f>IF(MASTER_REGISTER!E72="","",MASTER_REGISTER!E72)</f>
        <v/>
      </c>
      <c r="B72">
        <f>IF(A72="","",MASTER_REGISTER!F72)</f>
        <v/>
      </c>
      <c r="C72">
        <f>IF(A72="","",MASTER_REGISTER!C72)</f>
        <v/>
      </c>
      <c r="D72">
        <f>IF(A72="","",COUNTIF(ATTENDANCE_DAILY!C:C,A72))</f>
        <v/>
      </c>
      <c r="E72">
        <f>IF(A72="","",COUNTIFS(ATTENDANCE_DAILY!C:C,A72,ATTENDANCE_DAILY!E:E,"Present"))</f>
        <v/>
      </c>
      <c r="F72">
        <f>IF(A72="","",COUNTIFS(ATTENDANCE_DAILY!C:C,A72,ATTENDANCE_DAILY!E:E,"Absent"))</f>
        <v/>
      </c>
      <c r="G72" s="5">
        <f>IF(D72=0,"",E72/D72)</f>
        <v/>
      </c>
      <c r="H72" s="4">
        <f>IF(G72="","",IF(G72&lt;0.75,"Low Attendance","OK"))</f>
        <v/>
      </c>
    </row>
    <row r="73">
      <c r="A73">
        <f>IF(MASTER_REGISTER!E73="","",MASTER_REGISTER!E73)</f>
        <v/>
      </c>
      <c r="B73">
        <f>IF(A73="","",MASTER_REGISTER!F73)</f>
        <v/>
      </c>
      <c r="C73">
        <f>IF(A73="","",MASTER_REGISTER!C73)</f>
        <v/>
      </c>
      <c r="D73">
        <f>IF(A73="","",COUNTIF(ATTENDANCE_DAILY!C:C,A73))</f>
        <v/>
      </c>
      <c r="E73">
        <f>IF(A73="","",COUNTIFS(ATTENDANCE_DAILY!C:C,A73,ATTENDANCE_DAILY!E:E,"Present"))</f>
        <v/>
      </c>
      <c r="F73">
        <f>IF(A73="","",COUNTIFS(ATTENDANCE_DAILY!C:C,A73,ATTENDANCE_DAILY!E:E,"Absent"))</f>
        <v/>
      </c>
      <c r="G73" s="5">
        <f>IF(D73=0,"",E73/D73)</f>
        <v/>
      </c>
      <c r="H73" s="4">
        <f>IF(G73="","",IF(G73&lt;0.75,"Low Attendance","OK"))</f>
        <v/>
      </c>
    </row>
    <row r="74">
      <c r="A74">
        <f>IF(MASTER_REGISTER!E74="","",MASTER_REGISTER!E74)</f>
        <v/>
      </c>
      <c r="B74">
        <f>IF(A74="","",MASTER_REGISTER!F74)</f>
        <v/>
      </c>
      <c r="C74">
        <f>IF(A74="","",MASTER_REGISTER!C74)</f>
        <v/>
      </c>
      <c r="D74">
        <f>IF(A74="","",COUNTIF(ATTENDANCE_DAILY!C:C,A74))</f>
        <v/>
      </c>
      <c r="E74">
        <f>IF(A74="","",COUNTIFS(ATTENDANCE_DAILY!C:C,A74,ATTENDANCE_DAILY!E:E,"Present"))</f>
        <v/>
      </c>
      <c r="F74">
        <f>IF(A74="","",COUNTIFS(ATTENDANCE_DAILY!C:C,A74,ATTENDANCE_DAILY!E:E,"Absent"))</f>
        <v/>
      </c>
      <c r="G74" s="5">
        <f>IF(D74=0,"",E74/D74)</f>
        <v/>
      </c>
      <c r="H74" s="4">
        <f>IF(G74="","",IF(G74&lt;0.75,"Low Attendance","OK"))</f>
        <v/>
      </c>
    </row>
    <row r="75">
      <c r="A75">
        <f>IF(MASTER_REGISTER!E75="","",MASTER_REGISTER!E75)</f>
        <v/>
      </c>
      <c r="B75">
        <f>IF(A75="","",MASTER_REGISTER!F75)</f>
        <v/>
      </c>
      <c r="C75">
        <f>IF(A75="","",MASTER_REGISTER!C75)</f>
        <v/>
      </c>
      <c r="D75">
        <f>IF(A75="","",COUNTIF(ATTENDANCE_DAILY!C:C,A75))</f>
        <v/>
      </c>
      <c r="E75">
        <f>IF(A75="","",COUNTIFS(ATTENDANCE_DAILY!C:C,A75,ATTENDANCE_DAILY!E:E,"Present"))</f>
        <v/>
      </c>
      <c r="F75">
        <f>IF(A75="","",COUNTIFS(ATTENDANCE_DAILY!C:C,A75,ATTENDANCE_DAILY!E:E,"Absent"))</f>
        <v/>
      </c>
      <c r="G75" s="5">
        <f>IF(D75=0,"",E75/D75)</f>
        <v/>
      </c>
      <c r="H75" s="4">
        <f>IF(G75="","",IF(G75&lt;0.75,"Low Attendance","OK"))</f>
        <v/>
      </c>
    </row>
    <row r="76">
      <c r="A76">
        <f>IF(MASTER_REGISTER!E76="","",MASTER_REGISTER!E76)</f>
        <v/>
      </c>
      <c r="B76">
        <f>IF(A76="","",MASTER_REGISTER!F76)</f>
        <v/>
      </c>
      <c r="C76">
        <f>IF(A76="","",MASTER_REGISTER!C76)</f>
        <v/>
      </c>
      <c r="D76">
        <f>IF(A76="","",COUNTIF(ATTENDANCE_DAILY!C:C,A76))</f>
        <v/>
      </c>
      <c r="E76">
        <f>IF(A76="","",COUNTIFS(ATTENDANCE_DAILY!C:C,A76,ATTENDANCE_DAILY!E:E,"Present"))</f>
        <v/>
      </c>
      <c r="F76">
        <f>IF(A76="","",COUNTIFS(ATTENDANCE_DAILY!C:C,A76,ATTENDANCE_DAILY!E:E,"Absent"))</f>
        <v/>
      </c>
      <c r="G76" s="5">
        <f>IF(D76=0,"",E76/D76)</f>
        <v/>
      </c>
      <c r="H76" s="4">
        <f>IF(G76="","",IF(G76&lt;0.75,"Low Attendance","OK"))</f>
        <v/>
      </c>
    </row>
    <row r="77">
      <c r="A77">
        <f>IF(MASTER_REGISTER!E77="","",MASTER_REGISTER!E77)</f>
        <v/>
      </c>
      <c r="B77">
        <f>IF(A77="","",MASTER_REGISTER!F77)</f>
        <v/>
      </c>
      <c r="C77">
        <f>IF(A77="","",MASTER_REGISTER!C77)</f>
        <v/>
      </c>
      <c r="D77">
        <f>IF(A77="","",COUNTIF(ATTENDANCE_DAILY!C:C,A77))</f>
        <v/>
      </c>
      <c r="E77">
        <f>IF(A77="","",COUNTIFS(ATTENDANCE_DAILY!C:C,A77,ATTENDANCE_DAILY!E:E,"Present"))</f>
        <v/>
      </c>
      <c r="F77">
        <f>IF(A77="","",COUNTIFS(ATTENDANCE_DAILY!C:C,A77,ATTENDANCE_DAILY!E:E,"Absent"))</f>
        <v/>
      </c>
      <c r="G77" s="5">
        <f>IF(D77=0,"",E77/D77)</f>
        <v/>
      </c>
      <c r="H77" s="4">
        <f>IF(G77="","",IF(G77&lt;0.75,"Low Attendance","OK"))</f>
        <v/>
      </c>
    </row>
    <row r="78">
      <c r="A78">
        <f>IF(MASTER_REGISTER!E78="","",MASTER_REGISTER!E78)</f>
        <v/>
      </c>
      <c r="B78">
        <f>IF(A78="","",MASTER_REGISTER!F78)</f>
        <v/>
      </c>
      <c r="C78">
        <f>IF(A78="","",MASTER_REGISTER!C78)</f>
        <v/>
      </c>
      <c r="D78">
        <f>IF(A78="","",COUNTIF(ATTENDANCE_DAILY!C:C,A78))</f>
        <v/>
      </c>
      <c r="E78">
        <f>IF(A78="","",COUNTIFS(ATTENDANCE_DAILY!C:C,A78,ATTENDANCE_DAILY!E:E,"Present"))</f>
        <v/>
      </c>
      <c r="F78">
        <f>IF(A78="","",COUNTIFS(ATTENDANCE_DAILY!C:C,A78,ATTENDANCE_DAILY!E:E,"Absent"))</f>
        <v/>
      </c>
      <c r="G78" s="5">
        <f>IF(D78=0,"",E78/D78)</f>
        <v/>
      </c>
      <c r="H78" s="4">
        <f>IF(G78="","",IF(G78&lt;0.75,"Low Attendance","OK"))</f>
        <v/>
      </c>
    </row>
    <row r="79">
      <c r="A79">
        <f>IF(MASTER_REGISTER!E79="","",MASTER_REGISTER!E79)</f>
        <v/>
      </c>
      <c r="B79">
        <f>IF(A79="","",MASTER_REGISTER!F79)</f>
        <v/>
      </c>
      <c r="C79">
        <f>IF(A79="","",MASTER_REGISTER!C79)</f>
        <v/>
      </c>
      <c r="D79">
        <f>IF(A79="","",COUNTIF(ATTENDANCE_DAILY!C:C,A79))</f>
        <v/>
      </c>
      <c r="E79">
        <f>IF(A79="","",COUNTIFS(ATTENDANCE_DAILY!C:C,A79,ATTENDANCE_DAILY!E:E,"Present"))</f>
        <v/>
      </c>
      <c r="F79">
        <f>IF(A79="","",COUNTIFS(ATTENDANCE_DAILY!C:C,A79,ATTENDANCE_DAILY!E:E,"Absent"))</f>
        <v/>
      </c>
      <c r="G79" s="5">
        <f>IF(D79=0,"",E79/D79)</f>
        <v/>
      </c>
      <c r="H79" s="4">
        <f>IF(G79="","",IF(G79&lt;0.75,"Low Attendance","OK"))</f>
        <v/>
      </c>
    </row>
    <row r="80">
      <c r="A80">
        <f>IF(MASTER_REGISTER!E80="","",MASTER_REGISTER!E80)</f>
        <v/>
      </c>
      <c r="B80">
        <f>IF(A80="","",MASTER_REGISTER!F80)</f>
        <v/>
      </c>
      <c r="C80">
        <f>IF(A80="","",MASTER_REGISTER!C80)</f>
        <v/>
      </c>
      <c r="D80">
        <f>IF(A80="","",COUNTIF(ATTENDANCE_DAILY!C:C,A80))</f>
        <v/>
      </c>
      <c r="E80">
        <f>IF(A80="","",COUNTIFS(ATTENDANCE_DAILY!C:C,A80,ATTENDANCE_DAILY!E:E,"Present"))</f>
        <v/>
      </c>
      <c r="F80">
        <f>IF(A80="","",COUNTIFS(ATTENDANCE_DAILY!C:C,A80,ATTENDANCE_DAILY!E:E,"Absent"))</f>
        <v/>
      </c>
      <c r="G80" s="5">
        <f>IF(D80=0,"",E80/D80)</f>
        <v/>
      </c>
      <c r="H80" s="4">
        <f>IF(G80="","",IF(G80&lt;0.75,"Low Attendance","OK"))</f>
        <v/>
      </c>
    </row>
    <row r="81">
      <c r="A81">
        <f>IF(MASTER_REGISTER!E81="","",MASTER_REGISTER!E81)</f>
        <v/>
      </c>
      <c r="B81">
        <f>IF(A81="","",MASTER_REGISTER!F81)</f>
        <v/>
      </c>
      <c r="C81">
        <f>IF(A81="","",MASTER_REGISTER!C81)</f>
        <v/>
      </c>
      <c r="D81">
        <f>IF(A81="","",COUNTIF(ATTENDANCE_DAILY!C:C,A81))</f>
        <v/>
      </c>
      <c r="E81">
        <f>IF(A81="","",COUNTIFS(ATTENDANCE_DAILY!C:C,A81,ATTENDANCE_DAILY!E:E,"Present"))</f>
        <v/>
      </c>
      <c r="F81">
        <f>IF(A81="","",COUNTIFS(ATTENDANCE_DAILY!C:C,A81,ATTENDANCE_DAILY!E:E,"Absent"))</f>
        <v/>
      </c>
      <c r="G81" s="5">
        <f>IF(D81=0,"",E81/D81)</f>
        <v/>
      </c>
      <c r="H81" s="4">
        <f>IF(G81="","",IF(G81&lt;0.75,"Low Attendance","OK"))</f>
        <v/>
      </c>
    </row>
    <row r="82">
      <c r="A82">
        <f>IF(MASTER_REGISTER!E82="","",MASTER_REGISTER!E82)</f>
        <v/>
      </c>
      <c r="B82">
        <f>IF(A82="","",MASTER_REGISTER!F82)</f>
        <v/>
      </c>
      <c r="C82">
        <f>IF(A82="","",MASTER_REGISTER!C82)</f>
        <v/>
      </c>
      <c r="D82">
        <f>IF(A82="","",COUNTIF(ATTENDANCE_DAILY!C:C,A82))</f>
        <v/>
      </c>
      <c r="E82">
        <f>IF(A82="","",COUNTIFS(ATTENDANCE_DAILY!C:C,A82,ATTENDANCE_DAILY!E:E,"Present"))</f>
        <v/>
      </c>
      <c r="F82">
        <f>IF(A82="","",COUNTIFS(ATTENDANCE_DAILY!C:C,A82,ATTENDANCE_DAILY!E:E,"Absent"))</f>
        <v/>
      </c>
      <c r="G82" s="5">
        <f>IF(D82=0,"",E82/D82)</f>
        <v/>
      </c>
      <c r="H82" s="4">
        <f>IF(G82="","",IF(G82&lt;0.75,"Low Attendance","OK"))</f>
        <v/>
      </c>
    </row>
    <row r="83">
      <c r="A83">
        <f>IF(MASTER_REGISTER!E83="","",MASTER_REGISTER!E83)</f>
        <v/>
      </c>
      <c r="B83">
        <f>IF(A83="","",MASTER_REGISTER!F83)</f>
        <v/>
      </c>
      <c r="C83">
        <f>IF(A83="","",MASTER_REGISTER!C83)</f>
        <v/>
      </c>
      <c r="D83">
        <f>IF(A83="","",COUNTIF(ATTENDANCE_DAILY!C:C,A83))</f>
        <v/>
      </c>
      <c r="E83">
        <f>IF(A83="","",COUNTIFS(ATTENDANCE_DAILY!C:C,A83,ATTENDANCE_DAILY!E:E,"Present"))</f>
        <v/>
      </c>
      <c r="F83">
        <f>IF(A83="","",COUNTIFS(ATTENDANCE_DAILY!C:C,A83,ATTENDANCE_DAILY!E:E,"Absent"))</f>
        <v/>
      </c>
      <c r="G83" s="5">
        <f>IF(D83=0,"",E83/D83)</f>
        <v/>
      </c>
      <c r="H83" s="4">
        <f>IF(G83="","",IF(G83&lt;0.75,"Low Attendance","OK"))</f>
        <v/>
      </c>
    </row>
    <row r="84">
      <c r="A84">
        <f>IF(MASTER_REGISTER!E84="","",MASTER_REGISTER!E84)</f>
        <v/>
      </c>
      <c r="B84">
        <f>IF(A84="","",MASTER_REGISTER!F84)</f>
        <v/>
      </c>
      <c r="C84">
        <f>IF(A84="","",MASTER_REGISTER!C84)</f>
        <v/>
      </c>
      <c r="D84">
        <f>IF(A84="","",COUNTIF(ATTENDANCE_DAILY!C:C,A84))</f>
        <v/>
      </c>
      <c r="E84">
        <f>IF(A84="","",COUNTIFS(ATTENDANCE_DAILY!C:C,A84,ATTENDANCE_DAILY!E:E,"Present"))</f>
        <v/>
      </c>
      <c r="F84">
        <f>IF(A84="","",COUNTIFS(ATTENDANCE_DAILY!C:C,A84,ATTENDANCE_DAILY!E:E,"Absent"))</f>
        <v/>
      </c>
      <c r="G84" s="5">
        <f>IF(D84=0,"",E84/D84)</f>
        <v/>
      </c>
      <c r="H84" s="4">
        <f>IF(G84="","",IF(G84&lt;0.75,"Low Attendance","OK"))</f>
        <v/>
      </c>
    </row>
    <row r="85">
      <c r="A85">
        <f>IF(MASTER_REGISTER!E85="","",MASTER_REGISTER!E85)</f>
        <v/>
      </c>
      <c r="B85">
        <f>IF(A85="","",MASTER_REGISTER!F85)</f>
        <v/>
      </c>
      <c r="C85">
        <f>IF(A85="","",MASTER_REGISTER!C85)</f>
        <v/>
      </c>
      <c r="D85">
        <f>IF(A85="","",COUNTIF(ATTENDANCE_DAILY!C:C,A85))</f>
        <v/>
      </c>
      <c r="E85">
        <f>IF(A85="","",COUNTIFS(ATTENDANCE_DAILY!C:C,A85,ATTENDANCE_DAILY!E:E,"Present"))</f>
        <v/>
      </c>
      <c r="F85">
        <f>IF(A85="","",COUNTIFS(ATTENDANCE_DAILY!C:C,A85,ATTENDANCE_DAILY!E:E,"Absent"))</f>
        <v/>
      </c>
      <c r="G85" s="5">
        <f>IF(D85=0,"",E85/D85)</f>
        <v/>
      </c>
      <c r="H85" s="4">
        <f>IF(G85="","",IF(G85&lt;0.75,"Low Attendance","OK"))</f>
        <v/>
      </c>
    </row>
    <row r="86">
      <c r="A86">
        <f>IF(MASTER_REGISTER!E86="","",MASTER_REGISTER!E86)</f>
        <v/>
      </c>
      <c r="B86">
        <f>IF(A86="","",MASTER_REGISTER!F86)</f>
        <v/>
      </c>
      <c r="C86">
        <f>IF(A86="","",MASTER_REGISTER!C86)</f>
        <v/>
      </c>
      <c r="D86">
        <f>IF(A86="","",COUNTIF(ATTENDANCE_DAILY!C:C,A86))</f>
        <v/>
      </c>
      <c r="E86">
        <f>IF(A86="","",COUNTIFS(ATTENDANCE_DAILY!C:C,A86,ATTENDANCE_DAILY!E:E,"Present"))</f>
        <v/>
      </c>
      <c r="F86">
        <f>IF(A86="","",COUNTIFS(ATTENDANCE_DAILY!C:C,A86,ATTENDANCE_DAILY!E:E,"Absent"))</f>
        <v/>
      </c>
      <c r="G86" s="5">
        <f>IF(D86=0,"",E86/D86)</f>
        <v/>
      </c>
      <c r="H86" s="4">
        <f>IF(G86="","",IF(G86&lt;0.75,"Low Attendance","OK"))</f>
        <v/>
      </c>
    </row>
    <row r="87">
      <c r="A87">
        <f>IF(MASTER_REGISTER!E87="","",MASTER_REGISTER!E87)</f>
        <v/>
      </c>
      <c r="B87">
        <f>IF(A87="","",MASTER_REGISTER!F87)</f>
        <v/>
      </c>
      <c r="C87">
        <f>IF(A87="","",MASTER_REGISTER!C87)</f>
        <v/>
      </c>
      <c r="D87">
        <f>IF(A87="","",COUNTIF(ATTENDANCE_DAILY!C:C,A87))</f>
        <v/>
      </c>
      <c r="E87">
        <f>IF(A87="","",COUNTIFS(ATTENDANCE_DAILY!C:C,A87,ATTENDANCE_DAILY!E:E,"Present"))</f>
        <v/>
      </c>
      <c r="F87">
        <f>IF(A87="","",COUNTIFS(ATTENDANCE_DAILY!C:C,A87,ATTENDANCE_DAILY!E:E,"Absent"))</f>
        <v/>
      </c>
      <c r="G87" s="5">
        <f>IF(D87=0,"",E87/D87)</f>
        <v/>
      </c>
      <c r="H87" s="4">
        <f>IF(G87="","",IF(G87&lt;0.75,"Low Attendance","OK"))</f>
        <v/>
      </c>
    </row>
    <row r="88">
      <c r="A88">
        <f>IF(MASTER_REGISTER!E88="","",MASTER_REGISTER!E88)</f>
        <v/>
      </c>
      <c r="B88">
        <f>IF(A88="","",MASTER_REGISTER!F88)</f>
        <v/>
      </c>
      <c r="C88">
        <f>IF(A88="","",MASTER_REGISTER!C88)</f>
        <v/>
      </c>
      <c r="D88">
        <f>IF(A88="","",COUNTIF(ATTENDANCE_DAILY!C:C,A88))</f>
        <v/>
      </c>
      <c r="E88">
        <f>IF(A88="","",COUNTIFS(ATTENDANCE_DAILY!C:C,A88,ATTENDANCE_DAILY!E:E,"Present"))</f>
        <v/>
      </c>
      <c r="F88">
        <f>IF(A88="","",COUNTIFS(ATTENDANCE_DAILY!C:C,A88,ATTENDANCE_DAILY!E:E,"Absent"))</f>
        <v/>
      </c>
      <c r="G88" s="5">
        <f>IF(D88=0,"",E88/D88)</f>
        <v/>
      </c>
      <c r="H88" s="4">
        <f>IF(G88="","",IF(G88&lt;0.75,"Low Attendance","OK"))</f>
        <v/>
      </c>
    </row>
    <row r="89">
      <c r="A89">
        <f>IF(MASTER_REGISTER!E89="","",MASTER_REGISTER!E89)</f>
        <v/>
      </c>
      <c r="B89">
        <f>IF(A89="","",MASTER_REGISTER!F89)</f>
        <v/>
      </c>
      <c r="C89">
        <f>IF(A89="","",MASTER_REGISTER!C89)</f>
        <v/>
      </c>
      <c r="D89">
        <f>IF(A89="","",COUNTIF(ATTENDANCE_DAILY!C:C,A89))</f>
        <v/>
      </c>
      <c r="E89">
        <f>IF(A89="","",COUNTIFS(ATTENDANCE_DAILY!C:C,A89,ATTENDANCE_DAILY!E:E,"Present"))</f>
        <v/>
      </c>
      <c r="F89">
        <f>IF(A89="","",COUNTIFS(ATTENDANCE_DAILY!C:C,A89,ATTENDANCE_DAILY!E:E,"Absent"))</f>
        <v/>
      </c>
      <c r="G89" s="5">
        <f>IF(D89=0,"",E89/D89)</f>
        <v/>
      </c>
      <c r="H89" s="4">
        <f>IF(G89="","",IF(G89&lt;0.75,"Low Attendance","OK"))</f>
        <v/>
      </c>
    </row>
    <row r="90">
      <c r="A90">
        <f>IF(MASTER_REGISTER!E90="","",MASTER_REGISTER!E90)</f>
        <v/>
      </c>
      <c r="B90">
        <f>IF(A90="","",MASTER_REGISTER!F90)</f>
        <v/>
      </c>
      <c r="C90">
        <f>IF(A90="","",MASTER_REGISTER!C90)</f>
        <v/>
      </c>
      <c r="D90">
        <f>IF(A90="","",COUNTIF(ATTENDANCE_DAILY!C:C,A90))</f>
        <v/>
      </c>
      <c r="E90">
        <f>IF(A90="","",COUNTIFS(ATTENDANCE_DAILY!C:C,A90,ATTENDANCE_DAILY!E:E,"Present"))</f>
        <v/>
      </c>
      <c r="F90">
        <f>IF(A90="","",COUNTIFS(ATTENDANCE_DAILY!C:C,A90,ATTENDANCE_DAILY!E:E,"Absent"))</f>
        <v/>
      </c>
      <c r="G90" s="5">
        <f>IF(D90=0,"",E90/D90)</f>
        <v/>
      </c>
      <c r="H90" s="4">
        <f>IF(G90="","",IF(G90&lt;0.75,"Low Attendance","OK"))</f>
        <v/>
      </c>
    </row>
    <row r="91">
      <c r="A91">
        <f>IF(MASTER_REGISTER!E91="","",MASTER_REGISTER!E91)</f>
        <v/>
      </c>
      <c r="B91">
        <f>IF(A91="","",MASTER_REGISTER!F91)</f>
        <v/>
      </c>
      <c r="C91">
        <f>IF(A91="","",MASTER_REGISTER!C91)</f>
        <v/>
      </c>
      <c r="D91">
        <f>IF(A91="","",COUNTIF(ATTENDANCE_DAILY!C:C,A91))</f>
        <v/>
      </c>
      <c r="E91">
        <f>IF(A91="","",COUNTIFS(ATTENDANCE_DAILY!C:C,A91,ATTENDANCE_DAILY!E:E,"Present"))</f>
        <v/>
      </c>
      <c r="F91">
        <f>IF(A91="","",COUNTIFS(ATTENDANCE_DAILY!C:C,A91,ATTENDANCE_DAILY!E:E,"Absent"))</f>
        <v/>
      </c>
      <c r="G91" s="5">
        <f>IF(D91=0,"",E91/D91)</f>
        <v/>
      </c>
      <c r="H91" s="4">
        <f>IF(G91="","",IF(G91&lt;0.75,"Low Attendance","OK"))</f>
        <v/>
      </c>
    </row>
    <row r="92">
      <c r="A92">
        <f>IF(MASTER_REGISTER!E92="","",MASTER_REGISTER!E92)</f>
        <v/>
      </c>
      <c r="B92">
        <f>IF(A92="","",MASTER_REGISTER!F92)</f>
        <v/>
      </c>
      <c r="C92">
        <f>IF(A92="","",MASTER_REGISTER!C92)</f>
        <v/>
      </c>
      <c r="D92">
        <f>IF(A92="","",COUNTIF(ATTENDANCE_DAILY!C:C,A92))</f>
        <v/>
      </c>
      <c r="E92">
        <f>IF(A92="","",COUNTIFS(ATTENDANCE_DAILY!C:C,A92,ATTENDANCE_DAILY!E:E,"Present"))</f>
        <v/>
      </c>
      <c r="F92">
        <f>IF(A92="","",COUNTIFS(ATTENDANCE_DAILY!C:C,A92,ATTENDANCE_DAILY!E:E,"Absent"))</f>
        <v/>
      </c>
      <c r="G92" s="5">
        <f>IF(D92=0,"",E92/D92)</f>
        <v/>
      </c>
      <c r="H92" s="4">
        <f>IF(G92="","",IF(G92&lt;0.75,"Low Attendance","OK"))</f>
        <v/>
      </c>
    </row>
    <row r="93">
      <c r="A93">
        <f>IF(MASTER_REGISTER!E93="","",MASTER_REGISTER!E93)</f>
        <v/>
      </c>
      <c r="B93">
        <f>IF(A93="","",MASTER_REGISTER!F93)</f>
        <v/>
      </c>
      <c r="C93">
        <f>IF(A93="","",MASTER_REGISTER!C93)</f>
        <v/>
      </c>
      <c r="D93">
        <f>IF(A93="","",COUNTIF(ATTENDANCE_DAILY!C:C,A93))</f>
        <v/>
      </c>
      <c r="E93">
        <f>IF(A93="","",COUNTIFS(ATTENDANCE_DAILY!C:C,A93,ATTENDANCE_DAILY!E:E,"Present"))</f>
        <v/>
      </c>
      <c r="F93">
        <f>IF(A93="","",COUNTIFS(ATTENDANCE_DAILY!C:C,A93,ATTENDANCE_DAILY!E:E,"Absent"))</f>
        <v/>
      </c>
      <c r="G93" s="5">
        <f>IF(D93=0,"",E93/D93)</f>
        <v/>
      </c>
      <c r="H93" s="4">
        <f>IF(G93="","",IF(G93&lt;0.75,"Low Attendance","OK"))</f>
        <v/>
      </c>
    </row>
    <row r="94">
      <c r="A94">
        <f>IF(MASTER_REGISTER!E94="","",MASTER_REGISTER!E94)</f>
        <v/>
      </c>
      <c r="B94">
        <f>IF(A94="","",MASTER_REGISTER!F94)</f>
        <v/>
      </c>
      <c r="C94">
        <f>IF(A94="","",MASTER_REGISTER!C94)</f>
        <v/>
      </c>
      <c r="D94">
        <f>IF(A94="","",COUNTIF(ATTENDANCE_DAILY!C:C,A94))</f>
        <v/>
      </c>
      <c r="E94">
        <f>IF(A94="","",COUNTIFS(ATTENDANCE_DAILY!C:C,A94,ATTENDANCE_DAILY!E:E,"Present"))</f>
        <v/>
      </c>
      <c r="F94">
        <f>IF(A94="","",COUNTIFS(ATTENDANCE_DAILY!C:C,A94,ATTENDANCE_DAILY!E:E,"Absent"))</f>
        <v/>
      </c>
      <c r="G94" s="5">
        <f>IF(D94=0,"",E94/D94)</f>
        <v/>
      </c>
      <c r="H94" s="4">
        <f>IF(G94="","",IF(G94&lt;0.75,"Low Attendance","OK"))</f>
        <v/>
      </c>
    </row>
    <row r="95">
      <c r="A95">
        <f>IF(MASTER_REGISTER!E95="","",MASTER_REGISTER!E95)</f>
        <v/>
      </c>
      <c r="B95">
        <f>IF(A95="","",MASTER_REGISTER!F95)</f>
        <v/>
      </c>
      <c r="C95">
        <f>IF(A95="","",MASTER_REGISTER!C95)</f>
        <v/>
      </c>
      <c r="D95">
        <f>IF(A95="","",COUNTIF(ATTENDANCE_DAILY!C:C,A95))</f>
        <v/>
      </c>
      <c r="E95">
        <f>IF(A95="","",COUNTIFS(ATTENDANCE_DAILY!C:C,A95,ATTENDANCE_DAILY!E:E,"Present"))</f>
        <v/>
      </c>
      <c r="F95">
        <f>IF(A95="","",COUNTIFS(ATTENDANCE_DAILY!C:C,A95,ATTENDANCE_DAILY!E:E,"Absent"))</f>
        <v/>
      </c>
      <c r="G95" s="5">
        <f>IF(D95=0,"",E95/D95)</f>
        <v/>
      </c>
      <c r="H95" s="4">
        <f>IF(G95="","",IF(G95&lt;0.75,"Low Attendance","OK"))</f>
        <v/>
      </c>
    </row>
    <row r="96">
      <c r="A96">
        <f>IF(MASTER_REGISTER!E96="","",MASTER_REGISTER!E96)</f>
        <v/>
      </c>
      <c r="B96">
        <f>IF(A96="","",MASTER_REGISTER!F96)</f>
        <v/>
      </c>
      <c r="C96">
        <f>IF(A96="","",MASTER_REGISTER!C96)</f>
        <v/>
      </c>
      <c r="D96">
        <f>IF(A96="","",COUNTIF(ATTENDANCE_DAILY!C:C,A96))</f>
        <v/>
      </c>
      <c r="E96">
        <f>IF(A96="","",COUNTIFS(ATTENDANCE_DAILY!C:C,A96,ATTENDANCE_DAILY!E:E,"Present"))</f>
        <v/>
      </c>
      <c r="F96">
        <f>IF(A96="","",COUNTIFS(ATTENDANCE_DAILY!C:C,A96,ATTENDANCE_DAILY!E:E,"Absent"))</f>
        <v/>
      </c>
      <c r="G96" s="5">
        <f>IF(D96=0,"",E96/D96)</f>
        <v/>
      </c>
      <c r="H96" s="4">
        <f>IF(G96="","",IF(G96&lt;0.75,"Low Attendance","OK"))</f>
        <v/>
      </c>
    </row>
    <row r="97">
      <c r="A97">
        <f>IF(MASTER_REGISTER!E97="","",MASTER_REGISTER!E97)</f>
        <v/>
      </c>
      <c r="B97">
        <f>IF(A97="","",MASTER_REGISTER!F97)</f>
        <v/>
      </c>
      <c r="C97">
        <f>IF(A97="","",MASTER_REGISTER!C97)</f>
        <v/>
      </c>
      <c r="D97">
        <f>IF(A97="","",COUNTIF(ATTENDANCE_DAILY!C:C,A97))</f>
        <v/>
      </c>
      <c r="E97">
        <f>IF(A97="","",COUNTIFS(ATTENDANCE_DAILY!C:C,A97,ATTENDANCE_DAILY!E:E,"Present"))</f>
        <v/>
      </c>
      <c r="F97">
        <f>IF(A97="","",COUNTIFS(ATTENDANCE_DAILY!C:C,A97,ATTENDANCE_DAILY!E:E,"Absent"))</f>
        <v/>
      </c>
      <c r="G97" s="5">
        <f>IF(D97=0,"",E97/D97)</f>
        <v/>
      </c>
      <c r="H97" s="4">
        <f>IF(G97="","",IF(G97&lt;0.75,"Low Attendance","OK"))</f>
        <v/>
      </c>
    </row>
    <row r="98">
      <c r="A98">
        <f>IF(MASTER_REGISTER!E98="","",MASTER_REGISTER!E98)</f>
        <v/>
      </c>
      <c r="B98">
        <f>IF(A98="","",MASTER_REGISTER!F98)</f>
        <v/>
      </c>
      <c r="C98">
        <f>IF(A98="","",MASTER_REGISTER!C98)</f>
        <v/>
      </c>
      <c r="D98">
        <f>IF(A98="","",COUNTIF(ATTENDANCE_DAILY!C:C,A98))</f>
        <v/>
      </c>
      <c r="E98">
        <f>IF(A98="","",COUNTIFS(ATTENDANCE_DAILY!C:C,A98,ATTENDANCE_DAILY!E:E,"Present"))</f>
        <v/>
      </c>
      <c r="F98">
        <f>IF(A98="","",COUNTIFS(ATTENDANCE_DAILY!C:C,A98,ATTENDANCE_DAILY!E:E,"Absent"))</f>
        <v/>
      </c>
      <c r="G98" s="5">
        <f>IF(D98=0,"",E98/D98)</f>
        <v/>
      </c>
      <c r="H98" s="4">
        <f>IF(G98="","",IF(G98&lt;0.75,"Low Attendance","OK"))</f>
        <v/>
      </c>
    </row>
    <row r="99">
      <c r="A99">
        <f>IF(MASTER_REGISTER!E99="","",MASTER_REGISTER!E99)</f>
        <v/>
      </c>
      <c r="B99">
        <f>IF(A99="","",MASTER_REGISTER!F99)</f>
        <v/>
      </c>
      <c r="C99">
        <f>IF(A99="","",MASTER_REGISTER!C99)</f>
        <v/>
      </c>
      <c r="D99">
        <f>IF(A99="","",COUNTIF(ATTENDANCE_DAILY!C:C,A99))</f>
        <v/>
      </c>
      <c r="E99">
        <f>IF(A99="","",COUNTIFS(ATTENDANCE_DAILY!C:C,A99,ATTENDANCE_DAILY!E:E,"Present"))</f>
        <v/>
      </c>
      <c r="F99">
        <f>IF(A99="","",COUNTIFS(ATTENDANCE_DAILY!C:C,A99,ATTENDANCE_DAILY!E:E,"Absent"))</f>
        <v/>
      </c>
      <c r="G99" s="5">
        <f>IF(D99=0,"",E99/D99)</f>
        <v/>
      </c>
      <c r="H99" s="4">
        <f>IF(G99="","",IF(G99&lt;0.75,"Low Attendance","OK"))</f>
        <v/>
      </c>
    </row>
    <row r="100">
      <c r="A100">
        <f>IF(MASTER_REGISTER!E100="","",MASTER_REGISTER!E100)</f>
        <v/>
      </c>
      <c r="B100">
        <f>IF(A100="","",MASTER_REGISTER!F100)</f>
        <v/>
      </c>
      <c r="C100">
        <f>IF(A100="","",MASTER_REGISTER!C100)</f>
        <v/>
      </c>
      <c r="D100">
        <f>IF(A100="","",COUNTIF(ATTENDANCE_DAILY!C:C,A100))</f>
        <v/>
      </c>
      <c r="E100">
        <f>IF(A100="","",COUNTIFS(ATTENDANCE_DAILY!C:C,A100,ATTENDANCE_DAILY!E:E,"Present"))</f>
        <v/>
      </c>
      <c r="F100">
        <f>IF(A100="","",COUNTIFS(ATTENDANCE_DAILY!C:C,A100,ATTENDANCE_DAILY!E:E,"Absent"))</f>
        <v/>
      </c>
      <c r="G100" s="5">
        <f>IF(D100=0,"",E100/D100)</f>
        <v/>
      </c>
      <c r="H100" s="4">
        <f>IF(G100="","",IF(G100&lt;0.75,"Low Attendance","OK"))</f>
        <v/>
      </c>
    </row>
    <row r="101">
      <c r="A101">
        <f>IF(MASTER_REGISTER!E101="","",MASTER_REGISTER!E101)</f>
        <v/>
      </c>
      <c r="B101">
        <f>IF(A101="","",MASTER_REGISTER!F101)</f>
        <v/>
      </c>
      <c r="C101">
        <f>IF(A101="","",MASTER_REGISTER!C101)</f>
        <v/>
      </c>
      <c r="D101">
        <f>IF(A101="","",COUNTIF(ATTENDANCE_DAILY!C:C,A101))</f>
        <v/>
      </c>
      <c r="E101">
        <f>IF(A101="","",COUNTIFS(ATTENDANCE_DAILY!C:C,A101,ATTENDANCE_DAILY!E:E,"Present"))</f>
        <v/>
      </c>
      <c r="F101">
        <f>IF(A101="","",COUNTIFS(ATTENDANCE_DAILY!C:C,A101,ATTENDANCE_DAILY!E:E,"Absent"))</f>
        <v/>
      </c>
      <c r="G101" s="5">
        <f>IF(D101=0,"",E101/D101)</f>
        <v/>
      </c>
      <c r="H101" s="4">
        <f>IF(G101="","",IF(G101&lt;0.75,"Low Attendance","OK"))</f>
        <v/>
      </c>
    </row>
    <row r="102">
      <c r="A102">
        <f>IF(MASTER_REGISTER!E102="","",MASTER_REGISTER!E102)</f>
        <v/>
      </c>
      <c r="B102">
        <f>IF(A102="","",MASTER_REGISTER!F102)</f>
        <v/>
      </c>
      <c r="C102">
        <f>IF(A102="","",MASTER_REGISTER!C102)</f>
        <v/>
      </c>
      <c r="D102">
        <f>IF(A102="","",COUNTIF(ATTENDANCE_DAILY!C:C,A102))</f>
        <v/>
      </c>
      <c r="E102">
        <f>IF(A102="","",COUNTIFS(ATTENDANCE_DAILY!C:C,A102,ATTENDANCE_DAILY!E:E,"Present"))</f>
        <v/>
      </c>
      <c r="F102">
        <f>IF(A102="","",COUNTIFS(ATTENDANCE_DAILY!C:C,A102,ATTENDANCE_DAILY!E:E,"Absent"))</f>
        <v/>
      </c>
      <c r="G102" s="5">
        <f>IF(D102=0,"",E102/D102)</f>
        <v/>
      </c>
      <c r="H102" s="4">
        <f>IF(G102="","",IF(G102&lt;0.75,"Low Attendance","OK"))</f>
        <v/>
      </c>
    </row>
    <row r="103">
      <c r="A103">
        <f>IF(MASTER_REGISTER!E103="","",MASTER_REGISTER!E103)</f>
        <v/>
      </c>
      <c r="B103">
        <f>IF(A103="","",MASTER_REGISTER!F103)</f>
        <v/>
      </c>
      <c r="C103">
        <f>IF(A103="","",MASTER_REGISTER!C103)</f>
        <v/>
      </c>
      <c r="D103">
        <f>IF(A103="","",COUNTIF(ATTENDANCE_DAILY!C:C,A103))</f>
        <v/>
      </c>
      <c r="E103">
        <f>IF(A103="","",COUNTIFS(ATTENDANCE_DAILY!C:C,A103,ATTENDANCE_DAILY!E:E,"Present"))</f>
        <v/>
      </c>
      <c r="F103">
        <f>IF(A103="","",COUNTIFS(ATTENDANCE_DAILY!C:C,A103,ATTENDANCE_DAILY!E:E,"Absent"))</f>
        <v/>
      </c>
      <c r="G103" s="5">
        <f>IF(D103=0,"",E103/D103)</f>
        <v/>
      </c>
      <c r="H103" s="4">
        <f>IF(G103="","",IF(G103&lt;0.75,"Low Attendance","OK"))</f>
        <v/>
      </c>
    </row>
    <row r="104">
      <c r="A104">
        <f>IF(MASTER_REGISTER!E104="","",MASTER_REGISTER!E104)</f>
        <v/>
      </c>
      <c r="B104">
        <f>IF(A104="","",MASTER_REGISTER!F104)</f>
        <v/>
      </c>
      <c r="C104">
        <f>IF(A104="","",MASTER_REGISTER!C104)</f>
        <v/>
      </c>
      <c r="D104">
        <f>IF(A104="","",COUNTIF(ATTENDANCE_DAILY!C:C,A104))</f>
        <v/>
      </c>
      <c r="E104">
        <f>IF(A104="","",COUNTIFS(ATTENDANCE_DAILY!C:C,A104,ATTENDANCE_DAILY!E:E,"Present"))</f>
        <v/>
      </c>
      <c r="F104">
        <f>IF(A104="","",COUNTIFS(ATTENDANCE_DAILY!C:C,A104,ATTENDANCE_DAILY!E:E,"Absent"))</f>
        <v/>
      </c>
      <c r="G104" s="5">
        <f>IF(D104=0,"",E104/D104)</f>
        <v/>
      </c>
      <c r="H104" s="4">
        <f>IF(G104="","",IF(G104&lt;0.75,"Low Attendance","OK"))</f>
        <v/>
      </c>
    </row>
    <row r="105">
      <c r="A105">
        <f>IF(MASTER_REGISTER!E105="","",MASTER_REGISTER!E105)</f>
        <v/>
      </c>
      <c r="B105">
        <f>IF(A105="","",MASTER_REGISTER!F105)</f>
        <v/>
      </c>
      <c r="C105">
        <f>IF(A105="","",MASTER_REGISTER!C105)</f>
        <v/>
      </c>
      <c r="D105">
        <f>IF(A105="","",COUNTIF(ATTENDANCE_DAILY!C:C,A105))</f>
        <v/>
      </c>
      <c r="E105">
        <f>IF(A105="","",COUNTIFS(ATTENDANCE_DAILY!C:C,A105,ATTENDANCE_DAILY!E:E,"Present"))</f>
        <v/>
      </c>
      <c r="F105">
        <f>IF(A105="","",COUNTIFS(ATTENDANCE_DAILY!C:C,A105,ATTENDANCE_DAILY!E:E,"Absent"))</f>
        <v/>
      </c>
      <c r="G105" s="5">
        <f>IF(D105=0,"",E105/D105)</f>
        <v/>
      </c>
      <c r="H105" s="4">
        <f>IF(G105="","",IF(G105&lt;0.75,"Low Attendance","OK"))</f>
        <v/>
      </c>
    </row>
    <row r="106">
      <c r="A106">
        <f>IF(MASTER_REGISTER!E106="","",MASTER_REGISTER!E106)</f>
        <v/>
      </c>
      <c r="B106">
        <f>IF(A106="","",MASTER_REGISTER!F106)</f>
        <v/>
      </c>
      <c r="C106">
        <f>IF(A106="","",MASTER_REGISTER!C106)</f>
        <v/>
      </c>
      <c r="D106">
        <f>IF(A106="","",COUNTIF(ATTENDANCE_DAILY!C:C,A106))</f>
        <v/>
      </c>
      <c r="E106">
        <f>IF(A106="","",COUNTIFS(ATTENDANCE_DAILY!C:C,A106,ATTENDANCE_DAILY!E:E,"Present"))</f>
        <v/>
      </c>
      <c r="F106">
        <f>IF(A106="","",COUNTIFS(ATTENDANCE_DAILY!C:C,A106,ATTENDANCE_DAILY!E:E,"Absent"))</f>
        <v/>
      </c>
      <c r="G106" s="5">
        <f>IF(D106=0,"",E106/D106)</f>
        <v/>
      </c>
      <c r="H106" s="4">
        <f>IF(G106="","",IF(G106&lt;0.75,"Low Attendance","OK"))</f>
        <v/>
      </c>
    </row>
    <row r="107">
      <c r="A107">
        <f>IF(MASTER_REGISTER!E107="","",MASTER_REGISTER!E107)</f>
        <v/>
      </c>
      <c r="B107">
        <f>IF(A107="","",MASTER_REGISTER!F107)</f>
        <v/>
      </c>
      <c r="C107">
        <f>IF(A107="","",MASTER_REGISTER!C107)</f>
        <v/>
      </c>
      <c r="D107">
        <f>IF(A107="","",COUNTIF(ATTENDANCE_DAILY!C:C,A107))</f>
        <v/>
      </c>
      <c r="E107">
        <f>IF(A107="","",COUNTIFS(ATTENDANCE_DAILY!C:C,A107,ATTENDANCE_DAILY!E:E,"Present"))</f>
        <v/>
      </c>
      <c r="F107">
        <f>IF(A107="","",COUNTIFS(ATTENDANCE_DAILY!C:C,A107,ATTENDANCE_DAILY!E:E,"Absent"))</f>
        <v/>
      </c>
      <c r="G107" s="5">
        <f>IF(D107=0,"",E107/D107)</f>
        <v/>
      </c>
      <c r="H107" s="4">
        <f>IF(G107="","",IF(G107&lt;0.75,"Low Attendance","OK"))</f>
        <v/>
      </c>
    </row>
    <row r="108">
      <c r="A108">
        <f>IF(MASTER_REGISTER!E108="","",MASTER_REGISTER!E108)</f>
        <v/>
      </c>
      <c r="B108">
        <f>IF(A108="","",MASTER_REGISTER!F108)</f>
        <v/>
      </c>
      <c r="C108">
        <f>IF(A108="","",MASTER_REGISTER!C108)</f>
        <v/>
      </c>
      <c r="D108">
        <f>IF(A108="","",COUNTIF(ATTENDANCE_DAILY!C:C,A108))</f>
        <v/>
      </c>
      <c r="E108">
        <f>IF(A108="","",COUNTIFS(ATTENDANCE_DAILY!C:C,A108,ATTENDANCE_DAILY!E:E,"Present"))</f>
        <v/>
      </c>
      <c r="F108">
        <f>IF(A108="","",COUNTIFS(ATTENDANCE_DAILY!C:C,A108,ATTENDANCE_DAILY!E:E,"Absent"))</f>
        <v/>
      </c>
      <c r="G108" s="5">
        <f>IF(D108=0,"",E108/D108)</f>
        <v/>
      </c>
      <c r="H108" s="4">
        <f>IF(G108="","",IF(G108&lt;0.75,"Low Attendance","OK"))</f>
        <v/>
      </c>
    </row>
    <row r="109">
      <c r="A109">
        <f>IF(MASTER_REGISTER!E109="","",MASTER_REGISTER!E109)</f>
        <v/>
      </c>
      <c r="B109">
        <f>IF(A109="","",MASTER_REGISTER!F109)</f>
        <v/>
      </c>
      <c r="C109">
        <f>IF(A109="","",MASTER_REGISTER!C109)</f>
        <v/>
      </c>
      <c r="D109">
        <f>IF(A109="","",COUNTIF(ATTENDANCE_DAILY!C:C,A109))</f>
        <v/>
      </c>
      <c r="E109">
        <f>IF(A109="","",COUNTIFS(ATTENDANCE_DAILY!C:C,A109,ATTENDANCE_DAILY!E:E,"Present"))</f>
        <v/>
      </c>
      <c r="F109">
        <f>IF(A109="","",COUNTIFS(ATTENDANCE_DAILY!C:C,A109,ATTENDANCE_DAILY!E:E,"Absent"))</f>
        <v/>
      </c>
      <c r="G109" s="5">
        <f>IF(D109=0,"",E109/D109)</f>
        <v/>
      </c>
      <c r="H109" s="4">
        <f>IF(G109="","",IF(G109&lt;0.75,"Low Attendance","OK"))</f>
        <v/>
      </c>
    </row>
    <row r="110">
      <c r="A110">
        <f>IF(MASTER_REGISTER!E110="","",MASTER_REGISTER!E110)</f>
        <v/>
      </c>
      <c r="B110">
        <f>IF(A110="","",MASTER_REGISTER!F110)</f>
        <v/>
      </c>
      <c r="C110">
        <f>IF(A110="","",MASTER_REGISTER!C110)</f>
        <v/>
      </c>
      <c r="D110">
        <f>IF(A110="","",COUNTIF(ATTENDANCE_DAILY!C:C,A110))</f>
        <v/>
      </c>
      <c r="E110">
        <f>IF(A110="","",COUNTIFS(ATTENDANCE_DAILY!C:C,A110,ATTENDANCE_DAILY!E:E,"Present"))</f>
        <v/>
      </c>
      <c r="F110">
        <f>IF(A110="","",COUNTIFS(ATTENDANCE_DAILY!C:C,A110,ATTENDANCE_DAILY!E:E,"Absent"))</f>
        <v/>
      </c>
      <c r="G110" s="5">
        <f>IF(D110=0,"",E110/D110)</f>
        <v/>
      </c>
      <c r="H110" s="4">
        <f>IF(G110="","",IF(G110&lt;0.75,"Low Attendance","OK"))</f>
        <v/>
      </c>
    </row>
    <row r="111">
      <c r="A111">
        <f>IF(MASTER_REGISTER!E111="","",MASTER_REGISTER!E111)</f>
        <v/>
      </c>
      <c r="B111">
        <f>IF(A111="","",MASTER_REGISTER!F111)</f>
        <v/>
      </c>
      <c r="C111">
        <f>IF(A111="","",MASTER_REGISTER!C111)</f>
        <v/>
      </c>
      <c r="D111">
        <f>IF(A111="","",COUNTIF(ATTENDANCE_DAILY!C:C,A111))</f>
        <v/>
      </c>
      <c r="E111">
        <f>IF(A111="","",COUNTIFS(ATTENDANCE_DAILY!C:C,A111,ATTENDANCE_DAILY!E:E,"Present"))</f>
        <v/>
      </c>
      <c r="F111">
        <f>IF(A111="","",COUNTIFS(ATTENDANCE_DAILY!C:C,A111,ATTENDANCE_DAILY!E:E,"Absent"))</f>
        <v/>
      </c>
      <c r="G111" s="5">
        <f>IF(D111=0,"",E111/D111)</f>
        <v/>
      </c>
      <c r="H111" s="4">
        <f>IF(G111="","",IF(G111&lt;0.75,"Low Attendance","OK"))</f>
        <v/>
      </c>
    </row>
    <row r="112">
      <c r="A112">
        <f>IF(MASTER_REGISTER!E112="","",MASTER_REGISTER!E112)</f>
        <v/>
      </c>
      <c r="B112">
        <f>IF(A112="","",MASTER_REGISTER!F112)</f>
        <v/>
      </c>
      <c r="C112">
        <f>IF(A112="","",MASTER_REGISTER!C112)</f>
        <v/>
      </c>
      <c r="D112">
        <f>IF(A112="","",COUNTIF(ATTENDANCE_DAILY!C:C,A112))</f>
        <v/>
      </c>
      <c r="E112">
        <f>IF(A112="","",COUNTIFS(ATTENDANCE_DAILY!C:C,A112,ATTENDANCE_DAILY!E:E,"Present"))</f>
        <v/>
      </c>
      <c r="F112">
        <f>IF(A112="","",COUNTIFS(ATTENDANCE_DAILY!C:C,A112,ATTENDANCE_DAILY!E:E,"Absent"))</f>
        <v/>
      </c>
      <c r="G112" s="5">
        <f>IF(D112=0,"",E112/D112)</f>
        <v/>
      </c>
      <c r="H112" s="4">
        <f>IF(G112="","",IF(G112&lt;0.75,"Low Attendance","OK"))</f>
        <v/>
      </c>
    </row>
    <row r="113">
      <c r="A113">
        <f>IF(MASTER_REGISTER!E113="","",MASTER_REGISTER!E113)</f>
        <v/>
      </c>
      <c r="B113">
        <f>IF(A113="","",MASTER_REGISTER!F113)</f>
        <v/>
      </c>
      <c r="C113">
        <f>IF(A113="","",MASTER_REGISTER!C113)</f>
        <v/>
      </c>
      <c r="D113">
        <f>IF(A113="","",COUNTIF(ATTENDANCE_DAILY!C:C,A113))</f>
        <v/>
      </c>
      <c r="E113">
        <f>IF(A113="","",COUNTIFS(ATTENDANCE_DAILY!C:C,A113,ATTENDANCE_DAILY!E:E,"Present"))</f>
        <v/>
      </c>
      <c r="F113">
        <f>IF(A113="","",COUNTIFS(ATTENDANCE_DAILY!C:C,A113,ATTENDANCE_DAILY!E:E,"Absent"))</f>
        <v/>
      </c>
      <c r="G113" s="5">
        <f>IF(D113=0,"",E113/D113)</f>
        <v/>
      </c>
      <c r="H113" s="4">
        <f>IF(G113="","",IF(G113&lt;0.75,"Low Attendance","OK"))</f>
        <v/>
      </c>
    </row>
    <row r="114">
      <c r="A114">
        <f>IF(MASTER_REGISTER!E114="","",MASTER_REGISTER!E114)</f>
        <v/>
      </c>
      <c r="B114">
        <f>IF(A114="","",MASTER_REGISTER!F114)</f>
        <v/>
      </c>
      <c r="C114">
        <f>IF(A114="","",MASTER_REGISTER!C114)</f>
        <v/>
      </c>
      <c r="D114">
        <f>IF(A114="","",COUNTIF(ATTENDANCE_DAILY!C:C,A114))</f>
        <v/>
      </c>
      <c r="E114">
        <f>IF(A114="","",COUNTIFS(ATTENDANCE_DAILY!C:C,A114,ATTENDANCE_DAILY!E:E,"Present"))</f>
        <v/>
      </c>
      <c r="F114">
        <f>IF(A114="","",COUNTIFS(ATTENDANCE_DAILY!C:C,A114,ATTENDANCE_DAILY!E:E,"Absent"))</f>
        <v/>
      </c>
      <c r="G114" s="5">
        <f>IF(D114=0,"",E114/D114)</f>
        <v/>
      </c>
      <c r="H114" s="4">
        <f>IF(G114="","",IF(G114&lt;0.75,"Low Attendance","OK"))</f>
        <v/>
      </c>
    </row>
    <row r="115">
      <c r="A115">
        <f>IF(MASTER_REGISTER!E115="","",MASTER_REGISTER!E115)</f>
        <v/>
      </c>
      <c r="B115">
        <f>IF(A115="","",MASTER_REGISTER!F115)</f>
        <v/>
      </c>
      <c r="C115">
        <f>IF(A115="","",MASTER_REGISTER!C115)</f>
        <v/>
      </c>
      <c r="D115">
        <f>IF(A115="","",COUNTIF(ATTENDANCE_DAILY!C:C,A115))</f>
        <v/>
      </c>
      <c r="E115">
        <f>IF(A115="","",COUNTIFS(ATTENDANCE_DAILY!C:C,A115,ATTENDANCE_DAILY!E:E,"Present"))</f>
        <v/>
      </c>
      <c r="F115">
        <f>IF(A115="","",COUNTIFS(ATTENDANCE_DAILY!C:C,A115,ATTENDANCE_DAILY!E:E,"Absent"))</f>
        <v/>
      </c>
      <c r="G115" s="5">
        <f>IF(D115=0,"",E115/D115)</f>
        <v/>
      </c>
      <c r="H115" s="4">
        <f>IF(G115="","",IF(G115&lt;0.75,"Low Attendance","OK"))</f>
        <v/>
      </c>
    </row>
    <row r="116">
      <c r="A116">
        <f>IF(MASTER_REGISTER!E116="","",MASTER_REGISTER!E116)</f>
        <v/>
      </c>
      <c r="B116">
        <f>IF(A116="","",MASTER_REGISTER!F116)</f>
        <v/>
      </c>
      <c r="C116">
        <f>IF(A116="","",MASTER_REGISTER!C116)</f>
        <v/>
      </c>
      <c r="D116">
        <f>IF(A116="","",COUNTIF(ATTENDANCE_DAILY!C:C,A116))</f>
        <v/>
      </c>
      <c r="E116">
        <f>IF(A116="","",COUNTIFS(ATTENDANCE_DAILY!C:C,A116,ATTENDANCE_DAILY!E:E,"Present"))</f>
        <v/>
      </c>
      <c r="F116">
        <f>IF(A116="","",COUNTIFS(ATTENDANCE_DAILY!C:C,A116,ATTENDANCE_DAILY!E:E,"Absent"))</f>
        <v/>
      </c>
      <c r="G116" s="5">
        <f>IF(D116=0,"",E116/D116)</f>
        <v/>
      </c>
      <c r="H116" s="4">
        <f>IF(G116="","",IF(G116&lt;0.75,"Low Attendance","OK"))</f>
        <v/>
      </c>
    </row>
    <row r="117">
      <c r="A117">
        <f>IF(MASTER_REGISTER!E117="","",MASTER_REGISTER!E117)</f>
        <v/>
      </c>
      <c r="B117">
        <f>IF(A117="","",MASTER_REGISTER!F117)</f>
        <v/>
      </c>
      <c r="C117">
        <f>IF(A117="","",MASTER_REGISTER!C117)</f>
        <v/>
      </c>
      <c r="D117">
        <f>IF(A117="","",COUNTIF(ATTENDANCE_DAILY!C:C,A117))</f>
        <v/>
      </c>
      <c r="E117">
        <f>IF(A117="","",COUNTIFS(ATTENDANCE_DAILY!C:C,A117,ATTENDANCE_DAILY!E:E,"Present"))</f>
        <v/>
      </c>
      <c r="F117">
        <f>IF(A117="","",COUNTIFS(ATTENDANCE_DAILY!C:C,A117,ATTENDANCE_DAILY!E:E,"Absent"))</f>
        <v/>
      </c>
      <c r="G117" s="5">
        <f>IF(D117=0,"",E117/D117)</f>
        <v/>
      </c>
      <c r="H117" s="4">
        <f>IF(G117="","",IF(G117&lt;0.75,"Low Attendance","OK"))</f>
        <v/>
      </c>
    </row>
    <row r="118">
      <c r="A118">
        <f>IF(MASTER_REGISTER!E118="","",MASTER_REGISTER!E118)</f>
        <v/>
      </c>
      <c r="B118">
        <f>IF(A118="","",MASTER_REGISTER!F118)</f>
        <v/>
      </c>
      <c r="C118">
        <f>IF(A118="","",MASTER_REGISTER!C118)</f>
        <v/>
      </c>
      <c r="D118">
        <f>IF(A118="","",COUNTIF(ATTENDANCE_DAILY!C:C,A118))</f>
        <v/>
      </c>
      <c r="E118">
        <f>IF(A118="","",COUNTIFS(ATTENDANCE_DAILY!C:C,A118,ATTENDANCE_DAILY!E:E,"Present"))</f>
        <v/>
      </c>
      <c r="F118">
        <f>IF(A118="","",COUNTIFS(ATTENDANCE_DAILY!C:C,A118,ATTENDANCE_DAILY!E:E,"Absent"))</f>
        <v/>
      </c>
      <c r="G118" s="5">
        <f>IF(D118=0,"",E118/D118)</f>
        <v/>
      </c>
      <c r="H118" s="4">
        <f>IF(G118="","",IF(G118&lt;0.75,"Low Attendance","OK"))</f>
        <v/>
      </c>
    </row>
    <row r="119">
      <c r="A119">
        <f>IF(MASTER_REGISTER!E119="","",MASTER_REGISTER!E119)</f>
        <v/>
      </c>
      <c r="B119">
        <f>IF(A119="","",MASTER_REGISTER!F119)</f>
        <v/>
      </c>
      <c r="C119">
        <f>IF(A119="","",MASTER_REGISTER!C119)</f>
        <v/>
      </c>
      <c r="D119">
        <f>IF(A119="","",COUNTIF(ATTENDANCE_DAILY!C:C,A119))</f>
        <v/>
      </c>
      <c r="E119">
        <f>IF(A119="","",COUNTIFS(ATTENDANCE_DAILY!C:C,A119,ATTENDANCE_DAILY!E:E,"Present"))</f>
        <v/>
      </c>
      <c r="F119">
        <f>IF(A119="","",COUNTIFS(ATTENDANCE_DAILY!C:C,A119,ATTENDANCE_DAILY!E:E,"Absent"))</f>
        <v/>
      </c>
      <c r="G119" s="5">
        <f>IF(D119=0,"",E119/D119)</f>
        <v/>
      </c>
      <c r="H119" s="4">
        <f>IF(G119="","",IF(G119&lt;0.75,"Low Attendance","OK"))</f>
        <v/>
      </c>
    </row>
    <row r="120">
      <c r="A120">
        <f>IF(MASTER_REGISTER!E120="","",MASTER_REGISTER!E120)</f>
        <v/>
      </c>
      <c r="B120">
        <f>IF(A120="","",MASTER_REGISTER!F120)</f>
        <v/>
      </c>
      <c r="C120">
        <f>IF(A120="","",MASTER_REGISTER!C120)</f>
        <v/>
      </c>
      <c r="D120">
        <f>IF(A120="","",COUNTIF(ATTENDANCE_DAILY!C:C,A120))</f>
        <v/>
      </c>
      <c r="E120">
        <f>IF(A120="","",COUNTIFS(ATTENDANCE_DAILY!C:C,A120,ATTENDANCE_DAILY!E:E,"Present"))</f>
        <v/>
      </c>
      <c r="F120">
        <f>IF(A120="","",COUNTIFS(ATTENDANCE_DAILY!C:C,A120,ATTENDANCE_DAILY!E:E,"Absent"))</f>
        <v/>
      </c>
      <c r="G120" s="5">
        <f>IF(D120=0,"",E120/D120)</f>
        <v/>
      </c>
      <c r="H120" s="4">
        <f>IF(G120="","",IF(G120&lt;0.75,"Low Attendance","OK"))</f>
        <v/>
      </c>
    </row>
    <row r="121">
      <c r="A121">
        <f>IF(MASTER_REGISTER!E121="","",MASTER_REGISTER!E121)</f>
        <v/>
      </c>
      <c r="B121">
        <f>IF(A121="","",MASTER_REGISTER!F121)</f>
        <v/>
      </c>
      <c r="C121">
        <f>IF(A121="","",MASTER_REGISTER!C121)</f>
        <v/>
      </c>
      <c r="D121">
        <f>IF(A121="","",COUNTIF(ATTENDANCE_DAILY!C:C,A121))</f>
        <v/>
      </c>
      <c r="E121">
        <f>IF(A121="","",COUNTIFS(ATTENDANCE_DAILY!C:C,A121,ATTENDANCE_DAILY!E:E,"Present"))</f>
        <v/>
      </c>
      <c r="F121">
        <f>IF(A121="","",COUNTIFS(ATTENDANCE_DAILY!C:C,A121,ATTENDANCE_DAILY!E:E,"Absent"))</f>
        <v/>
      </c>
      <c r="G121" s="5">
        <f>IF(D121=0,"",E121/D121)</f>
        <v/>
      </c>
      <c r="H121" s="4">
        <f>IF(G121="","",IF(G121&lt;0.75,"Low Attendance","OK"))</f>
        <v/>
      </c>
    </row>
    <row r="122">
      <c r="A122">
        <f>IF(MASTER_REGISTER!E122="","",MASTER_REGISTER!E122)</f>
        <v/>
      </c>
      <c r="B122">
        <f>IF(A122="","",MASTER_REGISTER!F122)</f>
        <v/>
      </c>
      <c r="C122">
        <f>IF(A122="","",MASTER_REGISTER!C122)</f>
        <v/>
      </c>
      <c r="D122">
        <f>IF(A122="","",COUNTIF(ATTENDANCE_DAILY!C:C,A122))</f>
        <v/>
      </c>
      <c r="E122">
        <f>IF(A122="","",COUNTIFS(ATTENDANCE_DAILY!C:C,A122,ATTENDANCE_DAILY!E:E,"Present"))</f>
        <v/>
      </c>
      <c r="F122">
        <f>IF(A122="","",COUNTIFS(ATTENDANCE_DAILY!C:C,A122,ATTENDANCE_DAILY!E:E,"Absent"))</f>
        <v/>
      </c>
      <c r="G122" s="5">
        <f>IF(D122=0,"",E122/D122)</f>
        <v/>
      </c>
      <c r="H122" s="4">
        <f>IF(G122="","",IF(G122&lt;0.75,"Low Attendance","OK"))</f>
        <v/>
      </c>
    </row>
    <row r="123">
      <c r="A123">
        <f>IF(MASTER_REGISTER!E123="","",MASTER_REGISTER!E123)</f>
        <v/>
      </c>
      <c r="B123">
        <f>IF(A123="","",MASTER_REGISTER!F123)</f>
        <v/>
      </c>
      <c r="C123">
        <f>IF(A123="","",MASTER_REGISTER!C123)</f>
        <v/>
      </c>
      <c r="D123">
        <f>IF(A123="","",COUNTIF(ATTENDANCE_DAILY!C:C,A123))</f>
        <v/>
      </c>
      <c r="E123">
        <f>IF(A123="","",COUNTIFS(ATTENDANCE_DAILY!C:C,A123,ATTENDANCE_DAILY!E:E,"Present"))</f>
        <v/>
      </c>
      <c r="F123">
        <f>IF(A123="","",COUNTIFS(ATTENDANCE_DAILY!C:C,A123,ATTENDANCE_DAILY!E:E,"Absent"))</f>
        <v/>
      </c>
      <c r="G123" s="5">
        <f>IF(D123=0,"",E123/D123)</f>
        <v/>
      </c>
      <c r="H123" s="4">
        <f>IF(G123="","",IF(G123&lt;0.75,"Low Attendance","OK"))</f>
        <v/>
      </c>
    </row>
    <row r="124">
      <c r="A124">
        <f>IF(MASTER_REGISTER!E124="","",MASTER_REGISTER!E124)</f>
        <v/>
      </c>
      <c r="B124">
        <f>IF(A124="","",MASTER_REGISTER!F124)</f>
        <v/>
      </c>
      <c r="C124">
        <f>IF(A124="","",MASTER_REGISTER!C124)</f>
        <v/>
      </c>
      <c r="D124">
        <f>IF(A124="","",COUNTIF(ATTENDANCE_DAILY!C:C,A124))</f>
        <v/>
      </c>
      <c r="E124">
        <f>IF(A124="","",COUNTIFS(ATTENDANCE_DAILY!C:C,A124,ATTENDANCE_DAILY!E:E,"Present"))</f>
        <v/>
      </c>
      <c r="F124">
        <f>IF(A124="","",COUNTIFS(ATTENDANCE_DAILY!C:C,A124,ATTENDANCE_DAILY!E:E,"Absent"))</f>
        <v/>
      </c>
      <c r="G124" s="5">
        <f>IF(D124=0,"",E124/D124)</f>
        <v/>
      </c>
      <c r="H124" s="4">
        <f>IF(G124="","",IF(G124&lt;0.75,"Low Attendance","OK"))</f>
        <v/>
      </c>
    </row>
    <row r="125">
      <c r="A125">
        <f>IF(MASTER_REGISTER!E125="","",MASTER_REGISTER!E125)</f>
        <v/>
      </c>
      <c r="B125">
        <f>IF(A125="","",MASTER_REGISTER!F125)</f>
        <v/>
      </c>
      <c r="C125">
        <f>IF(A125="","",MASTER_REGISTER!C125)</f>
        <v/>
      </c>
      <c r="D125">
        <f>IF(A125="","",COUNTIF(ATTENDANCE_DAILY!C:C,A125))</f>
        <v/>
      </c>
      <c r="E125">
        <f>IF(A125="","",COUNTIFS(ATTENDANCE_DAILY!C:C,A125,ATTENDANCE_DAILY!E:E,"Present"))</f>
        <v/>
      </c>
      <c r="F125">
        <f>IF(A125="","",COUNTIFS(ATTENDANCE_DAILY!C:C,A125,ATTENDANCE_DAILY!E:E,"Absent"))</f>
        <v/>
      </c>
      <c r="G125" s="5">
        <f>IF(D125=0,"",E125/D125)</f>
        <v/>
      </c>
      <c r="H125" s="4">
        <f>IF(G125="","",IF(G125&lt;0.75,"Low Attendance","OK"))</f>
        <v/>
      </c>
    </row>
    <row r="126">
      <c r="A126">
        <f>IF(MASTER_REGISTER!E126="","",MASTER_REGISTER!E126)</f>
        <v/>
      </c>
      <c r="B126">
        <f>IF(A126="","",MASTER_REGISTER!F126)</f>
        <v/>
      </c>
      <c r="C126">
        <f>IF(A126="","",MASTER_REGISTER!C126)</f>
        <v/>
      </c>
      <c r="D126">
        <f>IF(A126="","",COUNTIF(ATTENDANCE_DAILY!C:C,A126))</f>
        <v/>
      </c>
      <c r="E126">
        <f>IF(A126="","",COUNTIFS(ATTENDANCE_DAILY!C:C,A126,ATTENDANCE_DAILY!E:E,"Present"))</f>
        <v/>
      </c>
      <c r="F126">
        <f>IF(A126="","",COUNTIFS(ATTENDANCE_DAILY!C:C,A126,ATTENDANCE_DAILY!E:E,"Absent"))</f>
        <v/>
      </c>
      <c r="G126" s="5">
        <f>IF(D126=0,"",E126/D126)</f>
        <v/>
      </c>
      <c r="H126" s="4">
        <f>IF(G126="","",IF(G126&lt;0.75,"Low Attendance","OK"))</f>
        <v/>
      </c>
    </row>
    <row r="127">
      <c r="A127">
        <f>IF(MASTER_REGISTER!E127="","",MASTER_REGISTER!E127)</f>
        <v/>
      </c>
      <c r="B127">
        <f>IF(A127="","",MASTER_REGISTER!F127)</f>
        <v/>
      </c>
      <c r="C127">
        <f>IF(A127="","",MASTER_REGISTER!C127)</f>
        <v/>
      </c>
      <c r="D127">
        <f>IF(A127="","",COUNTIF(ATTENDANCE_DAILY!C:C,A127))</f>
        <v/>
      </c>
      <c r="E127">
        <f>IF(A127="","",COUNTIFS(ATTENDANCE_DAILY!C:C,A127,ATTENDANCE_DAILY!E:E,"Present"))</f>
        <v/>
      </c>
      <c r="F127">
        <f>IF(A127="","",COUNTIFS(ATTENDANCE_DAILY!C:C,A127,ATTENDANCE_DAILY!E:E,"Absent"))</f>
        <v/>
      </c>
      <c r="G127" s="5">
        <f>IF(D127=0,"",E127/D127)</f>
        <v/>
      </c>
      <c r="H127" s="4">
        <f>IF(G127="","",IF(G127&lt;0.75,"Low Attendance","OK"))</f>
        <v/>
      </c>
    </row>
    <row r="128">
      <c r="A128">
        <f>IF(MASTER_REGISTER!E128="","",MASTER_REGISTER!E128)</f>
        <v/>
      </c>
      <c r="B128">
        <f>IF(A128="","",MASTER_REGISTER!F128)</f>
        <v/>
      </c>
      <c r="C128">
        <f>IF(A128="","",MASTER_REGISTER!C128)</f>
        <v/>
      </c>
      <c r="D128">
        <f>IF(A128="","",COUNTIF(ATTENDANCE_DAILY!C:C,A128))</f>
        <v/>
      </c>
      <c r="E128">
        <f>IF(A128="","",COUNTIFS(ATTENDANCE_DAILY!C:C,A128,ATTENDANCE_DAILY!E:E,"Present"))</f>
        <v/>
      </c>
      <c r="F128">
        <f>IF(A128="","",COUNTIFS(ATTENDANCE_DAILY!C:C,A128,ATTENDANCE_DAILY!E:E,"Absent"))</f>
        <v/>
      </c>
      <c r="G128" s="5">
        <f>IF(D128=0,"",E128/D128)</f>
        <v/>
      </c>
      <c r="H128" s="4">
        <f>IF(G128="","",IF(G128&lt;0.75,"Low Attendance","OK"))</f>
        <v/>
      </c>
    </row>
    <row r="129">
      <c r="A129">
        <f>IF(MASTER_REGISTER!E129="","",MASTER_REGISTER!E129)</f>
        <v/>
      </c>
      <c r="B129">
        <f>IF(A129="","",MASTER_REGISTER!F129)</f>
        <v/>
      </c>
      <c r="C129">
        <f>IF(A129="","",MASTER_REGISTER!C129)</f>
        <v/>
      </c>
      <c r="D129">
        <f>IF(A129="","",COUNTIF(ATTENDANCE_DAILY!C:C,A129))</f>
        <v/>
      </c>
      <c r="E129">
        <f>IF(A129="","",COUNTIFS(ATTENDANCE_DAILY!C:C,A129,ATTENDANCE_DAILY!E:E,"Present"))</f>
        <v/>
      </c>
      <c r="F129">
        <f>IF(A129="","",COUNTIFS(ATTENDANCE_DAILY!C:C,A129,ATTENDANCE_DAILY!E:E,"Absent"))</f>
        <v/>
      </c>
      <c r="G129" s="5">
        <f>IF(D129=0,"",E129/D129)</f>
        <v/>
      </c>
      <c r="H129" s="4">
        <f>IF(G129="","",IF(G129&lt;0.75,"Low Attendance","OK"))</f>
        <v/>
      </c>
    </row>
    <row r="130">
      <c r="A130">
        <f>IF(MASTER_REGISTER!E130="","",MASTER_REGISTER!E130)</f>
        <v/>
      </c>
      <c r="B130">
        <f>IF(A130="","",MASTER_REGISTER!F130)</f>
        <v/>
      </c>
      <c r="C130">
        <f>IF(A130="","",MASTER_REGISTER!C130)</f>
        <v/>
      </c>
      <c r="D130">
        <f>IF(A130="","",COUNTIF(ATTENDANCE_DAILY!C:C,A130))</f>
        <v/>
      </c>
      <c r="E130">
        <f>IF(A130="","",COUNTIFS(ATTENDANCE_DAILY!C:C,A130,ATTENDANCE_DAILY!E:E,"Present"))</f>
        <v/>
      </c>
      <c r="F130">
        <f>IF(A130="","",COUNTIFS(ATTENDANCE_DAILY!C:C,A130,ATTENDANCE_DAILY!E:E,"Absent"))</f>
        <v/>
      </c>
      <c r="G130" s="5">
        <f>IF(D130=0,"",E130/D130)</f>
        <v/>
      </c>
      <c r="H130" s="4">
        <f>IF(G130="","",IF(G130&lt;0.75,"Low Attendance","OK"))</f>
        <v/>
      </c>
    </row>
    <row r="131">
      <c r="A131">
        <f>IF(MASTER_REGISTER!E131="","",MASTER_REGISTER!E131)</f>
        <v/>
      </c>
      <c r="B131">
        <f>IF(A131="","",MASTER_REGISTER!F131)</f>
        <v/>
      </c>
      <c r="C131">
        <f>IF(A131="","",MASTER_REGISTER!C131)</f>
        <v/>
      </c>
      <c r="D131">
        <f>IF(A131="","",COUNTIF(ATTENDANCE_DAILY!C:C,A131))</f>
        <v/>
      </c>
      <c r="E131">
        <f>IF(A131="","",COUNTIFS(ATTENDANCE_DAILY!C:C,A131,ATTENDANCE_DAILY!E:E,"Present"))</f>
        <v/>
      </c>
      <c r="F131">
        <f>IF(A131="","",COUNTIFS(ATTENDANCE_DAILY!C:C,A131,ATTENDANCE_DAILY!E:E,"Absent"))</f>
        <v/>
      </c>
      <c r="G131" s="5">
        <f>IF(D131=0,"",E131/D131)</f>
        <v/>
      </c>
      <c r="H131" s="4">
        <f>IF(G131="","",IF(G131&lt;0.75,"Low Attendance","OK"))</f>
        <v/>
      </c>
    </row>
    <row r="132">
      <c r="A132">
        <f>IF(MASTER_REGISTER!E132="","",MASTER_REGISTER!E132)</f>
        <v/>
      </c>
      <c r="B132">
        <f>IF(A132="","",MASTER_REGISTER!F132)</f>
        <v/>
      </c>
      <c r="C132">
        <f>IF(A132="","",MASTER_REGISTER!C132)</f>
        <v/>
      </c>
      <c r="D132">
        <f>IF(A132="","",COUNTIF(ATTENDANCE_DAILY!C:C,A132))</f>
        <v/>
      </c>
      <c r="E132">
        <f>IF(A132="","",COUNTIFS(ATTENDANCE_DAILY!C:C,A132,ATTENDANCE_DAILY!E:E,"Present"))</f>
        <v/>
      </c>
      <c r="F132">
        <f>IF(A132="","",COUNTIFS(ATTENDANCE_DAILY!C:C,A132,ATTENDANCE_DAILY!E:E,"Absent"))</f>
        <v/>
      </c>
      <c r="G132" s="5">
        <f>IF(D132=0,"",E132/D132)</f>
        <v/>
      </c>
      <c r="H132" s="4">
        <f>IF(G132="","",IF(G132&lt;0.75,"Low Attendance","OK"))</f>
        <v/>
      </c>
    </row>
    <row r="133">
      <c r="A133">
        <f>IF(MASTER_REGISTER!E133="","",MASTER_REGISTER!E133)</f>
        <v/>
      </c>
      <c r="B133">
        <f>IF(A133="","",MASTER_REGISTER!F133)</f>
        <v/>
      </c>
      <c r="C133">
        <f>IF(A133="","",MASTER_REGISTER!C133)</f>
        <v/>
      </c>
      <c r="D133">
        <f>IF(A133="","",COUNTIF(ATTENDANCE_DAILY!C:C,A133))</f>
        <v/>
      </c>
      <c r="E133">
        <f>IF(A133="","",COUNTIFS(ATTENDANCE_DAILY!C:C,A133,ATTENDANCE_DAILY!E:E,"Present"))</f>
        <v/>
      </c>
      <c r="F133">
        <f>IF(A133="","",COUNTIFS(ATTENDANCE_DAILY!C:C,A133,ATTENDANCE_DAILY!E:E,"Absent"))</f>
        <v/>
      </c>
      <c r="G133" s="5">
        <f>IF(D133=0,"",E133/D133)</f>
        <v/>
      </c>
      <c r="H133" s="4">
        <f>IF(G133="","",IF(G133&lt;0.75,"Low Attendance","OK"))</f>
        <v/>
      </c>
    </row>
    <row r="134">
      <c r="A134">
        <f>IF(MASTER_REGISTER!E134="","",MASTER_REGISTER!E134)</f>
        <v/>
      </c>
      <c r="B134">
        <f>IF(A134="","",MASTER_REGISTER!F134)</f>
        <v/>
      </c>
      <c r="C134">
        <f>IF(A134="","",MASTER_REGISTER!C134)</f>
        <v/>
      </c>
      <c r="D134">
        <f>IF(A134="","",COUNTIF(ATTENDANCE_DAILY!C:C,A134))</f>
        <v/>
      </c>
      <c r="E134">
        <f>IF(A134="","",COUNTIFS(ATTENDANCE_DAILY!C:C,A134,ATTENDANCE_DAILY!E:E,"Present"))</f>
        <v/>
      </c>
      <c r="F134">
        <f>IF(A134="","",COUNTIFS(ATTENDANCE_DAILY!C:C,A134,ATTENDANCE_DAILY!E:E,"Absent"))</f>
        <v/>
      </c>
      <c r="G134" s="5">
        <f>IF(D134=0,"",E134/D134)</f>
        <v/>
      </c>
      <c r="H134" s="4">
        <f>IF(G134="","",IF(G134&lt;0.75,"Low Attendance","OK"))</f>
        <v/>
      </c>
    </row>
    <row r="135">
      <c r="A135">
        <f>IF(MASTER_REGISTER!E135="","",MASTER_REGISTER!E135)</f>
        <v/>
      </c>
      <c r="B135">
        <f>IF(A135="","",MASTER_REGISTER!F135)</f>
        <v/>
      </c>
      <c r="C135">
        <f>IF(A135="","",MASTER_REGISTER!C135)</f>
        <v/>
      </c>
      <c r="D135">
        <f>IF(A135="","",COUNTIF(ATTENDANCE_DAILY!C:C,A135))</f>
        <v/>
      </c>
      <c r="E135">
        <f>IF(A135="","",COUNTIFS(ATTENDANCE_DAILY!C:C,A135,ATTENDANCE_DAILY!E:E,"Present"))</f>
        <v/>
      </c>
      <c r="F135">
        <f>IF(A135="","",COUNTIFS(ATTENDANCE_DAILY!C:C,A135,ATTENDANCE_DAILY!E:E,"Absent"))</f>
        <v/>
      </c>
      <c r="G135" s="5">
        <f>IF(D135=0,"",E135/D135)</f>
        <v/>
      </c>
      <c r="H135" s="4">
        <f>IF(G135="","",IF(G135&lt;0.75,"Low Attendance","OK"))</f>
        <v/>
      </c>
    </row>
    <row r="136">
      <c r="A136">
        <f>IF(MASTER_REGISTER!E136="","",MASTER_REGISTER!E136)</f>
        <v/>
      </c>
      <c r="B136">
        <f>IF(A136="","",MASTER_REGISTER!F136)</f>
        <v/>
      </c>
      <c r="C136">
        <f>IF(A136="","",MASTER_REGISTER!C136)</f>
        <v/>
      </c>
      <c r="D136">
        <f>IF(A136="","",COUNTIF(ATTENDANCE_DAILY!C:C,A136))</f>
        <v/>
      </c>
      <c r="E136">
        <f>IF(A136="","",COUNTIFS(ATTENDANCE_DAILY!C:C,A136,ATTENDANCE_DAILY!E:E,"Present"))</f>
        <v/>
      </c>
      <c r="F136">
        <f>IF(A136="","",COUNTIFS(ATTENDANCE_DAILY!C:C,A136,ATTENDANCE_DAILY!E:E,"Absent"))</f>
        <v/>
      </c>
      <c r="G136" s="5">
        <f>IF(D136=0,"",E136/D136)</f>
        <v/>
      </c>
      <c r="H136" s="4">
        <f>IF(G136="","",IF(G136&lt;0.75,"Low Attendance","OK"))</f>
        <v/>
      </c>
    </row>
    <row r="137">
      <c r="A137">
        <f>IF(MASTER_REGISTER!E137="","",MASTER_REGISTER!E137)</f>
        <v/>
      </c>
      <c r="B137">
        <f>IF(A137="","",MASTER_REGISTER!F137)</f>
        <v/>
      </c>
      <c r="C137">
        <f>IF(A137="","",MASTER_REGISTER!C137)</f>
        <v/>
      </c>
      <c r="D137">
        <f>IF(A137="","",COUNTIF(ATTENDANCE_DAILY!C:C,A137))</f>
        <v/>
      </c>
      <c r="E137">
        <f>IF(A137="","",COUNTIFS(ATTENDANCE_DAILY!C:C,A137,ATTENDANCE_DAILY!E:E,"Present"))</f>
        <v/>
      </c>
      <c r="F137">
        <f>IF(A137="","",COUNTIFS(ATTENDANCE_DAILY!C:C,A137,ATTENDANCE_DAILY!E:E,"Absent"))</f>
        <v/>
      </c>
      <c r="G137" s="5">
        <f>IF(D137=0,"",E137/D137)</f>
        <v/>
      </c>
      <c r="H137" s="4">
        <f>IF(G137="","",IF(G137&lt;0.75,"Low Attendance","OK"))</f>
        <v/>
      </c>
    </row>
    <row r="138">
      <c r="A138">
        <f>IF(MASTER_REGISTER!E138="","",MASTER_REGISTER!E138)</f>
        <v/>
      </c>
      <c r="B138">
        <f>IF(A138="","",MASTER_REGISTER!F138)</f>
        <v/>
      </c>
      <c r="C138">
        <f>IF(A138="","",MASTER_REGISTER!C138)</f>
        <v/>
      </c>
      <c r="D138">
        <f>IF(A138="","",COUNTIF(ATTENDANCE_DAILY!C:C,A138))</f>
        <v/>
      </c>
      <c r="E138">
        <f>IF(A138="","",COUNTIFS(ATTENDANCE_DAILY!C:C,A138,ATTENDANCE_DAILY!E:E,"Present"))</f>
        <v/>
      </c>
      <c r="F138">
        <f>IF(A138="","",COUNTIFS(ATTENDANCE_DAILY!C:C,A138,ATTENDANCE_DAILY!E:E,"Absent"))</f>
        <v/>
      </c>
      <c r="G138" s="5">
        <f>IF(D138=0,"",E138/D138)</f>
        <v/>
      </c>
      <c r="H138" s="4">
        <f>IF(G138="","",IF(G138&lt;0.75,"Low Attendance","OK"))</f>
        <v/>
      </c>
    </row>
    <row r="139">
      <c r="A139">
        <f>IF(MASTER_REGISTER!E139="","",MASTER_REGISTER!E139)</f>
        <v/>
      </c>
      <c r="B139">
        <f>IF(A139="","",MASTER_REGISTER!F139)</f>
        <v/>
      </c>
      <c r="C139">
        <f>IF(A139="","",MASTER_REGISTER!C139)</f>
        <v/>
      </c>
      <c r="D139">
        <f>IF(A139="","",COUNTIF(ATTENDANCE_DAILY!C:C,A139))</f>
        <v/>
      </c>
      <c r="E139">
        <f>IF(A139="","",COUNTIFS(ATTENDANCE_DAILY!C:C,A139,ATTENDANCE_DAILY!E:E,"Present"))</f>
        <v/>
      </c>
      <c r="F139">
        <f>IF(A139="","",COUNTIFS(ATTENDANCE_DAILY!C:C,A139,ATTENDANCE_DAILY!E:E,"Absent"))</f>
        <v/>
      </c>
      <c r="G139" s="5">
        <f>IF(D139=0,"",E139/D139)</f>
        <v/>
      </c>
      <c r="H139" s="4">
        <f>IF(G139="","",IF(G139&lt;0.75,"Low Attendance","OK"))</f>
        <v/>
      </c>
    </row>
    <row r="140">
      <c r="A140">
        <f>IF(MASTER_REGISTER!E140="","",MASTER_REGISTER!E140)</f>
        <v/>
      </c>
      <c r="B140">
        <f>IF(A140="","",MASTER_REGISTER!F140)</f>
        <v/>
      </c>
      <c r="C140">
        <f>IF(A140="","",MASTER_REGISTER!C140)</f>
        <v/>
      </c>
      <c r="D140">
        <f>IF(A140="","",COUNTIF(ATTENDANCE_DAILY!C:C,A140))</f>
        <v/>
      </c>
      <c r="E140">
        <f>IF(A140="","",COUNTIFS(ATTENDANCE_DAILY!C:C,A140,ATTENDANCE_DAILY!E:E,"Present"))</f>
        <v/>
      </c>
      <c r="F140">
        <f>IF(A140="","",COUNTIFS(ATTENDANCE_DAILY!C:C,A140,ATTENDANCE_DAILY!E:E,"Absent"))</f>
        <v/>
      </c>
      <c r="G140" s="5">
        <f>IF(D140=0,"",E140/D140)</f>
        <v/>
      </c>
      <c r="H140" s="4">
        <f>IF(G140="","",IF(G140&lt;0.75,"Low Attendance","OK"))</f>
        <v/>
      </c>
    </row>
    <row r="141">
      <c r="A141">
        <f>IF(MASTER_REGISTER!E141="","",MASTER_REGISTER!E141)</f>
        <v/>
      </c>
      <c r="B141">
        <f>IF(A141="","",MASTER_REGISTER!F141)</f>
        <v/>
      </c>
      <c r="C141">
        <f>IF(A141="","",MASTER_REGISTER!C141)</f>
        <v/>
      </c>
      <c r="D141">
        <f>IF(A141="","",COUNTIF(ATTENDANCE_DAILY!C:C,A141))</f>
        <v/>
      </c>
      <c r="E141">
        <f>IF(A141="","",COUNTIFS(ATTENDANCE_DAILY!C:C,A141,ATTENDANCE_DAILY!E:E,"Present"))</f>
        <v/>
      </c>
      <c r="F141">
        <f>IF(A141="","",COUNTIFS(ATTENDANCE_DAILY!C:C,A141,ATTENDANCE_DAILY!E:E,"Absent"))</f>
        <v/>
      </c>
      <c r="G141" s="5">
        <f>IF(D141=0,"",E141/D141)</f>
        <v/>
      </c>
      <c r="H141" s="4">
        <f>IF(G141="","",IF(G141&lt;0.75,"Low Attendance","OK"))</f>
        <v/>
      </c>
    </row>
    <row r="142">
      <c r="A142">
        <f>IF(MASTER_REGISTER!E142="","",MASTER_REGISTER!E142)</f>
        <v/>
      </c>
      <c r="B142">
        <f>IF(A142="","",MASTER_REGISTER!F142)</f>
        <v/>
      </c>
      <c r="C142">
        <f>IF(A142="","",MASTER_REGISTER!C142)</f>
        <v/>
      </c>
      <c r="D142">
        <f>IF(A142="","",COUNTIF(ATTENDANCE_DAILY!C:C,A142))</f>
        <v/>
      </c>
      <c r="E142">
        <f>IF(A142="","",COUNTIFS(ATTENDANCE_DAILY!C:C,A142,ATTENDANCE_DAILY!E:E,"Present"))</f>
        <v/>
      </c>
      <c r="F142">
        <f>IF(A142="","",COUNTIFS(ATTENDANCE_DAILY!C:C,A142,ATTENDANCE_DAILY!E:E,"Absent"))</f>
        <v/>
      </c>
      <c r="G142" s="5">
        <f>IF(D142=0,"",E142/D142)</f>
        <v/>
      </c>
      <c r="H142" s="4">
        <f>IF(G142="","",IF(G142&lt;0.75,"Low Attendance","OK"))</f>
        <v/>
      </c>
    </row>
    <row r="143">
      <c r="A143">
        <f>IF(MASTER_REGISTER!E143="","",MASTER_REGISTER!E143)</f>
        <v/>
      </c>
      <c r="B143">
        <f>IF(A143="","",MASTER_REGISTER!F143)</f>
        <v/>
      </c>
      <c r="C143">
        <f>IF(A143="","",MASTER_REGISTER!C143)</f>
        <v/>
      </c>
      <c r="D143">
        <f>IF(A143="","",COUNTIF(ATTENDANCE_DAILY!C:C,A143))</f>
        <v/>
      </c>
      <c r="E143">
        <f>IF(A143="","",COUNTIFS(ATTENDANCE_DAILY!C:C,A143,ATTENDANCE_DAILY!E:E,"Present"))</f>
        <v/>
      </c>
      <c r="F143">
        <f>IF(A143="","",COUNTIFS(ATTENDANCE_DAILY!C:C,A143,ATTENDANCE_DAILY!E:E,"Absent"))</f>
        <v/>
      </c>
      <c r="G143" s="5">
        <f>IF(D143=0,"",E143/D143)</f>
        <v/>
      </c>
      <c r="H143" s="4">
        <f>IF(G143="","",IF(G143&lt;0.75,"Low Attendance","OK"))</f>
        <v/>
      </c>
    </row>
    <row r="144">
      <c r="A144">
        <f>IF(MASTER_REGISTER!E144="","",MASTER_REGISTER!E144)</f>
        <v/>
      </c>
      <c r="B144">
        <f>IF(A144="","",MASTER_REGISTER!F144)</f>
        <v/>
      </c>
      <c r="C144">
        <f>IF(A144="","",MASTER_REGISTER!C144)</f>
        <v/>
      </c>
      <c r="D144">
        <f>IF(A144="","",COUNTIF(ATTENDANCE_DAILY!C:C,A144))</f>
        <v/>
      </c>
      <c r="E144">
        <f>IF(A144="","",COUNTIFS(ATTENDANCE_DAILY!C:C,A144,ATTENDANCE_DAILY!E:E,"Present"))</f>
        <v/>
      </c>
      <c r="F144">
        <f>IF(A144="","",COUNTIFS(ATTENDANCE_DAILY!C:C,A144,ATTENDANCE_DAILY!E:E,"Absent"))</f>
        <v/>
      </c>
      <c r="G144" s="5">
        <f>IF(D144=0,"",E144/D144)</f>
        <v/>
      </c>
      <c r="H144" s="4">
        <f>IF(G144="","",IF(G144&lt;0.75,"Low Attendance","OK"))</f>
        <v/>
      </c>
    </row>
    <row r="145">
      <c r="A145">
        <f>IF(MASTER_REGISTER!E145="","",MASTER_REGISTER!E145)</f>
        <v/>
      </c>
      <c r="B145">
        <f>IF(A145="","",MASTER_REGISTER!F145)</f>
        <v/>
      </c>
      <c r="C145">
        <f>IF(A145="","",MASTER_REGISTER!C145)</f>
        <v/>
      </c>
      <c r="D145">
        <f>IF(A145="","",COUNTIF(ATTENDANCE_DAILY!C:C,A145))</f>
        <v/>
      </c>
      <c r="E145">
        <f>IF(A145="","",COUNTIFS(ATTENDANCE_DAILY!C:C,A145,ATTENDANCE_DAILY!E:E,"Present"))</f>
        <v/>
      </c>
      <c r="F145">
        <f>IF(A145="","",COUNTIFS(ATTENDANCE_DAILY!C:C,A145,ATTENDANCE_DAILY!E:E,"Absent"))</f>
        <v/>
      </c>
      <c r="G145" s="5">
        <f>IF(D145=0,"",E145/D145)</f>
        <v/>
      </c>
      <c r="H145" s="4">
        <f>IF(G145="","",IF(G145&lt;0.75,"Low Attendance","OK"))</f>
        <v/>
      </c>
    </row>
    <row r="146">
      <c r="A146">
        <f>IF(MASTER_REGISTER!E146="","",MASTER_REGISTER!E146)</f>
        <v/>
      </c>
      <c r="B146">
        <f>IF(A146="","",MASTER_REGISTER!F146)</f>
        <v/>
      </c>
      <c r="C146">
        <f>IF(A146="","",MASTER_REGISTER!C146)</f>
        <v/>
      </c>
      <c r="D146">
        <f>IF(A146="","",COUNTIF(ATTENDANCE_DAILY!C:C,A146))</f>
        <v/>
      </c>
      <c r="E146">
        <f>IF(A146="","",COUNTIFS(ATTENDANCE_DAILY!C:C,A146,ATTENDANCE_DAILY!E:E,"Present"))</f>
        <v/>
      </c>
      <c r="F146">
        <f>IF(A146="","",COUNTIFS(ATTENDANCE_DAILY!C:C,A146,ATTENDANCE_DAILY!E:E,"Absent"))</f>
        <v/>
      </c>
      <c r="G146" s="5">
        <f>IF(D146=0,"",E146/D146)</f>
        <v/>
      </c>
      <c r="H146" s="4">
        <f>IF(G146="","",IF(G146&lt;0.75,"Low Attendance","OK"))</f>
        <v/>
      </c>
    </row>
    <row r="147">
      <c r="A147">
        <f>IF(MASTER_REGISTER!E147="","",MASTER_REGISTER!E147)</f>
        <v/>
      </c>
      <c r="B147">
        <f>IF(A147="","",MASTER_REGISTER!F147)</f>
        <v/>
      </c>
      <c r="C147">
        <f>IF(A147="","",MASTER_REGISTER!C147)</f>
        <v/>
      </c>
      <c r="D147">
        <f>IF(A147="","",COUNTIF(ATTENDANCE_DAILY!C:C,A147))</f>
        <v/>
      </c>
      <c r="E147">
        <f>IF(A147="","",COUNTIFS(ATTENDANCE_DAILY!C:C,A147,ATTENDANCE_DAILY!E:E,"Present"))</f>
        <v/>
      </c>
      <c r="F147">
        <f>IF(A147="","",COUNTIFS(ATTENDANCE_DAILY!C:C,A147,ATTENDANCE_DAILY!E:E,"Absent"))</f>
        <v/>
      </c>
      <c r="G147" s="5">
        <f>IF(D147=0,"",E147/D147)</f>
        <v/>
      </c>
      <c r="H147" s="4">
        <f>IF(G147="","",IF(G147&lt;0.75,"Low Attendance","OK"))</f>
        <v/>
      </c>
    </row>
    <row r="148">
      <c r="A148">
        <f>IF(MASTER_REGISTER!E148="","",MASTER_REGISTER!E148)</f>
        <v/>
      </c>
      <c r="B148">
        <f>IF(A148="","",MASTER_REGISTER!F148)</f>
        <v/>
      </c>
      <c r="C148">
        <f>IF(A148="","",MASTER_REGISTER!C148)</f>
        <v/>
      </c>
      <c r="D148">
        <f>IF(A148="","",COUNTIF(ATTENDANCE_DAILY!C:C,A148))</f>
        <v/>
      </c>
      <c r="E148">
        <f>IF(A148="","",COUNTIFS(ATTENDANCE_DAILY!C:C,A148,ATTENDANCE_DAILY!E:E,"Present"))</f>
        <v/>
      </c>
      <c r="F148">
        <f>IF(A148="","",COUNTIFS(ATTENDANCE_DAILY!C:C,A148,ATTENDANCE_DAILY!E:E,"Absent"))</f>
        <v/>
      </c>
      <c r="G148" s="5">
        <f>IF(D148=0,"",E148/D148)</f>
        <v/>
      </c>
      <c r="H148" s="4">
        <f>IF(G148="","",IF(G148&lt;0.75,"Low Attendance","OK"))</f>
        <v/>
      </c>
    </row>
    <row r="149">
      <c r="A149">
        <f>IF(MASTER_REGISTER!E149="","",MASTER_REGISTER!E149)</f>
        <v/>
      </c>
      <c r="B149">
        <f>IF(A149="","",MASTER_REGISTER!F149)</f>
        <v/>
      </c>
      <c r="C149">
        <f>IF(A149="","",MASTER_REGISTER!C149)</f>
        <v/>
      </c>
      <c r="D149">
        <f>IF(A149="","",COUNTIF(ATTENDANCE_DAILY!C:C,A149))</f>
        <v/>
      </c>
      <c r="E149">
        <f>IF(A149="","",COUNTIFS(ATTENDANCE_DAILY!C:C,A149,ATTENDANCE_DAILY!E:E,"Present"))</f>
        <v/>
      </c>
      <c r="F149">
        <f>IF(A149="","",COUNTIFS(ATTENDANCE_DAILY!C:C,A149,ATTENDANCE_DAILY!E:E,"Absent"))</f>
        <v/>
      </c>
      <c r="G149" s="5">
        <f>IF(D149=0,"",E149/D149)</f>
        <v/>
      </c>
      <c r="H149" s="4">
        <f>IF(G149="","",IF(G149&lt;0.75,"Low Attendance","OK"))</f>
        <v/>
      </c>
    </row>
    <row r="150">
      <c r="A150">
        <f>IF(MASTER_REGISTER!E150="","",MASTER_REGISTER!E150)</f>
        <v/>
      </c>
      <c r="B150">
        <f>IF(A150="","",MASTER_REGISTER!F150)</f>
        <v/>
      </c>
      <c r="C150">
        <f>IF(A150="","",MASTER_REGISTER!C150)</f>
        <v/>
      </c>
      <c r="D150">
        <f>IF(A150="","",COUNTIF(ATTENDANCE_DAILY!C:C,A150))</f>
        <v/>
      </c>
      <c r="E150">
        <f>IF(A150="","",COUNTIFS(ATTENDANCE_DAILY!C:C,A150,ATTENDANCE_DAILY!E:E,"Present"))</f>
        <v/>
      </c>
      <c r="F150">
        <f>IF(A150="","",COUNTIFS(ATTENDANCE_DAILY!C:C,A150,ATTENDANCE_DAILY!E:E,"Absent"))</f>
        <v/>
      </c>
      <c r="G150" s="5">
        <f>IF(D150=0,"",E150/D150)</f>
        <v/>
      </c>
      <c r="H150" s="4">
        <f>IF(G150="","",IF(G150&lt;0.75,"Low Attendance","OK"))</f>
        <v/>
      </c>
    </row>
    <row r="151">
      <c r="A151">
        <f>IF(MASTER_REGISTER!E151="","",MASTER_REGISTER!E151)</f>
        <v/>
      </c>
      <c r="B151">
        <f>IF(A151="","",MASTER_REGISTER!F151)</f>
        <v/>
      </c>
      <c r="C151">
        <f>IF(A151="","",MASTER_REGISTER!C151)</f>
        <v/>
      </c>
      <c r="D151">
        <f>IF(A151="","",COUNTIF(ATTENDANCE_DAILY!C:C,A151))</f>
        <v/>
      </c>
      <c r="E151">
        <f>IF(A151="","",COUNTIFS(ATTENDANCE_DAILY!C:C,A151,ATTENDANCE_DAILY!E:E,"Present"))</f>
        <v/>
      </c>
      <c r="F151">
        <f>IF(A151="","",COUNTIFS(ATTENDANCE_DAILY!C:C,A151,ATTENDANCE_DAILY!E:E,"Absent"))</f>
        <v/>
      </c>
      <c r="G151" s="5">
        <f>IF(D151=0,"",E151/D151)</f>
        <v/>
      </c>
      <c r="H151" s="4">
        <f>IF(G151="","",IF(G151&lt;0.75,"Low Attendance","OK"))</f>
        <v/>
      </c>
    </row>
    <row r="152">
      <c r="A152">
        <f>IF(MASTER_REGISTER!E152="","",MASTER_REGISTER!E152)</f>
        <v/>
      </c>
      <c r="B152">
        <f>IF(A152="","",MASTER_REGISTER!F152)</f>
        <v/>
      </c>
      <c r="C152">
        <f>IF(A152="","",MASTER_REGISTER!C152)</f>
        <v/>
      </c>
      <c r="D152">
        <f>IF(A152="","",COUNTIF(ATTENDANCE_DAILY!C:C,A152))</f>
        <v/>
      </c>
      <c r="E152">
        <f>IF(A152="","",COUNTIFS(ATTENDANCE_DAILY!C:C,A152,ATTENDANCE_DAILY!E:E,"Present"))</f>
        <v/>
      </c>
      <c r="F152">
        <f>IF(A152="","",COUNTIFS(ATTENDANCE_DAILY!C:C,A152,ATTENDANCE_DAILY!E:E,"Absent"))</f>
        <v/>
      </c>
      <c r="G152" s="5">
        <f>IF(D152=0,"",E152/D152)</f>
        <v/>
      </c>
      <c r="H152" s="4">
        <f>IF(G152="","",IF(G152&lt;0.75,"Low Attendance","OK"))</f>
        <v/>
      </c>
    </row>
    <row r="153">
      <c r="A153">
        <f>IF(MASTER_REGISTER!E153="","",MASTER_REGISTER!E153)</f>
        <v/>
      </c>
      <c r="B153">
        <f>IF(A153="","",MASTER_REGISTER!F153)</f>
        <v/>
      </c>
      <c r="C153">
        <f>IF(A153="","",MASTER_REGISTER!C153)</f>
        <v/>
      </c>
      <c r="D153">
        <f>IF(A153="","",COUNTIF(ATTENDANCE_DAILY!C:C,A153))</f>
        <v/>
      </c>
      <c r="E153">
        <f>IF(A153="","",COUNTIFS(ATTENDANCE_DAILY!C:C,A153,ATTENDANCE_DAILY!E:E,"Present"))</f>
        <v/>
      </c>
      <c r="F153">
        <f>IF(A153="","",COUNTIFS(ATTENDANCE_DAILY!C:C,A153,ATTENDANCE_DAILY!E:E,"Absent"))</f>
        <v/>
      </c>
      <c r="G153" s="5">
        <f>IF(D153=0,"",E153/D153)</f>
        <v/>
      </c>
      <c r="H153" s="4">
        <f>IF(G153="","",IF(G153&lt;0.75,"Low Attendance","OK"))</f>
        <v/>
      </c>
    </row>
    <row r="154">
      <c r="A154">
        <f>IF(MASTER_REGISTER!E154="","",MASTER_REGISTER!E154)</f>
        <v/>
      </c>
      <c r="B154">
        <f>IF(A154="","",MASTER_REGISTER!F154)</f>
        <v/>
      </c>
      <c r="C154">
        <f>IF(A154="","",MASTER_REGISTER!C154)</f>
        <v/>
      </c>
      <c r="D154">
        <f>IF(A154="","",COUNTIF(ATTENDANCE_DAILY!C:C,A154))</f>
        <v/>
      </c>
      <c r="E154">
        <f>IF(A154="","",COUNTIFS(ATTENDANCE_DAILY!C:C,A154,ATTENDANCE_DAILY!E:E,"Present"))</f>
        <v/>
      </c>
      <c r="F154">
        <f>IF(A154="","",COUNTIFS(ATTENDANCE_DAILY!C:C,A154,ATTENDANCE_DAILY!E:E,"Absent"))</f>
        <v/>
      </c>
      <c r="G154" s="5">
        <f>IF(D154=0,"",E154/D154)</f>
        <v/>
      </c>
      <c r="H154" s="4">
        <f>IF(G154="","",IF(G154&lt;0.75,"Low Attendance","OK"))</f>
        <v/>
      </c>
    </row>
    <row r="155">
      <c r="A155">
        <f>IF(MASTER_REGISTER!E155="","",MASTER_REGISTER!E155)</f>
        <v/>
      </c>
      <c r="B155">
        <f>IF(A155="","",MASTER_REGISTER!F155)</f>
        <v/>
      </c>
      <c r="C155">
        <f>IF(A155="","",MASTER_REGISTER!C155)</f>
        <v/>
      </c>
      <c r="D155">
        <f>IF(A155="","",COUNTIF(ATTENDANCE_DAILY!C:C,A155))</f>
        <v/>
      </c>
      <c r="E155">
        <f>IF(A155="","",COUNTIFS(ATTENDANCE_DAILY!C:C,A155,ATTENDANCE_DAILY!E:E,"Present"))</f>
        <v/>
      </c>
      <c r="F155">
        <f>IF(A155="","",COUNTIFS(ATTENDANCE_DAILY!C:C,A155,ATTENDANCE_DAILY!E:E,"Absent"))</f>
        <v/>
      </c>
      <c r="G155" s="5">
        <f>IF(D155=0,"",E155/D155)</f>
        <v/>
      </c>
      <c r="H155" s="4">
        <f>IF(G155="","",IF(G155&lt;0.75,"Low Attendance","OK"))</f>
        <v/>
      </c>
    </row>
    <row r="156">
      <c r="A156">
        <f>IF(MASTER_REGISTER!E156="","",MASTER_REGISTER!E156)</f>
        <v/>
      </c>
      <c r="B156">
        <f>IF(A156="","",MASTER_REGISTER!F156)</f>
        <v/>
      </c>
      <c r="C156">
        <f>IF(A156="","",MASTER_REGISTER!C156)</f>
        <v/>
      </c>
      <c r="D156">
        <f>IF(A156="","",COUNTIF(ATTENDANCE_DAILY!C:C,A156))</f>
        <v/>
      </c>
      <c r="E156">
        <f>IF(A156="","",COUNTIFS(ATTENDANCE_DAILY!C:C,A156,ATTENDANCE_DAILY!E:E,"Present"))</f>
        <v/>
      </c>
      <c r="F156">
        <f>IF(A156="","",COUNTIFS(ATTENDANCE_DAILY!C:C,A156,ATTENDANCE_DAILY!E:E,"Absent"))</f>
        <v/>
      </c>
      <c r="G156" s="5">
        <f>IF(D156=0,"",E156/D156)</f>
        <v/>
      </c>
      <c r="H156" s="4">
        <f>IF(G156="","",IF(G156&lt;0.75,"Low Attendance","OK"))</f>
        <v/>
      </c>
    </row>
    <row r="157">
      <c r="A157">
        <f>IF(MASTER_REGISTER!E157="","",MASTER_REGISTER!E157)</f>
        <v/>
      </c>
      <c r="B157">
        <f>IF(A157="","",MASTER_REGISTER!F157)</f>
        <v/>
      </c>
      <c r="C157">
        <f>IF(A157="","",MASTER_REGISTER!C157)</f>
        <v/>
      </c>
      <c r="D157">
        <f>IF(A157="","",COUNTIF(ATTENDANCE_DAILY!C:C,A157))</f>
        <v/>
      </c>
      <c r="E157">
        <f>IF(A157="","",COUNTIFS(ATTENDANCE_DAILY!C:C,A157,ATTENDANCE_DAILY!E:E,"Present"))</f>
        <v/>
      </c>
      <c r="F157">
        <f>IF(A157="","",COUNTIFS(ATTENDANCE_DAILY!C:C,A157,ATTENDANCE_DAILY!E:E,"Absent"))</f>
        <v/>
      </c>
      <c r="G157" s="5">
        <f>IF(D157=0,"",E157/D157)</f>
        <v/>
      </c>
      <c r="H157" s="4">
        <f>IF(G157="","",IF(G157&lt;0.75,"Low Attendance","OK"))</f>
        <v/>
      </c>
    </row>
    <row r="158">
      <c r="A158">
        <f>IF(MASTER_REGISTER!E158="","",MASTER_REGISTER!E158)</f>
        <v/>
      </c>
      <c r="B158">
        <f>IF(A158="","",MASTER_REGISTER!F158)</f>
        <v/>
      </c>
      <c r="C158">
        <f>IF(A158="","",MASTER_REGISTER!C158)</f>
        <v/>
      </c>
      <c r="D158">
        <f>IF(A158="","",COUNTIF(ATTENDANCE_DAILY!C:C,A158))</f>
        <v/>
      </c>
      <c r="E158">
        <f>IF(A158="","",COUNTIFS(ATTENDANCE_DAILY!C:C,A158,ATTENDANCE_DAILY!E:E,"Present"))</f>
        <v/>
      </c>
      <c r="F158">
        <f>IF(A158="","",COUNTIFS(ATTENDANCE_DAILY!C:C,A158,ATTENDANCE_DAILY!E:E,"Absent"))</f>
        <v/>
      </c>
      <c r="G158" s="5">
        <f>IF(D158=0,"",E158/D158)</f>
        <v/>
      </c>
      <c r="H158" s="4">
        <f>IF(G158="","",IF(G158&lt;0.75,"Low Attendance","OK"))</f>
        <v/>
      </c>
    </row>
    <row r="159">
      <c r="A159">
        <f>IF(MASTER_REGISTER!E159="","",MASTER_REGISTER!E159)</f>
        <v/>
      </c>
      <c r="B159">
        <f>IF(A159="","",MASTER_REGISTER!F159)</f>
        <v/>
      </c>
      <c r="C159">
        <f>IF(A159="","",MASTER_REGISTER!C159)</f>
        <v/>
      </c>
      <c r="D159">
        <f>IF(A159="","",COUNTIF(ATTENDANCE_DAILY!C:C,A159))</f>
        <v/>
      </c>
      <c r="E159">
        <f>IF(A159="","",COUNTIFS(ATTENDANCE_DAILY!C:C,A159,ATTENDANCE_DAILY!E:E,"Present"))</f>
        <v/>
      </c>
      <c r="F159">
        <f>IF(A159="","",COUNTIFS(ATTENDANCE_DAILY!C:C,A159,ATTENDANCE_DAILY!E:E,"Absent"))</f>
        <v/>
      </c>
      <c r="G159" s="5">
        <f>IF(D159=0,"",E159/D159)</f>
        <v/>
      </c>
      <c r="H159" s="4">
        <f>IF(G159="","",IF(G159&lt;0.75,"Low Attendance","OK"))</f>
        <v/>
      </c>
    </row>
    <row r="160">
      <c r="A160">
        <f>IF(MASTER_REGISTER!E160="","",MASTER_REGISTER!E160)</f>
        <v/>
      </c>
      <c r="B160">
        <f>IF(A160="","",MASTER_REGISTER!F160)</f>
        <v/>
      </c>
      <c r="C160">
        <f>IF(A160="","",MASTER_REGISTER!C160)</f>
        <v/>
      </c>
      <c r="D160">
        <f>IF(A160="","",COUNTIF(ATTENDANCE_DAILY!C:C,A160))</f>
        <v/>
      </c>
      <c r="E160">
        <f>IF(A160="","",COUNTIFS(ATTENDANCE_DAILY!C:C,A160,ATTENDANCE_DAILY!E:E,"Present"))</f>
        <v/>
      </c>
      <c r="F160">
        <f>IF(A160="","",COUNTIFS(ATTENDANCE_DAILY!C:C,A160,ATTENDANCE_DAILY!E:E,"Absent"))</f>
        <v/>
      </c>
      <c r="G160" s="5">
        <f>IF(D160=0,"",E160/D160)</f>
        <v/>
      </c>
      <c r="H160" s="4">
        <f>IF(G160="","",IF(G160&lt;0.75,"Low Attendance","OK"))</f>
        <v/>
      </c>
    </row>
    <row r="161">
      <c r="A161">
        <f>IF(MASTER_REGISTER!E161="","",MASTER_REGISTER!E161)</f>
        <v/>
      </c>
      <c r="B161">
        <f>IF(A161="","",MASTER_REGISTER!F161)</f>
        <v/>
      </c>
      <c r="C161">
        <f>IF(A161="","",MASTER_REGISTER!C161)</f>
        <v/>
      </c>
      <c r="D161">
        <f>IF(A161="","",COUNTIF(ATTENDANCE_DAILY!C:C,A161))</f>
        <v/>
      </c>
      <c r="E161">
        <f>IF(A161="","",COUNTIFS(ATTENDANCE_DAILY!C:C,A161,ATTENDANCE_DAILY!E:E,"Present"))</f>
        <v/>
      </c>
      <c r="F161">
        <f>IF(A161="","",COUNTIFS(ATTENDANCE_DAILY!C:C,A161,ATTENDANCE_DAILY!E:E,"Absent"))</f>
        <v/>
      </c>
      <c r="G161" s="5">
        <f>IF(D161=0,"",E161/D161)</f>
        <v/>
      </c>
      <c r="H161" s="4">
        <f>IF(G161="","",IF(G161&lt;0.75,"Low Attendance","OK"))</f>
        <v/>
      </c>
    </row>
    <row r="162">
      <c r="A162">
        <f>IF(MASTER_REGISTER!E162="","",MASTER_REGISTER!E162)</f>
        <v/>
      </c>
      <c r="B162">
        <f>IF(A162="","",MASTER_REGISTER!F162)</f>
        <v/>
      </c>
      <c r="C162">
        <f>IF(A162="","",MASTER_REGISTER!C162)</f>
        <v/>
      </c>
      <c r="D162">
        <f>IF(A162="","",COUNTIF(ATTENDANCE_DAILY!C:C,A162))</f>
        <v/>
      </c>
      <c r="E162">
        <f>IF(A162="","",COUNTIFS(ATTENDANCE_DAILY!C:C,A162,ATTENDANCE_DAILY!E:E,"Present"))</f>
        <v/>
      </c>
      <c r="F162">
        <f>IF(A162="","",COUNTIFS(ATTENDANCE_DAILY!C:C,A162,ATTENDANCE_DAILY!E:E,"Absent"))</f>
        <v/>
      </c>
      <c r="G162" s="5">
        <f>IF(D162=0,"",E162/D162)</f>
        <v/>
      </c>
      <c r="H162" s="4">
        <f>IF(G162="","",IF(G162&lt;0.75,"Low Attendance","OK"))</f>
        <v/>
      </c>
    </row>
    <row r="163">
      <c r="A163">
        <f>IF(MASTER_REGISTER!E163="","",MASTER_REGISTER!E163)</f>
        <v/>
      </c>
      <c r="B163">
        <f>IF(A163="","",MASTER_REGISTER!F163)</f>
        <v/>
      </c>
      <c r="C163">
        <f>IF(A163="","",MASTER_REGISTER!C163)</f>
        <v/>
      </c>
      <c r="D163">
        <f>IF(A163="","",COUNTIF(ATTENDANCE_DAILY!C:C,A163))</f>
        <v/>
      </c>
      <c r="E163">
        <f>IF(A163="","",COUNTIFS(ATTENDANCE_DAILY!C:C,A163,ATTENDANCE_DAILY!E:E,"Present"))</f>
        <v/>
      </c>
      <c r="F163">
        <f>IF(A163="","",COUNTIFS(ATTENDANCE_DAILY!C:C,A163,ATTENDANCE_DAILY!E:E,"Absent"))</f>
        <v/>
      </c>
      <c r="G163" s="5">
        <f>IF(D163=0,"",E163/D163)</f>
        <v/>
      </c>
      <c r="H163" s="4">
        <f>IF(G163="","",IF(G163&lt;0.75,"Low Attendance","OK"))</f>
        <v/>
      </c>
    </row>
    <row r="164">
      <c r="A164">
        <f>IF(MASTER_REGISTER!E164="","",MASTER_REGISTER!E164)</f>
        <v/>
      </c>
      <c r="B164">
        <f>IF(A164="","",MASTER_REGISTER!F164)</f>
        <v/>
      </c>
      <c r="C164">
        <f>IF(A164="","",MASTER_REGISTER!C164)</f>
        <v/>
      </c>
      <c r="D164">
        <f>IF(A164="","",COUNTIF(ATTENDANCE_DAILY!C:C,A164))</f>
        <v/>
      </c>
      <c r="E164">
        <f>IF(A164="","",COUNTIFS(ATTENDANCE_DAILY!C:C,A164,ATTENDANCE_DAILY!E:E,"Present"))</f>
        <v/>
      </c>
      <c r="F164">
        <f>IF(A164="","",COUNTIFS(ATTENDANCE_DAILY!C:C,A164,ATTENDANCE_DAILY!E:E,"Absent"))</f>
        <v/>
      </c>
      <c r="G164" s="5">
        <f>IF(D164=0,"",E164/D164)</f>
        <v/>
      </c>
      <c r="H164" s="4">
        <f>IF(G164="","",IF(G164&lt;0.75,"Low Attendance","OK"))</f>
        <v/>
      </c>
    </row>
    <row r="165">
      <c r="A165">
        <f>IF(MASTER_REGISTER!E165="","",MASTER_REGISTER!E165)</f>
        <v/>
      </c>
      <c r="B165">
        <f>IF(A165="","",MASTER_REGISTER!F165)</f>
        <v/>
      </c>
      <c r="C165">
        <f>IF(A165="","",MASTER_REGISTER!C165)</f>
        <v/>
      </c>
      <c r="D165">
        <f>IF(A165="","",COUNTIF(ATTENDANCE_DAILY!C:C,A165))</f>
        <v/>
      </c>
      <c r="E165">
        <f>IF(A165="","",COUNTIFS(ATTENDANCE_DAILY!C:C,A165,ATTENDANCE_DAILY!E:E,"Present"))</f>
        <v/>
      </c>
      <c r="F165">
        <f>IF(A165="","",COUNTIFS(ATTENDANCE_DAILY!C:C,A165,ATTENDANCE_DAILY!E:E,"Absent"))</f>
        <v/>
      </c>
      <c r="G165" s="5">
        <f>IF(D165=0,"",E165/D165)</f>
        <v/>
      </c>
      <c r="H165" s="4">
        <f>IF(G165="","",IF(G165&lt;0.75,"Low Attendance","OK"))</f>
        <v/>
      </c>
    </row>
    <row r="166">
      <c r="A166">
        <f>IF(MASTER_REGISTER!E166="","",MASTER_REGISTER!E166)</f>
        <v/>
      </c>
      <c r="B166">
        <f>IF(A166="","",MASTER_REGISTER!F166)</f>
        <v/>
      </c>
      <c r="C166">
        <f>IF(A166="","",MASTER_REGISTER!C166)</f>
        <v/>
      </c>
      <c r="D166">
        <f>IF(A166="","",COUNTIF(ATTENDANCE_DAILY!C:C,A166))</f>
        <v/>
      </c>
      <c r="E166">
        <f>IF(A166="","",COUNTIFS(ATTENDANCE_DAILY!C:C,A166,ATTENDANCE_DAILY!E:E,"Present"))</f>
        <v/>
      </c>
      <c r="F166">
        <f>IF(A166="","",COUNTIFS(ATTENDANCE_DAILY!C:C,A166,ATTENDANCE_DAILY!E:E,"Absent"))</f>
        <v/>
      </c>
      <c r="G166" s="5">
        <f>IF(D166=0,"",E166/D166)</f>
        <v/>
      </c>
      <c r="H166" s="4">
        <f>IF(G166="","",IF(G166&lt;0.75,"Low Attendance","OK"))</f>
        <v/>
      </c>
    </row>
    <row r="167">
      <c r="A167">
        <f>IF(MASTER_REGISTER!E167="","",MASTER_REGISTER!E167)</f>
        <v/>
      </c>
      <c r="B167">
        <f>IF(A167="","",MASTER_REGISTER!F167)</f>
        <v/>
      </c>
      <c r="C167">
        <f>IF(A167="","",MASTER_REGISTER!C167)</f>
        <v/>
      </c>
      <c r="D167">
        <f>IF(A167="","",COUNTIF(ATTENDANCE_DAILY!C:C,A167))</f>
        <v/>
      </c>
      <c r="E167">
        <f>IF(A167="","",COUNTIFS(ATTENDANCE_DAILY!C:C,A167,ATTENDANCE_DAILY!E:E,"Present"))</f>
        <v/>
      </c>
      <c r="F167">
        <f>IF(A167="","",COUNTIFS(ATTENDANCE_DAILY!C:C,A167,ATTENDANCE_DAILY!E:E,"Absent"))</f>
        <v/>
      </c>
      <c r="G167" s="5">
        <f>IF(D167=0,"",E167/D167)</f>
        <v/>
      </c>
      <c r="H167" s="4">
        <f>IF(G167="","",IF(G167&lt;0.75,"Low Attendance","OK"))</f>
        <v/>
      </c>
    </row>
    <row r="168">
      <c r="A168">
        <f>IF(MASTER_REGISTER!E168="","",MASTER_REGISTER!E168)</f>
        <v/>
      </c>
      <c r="B168">
        <f>IF(A168="","",MASTER_REGISTER!F168)</f>
        <v/>
      </c>
      <c r="C168">
        <f>IF(A168="","",MASTER_REGISTER!C168)</f>
        <v/>
      </c>
      <c r="D168">
        <f>IF(A168="","",COUNTIF(ATTENDANCE_DAILY!C:C,A168))</f>
        <v/>
      </c>
      <c r="E168">
        <f>IF(A168="","",COUNTIFS(ATTENDANCE_DAILY!C:C,A168,ATTENDANCE_DAILY!E:E,"Present"))</f>
        <v/>
      </c>
      <c r="F168">
        <f>IF(A168="","",COUNTIFS(ATTENDANCE_DAILY!C:C,A168,ATTENDANCE_DAILY!E:E,"Absent"))</f>
        <v/>
      </c>
      <c r="G168" s="5">
        <f>IF(D168=0,"",E168/D168)</f>
        <v/>
      </c>
      <c r="H168" s="4">
        <f>IF(G168="","",IF(G168&lt;0.75,"Low Attendance","OK"))</f>
        <v/>
      </c>
    </row>
    <row r="169">
      <c r="A169">
        <f>IF(MASTER_REGISTER!E169="","",MASTER_REGISTER!E169)</f>
        <v/>
      </c>
      <c r="B169">
        <f>IF(A169="","",MASTER_REGISTER!F169)</f>
        <v/>
      </c>
      <c r="C169">
        <f>IF(A169="","",MASTER_REGISTER!C169)</f>
        <v/>
      </c>
      <c r="D169">
        <f>IF(A169="","",COUNTIF(ATTENDANCE_DAILY!C:C,A169))</f>
        <v/>
      </c>
      <c r="E169">
        <f>IF(A169="","",COUNTIFS(ATTENDANCE_DAILY!C:C,A169,ATTENDANCE_DAILY!E:E,"Present"))</f>
        <v/>
      </c>
      <c r="F169">
        <f>IF(A169="","",COUNTIFS(ATTENDANCE_DAILY!C:C,A169,ATTENDANCE_DAILY!E:E,"Absent"))</f>
        <v/>
      </c>
      <c r="G169" s="5">
        <f>IF(D169=0,"",E169/D169)</f>
        <v/>
      </c>
      <c r="H169" s="4">
        <f>IF(G169="","",IF(G169&lt;0.75,"Low Attendance","OK"))</f>
        <v/>
      </c>
    </row>
    <row r="170">
      <c r="A170">
        <f>IF(MASTER_REGISTER!E170="","",MASTER_REGISTER!E170)</f>
        <v/>
      </c>
      <c r="B170">
        <f>IF(A170="","",MASTER_REGISTER!F170)</f>
        <v/>
      </c>
      <c r="C170">
        <f>IF(A170="","",MASTER_REGISTER!C170)</f>
        <v/>
      </c>
      <c r="D170">
        <f>IF(A170="","",COUNTIF(ATTENDANCE_DAILY!C:C,A170))</f>
        <v/>
      </c>
      <c r="E170">
        <f>IF(A170="","",COUNTIFS(ATTENDANCE_DAILY!C:C,A170,ATTENDANCE_DAILY!E:E,"Present"))</f>
        <v/>
      </c>
      <c r="F170">
        <f>IF(A170="","",COUNTIFS(ATTENDANCE_DAILY!C:C,A170,ATTENDANCE_DAILY!E:E,"Absent"))</f>
        <v/>
      </c>
      <c r="G170" s="5">
        <f>IF(D170=0,"",E170/D170)</f>
        <v/>
      </c>
      <c r="H170" s="4">
        <f>IF(G170="","",IF(G170&lt;0.75,"Low Attendance","OK"))</f>
        <v/>
      </c>
    </row>
    <row r="171">
      <c r="A171">
        <f>IF(MASTER_REGISTER!E171="","",MASTER_REGISTER!E171)</f>
        <v/>
      </c>
      <c r="B171">
        <f>IF(A171="","",MASTER_REGISTER!F171)</f>
        <v/>
      </c>
      <c r="C171">
        <f>IF(A171="","",MASTER_REGISTER!C171)</f>
        <v/>
      </c>
      <c r="D171">
        <f>IF(A171="","",COUNTIF(ATTENDANCE_DAILY!C:C,A171))</f>
        <v/>
      </c>
      <c r="E171">
        <f>IF(A171="","",COUNTIFS(ATTENDANCE_DAILY!C:C,A171,ATTENDANCE_DAILY!E:E,"Present"))</f>
        <v/>
      </c>
      <c r="F171">
        <f>IF(A171="","",COUNTIFS(ATTENDANCE_DAILY!C:C,A171,ATTENDANCE_DAILY!E:E,"Absent"))</f>
        <v/>
      </c>
      <c r="G171" s="5">
        <f>IF(D171=0,"",E171/D171)</f>
        <v/>
      </c>
      <c r="H171" s="4">
        <f>IF(G171="","",IF(G171&lt;0.75,"Low Attendance","OK"))</f>
        <v/>
      </c>
    </row>
    <row r="172">
      <c r="A172">
        <f>IF(MASTER_REGISTER!E172="","",MASTER_REGISTER!E172)</f>
        <v/>
      </c>
      <c r="B172">
        <f>IF(A172="","",MASTER_REGISTER!F172)</f>
        <v/>
      </c>
      <c r="C172">
        <f>IF(A172="","",MASTER_REGISTER!C172)</f>
        <v/>
      </c>
      <c r="D172">
        <f>IF(A172="","",COUNTIF(ATTENDANCE_DAILY!C:C,A172))</f>
        <v/>
      </c>
      <c r="E172">
        <f>IF(A172="","",COUNTIFS(ATTENDANCE_DAILY!C:C,A172,ATTENDANCE_DAILY!E:E,"Present"))</f>
        <v/>
      </c>
      <c r="F172">
        <f>IF(A172="","",COUNTIFS(ATTENDANCE_DAILY!C:C,A172,ATTENDANCE_DAILY!E:E,"Absent"))</f>
        <v/>
      </c>
      <c r="G172" s="5">
        <f>IF(D172=0,"",E172/D172)</f>
        <v/>
      </c>
      <c r="H172" s="4">
        <f>IF(G172="","",IF(G172&lt;0.75,"Low Attendance","OK"))</f>
        <v/>
      </c>
    </row>
    <row r="173">
      <c r="A173">
        <f>IF(MASTER_REGISTER!E173="","",MASTER_REGISTER!E173)</f>
        <v/>
      </c>
      <c r="B173">
        <f>IF(A173="","",MASTER_REGISTER!F173)</f>
        <v/>
      </c>
      <c r="C173">
        <f>IF(A173="","",MASTER_REGISTER!C173)</f>
        <v/>
      </c>
      <c r="D173">
        <f>IF(A173="","",COUNTIF(ATTENDANCE_DAILY!C:C,A173))</f>
        <v/>
      </c>
      <c r="E173">
        <f>IF(A173="","",COUNTIFS(ATTENDANCE_DAILY!C:C,A173,ATTENDANCE_DAILY!E:E,"Present"))</f>
        <v/>
      </c>
      <c r="F173">
        <f>IF(A173="","",COUNTIFS(ATTENDANCE_DAILY!C:C,A173,ATTENDANCE_DAILY!E:E,"Absent"))</f>
        <v/>
      </c>
      <c r="G173" s="5">
        <f>IF(D173=0,"",E173/D173)</f>
        <v/>
      </c>
      <c r="H173" s="4">
        <f>IF(G173="","",IF(G173&lt;0.75,"Low Attendance","OK"))</f>
        <v/>
      </c>
    </row>
    <row r="174">
      <c r="A174">
        <f>IF(MASTER_REGISTER!E174="","",MASTER_REGISTER!E174)</f>
        <v/>
      </c>
      <c r="B174">
        <f>IF(A174="","",MASTER_REGISTER!F174)</f>
        <v/>
      </c>
      <c r="C174">
        <f>IF(A174="","",MASTER_REGISTER!C174)</f>
        <v/>
      </c>
      <c r="D174">
        <f>IF(A174="","",COUNTIF(ATTENDANCE_DAILY!C:C,A174))</f>
        <v/>
      </c>
      <c r="E174">
        <f>IF(A174="","",COUNTIFS(ATTENDANCE_DAILY!C:C,A174,ATTENDANCE_DAILY!E:E,"Present"))</f>
        <v/>
      </c>
      <c r="F174">
        <f>IF(A174="","",COUNTIFS(ATTENDANCE_DAILY!C:C,A174,ATTENDANCE_DAILY!E:E,"Absent"))</f>
        <v/>
      </c>
      <c r="G174" s="5">
        <f>IF(D174=0,"",E174/D174)</f>
        <v/>
      </c>
      <c r="H174" s="4">
        <f>IF(G174="","",IF(G174&lt;0.75,"Low Attendance","OK"))</f>
        <v/>
      </c>
    </row>
    <row r="175">
      <c r="A175">
        <f>IF(MASTER_REGISTER!E175="","",MASTER_REGISTER!E175)</f>
        <v/>
      </c>
      <c r="B175">
        <f>IF(A175="","",MASTER_REGISTER!F175)</f>
        <v/>
      </c>
      <c r="C175">
        <f>IF(A175="","",MASTER_REGISTER!C175)</f>
        <v/>
      </c>
      <c r="D175">
        <f>IF(A175="","",COUNTIF(ATTENDANCE_DAILY!C:C,A175))</f>
        <v/>
      </c>
      <c r="E175">
        <f>IF(A175="","",COUNTIFS(ATTENDANCE_DAILY!C:C,A175,ATTENDANCE_DAILY!E:E,"Present"))</f>
        <v/>
      </c>
      <c r="F175">
        <f>IF(A175="","",COUNTIFS(ATTENDANCE_DAILY!C:C,A175,ATTENDANCE_DAILY!E:E,"Absent"))</f>
        <v/>
      </c>
      <c r="G175" s="5">
        <f>IF(D175=0,"",E175/D175)</f>
        <v/>
      </c>
      <c r="H175" s="4">
        <f>IF(G175="","",IF(G175&lt;0.75,"Low Attendance","OK"))</f>
        <v/>
      </c>
    </row>
    <row r="176">
      <c r="A176">
        <f>IF(MASTER_REGISTER!E176="","",MASTER_REGISTER!E176)</f>
        <v/>
      </c>
      <c r="B176">
        <f>IF(A176="","",MASTER_REGISTER!F176)</f>
        <v/>
      </c>
      <c r="C176">
        <f>IF(A176="","",MASTER_REGISTER!C176)</f>
        <v/>
      </c>
      <c r="D176">
        <f>IF(A176="","",COUNTIF(ATTENDANCE_DAILY!C:C,A176))</f>
        <v/>
      </c>
      <c r="E176">
        <f>IF(A176="","",COUNTIFS(ATTENDANCE_DAILY!C:C,A176,ATTENDANCE_DAILY!E:E,"Present"))</f>
        <v/>
      </c>
      <c r="F176">
        <f>IF(A176="","",COUNTIFS(ATTENDANCE_DAILY!C:C,A176,ATTENDANCE_DAILY!E:E,"Absent"))</f>
        <v/>
      </c>
      <c r="G176" s="5">
        <f>IF(D176=0,"",E176/D176)</f>
        <v/>
      </c>
      <c r="H176" s="4">
        <f>IF(G176="","",IF(G176&lt;0.75,"Low Attendance","OK"))</f>
        <v/>
      </c>
    </row>
    <row r="177">
      <c r="A177">
        <f>IF(MASTER_REGISTER!E177="","",MASTER_REGISTER!E177)</f>
        <v/>
      </c>
      <c r="B177">
        <f>IF(A177="","",MASTER_REGISTER!F177)</f>
        <v/>
      </c>
      <c r="C177">
        <f>IF(A177="","",MASTER_REGISTER!C177)</f>
        <v/>
      </c>
      <c r="D177">
        <f>IF(A177="","",COUNTIF(ATTENDANCE_DAILY!C:C,A177))</f>
        <v/>
      </c>
      <c r="E177">
        <f>IF(A177="","",COUNTIFS(ATTENDANCE_DAILY!C:C,A177,ATTENDANCE_DAILY!E:E,"Present"))</f>
        <v/>
      </c>
      <c r="F177">
        <f>IF(A177="","",COUNTIFS(ATTENDANCE_DAILY!C:C,A177,ATTENDANCE_DAILY!E:E,"Absent"))</f>
        <v/>
      </c>
      <c r="G177" s="5">
        <f>IF(D177=0,"",E177/D177)</f>
        <v/>
      </c>
      <c r="H177" s="4">
        <f>IF(G177="","",IF(G177&lt;0.75,"Low Attendance","OK"))</f>
        <v/>
      </c>
    </row>
    <row r="178">
      <c r="A178">
        <f>IF(MASTER_REGISTER!E178="","",MASTER_REGISTER!E178)</f>
        <v/>
      </c>
      <c r="B178">
        <f>IF(A178="","",MASTER_REGISTER!F178)</f>
        <v/>
      </c>
      <c r="C178">
        <f>IF(A178="","",MASTER_REGISTER!C178)</f>
        <v/>
      </c>
      <c r="D178">
        <f>IF(A178="","",COUNTIF(ATTENDANCE_DAILY!C:C,A178))</f>
        <v/>
      </c>
      <c r="E178">
        <f>IF(A178="","",COUNTIFS(ATTENDANCE_DAILY!C:C,A178,ATTENDANCE_DAILY!E:E,"Present"))</f>
        <v/>
      </c>
      <c r="F178">
        <f>IF(A178="","",COUNTIFS(ATTENDANCE_DAILY!C:C,A178,ATTENDANCE_DAILY!E:E,"Absent"))</f>
        <v/>
      </c>
      <c r="G178" s="5">
        <f>IF(D178=0,"",E178/D178)</f>
        <v/>
      </c>
      <c r="H178" s="4">
        <f>IF(G178="","",IF(G178&lt;0.75,"Low Attendance","OK"))</f>
        <v/>
      </c>
    </row>
    <row r="179">
      <c r="A179">
        <f>IF(MASTER_REGISTER!E179="","",MASTER_REGISTER!E179)</f>
        <v/>
      </c>
      <c r="B179">
        <f>IF(A179="","",MASTER_REGISTER!F179)</f>
        <v/>
      </c>
      <c r="C179">
        <f>IF(A179="","",MASTER_REGISTER!C179)</f>
        <v/>
      </c>
      <c r="D179">
        <f>IF(A179="","",COUNTIF(ATTENDANCE_DAILY!C:C,A179))</f>
        <v/>
      </c>
      <c r="E179">
        <f>IF(A179="","",COUNTIFS(ATTENDANCE_DAILY!C:C,A179,ATTENDANCE_DAILY!E:E,"Present"))</f>
        <v/>
      </c>
      <c r="F179">
        <f>IF(A179="","",COUNTIFS(ATTENDANCE_DAILY!C:C,A179,ATTENDANCE_DAILY!E:E,"Absent"))</f>
        <v/>
      </c>
      <c r="G179" s="5">
        <f>IF(D179=0,"",E179/D179)</f>
        <v/>
      </c>
      <c r="H179" s="4">
        <f>IF(G179="","",IF(G179&lt;0.75,"Low Attendance","OK"))</f>
        <v/>
      </c>
    </row>
    <row r="180">
      <c r="A180">
        <f>IF(MASTER_REGISTER!E180="","",MASTER_REGISTER!E180)</f>
        <v/>
      </c>
      <c r="B180">
        <f>IF(A180="","",MASTER_REGISTER!F180)</f>
        <v/>
      </c>
      <c r="C180">
        <f>IF(A180="","",MASTER_REGISTER!C180)</f>
        <v/>
      </c>
      <c r="D180">
        <f>IF(A180="","",COUNTIF(ATTENDANCE_DAILY!C:C,A180))</f>
        <v/>
      </c>
      <c r="E180">
        <f>IF(A180="","",COUNTIFS(ATTENDANCE_DAILY!C:C,A180,ATTENDANCE_DAILY!E:E,"Present"))</f>
        <v/>
      </c>
      <c r="F180">
        <f>IF(A180="","",COUNTIFS(ATTENDANCE_DAILY!C:C,A180,ATTENDANCE_DAILY!E:E,"Absent"))</f>
        <v/>
      </c>
      <c r="G180" s="5">
        <f>IF(D180=0,"",E180/D180)</f>
        <v/>
      </c>
      <c r="H180" s="4">
        <f>IF(G180="","",IF(G180&lt;0.75,"Low Attendance","OK"))</f>
        <v/>
      </c>
    </row>
    <row r="181">
      <c r="A181">
        <f>IF(MASTER_REGISTER!E181="","",MASTER_REGISTER!E181)</f>
        <v/>
      </c>
      <c r="B181">
        <f>IF(A181="","",MASTER_REGISTER!F181)</f>
        <v/>
      </c>
      <c r="C181">
        <f>IF(A181="","",MASTER_REGISTER!C181)</f>
        <v/>
      </c>
      <c r="D181">
        <f>IF(A181="","",COUNTIF(ATTENDANCE_DAILY!C:C,A181))</f>
        <v/>
      </c>
      <c r="E181">
        <f>IF(A181="","",COUNTIFS(ATTENDANCE_DAILY!C:C,A181,ATTENDANCE_DAILY!E:E,"Present"))</f>
        <v/>
      </c>
      <c r="F181">
        <f>IF(A181="","",COUNTIFS(ATTENDANCE_DAILY!C:C,A181,ATTENDANCE_DAILY!E:E,"Absent"))</f>
        <v/>
      </c>
      <c r="G181" s="5">
        <f>IF(D181=0,"",E181/D181)</f>
        <v/>
      </c>
      <c r="H181" s="4">
        <f>IF(G181="","",IF(G181&lt;0.75,"Low Attendance","OK"))</f>
        <v/>
      </c>
    </row>
    <row r="182">
      <c r="A182">
        <f>IF(MASTER_REGISTER!E182="","",MASTER_REGISTER!E182)</f>
        <v/>
      </c>
      <c r="B182">
        <f>IF(A182="","",MASTER_REGISTER!F182)</f>
        <v/>
      </c>
      <c r="C182">
        <f>IF(A182="","",MASTER_REGISTER!C182)</f>
        <v/>
      </c>
      <c r="D182">
        <f>IF(A182="","",COUNTIF(ATTENDANCE_DAILY!C:C,A182))</f>
        <v/>
      </c>
      <c r="E182">
        <f>IF(A182="","",COUNTIFS(ATTENDANCE_DAILY!C:C,A182,ATTENDANCE_DAILY!E:E,"Present"))</f>
        <v/>
      </c>
      <c r="F182">
        <f>IF(A182="","",COUNTIFS(ATTENDANCE_DAILY!C:C,A182,ATTENDANCE_DAILY!E:E,"Absent"))</f>
        <v/>
      </c>
      <c r="G182" s="5">
        <f>IF(D182=0,"",E182/D182)</f>
        <v/>
      </c>
      <c r="H182" s="4">
        <f>IF(G182="","",IF(G182&lt;0.75,"Low Attendance","OK"))</f>
        <v/>
      </c>
    </row>
    <row r="183">
      <c r="A183">
        <f>IF(MASTER_REGISTER!E183="","",MASTER_REGISTER!E183)</f>
        <v/>
      </c>
      <c r="B183">
        <f>IF(A183="","",MASTER_REGISTER!F183)</f>
        <v/>
      </c>
      <c r="C183">
        <f>IF(A183="","",MASTER_REGISTER!C183)</f>
        <v/>
      </c>
      <c r="D183">
        <f>IF(A183="","",COUNTIF(ATTENDANCE_DAILY!C:C,A183))</f>
        <v/>
      </c>
      <c r="E183">
        <f>IF(A183="","",COUNTIFS(ATTENDANCE_DAILY!C:C,A183,ATTENDANCE_DAILY!E:E,"Present"))</f>
        <v/>
      </c>
      <c r="F183">
        <f>IF(A183="","",COUNTIFS(ATTENDANCE_DAILY!C:C,A183,ATTENDANCE_DAILY!E:E,"Absent"))</f>
        <v/>
      </c>
      <c r="G183" s="5">
        <f>IF(D183=0,"",E183/D183)</f>
        <v/>
      </c>
      <c r="H183" s="4">
        <f>IF(G183="","",IF(G183&lt;0.75,"Low Attendance","OK"))</f>
        <v/>
      </c>
    </row>
    <row r="184">
      <c r="A184">
        <f>IF(MASTER_REGISTER!E184="","",MASTER_REGISTER!E184)</f>
        <v/>
      </c>
      <c r="B184">
        <f>IF(A184="","",MASTER_REGISTER!F184)</f>
        <v/>
      </c>
      <c r="C184">
        <f>IF(A184="","",MASTER_REGISTER!C184)</f>
        <v/>
      </c>
      <c r="D184">
        <f>IF(A184="","",COUNTIF(ATTENDANCE_DAILY!C:C,A184))</f>
        <v/>
      </c>
      <c r="E184">
        <f>IF(A184="","",COUNTIFS(ATTENDANCE_DAILY!C:C,A184,ATTENDANCE_DAILY!E:E,"Present"))</f>
        <v/>
      </c>
      <c r="F184">
        <f>IF(A184="","",COUNTIFS(ATTENDANCE_DAILY!C:C,A184,ATTENDANCE_DAILY!E:E,"Absent"))</f>
        <v/>
      </c>
      <c r="G184" s="5">
        <f>IF(D184=0,"",E184/D184)</f>
        <v/>
      </c>
      <c r="H184" s="4">
        <f>IF(G184="","",IF(G184&lt;0.75,"Low Attendance","OK"))</f>
        <v/>
      </c>
    </row>
    <row r="185">
      <c r="A185">
        <f>IF(MASTER_REGISTER!E185="","",MASTER_REGISTER!E185)</f>
        <v/>
      </c>
      <c r="B185">
        <f>IF(A185="","",MASTER_REGISTER!F185)</f>
        <v/>
      </c>
      <c r="C185">
        <f>IF(A185="","",MASTER_REGISTER!C185)</f>
        <v/>
      </c>
      <c r="D185">
        <f>IF(A185="","",COUNTIF(ATTENDANCE_DAILY!C:C,A185))</f>
        <v/>
      </c>
      <c r="E185">
        <f>IF(A185="","",COUNTIFS(ATTENDANCE_DAILY!C:C,A185,ATTENDANCE_DAILY!E:E,"Present"))</f>
        <v/>
      </c>
      <c r="F185">
        <f>IF(A185="","",COUNTIFS(ATTENDANCE_DAILY!C:C,A185,ATTENDANCE_DAILY!E:E,"Absent"))</f>
        <v/>
      </c>
      <c r="G185" s="5">
        <f>IF(D185=0,"",E185/D185)</f>
        <v/>
      </c>
      <c r="H185" s="4">
        <f>IF(G185="","",IF(G185&lt;0.75,"Low Attendance","OK"))</f>
        <v/>
      </c>
    </row>
    <row r="186">
      <c r="A186">
        <f>IF(MASTER_REGISTER!E186="","",MASTER_REGISTER!E186)</f>
        <v/>
      </c>
      <c r="B186">
        <f>IF(A186="","",MASTER_REGISTER!F186)</f>
        <v/>
      </c>
      <c r="C186">
        <f>IF(A186="","",MASTER_REGISTER!C186)</f>
        <v/>
      </c>
      <c r="D186">
        <f>IF(A186="","",COUNTIF(ATTENDANCE_DAILY!C:C,A186))</f>
        <v/>
      </c>
      <c r="E186">
        <f>IF(A186="","",COUNTIFS(ATTENDANCE_DAILY!C:C,A186,ATTENDANCE_DAILY!E:E,"Present"))</f>
        <v/>
      </c>
      <c r="F186">
        <f>IF(A186="","",COUNTIFS(ATTENDANCE_DAILY!C:C,A186,ATTENDANCE_DAILY!E:E,"Absent"))</f>
        <v/>
      </c>
      <c r="G186" s="5">
        <f>IF(D186=0,"",E186/D186)</f>
        <v/>
      </c>
      <c r="H186" s="4">
        <f>IF(G186="","",IF(G186&lt;0.75,"Low Attendance","OK"))</f>
        <v/>
      </c>
    </row>
    <row r="187">
      <c r="A187">
        <f>IF(MASTER_REGISTER!E187="","",MASTER_REGISTER!E187)</f>
        <v/>
      </c>
      <c r="B187">
        <f>IF(A187="","",MASTER_REGISTER!F187)</f>
        <v/>
      </c>
      <c r="C187">
        <f>IF(A187="","",MASTER_REGISTER!C187)</f>
        <v/>
      </c>
      <c r="D187">
        <f>IF(A187="","",COUNTIF(ATTENDANCE_DAILY!C:C,A187))</f>
        <v/>
      </c>
      <c r="E187">
        <f>IF(A187="","",COUNTIFS(ATTENDANCE_DAILY!C:C,A187,ATTENDANCE_DAILY!E:E,"Present"))</f>
        <v/>
      </c>
      <c r="F187">
        <f>IF(A187="","",COUNTIFS(ATTENDANCE_DAILY!C:C,A187,ATTENDANCE_DAILY!E:E,"Absent"))</f>
        <v/>
      </c>
      <c r="G187" s="5">
        <f>IF(D187=0,"",E187/D187)</f>
        <v/>
      </c>
      <c r="H187" s="4">
        <f>IF(G187="","",IF(G187&lt;0.75,"Low Attendance","OK"))</f>
        <v/>
      </c>
    </row>
    <row r="188">
      <c r="A188">
        <f>IF(MASTER_REGISTER!E188="","",MASTER_REGISTER!E188)</f>
        <v/>
      </c>
      <c r="B188">
        <f>IF(A188="","",MASTER_REGISTER!F188)</f>
        <v/>
      </c>
      <c r="C188">
        <f>IF(A188="","",MASTER_REGISTER!C188)</f>
        <v/>
      </c>
      <c r="D188">
        <f>IF(A188="","",COUNTIF(ATTENDANCE_DAILY!C:C,A188))</f>
        <v/>
      </c>
      <c r="E188">
        <f>IF(A188="","",COUNTIFS(ATTENDANCE_DAILY!C:C,A188,ATTENDANCE_DAILY!E:E,"Present"))</f>
        <v/>
      </c>
      <c r="F188">
        <f>IF(A188="","",COUNTIFS(ATTENDANCE_DAILY!C:C,A188,ATTENDANCE_DAILY!E:E,"Absent"))</f>
        <v/>
      </c>
      <c r="G188" s="5">
        <f>IF(D188=0,"",E188/D188)</f>
        <v/>
      </c>
      <c r="H188" s="4">
        <f>IF(G188="","",IF(G188&lt;0.75,"Low Attendance","OK"))</f>
        <v/>
      </c>
    </row>
    <row r="189">
      <c r="A189">
        <f>IF(MASTER_REGISTER!E189="","",MASTER_REGISTER!E189)</f>
        <v/>
      </c>
      <c r="B189">
        <f>IF(A189="","",MASTER_REGISTER!F189)</f>
        <v/>
      </c>
      <c r="C189">
        <f>IF(A189="","",MASTER_REGISTER!C189)</f>
        <v/>
      </c>
      <c r="D189">
        <f>IF(A189="","",COUNTIF(ATTENDANCE_DAILY!C:C,A189))</f>
        <v/>
      </c>
      <c r="E189">
        <f>IF(A189="","",COUNTIFS(ATTENDANCE_DAILY!C:C,A189,ATTENDANCE_DAILY!E:E,"Present"))</f>
        <v/>
      </c>
      <c r="F189">
        <f>IF(A189="","",COUNTIFS(ATTENDANCE_DAILY!C:C,A189,ATTENDANCE_DAILY!E:E,"Absent"))</f>
        <v/>
      </c>
      <c r="G189" s="5">
        <f>IF(D189=0,"",E189/D189)</f>
        <v/>
      </c>
      <c r="H189" s="4">
        <f>IF(G189="","",IF(G189&lt;0.75,"Low Attendance","OK"))</f>
        <v/>
      </c>
    </row>
    <row r="190">
      <c r="A190">
        <f>IF(MASTER_REGISTER!E190="","",MASTER_REGISTER!E190)</f>
        <v/>
      </c>
      <c r="B190">
        <f>IF(A190="","",MASTER_REGISTER!F190)</f>
        <v/>
      </c>
      <c r="C190">
        <f>IF(A190="","",MASTER_REGISTER!C190)</f>
        <v/>
      </c>
      <c r="D190">
        <f>IF(A190="","",COUNTIF(ATTENDANCE_DAILY!C:C,A190))</f>
        <v/>
      </c>
      <c r="E190">
        <f>IF(A190="","",COUNTIFS(ATTENDANCE_DAILY!C:C,A190,ATTENDANCE_DAILY!E:E,"Present"))</f>
        <v/>
      </c>
      <c r="F190">
        <f>IF(A190="","",COUNTIFS(ATTENDANCE_DAILY!C:C,A190,ATTENDANCE_DAILY!E:E,"Absent"))</f>
        <v/>
      </c>
      <c r="G190" s="5">
        <f>IF(D190=0,"",E190/D190)</f>
        <v/>
      </c>
      <c r="H190" s="4">
        <f>IF(G190="","",IF(G190&lt;0.75,"Low Attendance","OK"))</f>
        <v/>
      </c>
    </row>
    <row r="191">
      <c r="A191">
        <f>IF(MASTER_REGISTER!E191="","",MASTER_REGISTER!E191)</f>
        <v/>
      </c>
      <c r="B191">
        <f>IF(A191="","",MASTER_REGISTER!F191)</f>
        <v/>
      </c>
      <c r="C191">
        <f>IF(A191="","",MASTER_REGISTER!C191)</f>
        <v/>
      </c>
      <c r="D191">
        <f>IF(A191="","",COUNTIF(ATTENDANCE_DAILY!C:C,A191))</f>
        <v/>
      </c>
      <c r="E191">
        <f>IF(A191="","",COUNTIFS(ATTENDANCE_DAILY!C:C,A191,ATTENDANCE_DAILY!E:E,"Present"))</f>
        <v/>
      </c>
      <c r="F191">
        <f>IF(A191="","",COUNTIFS(ATTENDANCE_DAILY!C:C,A191,ATTENDANCE_DAILY!E:E,"Absent"))</f>
        <v/>
      </c>
      <c r="G191" s="5">
        <f>IF(D191=0,"",E191/D191)</f>
        <v/>
      </c>
      <c r="H191" s="4">
        <f>IF(G191="","",IF(G191&lt;0.75,"Low Attendance","OK"))</f>
        <v/>
      </c>
    </row>
    <row r="192">
      <c r="A192">
        <f>IF(MASTER_REGISTER!E192="","",MASTER_REGISTER!E192)</f>
        <v/>
      </c>
      <c r="B192">
        <f>IF(A192="","",MASTER_REGISTER!F192)</f>
        <v/>
      </c>
      <c r="C192">
        <f>IF(A192="","",MASTER_REGISTER!C192)</f>
        <v/>
      </c>
      <c r="D192">
        <f>IF(A192="","",COUNTIF(ATTENDANCE_DAILY!C:C,A192))</f>
        <v/>
      </c>
      <c r="E192">
        <f>IF(A192="","",COUNTIFS(ATTENDANCE_DAILY!C:C,A192,ATTENDANCE_DAILY!E:E,"Present"))</f>
        <v/>
      </c>
      <c r="F192">
        <f>IF(A192="","",COUNTIFS(ATTENDANCE_DAILY!C:C,A192,ATTENDANCE_DAILY!E:E,"Absent"))</f>
        <v/>
      </c>
      <c r="G192" s="5">
        <f>IF(D192=0,"",E192/D192)</f>
        <v/>
      </c>
      <c r="H192" s="4">
        <f>IF(G192="","",IF(G192&lt;0.75,"Low Attendance","OK"))</f>
        <v/>
      </c>
    </row>
    <row r="193">
      <c r="A193">
        <f>IF(MASTER_REGISTER!E193="","",MASTER_REGISTER!E193)</f>
        <v/>
      </c>
      <c r="B193">
        <f>IF(A193="","",MASTER_REGISTER!F193)</f>
        <v/>
      </c>
      <c r="C193">
        <f>IF(A193="","",MASTER_REGISTER!C193)</f>
        <v/>
      </c>
      <c r="D193">
        <f>IF(A193="","",COUNTIF(ATTENDANCE_DAILY!C:C,A193))</f>
        <v/>
      </c>
      <c r="E193">
        <f>IF(A193="","",COUNTIFS(ATTENDANCE_DAILY!C:C,A193,ATTENDANCE_DAILY!E:E,"Present"))</f>
        <v/>
      </c>
      <c r="F193">
        <f>IF(A193="","",COUNTIFS(ATTENDANCE_DAILY!C:C,A193,ATTENDANCE_DAILY!E:E,"Absent"))</f>
        <v/>
      </c>
      <c r="G193" s="5">
        <f>IF(D193=0,"",E193/D193)</f>
        <v/>
      </c>
      <c r="H193" s="4">
        <f>IF(G193="","",IF(G193&lt;0.75,"Low Attendance","OK"))</f>
        <v/>
      </c>
    </row>
    <row r="194">
      <c r="A194">
        <f>IF(MASTER_REGISTER!E194="","",MASTER_REGISTER!E194)</f>
        <v/>
      </c>
      <c r="B194">
        <f>IF(A194="","",MASTER_REGISTER!F194)</f>
        <v/>
      </c>
      <c r="C194">
        <f>IF(A194="","",MASTER_REGISTER!C194)</f>
        <v/>
      </c>
      <c r="D194">
        <f>IF(A194="","",COUNTIF(ATTENDANCE_DAILY!C:C,A194))</f>
        <v/>
      </c>
      <c r="E194">
        <f>IF(A194="","",COUNTIFS(ATTENDANCE_DAILY!C:C,A194,ATTENDANCE_DAILY!E:E,"Present"))</f>
        <v/>
      </c>
      <c r="F194">
        <f>IF(A194="","",COUNTIFS(ATTENDANCE_DAILY!C:C,A194,ATTENDANCE_DAILY!E:E,"Absent"))</f>
        <v/>
      </c>
      <c r="G194" s="5">
        <f>IF(D194=0,"",E194/D194)</f>
        <v/>
      </c>
      <c r="H194" s="4">
        <f>IF(G194="","",IF(G194&lt;0.75,"Low Attendance","OK"))</f>
        <v/>
      </c>
    </row>
    <row r="195">
      <c r="A195">
        <f>IF(MASTER_REGISTER!E195="","",MASTER_REGISTER!E195)</f>
        <v/>
      </c>
      <c r="B195">
        <f>IF(A195="","",MASTER_REGISTER!F195)</f>
        <v/>
      </c>
      <c r="C195">
        <f>IF(A195="","",MASTER_REGISTER!C195)</f>
        <v/>
      </c>
      <c r="D195">
        <f>IF(A195="","",COUNTIF(ATTENDANCE_DAILY!C:C,A195))</f>
        <v/>
      </c>
      <c r="E195">
        <f>IF(A195="","",COUNTIFS(ATTENDANCE_DAILY!C:C,A195,ATTENDANCE_DAILY!E:E,"Present"))</f>
        <v/>
      </c>
      <c r="F195">
        <f>IF(A195="","",COUNTIFS(ATTENDANCE_DAILY!C:C,A195,ATTENDANCE_DAILY!E:E,"Absent"))</f>
        <v/>
      </c>
      <c r="G195" s="5">
        <f>IF(D195=0,"",E195/D195)</f>
        <v/>
      </c>
      <c r="H195" s="4">
        <f>IF(G195="","",IF(G195&lt;0.75,"Low Attendance","OK"))</f>
        <v/>
      </c>
    </row>
    <row r="196">
      <c r="A196">
        <f>IF(MASTER_REGISTER!E196="","",MASTER_REGISTER!E196)</f>
        <v/>
      </c>
      <c r="B196">
        <f>IF(A196="","",MASTER_REGISTER!F196)</f>
        <v/>
      </c>
      <c r="C196">
        <f>IF(A196="","",MASTER_REGISTER!C196)</f>
        <v/>
      </c>
      <c r="D196">
        <f>IF(A196="","",COUNTIF(ATTENDANCE_DAILY!C:C,A196))</f>
        <v/>
      </c>
      <c r="E196">
        <f>IF(A196="","",COUNTIFS(ATTENDANCE_DAILY!C:C,A196,ATTENDANCE_DAILY!E:E,"Present"))</f>
        <v/>
      </c>
      <c r="F196">
        <f>IF(A196="","",COUNTIFS(ATTENDANCE_DAILY!C:C,A196,ATTENDANCE_DAILY!E:E,"Absent"))</f>
        <v/>
      </c>
      <c r="G196" s="5">
        <f>IF(D196=0,"",E196/D196)</f>
        <v/>
      </c>
      <c r="H196" s="4">
        <f>IF(G196="","",IF(G196&lt;0.75,"Low Attendance","OK"))</f>
        <v/>
      </c>
    </row>
    <row r="197">
      <c r="A197">
        <f>IF(MASTER_REGISTER!E197="","",MASTER_REGISTER!E197)</f>
        <v/>
      </c>
      <c r="B197">
        <f>IF(A197="","",MASTER_REGISTER!F197)</f>
        <v/>
      </c>
      <c r="C197">
        <f>IF(A197="","",MASTER_REGISTER!C197)</f>
        <v/>
      </c>
      <c r="D197">
        <f>IF(A197="","",COUNTIF(ATTENDANCE_DAILY!C:C,A197))</f>
        <v/>
      </c>
      <c r="E197">
        <f>IF(A197="","",COUNTIFS(ATTENDANCE_DAILY!C:C,A197,ATTENDANCE_DAILY!E:E,"Present"))</f>
        <v/>
      </c>
      <c r="F197">
        <f>IF(A197="","",COUNTIFS(ATTENDANCE_DAILY!C:C,A197,ATTENDANCE_DAILY!E:E,"Absent"))</f>
        <v/>
      </c>
      <c r="G197" s="5">
        <f>IF(D197=0,"",E197/D197)</f>
        <v/>
      </c>
      <c r="H197" s="4">
        <f>IF(G197="","",IF(G197&lt;0.75,"Low Attendance","OK"))</f>
        <v/>
      </c>
    </row>
    <row r="198">
      <c r="A198">
        <f>IF(MASTER_REGISTER!E198="","",MASTER_REGISTER!E198)</f>
        <v/>
      </c>
      <c r="B198">
        <f>IF(A198="","",MASTER_REGISTER!F198)</f>
        <v/>
      </c>
      <c r="C198">
        <f>IF(A198="","",MASTER_REGISTER!C198)</f>
        <v/>
      </c>
      <c r="D198">
        <f>IF(A198="","",COUNTIF(ATTENDANCE_DAILY!C:C,A198))</f>
        <v/>
      </c>
      <c r="E198">
        <f>IF(A198="","",COUNTIFS(ATTENDANCE_DAILY!C:C,A198,ATTENDANCE_DAILY!E:E,"Present"))</f>
        <v/>
      </c>
      <c r="F198">
        <f>IF(A198="","",COUNTIFS(ATTENDANCE_DAILY!C:C,A198,ATTENDANCE_DAILY!E:E,"Absent"))</f>
        <v/>
      </c>
      <c r="G198" s="5">
        <f>IF(D198=0,"",E198/D198)</f>
        <v/>
      </c>
      <c r="H198" s="4">
        <f>IF(G198="","",IF(G198&lt;0.75,"Low Attendance","OK"))</f>
        <v/>
      </c>
    </row>
    <row r="199">
      <c r="A199">
        <f>IF(MASTER_REGISTER!E199="","",MASTER_REGISTER!E199)</f>
        <v/>
      </c>
      <c r="B199">
        <f>IF(A199="","",MASTER_REGISTER!F199)</f>
        <v/>
      </c>
      <c r="C199">
        <f>IF(A199="","",MASTER_REGISTER!C199)</f>
        <v/>
      </c>
      <c r="D199">
        <f>IF(A199="","",COUNTIF(ATTENDANCE_DAILY!C:C,A199))</f>
        <v/>
      </c>
      <c r="E199">
        <f>IF(A199="","",COUNTIFS(ATTENDANCE_DAILY!C:C,A199,ATTENDANCE_DAILY!E:E,"Present"))</f>
        <v/>
      </c>
      <c r="F199">
        <f>IF(A199="","",COUNTIFS(ATTENDANCE_DAILY!C:C,A199,ATTENDANCE_DAILY!E:E,"Absent"))</f>
        <v/>
      </c>
      <c r="G199" s="5">
        <f>IF(D199=0,"",E199/D199)</f>
        <v/>
      </c>
      <c r="H199" s="4">
        <f>IF(G199="","",IF(G199&lt;0.75,"Low Attendance","OK"))</f>
        <v/>
      </c>
    </row>
    <row r="200">
      <c r="A200">
        <f>IF(MASTER_REGISTER!E200="","",MASTER_REGISTER!E200)</f>
        <v/>
      </c>
      <c r="B200">
        <f>IF(A200="","",MASTER_REGISTER!F200)</f>
        <v/>
      </c>
      <c r="C200">
        <f>IF(A200="","",MASTER_REGISTER!C200)</f>
        <v/>
      </c>
      <c r="D200">
        <f>IF(A200="","",COUNTIF(ATTENDANCE_DAILY!C:C,A200))</f>
        <v/>
      </c>
      <c r="E200">
        <f>IF(A200="","",COUNTIFS(ATTENDANCE_DAILY!C:C,A200,ATTENDANCE_DAILY!E:E,"Present"))</f>
        <v/>
      </c>
      <c r="F200">
        <f>IF(A200="","",COUNTIFS(ATTENDANCE_DAILY!C:C,A200,ATTENDANCE_DAILY!E:E,"Absent"))</f>
        <v/>
      </c>
      <c r="G200" s="5">
        <f>IF(D200=0,"",E200/D200)</f>
        <v/>
      </c>
      <c r="H200" s="4">
        <f>IF(G200="","",IF(G200&lt;0.75,"Low Attendance","OK"))</f>
        <v/>
      </c>
    </row>
    <row r="201">
      <c r="A201">
        <f>IF(MASTER_REGISTER!E201="","",MASTER_REGISTER!E201)</f>
        <v/>
      </c>
      <c r="B201">
        <f>IF(A201="","",MASTER_REGISTER!F201)</f>
        <v/>
      </c>
      <c r="C201">
        <f>IF(A201="","",MASTER_REGISTER!C201)</f>
        <v/>
      </c>
      <c r="D201">
        <f>IF(A201="","",COUNTIF(ATTENDANCE_DAILY!C:C,A201))</f>
        <v/>
      </c>
      <c r="E201">
        <f>IF(A201="","",COUNTIFS(ATTENDANCE_DAILY!C:C,A201,ATTENDANCE_DAILY!E:E,"Present"))</f>
        <v/>
      </c>
      <c r="F201">
        <f>IF(A201="","",COUNTIFS(ATTENDANCE_DAILY!C:C,A201,ATTENDANCE_DAILY!E:E,"Absent"))</f>
        <v/>
      </c>
      <c r="G201" s="5">
        <f>IF(D201=0,"",E201/D201)</f>
        <v/>
      </c>
      <c r="H201" s="4">
        <f>IF(G201="","",IF(G201&lt;0.75,"Low Attendance","OK"))</f>
        <v/>
      </c>
    </row>
    <row r="202">
      <c r="A202">
        <f>IF(MASTER_REGISTER!E202="","",MASTER_REGISTER!E202)</f>
        <v/>
      </c>
      <c r="B202">
        <f>IF(A202="","",MASTER_REGISTER!F202)</f>
        <v/>
      </c>
      <c r="C202">
        <f>IF(A202="","",MASTER_REGISTER!C202)</f>
        <v/>
      </c>
      <c r="D202">
        <f>IF(A202="","",COUNTIF(ATTENDANCE_DAILY!C:C,A202))</f>
        <v/>
      </c>
      <c r="E202">
        <f>IF(A202="","",COUNTIFS(ATTENDANCE_DAILY!C:C,A202,ATTENDANCE_DAILY!E:E,"Present"))</f>
        <v/>
      </c>
      <c r="F202">
        <f>IF(A202="","",COUNTIFS(ATTENDANCE_DAILY!C:C,A202,ATTENDANCE_DAILY!E:E,"Absent"))</f>
        <v/>
      </c>
      <c r="G202" s="5">
        <f>IF(D202=0,"",E202/D202)</f>
        <v/>
      </c>
      <c r="H202" s="4">
        <f>IF(G202="","",IF(G202&lt;0.75,"Low Attendance","OK"))</f>
        <v/>
      </c>
    </row>
    <row r="203">
      <c r="A203">
        <f>IF(MASTER_REGISTER!E203="","",MASTER_REGISTER!E203)</f>
        <v/>
      </c>
      <c r="B203">
        <f>IF(A203="","",MASTER_REGISTER!F203)</f>
        <v/>
      </c>
      <c r="C203">
        <f>IF(A203="","",MASTER_REGISTER!C203)</f>
        <v/>
      </c>
      <c r="D203">
        <f>IF(A203="","",COUNTIF(ATTENDANCE_DAILY!C:C,A203))</f>
        <v/>
      </c>
      <c r="E203">
        <f>IF(A203="","",COUNTIFS(ATTENDANCE_DAILY!C:C,A203,ATTENDANCE_DAILY!E:E,"Present"))</f>
        <v/>
      </c>
      <c r="F203">
        <f>IF(A203="","",COUNTIFS(ATTENDANCE_DAILY!C:C,A203,ATTENDANCE_DAILY!E:E,"Absent"))</f>
        <v/>
      </c>
      <c r="G203" s="5">
        <f>IF(D203=0,"",E203/D203)</f>
        <v/>
      </c>
      <c r="H203" s="4">
        <f>IF(G203="","",IF(G203&lt;0.75,"Low Attendance","OK"))</f>
        <v/>
      </c>
    </row>
    <row r="204">
      <c r="A204">
        <f>IF(MASTER_REGISTER!E204="","",MASTER_REGISTER!E204)</f>
        <v/>
      </c>
      <c r="B204">
        <f>IF(A204="","",MASTER_REGISTER!F204)</f>
        <v/>
      </c>
      <c r="C204">
        <f>IF(A204="","",MASTER_REGISTER!C204)</f>
        <v/>
      </c>
      <c r="D204">
        <f>IF(A204="","",COUNTIF(ATTENDANCE_DAILY!C:C,A204))</f>
        <v/>
      </c>
      <c r="E204">
        <f>IF(A204="","",COUNTIFS(ATTENDANCE_DAILY!C:C,A204,ATTENDANCE_DAILY!E:E,"Present"))</f>
        <v/>
      </c>
      <c r="F204">
        <f>IF(A204="","",COUNTIFS(ATTENDANCE_DAILY!C:C,A204,ATTENDANCE_DAILY!E:E,"Absent"))</f>
        <v/>
      </c>
      <c r="G204" s="5">
        <f>IF(D204=0,"",E204/D204)</f>
        <v/>
      </c>
      <c r="H204" s="4">
        <f>IF(G204="","",IF(G204&lt;0.75,"Low Attendance","OK"))</f>
        <v/>
      </c>
    </row>
    <row r="205">
      <c r="A205">
        <f>IF(MASTER_REGISTER!E205="","",MASTER_REGISTER!E205)</f>
        <v/>
      </c>
      <c r="B205">
        <f>IF(A205="","",MASTER_REGISTER!F205)</f>
        <v/>
      </c>
      <c r="C205">
        <f>IF(A205="","",MASTER_REGISTER!C205)</f>
        <v/>
      </c>
      <c r="D205">
        <f>IF(A205="","",COUNTIF(ATTENDANCE_DAILY!C:C,A205))</f>
        <v/>
      </c>
      <c r="E205">
        <f>IF(A205="","",COUNTIFS(ATTENDANCE_DAILY!C:C,A205,ATTENDANCE_DAILY!E:E,"Present"))</f>
        <v/>
      </c>
      <c r="F205">
        <f>IF(A205="","",COUNTIFS(ATTENDANCE_DAILY!C:C,A205,ATTENDANCE_DAILY!E:E,"Absent"))</f>
        <v/>
      </c>
      <c r="G205" s="5">
        <f>IF(D205=0,"",E205/D205)</f>
        <v/>
      </c>
      <c r="H205" s="4">
        <f>IF(G205="","",IF(G205&lt;0.75,"Low Attendance","OK"))</f>
        <v/>
      </c>
    </row>
    <row r="206">
      <c r="A206">
        <f>IF(MASTER_REGISTER!E206="","",MASTER_REGISTER!E206)</f>
        <v/>
      </c>
      <c r="B206">
        <f>IF(A206="","",MASTER_REGISTER!F206)</f>
        <v/>
      </c>
      <c r="C206">
        <f>IF(A206="","",MASTER_REGISTER!C206)</f>
        <v/>
      </c>
      <c r="D206">
        <f>IF(A206="","",COUNTIF(ATTENDANCE_DAILY!C:C,A206))</f>
        <v/>
      </c>
      <c r="E206">
        <f>IF(A206="","",COUNTIFS(ATTENDANCE_DAILY!C:C,A206,ATTENDANCE_DAILY!E:E,"Present"))</f>
        <v/>
      </c>
      <c r="F206">
        <f>IF(A206="","",COUNTIFS(ATTENDANCE_DAILY!C:C,A206,ATTENDANCE_DAILY!E:E,"Absent"))</f>
        <v/>
      </c>
      <c r="G206" s="5">
        <f>IF(D206=0,"",E206/D206)</f>
        <v/>
      </c>
      <c r="H206" s="4">
        <f>IF(G206="","",IF(G206&lt;0.75,"Low Attendance","OK"))</f>
        <v/>
      </c>
    </row>
    <row r="207">
      <c r="A207">
        <f>IF(MASTER_REGISTER!E207="","",MASTER_REGISTER!E207)</f>
        <v/>
      </c>
      <c r="B207">
        <f>IF(A207="","",MASTER_REGISTER!F207)</f>
        <v/>
      </c>
      <c r="C207">
        <f>IF(A207="","",MASTER_REGISTER!C207)</f>
        <v/>
      </c>
      <c r="D207">
        <f>IF(A207="","",COUNTIF(ATTENDANCE_DAILY!C:C,A207))</f>
        <v/>
      </c>
      <c r="E207">
        <f>IF(A207="","",COUNTIFS(ATTENDANCE_DAILY!C:C,A207,ATTENDANCE_DAILY!E:E,"Present"))</f>
        <v/>
      </c>
      <c r="F207">
        <f>IF(A207="","",COUNTIFS(ATTENDANCE_DAILY!C:C,A207,ATTENDANCE_DAILY!E:E,"Absent"))</f>
        <v/>
      </c>
      <c r="G207" s="5">
        <f>IF(D207=0,"",E207/D207)</f>
        <v/>
      </c>
      <c r="H207" s="4">
        <f>IF(G207="","",IF(G207&lt;0.75,"Low Attendance","OK"))</f>
        <v/>
      </c>
    </row>
    <row r="208">
      <c r="A208">
        <f>IF(MASTER_REGISTER!E208="","",MASTER_REGISTER!E208)</f>
        <v/>
      </c>
      <c r="B208">
        <f>IF(A208="","",MASTER_REGISTER!F208)</f>
        <v/>
      </c>
      <c r="C208">
        <f>IF(A208="","",MASTER_REGISTER!C208)</f>
        <v/>
      </c>
      <c r="D208">
        <f>IF(A208="","",COUNTIF(ATTENDANCE_DAILY!C:C,A208))</f>
        <v/>
      </c>
      <c r="E208">
        <f>IF(A208="","",COUNTIFS(ATTENDANCE_DAILY!C:C,A208,ATTENDANCE_DAILY!E:E,"Present"))</f>
        <v/>
      </c>
      <c r="F208">
        <f>IF(A208="","",COUNTIFS(ATTENDANCE_DAILY!C:C,A208,ATTENDANCE_DAILY!E:E,"Absent"))</f>
        <v/>
      </c>
      <c r="G208" s="5">
        <f>IF(D208=0,"",E208/D208)</f>
        <v/>
      </c>
      <c r="H208" s="4">
        <f>IF(G208="","",IF(G208&lt;0.75,"Low Attendance","OK"))</f>
        <v/>
      </c>
    </row>
    <row r="209">
      <c r="A209">
        <f>IF(MASTER_REGISTER!E209="","",MASTER_REGISTER!E209)</f>
        <v/>
      </c>
      <c r="B209">
        <f>IF(A209="","",MASTER_REGISTER!F209)</f>
        <v/>
      </c>
      <c r="C209">
        <f>IF(A209="","",MASTER_REGISTER!C209)</f>
        <v/>
      </c>
      <c r="D209">
        <f>IF(A209="","",COUNTIF(ATTENDANCE_DAILY!C:C,A209))</f>
        <v/>
      </c>
      <c r="E209">
        <f>IF(A209="","",COUNTIFS(ATTENDANCE_DAILY!C:C,A209,ATTENDANCE_DAILY!E:E,"Present"))</f>
        <v/>
      </c>
      <c r="F209">
        <f>IF(A209="","",COUNTIFS(ATTENDANCE_DAILY!C:C,A209,ATTENDANCE_DAILY!E:E,"Absent"))</f>
        <v/>
      </c>
      <c r="G209" s="5">
        <f>IF(D209=0,"",E209/D209)</f>
        <v/>
      </c>
      <c r="H209" s="4">
        <f>IF(G209="","",IF(G209&lt;0.75,"Low Attendance","OK"))</f>
        <v/>
      </c>
    </row>
    <row r="210">
      <c r="A210">
        <f>IF(MASTER_REGISTER!E210="","",MASTER_REGISTER!E210)</f>
        <v/>
      </c>
      <c r="B210">
        <f>IF(A210="","",MASTER_REGISTER!F210)</f>
        <v/>
      </c>
      <c r="C210">
        <f>IF(A210="","",MASTER_REGISTER!C210)</f>
        <v/>
      </c>
      <c r="D210">
        <f>IF(A210="","",COUNTIF(ATTENDANCE_DAILY!C:C,A210))</f>
        <v/>
      </c>
      <c r="E210">
        <f>IF(A210="","",COUNTIFS(ATTENDANCE_DAILY!C:C,A210,ATTENDANCE_DAILY!E:E,"Present"))</f>
        <v/>
      </c>
      <c r="F210">
        <f>IF(A210="","",COUNTIFS(ATTENDANCE_DAILY!C:C,A210,ATTENDANCE_DAILY!E:E,"Absent"))</f>
        <v/>
      </c>
      <c r="G210" s="5">
        <f>IF(D210=0,"",E210/D210)</f>
        <v/>
      </c>
      <c r="H210" s="4">
        <f>IF(G210="","",IF(G210&lt;0.75,"Low Attendance","OK"))</f>
        <v/>
      </c>
    </row>
    <row r="211">
      <c r="A211">
        <f>IF(MASTER_REGISTER!E211="","",MASTER_REGISTER!E211)</f>
        <v/>
      </c>
      <c r="B211">
        <f>IF(A211="","",MASTER_REGISTER!F211)</f>
        <v/>
      </c>
      <c r="C211">
        <f>IF(A211="","",MASTER_REGISTER!C211)</f>
        <v/>
      </c>
      <c r="D211">
        <f>IF(A211="","",COUNTIF(ATTENDANCE_DAILY!C:C,A211))</f>
        <v/>
      </c>
      <c r="E211">
        <f>IF(A211="","",COUNTIFS(ATTENDANCE_DAILY!C:C,A211,ATTENDANCE_DAILY!E:E,"Present"))</f>
        <v/>
      </c>
      <c r="F211">
        <f>IF(A211="","",COUNTIFS(ATTENDANCE_DAILY!C:C,A211,ATTENDANCE_DAILY!E:E,"Absent"))</f>
        <v/>
      </c>
      <c r="G211" s="5">
        <f>IF(D211=0,"",E211/D211)</f>
        <v/>
      </c>
      <c r="H211" s="4">
        <f>IF(G211="","",IF(G211&lt;0.75,"Low Attendance","OK"))</f>
        <v/>
      </c>
    </row>
    <row r="212">
      <c r="A212">
        <f>IF(MASTER_REGISTER!E212="","",MASTER_REGISTER!E212)</f>
        <v/>
      </c>
      <c r="B212">
        <f>IF(A212="","",MASTER_REGISTER!F212)</f>
        <v/>
      </c>
      <c r="C212">
        <f>IF(A212="","",MASTER_REGISTER!C212)</f>
        <v/>
      </c>
      <c r="D212">
        <f>IF(A212="","",COUNTIF(ATTENDANCE_DAILY!C:C,A212))</f>
        <v/>
      </c>
      <c r="E212">
        <f>IF(A212="","",COUNTIFS(ATTENDANCE_DAILY!C:C,A212,ATTENDANCE_DAILY!E:E,"Present"))</f>
        <v/>
      </c>
      <c r="F212">
        <f>IF(A212="","",COUNTIFS(ATTENDANCE_DAILY!C:C,A212,ATTENDANCE_DAILY!E:E,"Absent"))</f>
        <v/>
      </c>
      <c r="G212" s="5">
        <f>IF(D212=0,"",E212/D212)</f>
        <v/>
      </c>
      <c r="H212" s="4">
        <f>IF(G212="","",IF(G212&lt;0.75,"Low Attendance","OK"))</f>
        <v/>
      </c>
    </row>
    <row r="213">
      <c r="A213">
        <f>IF(MASTER_REGISTER!E213="","",MASTER_REGISTER!E213)</f>
        <v/>
      </c>
      <c r="B213">
        <f>IF(A213="","",MASTER_REGISTER!F213)</f>
        <v/>
      </c>
      <c r="C213">
        <f>IF(A213="","",MASTER_REGISTER!C213)</f>
        <v/>
      </c>
      <c r="D213">
        <f>IF(A213="","",COUNTIF(ATTENDANCE_DAILY!C:C,A213))</f>
        <v/>
      </c>
      <c r="E213">
        <f>IF(A213="","",COUNTIFS(ATTENDANCE_DAILY!C:C,A213,ATTENDANCE_DAILY!E:E,"Present"))</f>
        <v/>
      </c>
      <c r="F213">
        <f>IF(A213="","",COUNTIFS(ATTENDANCE_DAILY!C:C,A213,ATTENDANCE_DAILY!E:E,"Absent"))</f>
        <v/>
      </c>
      <c r="G213" s="5">
        <f>IF(D213=0,"",E213/D213)</f>
        <v/>
      </c>
      <c r="H213" s="4">
        <f>IF(G213="","",IF(G213&lt;0.75,"Low Attendance","OK"))</f>
        <v/>
      </c>
    </row>
    <row r="214">
      <c r="A214">
        <f>IF(MASTER_REGISTER!E214="","",MASTER_REGISTER!E214)</f>
        <v/>
      </c>
      <c r="B214">
        <f>IF(A214="","",MASTER_REGISTER!F214)</f>
        <v/>
      </c>
      <c r="C214">
        <f>IF(A214="","",MASTER_REGISTER!C214)</f>
        <v/>
      </c>
      <c r="D214">
        <f>IF(A214="","",COUNTIF(ATTENDANCE_DAILY!C:C,A214))</f>
        <v/>
      </c>
      <c r="E214">
        <f>IF(A214="","",COUNTIFS(ATTENDANCE_DAILY!C:C,A214,ATTENDANCE_DAILY!E:E,"Present"))</f>
        <v/>
      </c>
      <c r="F214">
        <f>IF(A214="","",COUNTIFS(ATTENDANCE_DAILY!C:C,A214,ATTENDANCE_DAILY!E:E,"Absent"))</f>
        <v/>
      </c>
      <c r="G214" s="5">
        <f>IF(D214=0,"",E214/D214)</f>
        <v/>
      </c>
      <c r="H214" s="4">
        <f>IF(G214="","",IF(G214&lt;0.75,"Low Attendance","OK"))</f>
        <v/>
      </c>
    </row>
    <row r="215">
      <c r="A215">
        <f>IF(MASTER_REGISTER!E215="","",MASTER_REGISTER!E215)</f>
        <v/>
      </c>
      <c r="B215">
        <f>IF(A215="","",MASTER_REGISTER!F215)</f>
        <v/>
      </c>
      <c r="C215">
        <f>IF(A215="","",MASTER_REGISTER!C215)</f>
        <v/>
      </c>
      <c r="D215">
        <f>IF(A215="","",COUNTIF(ATTENDANCE_DAILY!C:C,A215))</f>
        <v/>
      </c>
      <c r="E215">
        <f>IF(A215="","",COUNTIFS(ATTENDANCE_DAILY!C:C,A215,ATTENDANCE_DAILY!E:E,"Present"))</f>
        <v/>
      </c>
      <c r="F215">
        <f>IF(A215="","",COUNTIFS(ATTENDANCE_DAILY!C:C,A215,ATTENDANCE_DAILY!E:E,"Absent"))</f>
        <v/>
      </c>
      <c r="G215" s="5">
        <f>IF(D215=0,"",E215/D215)</f>
        <v/>
      </c>
      <c r="H215" s="4">
        <f>IF(G215="","",IF(G215&lt;0.75,"Low Attendance","OK"))</f>
        <v/>
      </c>
    </row>
    <row r="216">
      <c r="A216">
        <f>IF(MASTER_REGISTER!E216="","",MASTER_REGISTER!E216)</f>
        <v/>
      </c>
      <c r="B216">
        <f>IF(A216="","",MASTER_REGISTER!F216)</f>
        <v/>
      </c>
      <c r="C216">
        <f>IF(A216="","",MASTER_REGISTER!C216)</f>
        <v/>
      </c>
      <c r="D216">
        <f>IF(A216="","",COUNTIF(ATTENDANCE_DAILY!C:C,A216))</f>
        <v/>
      </c>
      <c r="E216">
        <f>IF(A216="","",COUNTIFS(ATTENDANCE_DAILY!C:C,A216,ATTENDANCE_DAILY!E:E,"Present"))</f>
        <v/>
      </c>
      <c r="F216">
        <f>IF(A216="","",COUNTIFS(ATTENDANCE_DAILY!C:C,A216,ATTENDANCE_DAILY!E:E,"Absent"))</f>
        <v/>
      </c>
      <c r="G216" s="5">
        <f>IF(D216=0,"",E216/D216)</f>
        <v/>
      </c>
      <c r="H216" s="4">
        <f>IF(G216="","",IF(G216&lt;0.75,"Low Attendance","OK"))</f>
        <v/>
      </c>
    </row>
    <row r="217">
      <c r="A217">
        <f>IF(MASTER_REGISTER!E217="","",MASTER_REGISTER!E217)</f>
        <v/>
      </c>
      <c r="B217">
        <f>IF(A217="","",MASTER_REGISTER!F217)</f>
        <v/>
      </c>
      <c r="C217">
        <f>IF(A217="","",MASTER_REGISTER!C217)</f>
        <v/>
      </c>
      <c r="D217">
        <f>IF(A217="","",COUNTIF(ATTENDANCE_DAILY!C:C,A217))</f>
        <v/>
      </c>
      <c r="E217">
        <f>IF(A217="","",COUNTIFS(ATTENDANCE_DAILY!C:C,A217,ATTENDANCE_DAILY!E:E,"Present"))</f>
        <v/>
      </c>
      <c r="F217">
        <f>IF(A217="","",COUNTIFS(ATTENDANCE_DAILY!C:C,A217,ATTENDANCE_DAILY!E:E,"Absent"))</f>
        <v/>
      </c>
      <c r="G217" s="5">
        <f>IF(D217=0,"",E217/D217)</f>
        <v/>
      </c>
      <c r="H217" s="4">
        <f>IF(G217="","",IF(G217&lt;0.75,"Low Attendance","OK"))</f>
        <v/>
      </c>
    </row>
    <row r="218">
      <c r="A218">
        <f>IF(MASTER_REGISTER!E218="","",MASTER_REGISTER!E218)</f>
        <v/>
      </c>
      <c r="B218">
        <f>IF(A218="","",MASTER_REGISTER!F218)</f>
        <v/>
      </c>
      <c r="C218">
        <f>IF(A218="","",MASTER_REGISTER!C218)</f>
        <v/>
      </c>
      <c r="D218">
        <f>IF(A218="","",COUNTIF(ATTENDANCE_DAILY!C:C,A218))</f>
        <v/>
      </c>
      <c r="E218">
        <f>IF(A218="","",COUNTIFS(ATTENDANCE_DAILY!C:C,A218,ATTENDANCE_DAILY!E:E,"Present"))</f>
        <v/>
      </c>
      <c r="F218">
        <f>IF(A218="","",COUNTIFS(ATTENDANCE_DAILY!C:C,A218,ATTENDANCE_DAILY!E:E,"Absent"))</f>
        <v/>
      </c>
      <c r="G218" s="5">
        <f>IF(D218=0,"",E218/D218)</f>
        <v/>
      </c>
      <c r="H218" s="4">
        <f>IF(G218="","",IF(G218&lt;0.75,"Low Attendance","OK"))</f>
        <v/>
      </c>
    </row>
    <row r="219">
      <c r="A219">
        <f>IF(MASTER_REGISTER!E219="","",MASTER_REGISTER!E219)</f>
        <v/>
      </c>
      <c r="B219">
        <f>IF(A219="","",MASTER_REGISTER!F219)</f>
        <v/>
      </c>
      <c r="C219">
        <f>IF(A219="","",MASTER_REGISTER!C219)</f>
        <v/>
      </c>
      <c r="D219">
        <f>IF(A219="","",COUNTIF(ATTENDANCE_DAILY!C:C,A219))</f>
        <v/>
      </c>
      <c r="E219">
        <f>IF(A219="","",COUNTIFS(ATTENDANCE_DAILY!C:C,A219,ATTENDANCE_DAILY!E:E,"Present"))</f>
        <v/>
      </c>
      <c r="F219">
        <f>IF(A219="","",COUNTIFS(ATTENDANCE_DAILY!C:C,A219,ATTENDANCE_DAILY!E:E,"Absent"))</f>
        <v/>
      </c>
      <c r="G219" s="5">
        <f>IF(D219=0,"",E219/D219)</f>
        <v/>
      </c>
      <c r="H219" s="4">
        <f>IF(G219="","",IF(G219&lt;0.75,"Low Attendance","OK"))</f>
        <v/>
      </c>
    </row>
    <row r="220">
      <c r="A220">
        <f>IF(MASTER_REGISTER!E220="","",MASTER_REGISTER!E220)</f>
        <v/>
      </c>
      <c r="B220">
        <f>IF(A220="","",MASTER_REGISTER!F220)</f>
        <v/>
      </c>
      <c r="C220">
        <f>IF(A220="","",MASTER_REGISTER!C220)</f>
        <v/>
      </c>
      <c r="D220">
        <f>IF(A220="","",COUNTIF(ATTENDANCE_DAILY!C:C,A220))</f>
        <v/>
      </c>
      <c r="E220">
        <f>IF(A220="","",COUNTIFS(ATTENDANCE_DAILY!C:C,A220,ATTENDANCE_DAILY!E:E,"Present"))</f>
        <v/>
      </c>
      <c r="F220">
        <f>IF(A220="","",COUNTIFS(ATTENDANCE_DAILY!C:C,A220,ATTENDANCE_DAILY!E:E,"Absent"))</f>
        <v/>
      </c>
      <c r="G220" s="5">
        <f>IF(D220=0,"",E220/D220)</f>
        <v/>
      </c>
      <c r="H220" s="4">
        <f>IF(G220="","",IF(G220&lt;0.75,"Low Attendance","OK"))</f>
        <v/>
      </c>
    </row>
    <row r="221">
      <c r="A221">
        <f>IF(MASTER_REGISTER!E221="","",MASTER_REGISTER!E221)</f>
        <v/>
      </c>
      <c r="B221">
        <f>IF(A221="","",MASTER_REGISTER!F221)</f>
        <v/>
      </c>
      <c r="C221">
        <f>IF(A221="","",MASTER_REGISTER!C221)</f>
        <v/>
      </c>
      <c r="D221">
        <f>IF(A221="","",COUNTIF(ATTENDANCE_DAILY!C:C,A221))</f>
        <v/>
      </c>
      <c r="E221">
        <f>IF(A221="","",COUNTIFS(ATTENDANCE_DAILY!C:C,A221,ATTENDANCE_DAILY!E:E,"Present"))</f>
        <v/>
      </c>
      <c r="F221">
        <f>IF(A221="","",COUNTIFS(ATTENDANCE_DAILY!C:C,A221,ATTENDANCE_DAILY!E:E,"Absent"))</f>
        <v/>
      </c>
      <c r="G221" s="5">
        <f>IF(D221=0,"",E221/D221)</f>
        <v/>
      </c>
      <c r="H221" s="4">
        <f>IF(G221="","",IF(G221&lt;0.75,"Low Attendance","OK"))</f>
        <v/>
      </c>
    </row>
    <row r="222">
      <c r="A222">
        <f>IF(MASTER_REGISTER!E222="","",MASTER_REGISTER!E222)</f>
        <v/>
      </c>
      <c r="B222">
        <f>IF(A222="","",MASTER_REGISTER!F222)</f>
        <v/>
      </c>
      <c r="C222">
        <f>IF(A222="","",MASTER_REGISTER!C222)</f>
        <v/>
      </c>
      <c r="D222">
        <f>IF(A222="","",COUNTIF(ATTENDANCE_DAILY!C:C,A222))</f>
        <v/>
      </c>
      <c r="E222">
        <f>IF(A222="","",COUNTIFS(ATTENDANCE_DAILY!C:C,A222,ATTENDANCE_DAILY!E:E,"Present"))</f>
        <v/>
      </c>
      <c r="F222">
        <f>IF(A222="","",COUNTIFS(ATTENDANCE_DAILY!C:C,A222,ATTENDANCE_DAILY!E:E,"Absent"))</f>
        <v/>
      </c>
      <c r="G222" s="5">
        <f>IF(D222=0,"",E222/D222)</f>
        <v/>
      </c>
      <c r="H222" s="4">
        <f>IF(G222="","",IF(G222&lt;0.75,"Low Attendance","OK"))</f>
        <v/>
      </c>
    </row>
    <row r="223">
      <c r="A223">
        <f>IF(MASTER_REGISTER!E223="","",MASTER_REGISTER!E223)</f>
        <v/>
      </c>
      <c r="B223">
        <f>IF(A223="","",MASTER_REGISTER!F223)</f>
        <v/>
      </c>
      <c r="C223">
        <f>IF(A223="","",MASTER_REGISTER!C223)</f>
        <v/>
      </c>
      <c r="D223">
        <f>IF(A223="","",COUNTIF(ATTENDANCE_DAILY!C:C,A223))</f>
        <v/>
      </c>
      <c r="E223">
        <f>IF(A223="","",COUNTIFS(ATTENDANCE_DAILY!C:C,A223,ATTENDANCE_DAILY!E:E,"Present"))</f>
        <v/>
      </c>
      <c r="F223">
        <f>IF(A223="","",COUNTIFS(ATTENDANCE_DAILY!C:C,A223,ATTENDANCE_DAILY!E:E,"Absent"))</f>
        <v/>
      </c>
      <c r="G223" s="5">
        <f>IF(D223=0,"",E223/D223)</f>
        <v/>
      </c>
      <c r="H223" s="4">
        <f>IF(G223="","",IF(G223&lt;0.75,"Low Attendance","OK"))</f>
        <v/>
      </c>
    </row>
    <row r="224">
      <c r="A224">
        <f>IF(MASTER_REGISTER!E224="","",MASTER_REGISTER!E224)</f>
        <v/>
      </c>
      <c r="B224">
        <f>IF(A224="","",MASTER_REGISTER!F224)</f>
        <v/>
      </c>
      <c r="C224">
        <f>IF(A224="","",MASTER_REGISTER!C224)</f>
        <v/>
      </c>
      <c r="D224">
        <f>IF(A224="","",COUNTIF(ATTENDANCE_DAILY!C:C,A224))</f>
        <v/>
      </c>
      <c r="E224">
        <f>IF(A224="","",COUNTIFS(ATTENDANCE_DAILY!C:C,A224,ATTENDANCE_DAILY!E:E,"Present"))</f>
        <v/>
      </c>
      <c r="F224">
        <f>IF(A224="","",COUNTIFS(ATTENDANCE_DAILY!C:C,A224,ATTENDANCE_DAILY!E:E,"Absent"))</f>
        <v/>
      </c>
      <c r="G224" s="5">
        <f>IF(D224=0,"",E224/D224)</f>
        <v/>
      </c>
      <c r="H224" s="4">
        <f>IF(G224="","",IF(G224&lt;0.75,"Low Attendance","OK"))</f>
        <v/>
      </c>
    </row>
    <row r="225">
      <c r="A225">
        <f>IF(MASTER_REGISTER!E225="","",MASTER_REGISTER!E225)</f>
        <v/>
      </c>
      <c r="B225">
        <f>IF(A225="","",MASTER_REGISTER!F225)</f>
        <v/>
      </c>
      <c r="C225">
        <f>IF(A225="","",MASTER_REGISTER!C225)</f>
        <v/>
      </c>
      <c r="D225">
        <f>IF(A225="","",COUNTIF(ATTENDANCE_DAILY!C:C,A225))</f>
        <v/>
      </c>
      <c r="E225">
        <f>IF(A225="","",COUNTIFS(ATTENDANCE_DAILY!C:C,A225,ATTENDANCE_DAILY!E:E,"Present"))</f>
        <v/>
      </c>
      <c r="F225">
        <f>IF(A225="","",COUNTIFS(ATTENDANCE_DAILY!C:C,A225,ATTENDANCE_DAILY!E:E,"Absent"))</f>
        <v/>
      </c>
      <c r="G225" s="5">
        <f>IF(D225=0,"",E225/D225)</f>
        <v/>
      </c>
      <c r="H225" s="4">
        <f>IF(G225="","",IF(G225&lt;0.75,"Low Attendance","OK"))</f>
        <v/>
      </c>
    </row>
    <row r="226">
      <c r="A226">
        <f>IF(MASTER_REGISTER!E226="","",MASTER_REGISTER!E226)</f>
        <v/>
      </c>
      <c r="B226">
        <f>IF(A226="","",MASTER_REGISTER!F226)</f>
        <v/>
      </c>
      <c r="C226">
        <f>IF(A226="","",MASTER_REGISTER!C226)</f>
        <v/>
      </c>
      <c r="D226">
        <f>IF(A226="","",COUNTIF(ATTENDANCE_DAILY!C:C,A226))</f>
        <v/>
      </c>
      <c r="E226">
        <f>IF(A226="","",COUNTIFS(ATTENDANCE_DAILY!C:C,A226,ATTENDANCE_DAILY!E:E,"Present"))</f>
        <v/>
      </c>
      <c r="F226">
        <f>IF(A226="","",COUNTIFS(ATTENDANCE_DAILY!C:C,A226,ATTENDANCE_DAILY!E:E,"Absent"))</f>
        <v/>
      </c>
      <c r="G226" s="5">
        <f>IF(D226=0,"",E226/D226)</f>
        <v/>
      </c>
      <c r="H226" s="4">
        <f>IF(G226="","",IF(G226&lt;0.75,"Low Attendance","OK"))</f>
        <v/>
      </c>
    </row>
    <row r="227">
      <c r="A227">
        <f>IF(MASTER_REGISTER!E227="","",MASTER_REGISTER!E227)</f>
        <v/>
      </c>
      <c r="B227">
        <f>IF(A227="","",MASTER_REGISTER!F227)</f>
        <v/>
      </c>
      <c r="C227">
        <f>IF(A227="","",MASTER_REGISTER!C227)</f>
        <v/>
      </c>
      <c r="D227">
        <f>IF(A227="","",COUNTIF(ATTENDANCE_DAILY!C:C,A227))</f>
        <v/>
      </c>
      <c r="E227">
        <f>IF(A227="","",COUNTIFS(ATTENDANCE_DAILY!C:C,A227,ATTENDANCE_DAILY!E:E,"Present"))</f>
        <v/>
      </c>
      <c r="F227">
        <f>IF(A227="","",COUNTIFS(ATTENDANCE_DAILY!C:C,A227,ATTENDANCE_DAILY!E:E,"Absent"))</f>
        <v/>
      </c>
      <c r="G227" s="5">
        <f>IF(D227=0,"",E227/D227)</f>
        <v/>
      </c>
      <c r="H227" s="4">
        <f>IF(G227="","",IF(G227&lt;0.75,"Low Attendance","OK"))</f>
        <v/>
      </c>
    </row>
    <row r="228">
      <c r="A228">
        <f>IF(MASTER_REGISTER!E228="","",MASTER_REGISTER!E228)</f>
        <v/>
      </c>
      <c r="B228">
        <f>IF(A228="","",MASTER_REGISTER!F228)</f>
        <v/>
      </c>
      <c r="C228">
        <f>IF(A228="","",MASTER_REGISTER!C228)</f>
        <v/>
      </c>
      <c r="D228">
        <f>IF(A228="","",COUNTIF(ATTENDANCE_DAILY!C:C,A228))</f>
        <v/>
      </c>
      <c r="E228">
        <f>IF(A228="","",COUNTIFS(ATTENDANCE_DAILY!C:C,A228,ATTENDANCE_DAILY!E:E,"Present"))</f>
        <v/>
      </c>
      <c r="F228">
        <f>IF(A228="","",COUNTIFS(ATTENDANCE_DAILY!C:C,A228,ATTENDANCE_DAILY!E:E,"Absent"))</f>
        <v/>
      </c>
      <c r="G228" s="5">
        <f>IF(D228=0,"",E228/D228)</f>
        <v/>
      </c>
      <c r="H228" s="4">
        <f>IF(G228="","",IF(G228&lt;0.75,"Low Attendance","OK"))</f>
        <v/>
      </c>
    </row>
    <row r="229">
      <c r="A229">
        <f>IF(MASTER_REGISTER!E229="","",MASTER_REGISTER!E229)</f>
        <v/>
      </c>
      <c r="B229">
        <f>IF(A229="","",MASTER_REGISTER!F229)</f>
        <v/>
      </c>
      <c r="C229">
        <f>IF(A229="","",MASTER_REGISTER!C229)</f>
        <v/>
      </c>
      <c r="D229">
        <f>IF(A229="","",COUNTIF(ATTENDANCE_DAILY!C:C,A229))</f>
        <v/>
      </c>
      <c r="E229">
        <f>IF(A229="","",COUNTIFS(ATTENDANCE_DAILY!C:C,A229,ATTENDANCE_DAILY!E:E,"Present"))</f>
        <v/>
      </c>
      <c r="F229">
        <f>IF(A229="","",COUNTIFS(ATTENDANCE_DAILY!C:C,A229,ATTENDANCE_DAILY!E:E,"Absent"))</f>
        <v/>
      </c>
      <c r="G229" s="5">
        <f>IF(D229=0,"",E229/D229)</f>
        <v/>
      </c>
      <c r="H229" s="4">
        <f>IF(G229="","",IF(G229&lt;0.75,"Low Attendance","OK"))</f>
        <v/>
      </c>
    </row>
    <row r="230">
      <c r="A230">
        <f>IF(MASTER_REGISTER!E230="","",MASTER_REGISTER!E230)</f>
        <v/>
      </c>
      <c r="B230">
        <f>IF(A230="","",MASTER_REGISTER!F230)</f>
        <v/>
      </c>
      <c r="C230">
        <f>IF(A230="","",MASTER_REGISTER!C230)</f>
        <v/>
      </c>
      <c r="D230">
        <f>IF(A230="","",COUNTIF(ATTENDANCE_DAILY!C:C,A230))</f>
        <v/>
      </c>
      <c r="E230">
        <f>IF(A230="","",COUNTIFS(ATTENDANCE_DAILY!C:C,A230,ATTENDANCE_DAILY!E:E,"Present"))</f>
        <v/>
      </c>
      <c r="F230">
        <f>IF(A230="","",COUNTIFS(ATTENDANCE_DAILY!C:C,A230,ATTENDANCE_DAILY!E:E,"Absent"))</f>
        <v/>
      </c>
      <c r="G230" s="5">
        <f>IF(D230=0,"",E230/D230)</f>
        <v/>
      </c>
      <c r="H230" s="4">
        <f>IF(G230="","",IF(G230&lt;0.75,"Low Attendance","OK"))</f>
        <v/>
      </c>
    </row>
    <row r="231">
      <c r="A231">
        <f>IF(MASTER_REGISTER!E231="","",MASTER_REGISTER!E231)</f>
        <v/>
      </c>
      <c r="B231">
        <f>IF(A231="","",MASTER_REGISTER!F231)</f>
        <v/>
      </c>
      <c r="C231">
        <f>IF(A231="","",MASTER_REGISTER!C231)</f>
        <v/>
      </c>
      <c r="D231">
        <f>IF(A231="","",COUNTIF(ATTENDANCE_DAILY!C:C,A231))</f>
        <v/>
      </c>
      <c r="E231">
        <f>IF(A231="","",COUNTIFS(ATTENDANCE_DAILY!C:C,A231,ATTENDANCE_DAILY!E:E,"Present"))</f>
        <v/>
      </c>
      <c r="F231">
        <f>IF(A231="","",COUNTIFS(ATTENDANCE_DAILY!C:C,A231,ATTENDANCE_DAILY!E:E,"Absent"))</f>
        <v/>
      </c>
      <c r="G231" s="5">
        <f>IF(D231=0,"",E231/D231)</f>
        <v/>
      </c>
      <c r="H231" s="4">
        <f>IF(G231="","",IF(G231&lt;0.75,"Low Attendance","OK"))</f>
        <v/>
      </c>
    </row>
    <row r="232">
      <c r="A232">
        <f>IF(MASTER_REGISTER!E232="","",MASTER_REGISTER!E232)</f>
        <v/>
      </c>
      <c r="B232">
        <f>IF(A232="","",MASTER_REGISTER!F232)</f>
        <v/>
      </c>
      <c r="C232">
        <f>IF(A232="","",MASTER_REGISTER!C232)</f>
        <v/>
      </c>
      <c r="D232">
        <f>IF(A232="","",COUNTIF(ATTENDANCE_DAILY!C:C,A232))</f>
        <v/>
      </c>
      <c r="E232">
        <f>IF(A232="","",COUNTIFS(ATTENDANCE_DAILY!C:C,A232,ATTENDANCE_DAILY!E:E,"Present"))</f>
        <v/>
      </c>
      <c r="F232">
        <f>IF(A232="","",COUNTIFS(ATTENDANCE_DAILY!C:C,A232,ATTENDANCE_DAILY!E:E,"Absent"))</f>
        <v/>
      </c>
      <c r="G232" s="5">
        <f>IF(D232=0,"",E232/D232)</f>
        <v/>
      </c>
      <c r="H232" s="4">
        <f>IF(G232="","",IF(G232&lt;0.75,"Low Attendance","OK"))</f>
        <v/>
      </c>
    </row>
    <row r="233">
      <c r="A233">
        <f>IF(MASTER_REGISTER!E233="","",MASTER_REGISTER!E233)</f>
        <v/>
      </c>
      <c r="B233">
        <f>IF(A233="","",MASTER_REGISTER!F233)</f>
        <v/>
      </c>
      <c r="C233">
        <f>IF(A233="","",MASTER_REGISTER!C233)</f>
        <v/>
      </c>
      <c r="D233">
        <f>IF(A233="","",COUNTIF(ATTENDANCE_DAILY!C:C,A233))</f>
        <v/>
      </c>
      <c r="E233">
        <f>IF(A233="","",COUNTIFS(ATTENDANCE_DAILY!C:C,A233,ATTENDANCE_DAILY!E:E,"Present"))</f>
        <v/>
      </c>
      <c r="F233">
        <f>IF(A233="","",COUNTIFS(ATTENDANCE_DAILY!C:C,A233,ATTENDANCE_DAILY!E:E,"Absent"))</f>
        <v/>
      </c>
      <c r="G233" s="5">
        <f>IF(D233=0,"",E233/D233)</f>
        <v/>
      </c>
      <c r="H233" s="4">
        <f>IF(G233="","",IF(G233&lt;0.75,"Low Attendance","OK"))</f>
        <v/>
      </c>
    </row>
    <row r="234">
      <c r="A234">
        <f>IF(MASTER_REGISTER!E234="","",MASTER_REGISTER!E234)</f>
        <v/>
      </c>
      <c r="B234">
        <f>IF(A234="","",MASTER_REGISTER!F234)</f>
        <v/>
      </c>
      <c r="C234">
        <f>IF(A234="","",MASTER_REGISTER!C234)</f>
        <v/>
      </c>
      <c r="D234">
        <f>IF(A234="","",COUNTIF(ATTENDANCE_DAILY!C:C,A234))</f>
        <v/>
      </c>
      <c r="E234">
        <f>IF(A234="","",COUNTIFS(ATTENDANCE_DAILY!C:C,A234,ATTENDANCE_DAILY!E:E,"Present"))</f>
        <v/>
      </c>
      <c r="F234">
        <f>IF(A234="","",COUNTIFS(ATTENDANCE_DAILY!C:C,A234,ATTENDANCE_DAILY!E:E,"Absent"))</f>
        <v/>
      </c>
      <c r="G234" s="5">
        <f>IF(D234=0,"",E234/D234)</f>
        <v/>
      </c>
      <c r="H234" s="4">
        <f>IF(G234="","",IF(G234&lt;0.75,"Low Attendance","OK"))</f>
        <v/>
      </c>
    </row>
    <row r="235">
      <c r="A235">
        <f>IF(MASTER_REGISTER!E235="","",MASTER_REGISTER!E235)</f>
        <v/>
      </c>
      <c r="B235">
        <f>IF(A235="","",MASTER_REGISTER!F235)</f>
        <v/>
      </c>
      <c r="C235">
        <f>IF(A235="","",MASTER_REGISTER!C235)</f>
        <v/>
      </c>
      <c r="D235">
        <f>IF(A235="","",COUNTIF(ATTENDANCE_DAILY!C:C,A235))</f>
        <v/>
      </c>
      <c r="E235">
        <f>IF(A235="","",COUNTIFS(ATTENDANCE_DAILY!C:C,A235,ATTENDANCE_DAILY!E:E,"Present"))</f>
        <v/>
      </c>
      <c r="F235">
        <f>IF(A235="","",COUNTIFS(ATTENDANCE_DAILY!C:C,A235,ATTENDANCE_DAILY!E:E,"Absent"))</f>
        <v/>
      </c>
      <c r="G235" s="5">
        <f>IF(D235=0,"",E235/D235)</f>
        <v/>
      </c>
      <c r="H235" s="4">
        <f>IF(G235="","",IF(G235&lt;0.75,"Low Attendance","OK"))</f>
        <v/>
      </c>
    </row>
    <row r="236">
      <c r="A236">
        <f>IF(MASTER_REGISTER!E236="","",MASTER_REGISTER!E236)</f>
        <v/>
      </c>
      <c r="B236">
        <f>IF(A236="","",MASTER_REGISTER!F236)</f>
        <v/>
      </c>
      <c r="C236">
        <f>IF(A236="","",MASTER_REGISTER!C236)</f>
        <v/>
      </c>
      <c r="D236">
        <f>IF(A236="","",COUNTIF(ATTENDANCE_DAILY!C:C,A236))</f>
        <v/>
      </c>
      <c r="E236">
        <f>IF(A236="","",COUNTIFS(ATTENDANCE_DAILY!C:C,A236,ATTENDANCE_DAILY!E:E,"Present"))</f>
        <v/>
      </c>
      <c r="F236">
        <f>IF(A236="","",COUNTIFS(ATTENDANCE_DAILY!C:C,A236,ATTENDANCE_DAILY!E:E,"Absent"))</f>
        <v/>
      </c>
      <c r="G236" s="5">
        <f>IF(D236=0,"",E236/D236)</f>
        <v/>
      </c>
      <c r="H236" s="4">
        <f>IF(G236="","",IF(G236&lt;0.75,"Low Attendance","OK"))</f>
        <v/>
      </c>
    </row>
    <row r="237">
      <c r="A237">
        <f>IF(MASTER_REGISTER!E237="","",MASTER_REGISTER!E237)</f>
        <v/>
      </c>
      <c r="B237">
        <f>IF(A237="","",MASTER_REGISTER!F237)</f>
        <v/>
      </c>
      <c r="C237">
        <f>IF(A237="","",MASTER_REGISTER!C237)</f>
        <v/>
      </c>
      <c r="D237">
        <f>IF(A237="","",COUNTIF(ATTENDANCE_DAILY!C:C,A237))</f>
        <v/>
      </c>
      <c r="E237">
        <f>IF(A237="","",COUNTIFS(ATTENDANCE_DAILY!C:C,A237,ATTENDANCE_DAILY!E:E,"Present"))</f>
        <v/>
      </c>
      <c r="F237">
        <f>IF(A237="","",COUNTIFS(ATTENDANCE_DAILY!C:C,A237,ATTENDANCE_DAILY!E:E,"Absent"))</f>
        <v/>
      </c>
      <c r="G237" s="5">
        <f>IF(D237=0,"",E237/D237)</f>
        <v/>
      </c>
      <c r="H237" s="4">
        <f>IF(G237="","",IF(G237&lt;0.75,"Low Attendance","OK"))</f>
        <v/>
      </c>
    </row>
    <row r="238">
      <c r="A238">
        <f>IF(MASTER_REGISTER!E238="","",MASTER_REGISTER!E238)</f>
        <v/>
      </c>
      <c r="B238">
        <f>IF(A238="","",MASTER_REGISTER!F238)</f>
        <v/>
      </c>
      <c r="C238">
        <f>IF(A238="","",MASTER_REGISTER!C238)</f>
        <v/>
      </c>
      <c r="D238">
        <f>IF(A238="","",COUNTIF(ATTENDANCE_DAILY!C:C,A238))</f>
        <v/>
      </c>
      <c r="E238">
        <f>IF(A238="","",COUNTIFS(ATTENDANCE_DAILY!C:C,A238,ATTENDANCE_DAILY!E:E,"Present"))</f>
        <v/>
      </c>
      <c r="F238">
        <f>IF(A238="","",COUNTIFS(ATTENDANCE_DAILY!C:C,A238,ATTENDANCE_DAILY!E:E,"Absent"))</f>
        <v/>
      </c>
      <c r="G238" s="5">
        <f>IF(D238=0,"",E238/D238)</f>
        <v/>
      </c>
      <c r="H238" s="4">
        <f>IF(G238="","",IF(G238&lt;0.75,"Low Attendance","OK"))</f>
        <v/>
      </c>
    </row>
    <row r="239">
      <c r="A239">
        <f>IF(MASTER_REGISTER!E239="","",MASTER_REGISTER!E239)</f>
        <v/>
      </c>
      <c r="B239">
        <f>IF(A239="","",MASTER_REGISTER!F239)</f>
        <v/>
      </c>
      <c r="C239">
        <f>IF(A239="","",MASTER_REGISTER!C239)</f>
        <v/>
      </c>
      <c r="D239">
        <f>IF(A239="","",COUNTIF(ATTENDANCE_DAILY!C:C,A239))</f>
        <v/>
      </c>
      <c r="E239">
        <f>IF(A239="","",COUNTIFS(ATTENDANCE_DAILY!C:C,A239,ATTENDANCE_DAILY!E:E,"Present"))</f>
        <v/>
      </c>
      <c r="F239">
        <f>IF(A239="","",COUNTIFS(ATTENDANCE_DAILY!C:C,A239,ATTENDANCE_DAILY!E:E,"Absent"))</f>
        <v/>
      </c>
      <c r="G239" s="5">
        <f>IF(D239=0,"",E239/D239)</f>
        <v/>
      </c>
      <c r="H239" s="4">
        <f>IF(G239="","",IF(G239&lt;0.75,"Low Attendance","OK"))</f>
        <v/>
      </c>
    </row>
    <row r="240">
      <c r="A240">
        <f>IF(MASTER_REGISTER!E240="","",MASTER_REGISTER!E240)</f>
        <v/>
      </c>
      <c r="B240">
        <f>IF(A240="","",MASTER_REGISTER!F240)</f>
        <v/>
      </c>
      <c r="C240">
        <f>IF(A240="","",MASTER_REGISTER!C240)</f>
        <v/>
      </c>
      <c r="D240">
        <f>IF(A240="","",COUNTIF(ATTENDANCE_DAILY!C:C,A240))</f>
        <v/>
      </c>
      <c r="E240">
        <f>IF(A240="","",COUNTIFS(ATTENDANCE_DAILY!C:C,A240,ATTENDANCE_DAILY!E:E,"Present"))</f>
        <v/>
      </c>
      <c r="F240">
        <f>IF(A240="","",COUNTIFS(ATTENDANCE_DAILY!C:C,A240,ATTENDANCE_DAILY!E:E,"Absent"))</f>
        <v/>
      </c>
      <c r="G240" s="5">
        <f>IF(D240=0,"",E240/D240)</f>
        <v/>
      </c>
      <c r="H240" s="4">
        <f>IF(G240="","",IF(G240&lt;0.75,"Low Attendance","OK"))</f>
        <v/>
      </c>
    </row>
    <row r="241">
      <c r="A241">
        <f>IF(MASTER_REGISTER!E241="","",MASTER_REGISTER!E241)</f>
        <v/>
      </c>
      <c r="B241">
        <f>IF(A241="","",MASTER_REGISTER!F241)</f>
        <v/>
      </c>
      <c r="C241">
        <f>IF(A241="","",MASTER_REGISTER!C241)</f>
        <v/>
      </c>
      <c r="D241">
        <f>IF(A241="","",COUNTIF(ATTENDANCE_DAILY!C:C,A241))</f>
        <v/>
      </c>
      <c r="E241">
        <f>IF(A241="","",COUNTIFS(ATTENDANCE_DAILY!C:C,A241,ATTENDANCE_DAILY!E:E,"Present"))</f>
        <v/>
      </c>
      <c r="F241">
        <f>IF(A241="","",COUNTIFS(ATTENDANCE_DAILY!C:C,A241,ATTENDANCE_DAILY!E:E,"Absent"))</f>
        <v/>
      </c>
      <c r="G241" s="5">
        <f>IF(D241=0,"",E241/D241)</f>
        <v/>
      </c>
      <c r="H241" s="4">
        <f>IF(G241="","",IF(G241&lt;0.75,"Low Attendance","OK"))</f>
        <v/>
      </c>
    </row>
    <row r="242">
      <c r="A242">
        <f>IF(MASTER_REGISTER!E242="","",MASTER_REGISTER!E242)</f>
        <v/>
      </c>
      <c r="B242">
        <f>IF(A242="","",MASTER_REGISTER!F242)</f>
        <v/>
      </c>
      <c r="C242">
        <f>IF(A242="","",MASTER_REGISTER!C242)</f>
        <v/>
      </c>
      <c r="D242">
        <f>IF(A242="","",COUNTIF(ATTENDANCE_DAILY!C:C,A242))</f>
        <v/>
      </c>
      <c r="E242">
        <f>IF(A242="","",COUNTIFS(ATTENDANCE_DAILY!C:C,A242,ATTENDANCE_DAILY!E:E,"Present"))</f>
        <v/>
      </c>
      <c r="F242">
        <f>IF(A242="","",COUNTIFS(ATTENDANCE_DAILY!C:C,A242,ATTENDANCE_DAILY!E:E,"Absent"))</f>
        <v/>
      </c>
      <c r="G242" s="5">
        <f>IF(D242=0,"",E242/D242)</f>
        <v/>
      </c>
      <c r="H242" s="4">
        <f>IF(G242="","",IF(G242&lt;0.75,"Low Attendance","OK"))</f>
        <v/>
      </c>
    </row>
    <row r="243">
      <c r="A243">
        <f>IF(MASTER_REGISTER!E243="","",MASTER_REGISTER!E243)</f>
        <v/>
      </c>
      <c r="B243">
        <f>IF(A243="","",MASTER_REGISTER!F243)</f>
        <v/>
      </c>
      <c r="C243">
        <f>IF(A243="","",MASTER_REGISTER!C243)</f>
        <v/>
      </c>
      <c r="D243">
        <f>IF(A243="","",COUNTIF(ATTENDANCE_DAILY!C:C,A243))</f>
        <v/>
      </c>
      <c r="E243">
        <f>IF(A243="","",COUNTIFS(ATTENDANCE_DAILY!C:C,A243,ATTENDANCE_DAILY!E:E,"Present"))</f>
        <v/>
      </c>
      <c r="F243">
        <f>IF(A243="","",COUNTIFS(ATTENDANCE_DAILY!C:C,A243,ATTENDANCE_DAILY!E:E,"Absent"))</f>
        <v/>
      </c>
      <c r="G243" s="5">
        <f>IF(D243=0,"",E243/D243)</f>
        <v/>
      </c>
      <c r="H243" s="4">
        <f>IF(G243="","",IF(G243&lt;0.75,"Low Attendance","OK"))</f>
        <v/>
      </c>
    </row>
    <row r="244">
      <c r="A244">
        <f>IF(MASTER_REGISTER!E244="","",MASTER_REGISTER!E244)</f>
        <v/>
      </c>
      <c r="B244">
        <f>IF(A244="","",MASTER_REGISTER!F244)</f>
        <v/>
      </c>
      <c r="C244">
        <f>IF(A244="","",MASTER_REGISTER!C244)</f>
        <v/>
      </c>
      <c r="D244">
        <f>IF(A244="","",COUNTIF(ATTENDANCE_DAILY!C:C,A244))</f>
        <v/>
      </c>
      <c r="E244">
        <f>IF(A244="","",COUNTIFS(ATTENDANCE_DAILY!C:C,A244,ATTENDANCE_DAILY!E:E,"Present"))</f>
        <v/>
      </c>
      <c r="F244">
        <f>IF(A244="","",COUNTIFS(ATTENDANCE_DAILY!C:C,A244,ATTENDANCE_DAILY!E:E,"Absent"))</f>
        <v/>
      </c>
      <c r="G244" s="5">
        <f>IF(D244=0,"",E244/D244)</f>
        <v/>
      </c>
      <c r="H244" s="4">
        <f>IF(G244="","",IF(G244&lt;0.75,"Low Attendance","OK"))</f>
        <v/>
      </c>
    </row>
    <row r="245">
      <c r="A245">
        <f>IF(MASTER_REGISTER!E245="","",MASTER_REGISTER!E245)</f>
        <v/>
      </c>
      <c r="B245">
        <f>IF(A245="","",MASTER_REGISTER!F245)</f>
        <v/>
      </c>
      <c r="C245">
        <f>IF(A245="","",MASTER_REGISTER!C245)</f>
        <v/>
      </c>
      <c r="D245">
        <f>IF(A245="","",COUNTIF(ATTENDANCE_DAILY!C:C,A245))</f>
        <v/>
      </c>
      <c r="E245">
        <f>IF(A245="","",COUNTIFS(ATTENDANCE_DAILY!C:C,A245,ATTENDANCE_DAILY!E:E,"Present"))</f>
        <v/>
      </c>
      <c r="F245">
        <f>IF(A245="","",COUNTIFS(ATTENDANCE_DAILY!C:C,A245,ATTENDANCE_DAILY!E:E,"Absent"))</f>
        <v/>
      </c>
      <c r="G245" s="5">
        <f>IF(D245=0,"",E245/D245)</f>
        <v/>
      </c>
      <c r="H245" s="4">
        <f>IF(G245="","",IF(G245&lt;0.75,"Low Attendance","OK"))</f>
        <v/>
      </c>
    </row>
    <row r="246">
      <c r="A246">
        <f>IF(MASTER_REGISTER!E246="","",MASTER_REGISTER!E246)</f>
        <v/>
      </c>
      <c r="B246">
        <f>IF(A246="","",MASTER_REGISTER!F246)</f>
        <v/>
      </c>
      <c r="C246">
        <f>IF(A246="","",MASTER_REGISTER!C246)</f>
        <v/>
      </c>
      <c r="D246">
        <f>IF(A246="","",COUNTIF(ATTENDANCE_DAILY!C:C,A246))</f>
        <v/>
      </c>
      <c r="E246">
        <f>IF(A246="","",COUNTIFS(ATTENDANCE_DAILY!C:C,A246,ATTENDANCE_DAILY!E:E,"Present"))</f>
        <v/>
      </c>
      <c r="F246">
        <f>IF(A246="","",COUNTIFS(ATTENDANCE_DAILY!C:C,A246,ATTENDANCE_DAILY!E:E,"Absent"))</f>
        <v/>
      </c>
      <c r="G246" s="5">
        <f>IF(D246=0,"",E246/D246)</f>
        <v/>
      </c>
      <c r="H246" s="4">
        <f>IF(G246="","",IF(G246&lt;0.75,"Low Attendance","OK"))</f>
        <v/>
      </c>
    </row>
    <row r="247">
      <c r="A247">
        <f>IF(MASTER_REGISTER!E247="","",MASTER_REGISTER!E247)</f>
        <v/>
      </c>
      <c r="B247">
        <f>IF(A247="","",MASTER_REGISTER!F247)</f>
        <v/>
      </c>
      <c r="C247">
        <f>IF(A247="","",MASTER_REGISTER!C247)</f>
        <v/>
      </c>
      <c r="D247">
        <f>IF(A247="","",COUNTIF(ATTENDANCE_DAILY!C:C,A247))</f>
        <v/>
      </c>
      <c r="E247">
        <f>IF(A247="","",COUNTIFS(ATTENDANCE_DAILY!C:C,A247,ATTENDANCE_DAILY!E:E,"Present"))</f>
        <v/>
      </c>
      <c r="F247">
        <f>IF(A247="","",COUNTIFS(ATTENDANCE_DAILY!C:C,A247,ATTENDANCE_DAILY!E:E,"Absent"))</f>
        <v/>
      </c>
      <c r="G247" s="5">
        <f>IF(D247=0,"",E247/D247)</f>
        <v/>
      </c>
      <c r="H247" s="4">
        <f>IF(G247="","",IF(G247&lt;0.75,"Low Attendance","OK"))</f>
        <v/>
      </c>
    </row>
    <row r="248">
      <c r="A248">
        <f>IF(MASTER_REGISTER!E248="","",MASTER_REGISTER!E248)</f>
        <v/>
      </c>
      <c r="B248">
        <f>IF(A248="","",MASTER_REGISTER!F248)</f>
        <v/>
      </c>
      <c r="C248">
        <f>IF(A248="","",MASTER_REGISTER!C248)</f>
        <v/>
      </c>
      <c r="D248">
        <f>IF(A248="","",COUNTIF(ATTENDANCE_DAILY!C:C,A248))</f>
        <v/>
      </c>
      <c r="E248">
        <f>IF(A248="","",COUNTIFS(ATTENDANCE_DAILY!C:C,A248,ATTENDANCE_DAILY!E:E,"Present"))</f>
        <v/>
      </c>
      <c r="F248">
        <f>IF(A248="","",COUNTIFS(ATTENDANCE_DAILY!C:C,A248,ATTENDANCE_DAILY!E:E,"Absent"))</f>
        <v/>
      </c>
      <c r="G248" s="5">
        <f>IF(D248=0,"",E248/D248)</f>
        <v/>
      </c>
      <c r="H248" s="4">
        <f>IF(G248="","",IF(G248&lt;0.75,"Low Attendance","OK"))</f>
        <v/>
      </c>
    </row>
    <row r="249">
      <c r="A249">
        <f>IF(MASTER_REGISTER!E249="","",MASTER_REGISTER!E249)</f>
        <v/>
      </c>
      <c r="B249">
        <f>IF(A249="","",MASTER_REGISTER!F249)</f>
        <v/>
      </c>
      <c r="C249">
        <f>IF(A249="","",MASTER_REGISTER!C249)</f>
        <v/>
      </c>
      <c r="D249">
        <f>IF(A249="","",COUNTIF(ATTENDANCE_DAILY!C:C,A249))</f>
        <v/>
      </c>
      <c r="E249">
        <f>IF(A249="","",COUNTIFS(ATTENDANCE_DAILY!C:C,A249,ATTENDANCE_DAILY!E:E,"Present"))</f>
        <v/>
      </c>
      <c r="F249">
        <f>IF(A249="","",COUNTIFS(ATTENDANCE_DAILY!C:C,A249,ATTENDANCE_DAILY!E:E,"Absent"))</f>
        <v/>
      </c>
      <c r="G249" s="5">
        <f>IF(D249=0,"",E249/D249)</f>
        <v/>
      </c>
      <c r="H249" s="4">
        <f>IF(G249="","",IF(G249&lt;0.75,"Low Attendance","OK"))</f>
        <v/>
      </c>
    </row>
    <row r="250">
      <c r="A250">
        <f>IF(MASTER_REGISTER!E250="","",MASTER_REGISTER!E250)</f>
        <v/>
      </c>
      <c r="B250">
        <f>IF(A250="","",MASTER_REGISTER!F250)</f>
        <v/>
      </c>
      <c r="C250">
        <f>IF(A250="","",MASTER_REGISTER!C250)</f>
        <v/>
      </c>
      <c r="D250">
        <f>IF(A250="","",COUNTIF(ATTENDANCE_DAILY!C:C,A250))</f>
        <v/>
      </c>
      <c r="E250">
        <f>IF(A250="","",COUNTIFS(ATTENDANCE_DAILY!C:C,A250,ATTENDANCE_DAILY!E:E,"Present"))</f>
        <v/>
      </c>
      <c r="F250">
        <f>IF(A250="","",COUNTIFS(ATTENDANCE_DAILY!C:C,A250,ATTENDANCE_DAILY!E:E,"Absent"))</f>
        <v/>
      </c>
      <c r="G250" s="5">
        <f>IF(D250=0,"",E250/D250)</f>
        <v/>
      </c>
      <c r="H250" s="4">
        <f>IF(G250="","",IF(G250&lt;0.75,"Low Attendance","OK"))</f>
        <v/>
      </c>
    </row>
    <row r="251">
      <c r="A251">
        <f>IF(MASTER_REGISTER!E251="","",MASTER_REGISTER!E251)</f>
        <v/>
      </c>
      <c r="B251">
        <f>IF(A251="","",MASTER_REGISTER!F251)</f>
        <v/>
      </c>
      <c r="C251">
        <f>IF(A251="","",MASTER_REGISTER!C251)</f>
        <v/>
      </c>
      <c r="D251">
        <f>IF(A251="","",COUNTIF(ATTENDANCE_DAILY!C:C,A251))</f>
        <v/>
      </c>
      <c r="E251">
        <f>IF(A251="","",COUNTIFS(ATTENDANCE_DAILY!C:C,A251,ATTENDANCE_DAILY!E:E,"Present"))</f>
        <v/>
      </c>
      <c r="F251">
        <f>IF(A251="","",COUNTIFS(ATTENDANCE_DAILY!C:C,A251,ATTENDANCE_DAILY!E:E,"Absent"))</f>
        <v/>
      </c>
      <c r="G251" s="5">
        <f>IF(D251=0,"",E251/D251)</f>
        <v/>
      </c>
      <c r="H251" s="4">
        <f>IF(G251="","",IF(G251&lt;0.75,"Low Attendance","OK"))</f>
        <v/>
      </c>
    </row>
    <row r="252">
      <c r="A252">
        <f>IF(MASTER_REGISTER!E252="","",MASTER_REGISTER!E252)</f>
        <v/>
      </c>
      <c r="B252">
        <f>IF(A252="","",MASTER_REGISTER!F252)</f>
        <v/>
      </c>
      <c r="C252">
        <f>IF(A252="","",MASTER_REGISTER!C252)</f>
        <v/>
      </c>
      <c r="D252">
        <f>IF(A252="","",COUNTIF(ATTENDANCE_DAILY!C:C,A252))</f>
        <v/>
      </c>
      <c r="E252">
        <f>IF(A252="","",COUNTIFS(ATTENDANCE_DAILY!C:C,A252,ATTENDANCE_DAILY!E:E,"Present"))</f>
        <v/>
      </c>
      <c r="F252">
        <f>IF(A252="","",COUNTIFS(ATTENDANCE_DAILY!C:C,A252,ATTENDANCE_DAILY!E:E,"Absent"))</f>
        <v/>
      </c>
      <c r="G252" s="5">
        <f>IF(D252=0,"",E252/D252)</f>
        <v/>
      </c>
      <c r="H252" s="4">
        <f>IF(G252="","",IF(G252&lt;0.75,"Low Attendance","OK"))</f>
        <v/>
      </c>
    </row>
    <row r="253">
      <c r="A253">
        <f>IF(MASTER_REGISTER!E253="","",MASTER_REGISTER!E253)</f>
        <v/>
      </c>
      <c r="B253">
        <f>IF(A253="","",MASTER_REGISTER!F253)</f>
        <v/>
      </c>
      <c r="C253">
        <f>IF(A253="","",MASTER_REGISTER!C253)</f>
        <v/>
      </c>
      <c r="D253">
        <f>IF(A253="","",COUNTIF(ATTENDANCE_DAILY!C:C,A253))</f>
        <v/>
      </c>
      <c r="E253">
        <f>IF(A253="","",COUNTIFS(ATTENDANCE_DAILY!C:C,A253,ATTENDANCE_DAILY!E:E,"Present"))</f>
        <v/>
      </c>
      <c r="F253">
        <f>IF(A253="","",COUNTIFS(ATTENDANCE_DAILY!C:C,A253,ATTENDANCE_DAILY!E:E,"Absent"))</f>
        <v/>
      </c>
      <c r="G253" s="5">
        <f>IF(D253=0,"",E253/D253)</f>
        <v/>
      </c>
      <c r="H253" s="4">
        <f>IF(G253="","",IF(G253&lt;0.75,"Low Attendance","OK"))</f>
        <v/>
      </c>
    </row>
    <row r="254">
      <c r="A254">
        <f>IF(MASTER_REGISTER!E254="","",MASTER_REGISTER!E254)</f>
        <v/>
      </c>
      <c r="B254">
        <f>IF(A254="","",MASTER_REGISTER!F254)</f>
        <v/>
      </c>
      <c r="C254">
        <f>IF(A254="","",MASTER_REGISTER!C254)</f>
        <v/>
      </c>
      <c r="D254">
        <f>IF(A254="","",COUNTIF(ATTENDANCE_DAILY!C:C,A254))</f>
        <v/>
      </c>
      <c r="E254">
        <f>IF(A254="","",COUNTIFS(ATTENDANCE_DAILY!C:C,A254,ATTENDANCE_DAILY!E:E,"Present"))</f>
        <v/>
      </c>
      <c r="F254">
        <f>IF(A254="","",COUNTIFS(ATTENDANCE_DAILY!C:C,A254,ATTENDANCE_DAILY!E:E,"Absent"))</f>
        <v/>
      </c>
      <c r="G254" s="5">
        <f>IF(D254=0,"",E254/D254)</f>
        <v/>
      </c>
      <c r="H254" s="4">
        <f>IF(G254="","",IF(G254&lt;0.75,"Low Attendance","OK"))</f>
        <v/>
      </c>
    </row>
    <row r="255">
      <c r="A255">
        <f>IF(MASTER_REGISTER!E255="","",MASTER_REGISTER!E255)</f>
        <v/>
      </c>
      <c r="B255">
        <f>IF(A255="","",MASTER_REGISTER!F255)</f>
        <v/>
      </c>
      <c r="C255">
        <f>IF(A255="","",MASTER_REGISTER!C255)</f>
        <v/>
      </c>
      <c r="D255">
        <f>IF(A255="","",COUNTIF(ATTENDANCE_DAILY!C:C,A255))</f>
        <v/>
      </c>
      <c r="E255">
        <f>IF(A255="","",COUNTIFS(ATTENDANCE_DAILY!C:C,A255,ATTENDANCE_DAILY!E:E,"Present"))</f>
        <v/>
      </c>
      <c r="F255">
        <f>IF(A255="","",COUNTIFS(ATTENDANCE_DAILY!C:C,A255,ATTENDANCE_DAILY!E:E,"Absent"))</f>
        <v/>
      </c>
      <c r="G255" s="5">
        <f>IF(D255=0,"",E255/D255)</f>
        <v/>
      </c>
      <c r="H255" s="4">
        <f>IF(G255="","",IF(G255&lt;0.75,"Low Attendance","OK"))</f>
        <v/>
      </c>
    </row>
    <row r="256">
      <c r="A256">
        <f>IF(MASTER_REGISTER!E256="","",MASTER_REGISTER!E256)</f>
        <v/>
      </c>
      <c r="B256">
        <f>IF(A256="","",MASTER_REGISTER!F256)</f>
        <v/>
      </c>
      <c r="C256">
        <f>IF(A256="","",MASTER_REGISTER!C256)</f>
        <v/>
      </c>
      <c r="D256">
        <f>IF(A256="","",COUNTIF(ATTENDANCE_DAILY!C:C,A256))</f>
        <v/>
      </c>
      <c r="E256">
        <f>IF(A256="","",COUNTIFS(ATTENDANCE_DAILY!C:C,A256,ATTENDANCE_DAILY!E:E,"Present"))</f>
        <v/>
      </c>
      <c r="F256">
        <f>IF(A256="","",COUNTIFS(ATTENDANCE_DAILY!C:C,A256,ATTENDANCE_DAILY!E:E,"Absent"))</f>
        <v/>
      </c>
      <c r="G256" s="5">
        <f>IF(D256=0,"",E256/D256)</f>
        <v/>
      </c>
      <c r="H256" s="4">
        <f>IF(G256="","",IF(G256&lt;0.75,"Low Attendance","OK"))</f>
        <v/>
      </c>
    </row>
    <row r="257">
      <c r="A257">
        <f>IF(MASTER_REGISTER!E257="","",MASTER_REGISTER!E257)</f>
        <v/>
      </c>
      <c r="B257">
        <f>IF(A257="","",MASTER_REGISTER!F257)</f>
        <v/>
      </c>
      <c r="C257">
        <f>IF(A257="","",MASTER_REGISTER!C257)</f>
        <v/>
      </c>
      <c r="D257">
        <f>IF(A257="","",COUNTIF(ATTENDANCE_DAILY!C:C,A257))</f>
        <v/>
      </c>
      <c r="E257">
        <f>IF(A257="","",COUNTIFS(ATTENDANCE_DAILY!C:C,A257,ATTENDANCE_DAILY!E:E,"Present"))</f>
        <v/>
      </c>
      <c r="F257">
        <f>IF(A257="","",COUNTIFS(ATTENDANCE_DAILY!C:C,A257,ATTENDANCE_DAILY!E:E,"Absent"))</f>
        <v/>
      </c>
      <c r="G257" s="5">
        <f>IF(D257=0,"",E257/D257)</f>
        <v/>
      </c>
      <c r="H257" s="4">
        <f>IF(G257="","",IF(G257&lt;0.75,"Low Attendance","OK"))</f>
        <v/>
      </c>
    </row>
    <row r="258">
      <c r="A258">
        <f>IF(MASTER_REGISTER!E258="","",MASTER_REGISTER!E258)</f>
        <v/>
      </c>
      <c r="B258">
        <f>IF(A258="","",MASTER_REGISTER!F258)</f>
        <v/>
      </c>
      <c r="C258">
        <f>IF(A258="","",MASTER_REGISTER!C258)</f>
        <v/>
      </c>
      <c r="D258">
        <f>IF(A258="","",COUNTIF(ATTENDANCE_DAILY!C:C,A258))</f>
        <v/>
      </c>
      <c r="E258">
        <f>IF(A258="","",COUNTIFS(ATTENDANCE_DAILY!C:C,A258,ATTENDANCE_DAILY!E:E,"Present"))</f>
        <v/>
      </c>
      <c r="F258">
        <f>IF(A258="","",COUNTIFS(ATTENDANCE_DAILY!C:C,A258,ATTENDANCE_DAILY!E:E,"Absent"))</f>
        <v/>
      </c>
      <c r="G258" s="5">
        <f>IF(D258=0,"",E258/D258)</f>
        <v/>
      </c>
      <c r="H258" s="4">
        <f>IF(G258="","",IF(G258&lt;0.75,"Low Attendance","OK"))</f>
        <v/>
      </c>
    </row>
    <row r="259">
      <c r="A259">
        <f>IF(MASTER_REGISTER!E259="","",MASTER_REGISTER!E259)</f>
        <v/>
      </c>
      <c r="B259">
        <f>IF(A259="","",MASTER_REGISTER!F259)</f>
        <v/>
      </c>
      <c r="C259">
        <f>IF(A259="","",MASTER_REGISTER!C259)</f>
        <v/>
      </c>
      <c r="D259">
        <f>IF(A259="","",COUNTIF(ATTENDANCE_DAILY!C:C,A259))</f>
        <v/>
      </c>
      <c r="E259">
        <f>IF(A259="","",COUNTIFS(ATTENDANCE_DAILY!C:C,A259,ATTENDANCE_DAILY!E:E,"Present"))</f>
        <v/>
      </c>
      <c r="F259">
        <f>IF(A259="","",COUNTIFS(ATTENDANCE_DAILY!C:C,A259,ATTENDANCE_DAILY!E:E,"Absent"))</f>
        <v/>
      </c>
      <c r="G259" s="5">
        <f>IF(D259=0,"",E259/D259)</f>
        <v/>
      </c>
      <c r="H259" s="4">
        <f>IF(G259="","",IF(G259&lt;0.75,"Low Attendance","OK"))</f>
        <v/>
      </c>
    </row>
    <row r="260">
      <c r="A260">
        <f>IF(MASTER_REGISTER!E260="","",MASTER_REGISTER!E260)</f>
        <v/>
      </c>
      <c r="B260">
        <f>IF(A260="","",MASTER_REGISTER!F260)</f>
        <v/>
      </c>
      <c r="C260">
        <f>IF(A260="","",MASTER_REGISTER!C260)</f>
        <v/>
      </c>
      <c r="D260">
        <f>IF(A260="","",COUNTIF(ATTENDANCE_DAILY!C:C,A260))</f>
        <v/>
      </c>
      <c r="E260">
        <f>IF(A260="","",COUNTIFS(ATTENDANCE_DAILY!C:C,A260,ATTENDANCE_DAILY!E:E,"Present"))</f>
        <v/>
      </c>
      <c r="F260">
        <f>IF(A260="","",COUNTIFS(ATTENDANCE_DAILY!C:C,A260,ATTENDANCE_DAILY!E:E,"Absent"))</f>
        <v/>
      </c>
      <c r="G260" s="5">
        <f>IF(D260=0,"",E260/D260)</f>
        <v/>
      </c>
      <c r="H260" s="4">
        <f>IF(G260="","",IF(G260&lt;0.75,"Low Attendance","OK"))</f>
        <v/>
      </c>
    </row>
    <row r="261">
      <c r="A261">
        <f>IF(MASTER_REGISTER!E261="","",MASTER_REGISTER!E261)</f>
        <v/>
      </c>
      <c r="B261">
        <f>IF(A261="","",MASTER_REGISTER!F261)</f>
        <v/>
      </c>
      <c r="C261">
        <f>IF(A261="","",MASTER_REGISTER!C261)</f>
        <v/>
      </c>
      <c r="D261">
        <f>IF(A261="","",COUNTIF(ATTENDANCE_DAILY!C:C,A261))</f>
        <v/>
      </c>
      <c r="E261">
        <f>IF(A261="","",COUNTIFS(ATTENDANCE_DAILY!C:C,A261,ATTENDANCE_DAILY!E:E,"Present"))</f>
        <v/>
      </c>
      <c r="F261">
        <f>IF(A261="","",COUNTIFS(ATTENDANCE_DAILY!C:C,A261,ATTENDANCE_DAILY!E:E,"Absent"))</f>
        <v/>
      </c>
      <c r="G261" s="5">
        <f>IF(D261=0,"",E261/D261)</f>
        <v/>
      </c>
      <c r="H261" s="4">
        <f>IF(G261="","",IF(G261&lt;0.75,"Low Attendance","OK"))</f>
        <v/>
      </c>
    </row>
    <row r="262">
      <c r="A262">
        <f>IF(MASTER_REGISTER!E262="","",MASTER_REGISTER!E262)</f>
        <v/>
      </c>
      <c r="B262">
        <f>IF(A262="","",MASTER_REGISTER!F262)</f>
        <v/>
      </c>
      <c r="C262">
        <f>IF(A262="","",MASTER_REGISTER!C262)</f>
        <v/>
      </c>
      <c r="D262">
        <f>IF(A262="","",COUNTIF(ATTENDANCE_DAILY!C:C,A262))</f>
        <v/>
      </c>
      <c r="E262">
        <f>IF(A262="","",COUNTIFS(ATTENDANCE_DAILY!C:C,A262,ATTENDANCE_DAILY!E:E,"Present"))</f>
        <v/>
      </c>
      <c r="F262">
        <f>IF(A262="","",COUNTIFS(ATTENDANCE_DAILY!C:C,A262,ATTENDANCE_DAILY!E:E,"Absent"))</f>
        <v/>
      </c>
      <c r="G262" s="5">
        <f>IF(D262=0,"",E262/D262)</f>
        <v/>
      </c>
      <c r="H262" s="4">
        <f>IF(G262="","",IF(G262&lt;0.75,"Low Attendance","OK"))</f>
        <v/>
      </c>
    </row>
    <row r="263">
      <c r="A263">
        <f>IF(MASTER_REGISTER!E263="","",MASTER_REGISTER!E263)</f>
        <v/>
      </c>
      <c r="B263">
        <f>IF(A263="","",MASTER_REGISTER!F263)</f>
        <v/>
      </c>
      <c r="C263">
        <f>IF(A263="","",MASTER_REGISTER!C263)</f>
        <v/>
      </c>
      <c r="D263">
        <f>IF(A263="","",COUNTIF(ATTENDANCE_DAILY!C:C,A263))</f>
        <v/>
      </c>
      <c r="E263">
        <f>IF(A263="","",COUNTIFS(ATTENDANCE_DAILY!C:C,A263,ATTENDANCE_DAILY!E:E,"Present"))</f>
        <v/>
      </c>
      <c r="F263">
        <f>IF(A263="","",COUNTIFS(ATTENDANCE_DAILY!C:C,A263,ATTENDANCE_DAILY!E:E,"Absent"))</f>
        <v/>
      </c>
      <c r="G263" s="5">
        <f>IF(D263=0,"",E263/D263)</f>
        <v/>
      </c>
      <c r="H263" s="4">
        <f>IF(G263="","",IF(G263&lt;0.75,"Low Attendance","OK"))</f>
        <v/>
      </c>
    </row>
    <row r="264">
      <c r="A264">
        <f>IF(MASTER_REGISTER!E264="","",MASTER_REGISTER!E264)</f>
        <v/>
      </c>
      <c r="B264">
        <f>IF(A264="","",MASTER_REGISTER!F264)</f>
        <v/>
      </c>
      <c r="C264">
        <f>IF(A264="","",MASTER_REGISTER!C264)</f>
        <v/>
      </c>
      <c r="D264">
        <f>IF(A264="","",COUNTIF(ATTENDANCE_DAILY!C:C,A264))</f>
        <v/>
      </c>
      <c r="E264">
        <f>IF(A264="","",COUNTIFS(ATTENDANCE_DAILY!C:C,A264,ATTENDANCE_DAILY!E:E,"Present"))</f>
        <v/>
      </c>
      <c r="F264">
        <f>IF(A264="","",COUNTIFS(ATTENDANCE_DAILY!C:C,A264,ATTENDANCE_DAILY!E:E,"Absent"))</f>
        <v/>
      </c>
      <c r="G264" s="5">
        <f>IF(D264=0,"",E264/D264)</f>
        <v/>
      </c>
      <c r="H264" s="4">
        <f>IF(G264="","",IF(G264&lt;0.75,"Low Attendance","OK"))</f>
        <v/>
      </c>
    </row>
    <row r="265">
      <c r="A265">
        <f>IF(MASTER_REGISTER!E265="","",MASTER_REGISTER!E265)</f>
        <v/>
      </c>
      <c r="B265">
        <f>IF(A265="","",MASTER_REGISTER!F265)</f>
        <v/>
      </c>
      <c r="C265">
        <f>IF(A265="","",MASTER_REGISTER!C265)</f>
        <v/>
      </c>
      <c r="D265">
        <f>IF(A265="","",COUNTIF(ATTENDANCE_DAILY!C:C,A265))</f>
        <v/>
      </c>
      <c r="E265">
        <f>IF(A265="","",COUNTIFS(ATTENDANCE_DAILY!C:C,A265,ATTENDANCE_DAILY!E:E,"Present"))</f>
        <v/>
      </c>
      <c r="F265">
        <f>IF(A265="","",COUNTIFS(ATTENDANCE_DAILY!C:C,A265,ATTENDANCE_DAILY!E:E,"Absent"))</f>
        <v/>
      </c>
      <c r="G265" s="5">
        <f>IF(D265=0,"",E265/D265)</f>
        <v/>
      </c>
      <c r="H265" s="4">
        <f>IF(G265="","",IF(G265&lt;0.75,"Low Attendance","OK"))</f>
        <v/>
      </c>
    </row>
    <row r="266">
      <c r="A266">
        <f>IF(MASTER_REGISTER!E266="","",MASTER_REGISTER!E266)</f>
        <v/>
      </c>
      <c r="B266">
        <f>IF(A266="","",MASTER_REGISTER!F266)</f>
        <v/>
      </c>
      <c r="C266">
        <f>IF(A266="","",MASTER_REGISTER!C266)</f>
        <v/>
      </c>
      <c r="D266">
        <f>IF(A266="","",COUNTIF(ATTENDANCE_DAILY!C:C,A266))</f>
        <v/>
      </c>
      <c r="E266">
        <f>IF(A266="","",COUNTIFS(ATTENDANCE_DAILY!C:C,A266,ATTENDANCE_DAILY!E:E,"Present"))</f>
        <v/>
      </c>
      <c r="F266">
        <f>IF(A266="","",COUNTIFS(ATTENDANCE_DAILY!C:C,A266,ATTENDANCE_DAILY!E:E,"Absent"))</f>
        <v/>
      </c>
      <c r="G266" s="5">
        <f>IF(D266=0,"",E266/D266)</f>
        <v/>
      </c>
      <c r="H266" s="4">
        <f>IF(G266="","",IF(G266&lt;0.75,"Low Attendance","OK"))</f>
        <v/>
      </c>
    </row>
    <row r="267">
      <c r="A267">
        <f>IF(MASTER_REGISTER!E267="","",MASTER_REGISTER!E267)</f>
        <v/>
      </c>
      <c r="B267">
        <f>IF(A267="","",MASTER_REGISTER!F267)</f>
        <v/>
      </c>
      <c r="C267">
        <f>IF(A267="","",MASTER_REGISTER!C267)</f>
        <v/>
      </c>
      <c r="D267">
        <f>IF(A267="","",COUNTIF(ATTENDANCE_DAILY!C:C,A267))</f>
        <v/>
      </c>
      <c r="E267">
        <f>IF(A267="","",COUNTIFS(ATTENDANCE_DAILY!C:C,A267,ATTENDANCE_DAILY!E:E,"Present"))</f>
        <v/>
      </c>
      <c r="F267">
        <f>IF(A267="","",COUNTIFS(ATTENDANCE_DAILY!C:C,A267,ATTENDANCE_DAILY!E:E,"Absent"))</f>
        <v/>
      </c>
      <c r="G267" s="5">
        <f>IF(D267=0,"",E267/D267)</f>
        <v/>
      </c>
      <c r="H267" s="4">
        <f>IF(G267="","",IF(G267&lt;0.75,"Low Attendance","OK"))</f>
        <v/>
      </c>
    </row>
    <row r="268">
      <c r="A268">
        <f>IF(MASTER_REGISTER!E268="","",MASTER_REGISTER!E268)</f>
        <v/>
      </c>
      <c r="B268">
        <f>IF(A268="","",MASTER_REGISTER!F268)</f>
        <v/>
      </c>
      <c r="C268">
        <f>IF(A268="","",MASTER_REGISTER!C268)</f>
        <v/>
      </c>
      <c r="D268">
        <f>IF(A268="","",COUNTIF(ATTENDANCE_DAILY!C:C,A268))</f>
        <v/>
      </c>
      <c r="E268">
        <f>IF(A268="","",COUNTIFS(ATTENDANCE_DAILY!C:C,A268,ATTENDANCE_DAILY!E:E,"Present"))</f>
        <v/>
      </c>
      <c r="F268">
        <f>IF(A268="","",COUNTIFS(ATTENDANCE_DAILY!C:C,A268,ATTENDANCE_DAILY!E:E,"Absent"))</f>
        <v/>
      </c>
      <c r="G268" s="5">
        <f>IF(D268=0,"",E268/D268)</f>
        <v/>
      </c>
      <c r="H268" s="4">
        <f>IF(G268="","",IF(G268&lt;0.75,"Low Attendance","OK"))</f>
        <v/>
      </c>
    </row>
    <row r="269">
      <c r="A269">
        <f>IF(MASTER_REGISTER!E269="","",MASTER_REGISTER!E269)</f>
        <v/>
      </c>
      <c r="B269">
        <f>IF(A269="","",MASTER_REGISTER!F269)</f>
        <v/>
      </c>
      <c r="C269">
        <f>IF(A269="","",MASTER_REGISTER!C269)</f>
        <v/>
      </c>
      <c r="D269">
        <f>IF(A269="","",COUNTIF(ATTENDANCE_DAILY!C:C,A269))</f>
        <v/>
      </c>
      <c r="E269">
        <f>IF(A269="","",COUNTIFS(ATTENDANCE_DAILY!C:C,A269,ATTENDANCE_DAILY!E:E,"Present"))</f>
        <v/>
      </c>
      <c r="F269">
        <f>IF(A269="","",COUNTIFS(ATTENDANCE_DAILY!C:C,A269,ATTENDANCE_DAILY!E:E,"Absent"))</f>
        <v/>
      </c>
      <c r="G269" s="5">
        <f>IF(D269=0,"",E269/D269)</f>
        <v/>
      </c>
      <c r="H269" s="4">
        <f>IF(G269="","",IF(G269&lt;0.75,"Low Attendance","OK"))</f>
        <v/>
      </c>
    </row>
    <row r="270">
      <c r="A270">
        <f>IF(MASTER_REGISTER!E270="","",MASTER_REGISTER!E270)</f>
        <v/>
      </c>
      <c r="B270">
        <f>IF(A270="","",MASTER_REGISTER!F270)</f>
        <v/>
      </c>
      <c r="C270">
        <f>IF(A270="","",MASTER_REGISTER!C270)</f>
        <v/>
      </c>
      <c r="D270">
        <f>IF(A270="","",COUNTIF(ATTENDANCE_DAILY!C:C,A270))</f>
        <v/>
      </c>
      <c r="E270">
        <f>IF(A270="","",COUNTIFS(ATTENDANCE_DAILY!C:C,A270,ATTENDANCE_DAILY!E:E,"Present"))</f>
        <v/>
      </c>
      <c r="F270">
        <f>IF(A270="","",COUNTIFS(ATTENDANCE_DAILY!C:C,A270,ATTENDANCE_DAILY!E:E,"Absent"))</f>
        <v/>
      </c>
      <c r="G270" s="5">
        <f>IF(D270=0,"",E270/D270)</f>
        <v/>
      </c>
      <c r="H270" s="4">
        <f>IF(G270="","",IF(G270&lt;0.75,"Low Attendance","OK"))</f>
        <v/>
      </c>
    </row>
    <row r="271">
      <c r="A271">
        <f>IF(MASTER_REGISTER!E271="","",MASTER_REGISTER!E271)</f>
        <v/>
      </c>
      <c r="B271">
        <f>IF(A271="","",MASTER_REGISTER!F271)</f>
        <v/>
      </c>
      <c r="C271">
        <f>IF(A271="","",MASTER_REGISTER!C271)</f>
        <v/>
      </c>
      <c r="D271">
        <f>IF(A271="","",COUNTIF(ATTENDANCE_DAILY!C:C,A271))</f>
        <v/>
      </c>
      <c r="E271">
        <f>IF(A271="","",COUNTIFS(ATTENDANCE_DAILY!C:C,A271,ATTENDANCE_DAILY!E:E,"Present"))</f>
        <v/>
      </c>
      <c r="F271">
        <f>IF(A271="","",COUNTIFS(ATTENDANCE_DAILY!C:C,A271,ATTENDANCE_DAILY!E:E,"Absent"))</f>
        <v/>
      </c>
      <c r="G271" s="5">
        <f>IF(D271=0,"",E271/D271)</f>
        <v/>
      </c>
      <c r="H271" s="4">
        <f>IF(G271="","",IF(G271&lt;0.75,"Low Attendance","OK"))</f>
        <v/>
      </c>
    </row>
    <row r="272">
      <c r="A272">
        <f>IF(MASTER_REGISTER!E272="","",MASTER_REGISTER!E272)</f>
        <v/>
      </c>
      <c r="B272">
        <f>IF(A272="","",MASTER_REGISTER!F272)</f>
        <v/>
      </c>
      <c r="C272">
        <f>IF(A272="","",MASTER_REGISTER!C272)</f>
        <v/>
      </c>
      <c r="D272">
        <f>IF(A272="","",COUNTIF(ATTENDANCE_DAILY!C:C,A272))</f>
        <v/>
      </c>
      <c r="E272">
        <f>IF(A272="","",COUNTIFS(ATTENDANCE_DAILY!C:C,A272,ATTENDANCE_DAILY!E:E,"Present"))</f>
        <v/>
      </c>
      <c r="F272">
        <f>IF(A272="","",COUNTIFS(ATTENDANCE_DAILY!C:C,A272,ATTENDANCE_DAILY!E:E,"Absent"))</f>
        <v/>
      </c>
      <c r="G272" s="5">
        <f>IF(D272=0,"",E272/D272)</f>
        <v/>
      </c>
      <c r="H272" s="4">
        <f>IF(G272="","",IF(G272&lt;0.75,"Low Attendance","OK"))</f>
        <v/>
      </c>
    </row>
    <row r="273">
      <c r="A273">
        <f>IF(MASTER_REGISTER!E273="","",MASTER_REGISTER!E273)</f>
        <v/>
      </c>
      <c r="B273">
        <f>IF(A273="","",MASTER_REGISTER!F273)</f>
        <v/>
      </c>
      <c r="C273">
        <f>IF(A273="","",MASTER_REGISTER!C273)</f>
        <v/>
      </c>
      <c r="D273">
        <f>IF(A273="","",COUNTIF(ATTENDANCE_DAILY!C:C,A273))</f>
        <v/>
      </c>
      <c r="E273">
        <f>IF(A273="","",COUNTIFS(ATTENDANCE_DAILY!C:C,A273,ATTENDANCE_DAILY!E:E,"Present"))</f>
        <v/>
      </c>
      <c r="F273">
        <f>IF(A273="","",COUNTIFS(ATTENDANCE_DAILY!C:C,A273,ATTENDANCE_DAILY!E:E,"Absent"))</f>
        <v/>
      </c>
      <c r="G273" s="5">
        <f>IF(D273=0,"",E273/D273)</f>
        <v/>
      </c>
      <c r="H273" s="4">
        <f>IF(G273="","",IF(G273&lt;0.75,"Low Attendance","OK"))</f>
        <v/>
      </c>
    </row>
    <row r="274">
      <c r="A274">
        <f>IF(MASTER_REGISTER!E274="","",MASTER_REGISTER!E274)</f>
        <v/>
      </c>
      <c r="B274">
        <f>IF(A274="","",MASTER_REGISTER!F274)</f>
        <v/>
      </c>
      <c r="C274">
        <f>IF(A274="","",MASTER_REGISTER!C274)</f>
        <v/>
      </c>
      <c r="D274">
        <f>IF(A274="","",COUNTIF(ATTENDANCE_DAILY!C:C,A274))</f>
        <v/>
      </c>
      <c r="E274">
        <f>IF(A274="","",COUNTIFS(ATTENDANCE_DAILY!C:C,A274,ATTENDANCE_DAILY!E:E,"Present"))</f>
        <v/>
      </c>
      <c r="F274">
        <f>IF(A274="","",COUNTIFS(ATTENDANCE_DAILY!C:C,A274,ATTENDANCE_DAILY!E:E,"Absent"))</f>
        <v/>
      </c>
      <c r="G274" s="5">
        <f>IF(D274=0,"",E274/D274)</f>
        <v/>
      </c>
      <c r="H274" s="4">
        <f>IF(G274="","",IF(G274&lt;0.75,"Low Attendance","OK"))</f>
        <v/>
      </c>
    </row>
    <row r="275">
      <c r="A275">
        <f>IF(MASTER_REGISTER!E275="","",MASTER_REGISTER!E275)</f>
        <v/>
      </c>
      <c r="B275">
        <f>IF(A275="","",MASTER_REGISTER!F275)</f>
        <v/>
      </c>
      <c r="C275">
        <f>IF(A275="","",MASTER_REGISTER!C275)</f>
        <v/>
      </c>
      <c r="D275">
        <f>IF(A275="","",COUNTIF(ATTENDANCE_DAILY!C:C,A275))</f>
        <v/>
      </c>
      <c r="E275">
        <f>IF(A275="","",COUNTIFS(ATTENDANCE_DAILY!C:C,A275,ATTENDANCE_DAILY!E:E,"Present"))</f>
        <v/>
      </c>
      <c r="F275">
        <f>IF(A275="","",COUNTIFS(ATTENDANCE_DAILY!C:C,A275,ATTENDANCE_DAILY!E:E,"Absent"))</f>
        <v/>
      </c>
      <c r="G275" s="5">
        <f>IF(D275=0,"",E275/D275)</f>
        <v/>
      </c>
      <c r="H275" s="4">
        <f>IF(G275="","",IF(G275&lt;0.75,"Low Attendance","OK"))</f>
        <v/>
      </c>
    </row>
    <row r="276">
      <c r="A276">
        <f>IF(MASTER_REGISTER!E276="","",MASTER_REGISTER!E276)</f>
        <v/>
      </c>
      <c r="B276">
        <f>IF(A276="","",MASTER_REGISTER!F276)</f>
        <v/>
      </c>
      <c r="C276">
        <f>IF(A276="","",MASTER_REGISTER!C276)</f>
        <v/>
      </c>
      <c r="D276">
        <f>IF(A276="","",COUNTIF(ATTENDANCE_DAILY!C:C,A276))</f>
        <v/>
      </c>
      <c r="E276">
        <f>IF(A276="","",COUNTIFS(ATTENDANCE_DAILY!C:C,A276,ATTENDANCE_DAILY!E:E,"Present"))</f>
        <v/>
      </c>
      <c r="F276">
        <f>IF(A276="","",COUNTIFS(ATTENDANCE_DAILY!C:C,A276,ATTENDANCE_DAILY!E:E,"Absent"))</f>
        <v/>
      </c>
      <c r="G276" s="5">
        <f>IF(D276=0,"",E276/D276)</f>
        <v/>
      </c>
      <c r="H276" s="4">
        <f>IF(G276="","",IF(G276&lt;0.75,"Low Attendance","OK"))</f>
        <v/>
      </c>
    </row>
    <row r="277">
      <c r="A277">
        <f>IF(MASTER_REGISTER!E277="","",MASTER_REGISTER!E277)</f>
        <v/>
      </c>
      <c r="B277">
        <f>IF(A277="","",MASTER_REGISTER!F277)</f>
        <v/>
      </c>
      <c r="C277">
        <f>IF(A277="","",MASTER_REGISTER!C277)</f>
        <v/>
      </c>
      <c r="D277">
        <f>IF(A277="","",COUNTIF(ATTENDANCE_DAILY!C:C,A277))</f>
        <v/>
      </c>
      <c r="E277">
        <f>IF(A277="","",COUNTIFS(ATTENDANCE_DAILY!C:C,A277,ATTENDANCE_DAILY!E:E,"Present"))</f>
        <v/>
      </c>
      <c r="F277">
        <f>IF(A277="","",COUNTIFS(ATTENDANCE_DAILY!C:C,A277,ATTENDANCE_DAILY!E:E,"Absent"))</f>
        <v/>
      </c>
      <c r="G277" s="5">
        <f>IF(D277=0,"",E277/D277)</f>
        <v/>
      </c>
      <c r="H277" s="4">
        <f>IF(G277="","",IF(G277&lt;0.75,"Low Attendance","OK"))</f>
        <v/>
      </c>
    </row>
    <row r="278">
      <c r="A278">
        <f>IF(MASTER_REGISTER!E278="","",MASTER_REGISTER!E278)</f>
        <v/>
      </c>
      <c r="B278">
        <f>IF(A278="","",MASTER_REGISTER!F278)</f>
        <v/>
      </c>
      <c r="C278">
        <f>IF(A278="","",MASTER_REGISTER!C278)</f>
        <v/>
      </c>
      <c r="D278">
        <f>IF(A278="","",COUNTIF(ATTENDANCE_DAILY!C:C,A278))</f>
        <v/>
      </c>
      <c r="E278">
        <f>IF(A278="","",COUNTIFS(ATTENDANCE_DAILY!C:C,A278,ATTENDANCE_DAILY!E:E,"Present"))</f>
        <v/>
      </c>
      <c r="F278">
        <f>IF(A278="","",COUNTIFS(ATTENDANCE_DAILY!C:C,A278,ATTENDANCE_DAILY!E:E,"Absent"))</f>
        <v/>
      </c>
      <c r="G278" s="5">
        <f>IF(D278=0,"",E278/D278)</f>
        <v/>
      </c>
      <c r="H278" s="4">
        <f>IF(G278="","",IF(G278&lt;0.75,"Low Attendance","OK"))</f>
        <v/>
      </c>
    </row>
    <row r="279">
      <c r="A279">
        <f>IF(MASTER_REGISTER!E279="","",MASTER_REGISTER!E279)</f>
        <v/>
      </c>
      <c r="B279">
        <f>IF(A279="","",MASTER_REGISTER!F279)</f>
        <v/>
      </c>
      <c r="C279">
        <f>IF(A279="","",MASTER_REGISTER!C279)</f>
        <v/>
      </c>
      <c r="D279">
        <f>IF(A279="","",COUNTIF(ATTENDANCE_DAILY!C:C,A279))</f>
        <v/>
      </c>
      <c r="E279">
        <f>IF(A279="","",COUNTIFS(ATTENDANCE_DAILY!C:C,A279,ATTENDANCE_DAILY!E:E,"Present"))</f>
        <v/>
      </c>
      <c r="F279">
        <f>IF(A279="","",COUNTIFS(ATTENDANCE_DAILY!C:C,A279,ATTENDANCE_DAILY!E:E,"Absent"))</f>
        <v/>
      </c>
      <c r="G279" s="5">
        <f>IF(D279=0,"",E279/D279)</f>
        <v/>
      </c>
      <c r="H279" s="4">
        <f>IF(G279="","",IF(G279&lt;0.75,"Low Attendance","OK"))</f>
        <v/>
      </c>
    </row>
    <row r="280">
      <c r="A280">
        <f>IF(MASTER_REGISTER!E280="","",MASTER_REGISTER!E280)</f>
        <v/>
      </c>
      <c r="B280">
        <f>IF(A280="","",MASTER_REGISTER!F280)</f>
        <v/>
      </c>
      <c r="C280">
        <f>IF(A280="","",MASTER_REGISTER!C280)</f>
        <v/>
      </c>
      <c r="D280">
        <f>IF(A280="","",COUNTIF(ATTENDANCE_DAILY!C:C,A280))</f>
        <v/>
      </c>
      <c r="E280">
        <f>IF(A280="","",COUNTIFS(ATTENDANCE_DAILY!C:C,A280,ATTENDANCE_DAILY!E:E,"Present"))</f>
        <v/>
      </c>
      <c r="F280">
        <f>IF(A280="","",COUNTIFS(ATTENDANCE_DAILY!C:C,A280,ATTENDANCE_DAILY!E:E,"Absent"))</f>
        <v/>
      </c>
      <c r="G280" s="5">
        <f>IF(D280=0,"",E280/D280)</f>
        <v/>
      </c>
      <c r="H280" s="4">
        <f>IF(G280="","",IF(G280&lt;0.75,"Low Attendance","OK"))</f>
        <v/>
      </c>
    </row>
    <row r="281">
      <c r="A281">
        <f>IF(MASTER_REGISTER!E281="","",MASTER_REGISTER!E281)</f>
        <v/>
      </c>
      <c r="B281">
        <f>IF(A281="","",MASTER_REGISTER!F281)</f>
        <v/>
      </c>
      <c r="C281">
        <f>IF(A281="","",MASTER_REGISTER!C281)</f>
        <v/>
      </c>
      <c r="D281">
        <f>IF(A281="","",COUNTIF(ATTENDANCE_DAILY!C:C,A281))</f>
        <v/>
      </c>
      <c r="E281">
        <f>IF(A281="","",COUNTIFS(ATTENDANCE_DAILY!C:C,A281,ATTENDANCE_DAILY!E:E,"Present"))</f>
        <v/>
      </c>
      <c r="F281">
        <f>IF(A281="","",COUNTIFS(ATTENDANCE_DAILY!C:C,A281,ATTENDANCE_DAILY!E:E,"Absent"))</f>
        <v/>
      </c>
      <c r="G281" s="5">
        <f>IF(D281=0,"",E281/D281)</f>
        <v/>
      </c>
      <c r="H281" s="4">
        <f>IF(G281="","",IF(G281&lt;0.75,"Low Attendance","OK"))</f>
        <v/>
      </c>
    </row>
    <row r="282">
      <c r="A282">
        <f>IF(MASTER_REGISTER!E282="","",MASTER_REGISTER!E282)</f>
        <v/>
      </c>
      <c r="B282">
        <f>IF(A282="","",MASTER_REGISTER!F282)</f>
        <v/>
      </c>
      <c r="C282">
        <f>IF(A282="","",MASTER_REGISTER!C282)</f>
        <v/>
      </c>
      <c r="D282">
        <f>IF(A282="","",COUNTIF(ATTENDANCE_DAILY!C:C,A282))</f>
        <v/>
      </c>
      <c r="E282">
        <f>IF(A282="","",COUNTIFS(ATTENDANCE_DAILY!C:C,A282,ATTENDANCE_DAILY!E:E,"Present"))</f>
        <v/>
      </c>
      <c r="F282">
        <f>IF(A282="","",COUNTIFS(ATTENDANCE_DAILY!C:C,A282,ATTENDANCE_DAILY!E:E,"Absent"))</f>
        <v/>
      </c>
      <c r="G282" s="5">
        <f>IF(D282=0,"",E282/D282)</f>
        <v/>
      </c>
      <c r="H282" s="4">
        <f>IF(G282="","",IF(G282&lt;0.75,"Low Attendance","OK"))</f>
        <v/>
      </c>
    </row>
    <row r="283">
      <c r="A283">
        <f>IF(MASTER_REGISTER!E283="","",MASTER_REGISTER!E283)</f>
        <v/>
      </c>
      <c r="B283">
        <f>IF(A283="","",MASTER_REGISTER!F283)</f>
        <v/>
      </c>
      <c r="C283">
        <f>IF(A283="","",MASTER_REGISTER!C283)</f>
        <v/>
      </c>
      <c r="D283">
        <f>IF(A283="","",COUNTIF(ATTENDANCE_DAILY!C:C,A283))</f>
        <v/>
      </c>
      <c r="E283">
        <f>IF(A283="","",COUNTIFS(ATTENDANCE_DAILY!C:C,A283,ATTENDANCE_DAILY!E:E,"Present"))</f>
        <v/>
      </c>
      <c r="F283">
        <f>IF(A283="","",COUNTIFS(ATTENDANCE_DAILY!C:C,A283,ATTENDANCE_DAILY!E:E,"Absent"))</f>
        <v/>
      </c>
      <c r="G283" s="5">
        <f>IF(D283=0,"",E283/D283)</f>
        <v/>
      </c>
      <c r="H283" s="4">
        <f>IF(G283="","",IF(G283&lt;0.75,"Low Attendance","OK"))</f>
        <v/>
      </c>
    </row>
    <row r="284">
      <c r="A284">
        <f>IF(MASTER_REGISTER!E284="","",MASTER_REGISTER!E284)</f>
        <v/>
      </c>
      <c r="B284">
        <f>IF(A284="","",MASTER_REGISTER!F284)</f>
        <v/>
      </c>
      <c r="C284">
        <f>IF(A284="","",MASTER_REGISTER!C284)</f>
        <v/>
      </c>
      <c r="D284">
        <f>IF(A284="","",COUNTIF(ATTENDANCE_DAILY!C:C,A284))</f>
        <v/>
      </c>
      <c r="E284">
        <f>IF(A284="","",COUNTIFS(ATTENDANCE_DAILY!C:C,A284,ATTENDANCE_DAILY!E:E,"Present"))</f>
        <v/>
      </c>
      <c r="F284">
        <f>IF(A284="","",COUNTIFS(ATTENDANCE_DAILY!C:C,A284,ATTENDANCE_DAILY!E:E,"Absent"))</f>
        <v/>
      </c>
      <c r="G284" s="5">
        <f>IF(D284=0,"",E284/D284)</f>
        <v/>
      </c>
      <c r="H284" s="4">
        <f>IF(G284="","",IF(G284&lt;0.75,"Low Attendance","OK"))</f>
        <v/>
      </c>
    </row>
    <row r="285">
      <c r="A285">
        <f>IF(MASTER_REGISTER!E285="","",MASTER_REGISTER!E285)</f>
        <v/>
      </c>
      <c r="B285">
        <f>IF(A285="","",MASTER_REGISTER!F285)</f>
        <v/>
      </c>
      <c r="C285">
        <f>IF(A285="","",MASTER_REGISTER!C285)</f>
        <v/>
      </c>
      <c r="D285">
        <f>IF(A285="","",COUNTIF(ATTENDANCE_DAILY!C:C,A285))</f>
        <v/>
      </c>
      <c r="E285">
        <f>IF(A285="","",COUNTIFS(ATTENDANCE_DAILY!C:C,A285,ATTENDANCE_DAILY!E:E,"Present"))</f>
        <v/>
      </c>
      <c r="F285">
        <f>IF(A285="","",COUNTIFS(ATTENDANCE_DAILY!C:C,A285,ATTENDANCE_DAILY!E:E,"Absent"))</f>
        <v/>
      </c>
      <c r="G285" s="5">
        <f>IF(D285=0,"",E285/D285)</f>
        <v/>
      </c>
      <c r="H285" s="4">
        <f>IF(G285="","",IF(G285&lt;0.75,"Low Attendance","OK"))</f>
        <v/>
      </c>
    </row>
    <row r="286">
      <c r="A286">
        <f>IF(MASTER_REGISTER!E286="","",MASTER_REGISTER!E286)</f>
        <v/>
      </c>
      <c r="B286">
        <f>IF(A286="","",MASTER_REGISTER!F286)</f>
        <v/>
      </c>
      <c r="C286">
        <f>IF(A286="","",MASTER_REGISTER!C286)</f>
        <v/>
      </c>
      <c r="D286">
        <f>IF(A286="","",COUNTIF(ATTENDANCE_DAILY!C:C,A286))</f>
        <v/>
      </c>
      <c r="E286">
        <f>IF(A286="","",COUNTIFS(ATTENDANCE_DAILY!C:C,A286,ATTENDANCE_DAILY!E:E,"Present"))</f>
        <v/>
      </c>
      <c r="F286">
        <f>IF(A286="","",COUNTIFS(ATTENDANCE_DAILY!C:C,A286,ATTENDANCE_DAILY!E:E,"Absent"))</f>
        <v/>
      </c>
      <c r="G286" s="5">
        <f>IF(D286=0,"",E286/D286)</f>
        <v/>
      </c>
      <c r="H286" s="4">
        <f>IF(G286="","",IF(G286&lt;0.75,"Low Attendance","OK"))</f>
        <v/>
      </c>
    </row>
    <row r="287">
      <c r="A287">
        <f>IF(MASTER_REGISTER!E287="","",MASTER_REGISTER!E287)</f>
        <v/>
      </c>
      <c r="B287">
        <f>IF(A287="","",MASTER_REGISTER!F287)</f>
        <v/>
      </c>
      <c r="C287">
        <f>IF(A287="","",MASTER_REGISTER!C287)</f>
        <v/>
      </c>
      <c r="D287">
        <f>IF(A287="","",COUNTIF(ATTENDANCE_DAILY!C:C,A287))</f>
        <v/>
      </c>
      <c r="E287">
        <f>IF(A287="","",COUNTIFS(ATTENDANCE_DAILY!C:C,A287,ATTENDANCE_DAILY!E:E,"Present"))</f>
        <v/>
      </c>
      <c r="F287">
        <f>IF(A287="","",COUNTIFS(ATTENDANCE_DAILY!C:C,A287,ATTENDANCE_DAILY!E:E,"Absent"))</f>
        <v/>
      </c>
      <c r="G287" s="5">
        <f>IF(D287=0,"",E287/D287)</f>
        <v/>
      </c>
      <c r="H287" s="4">
        <f>IF(G287="","",IF(G287&lt;0.75,"Low Attendance","OK"))</f>
        <v/>
      </c>
    </row>
    <row r="288">
      <c r="A288">
        <f>IF(MASTER_REGISTER!E288="","",MASTER_REGISTER!E288)</f>
        <v/>
      </c>
      <c r="B288">
        <f>IF(A288="","",MASTER_REGISTER!F288)</f>
        <v/>
      </c>
      <c r="C288">
        <f>IF(A288="","",MASTER_REGISTER!C288)</f>
        <v/>
      </c>
      <c r="D288">
        <f>IF(A288="","",COUNTIF(ATTENDANCE_DAILY!C:C,A288))</f>
        <v/>
      </c>
      <c r="E288">
        <f>IF(A288="","",COUNTIFS(ATTENDANCE_DAILY!C:C,A288,ATTENDANCE_DAILY!E:E,"Present"))</f>
        <v/>
      </c>
      <c r="F288">
        <f>IF(A288="","",COUNTIFS(ATTENDANCE_DAILY!C:C,A288,ATTENDANCE_DAILY!E:E,"Absent"))</f>
        <v/>
      </c>
      <c r="G288" s="5">
        <f>IF(D288=0,"",E288/D288)</f>
        <v/>
      </c>
      <c r="H288" s="4">
        <f>IF(G288="","",IF(G288&lt;0.75,"Low Attendance","OK"))</f>
        <v/>
      </c>
    </row>
    <row r="289">
      <c r="A289">
        <f>IF(MASTER_REGISTER!E289="","",MASTER_REGISTER!E289)</f>
        <v/>
      </c>
      <c r="B289">
        <f>IF(A289="","",MASTER_REGISTER!F289)</f>
        <v/>
      </c>
      <c r="C289">
        <f>IF(A289="","",MASTER_REGISTER!C289)</f>
        <v/>
      </c>
      <c r="D289">
        <f>IF(A289="","",COUNTIF(ATTENDANCE_DAILY!C:C,A289))</f>
        <v/>
      </c>
      <c r="E289">
        <f>IF(A289="","",COUNTIFS(ATTENDANCE_DAILY!C:C,A289,ATTENDANCE_DAILY!E:E,"Present"))</f>
        <v/>
      </c>
      <c r="F289">
        <f>IF(A289="","",COUNTIFS(ATTENDANCE_DAILY!C:C,A289,ATTENDANCE_DAILY!E:E,"Absent"))</f>
        <v/>
      </c>
      <c r="G289" s="5">
        <f>IF(D289=0,"",E289/D289)</f>
        <v/>
      </c>
      <c r="H289" s="4">
        <f>IF(G289="","",IF(G289&lt;0.75,"Low Attendance","OK"))</f>
        <v/>
      </c>
    </row>
    <row r="290">
      <c r="A290">
        <f>IF(MASTER_REGISTER!E290="","",MASTER_REGISTER!E290)</f>
        <v/>
      </c>
      <c r="B290">
        <f>IF(A290="","",MASTER_REGISTER!F290)</f>
        <v/>
      </c>
      <c r="C290">
        <f>IF(A290="","",MASTER_REGISTER!C290)</f>
        <v/>
      </c>
      <c r="D290">
        <f>IF(A290="","",COUNTIF(ATTENDANCE_DAILY!C:C,A290))</f>
        <v/>
      </c>
      <c r="E290">
        <f>IF(A290="","",COUNTIFS(ATTENDANCE_DAILY!C:C,A290,ATTENDANCE_DAILY!E:E,"Present"))</f>
        <v/>
      </c>
      <c r="F290">
        <f>IF(A290="","",COUNTIFS(ATTENDANCE_DAILY!C:C,A290,ATTENDANCE_DAILY!E:E,"Absent"))</f>
        <v/>
      </c>
      <c r="G290" s="5">
        <f>IF(D290=0,"",E290/D290)</f>
        <v/>
      </c>
      <c r="H290" s="4">
        <f>IF(G290="","",IF(G290&lt;0.75,"Low Attendance","OK"))</f>
        <v/>
      </c>
    </row>
    <row r="291">
      <c r="A291">
        <f>IF(MASTER_REGISTER!E291="","",MASTER_REGISTER!E291)</f>
        <v/>
      </c>
      <c r="B291">
        <f>IF(A291="","",MASTER_REGISTER!F291)</f>
        <v/>
      </c>
      <c r="C291">
        <f>IF(A291="","",MASTER_REGISTER!C291)</f>
        <v/>
      </c>
      <c r="D291">
        <f>IF(A291="","",COUNTIF(ATTENDANCE_DAILY!C:C,A291))</f>
        <v/>
      </c>
      <c r="E291">
        <f>IF(A291="","",COUNTIFS(ATTENDANCE_DAILY!C:C,A291,ATTENDANCE_DAILY!E:E,"Present"))</f>
        <v/>
      </c>
      <c r="F291">
        <f>IF(A291="","",COUNTIFS(ATTENDANCE_DAILY!C:C,A291,ATTENDANCE_DAILY!E:E,"Absent"))</f>
        <v/>
      </c>
      <c r="G291" s="5">
        <f>IF(D291=0,"",E291/D291)</f>
        <v/>
      </c>
      <c r="H291" s="4">
        <f>IF(G291="","",IF(G291&lt;0.75,"Low Attendance","OK"))</f>
        <v/>
      </c>
    </row>
    <row r="292">
      <c r="A292">
        <f>IF(MASTER_REGISTER!E292="","",MASTER_REGISTER!E292)</f>
        <v/>
      </c>
      <c r="B292">
        <f>IF(A292="","",MASTER_REGISTER!F292)</f>
        <v/>
      </c>
      <c r="C292">
        <f>IF(A292="","",MASTER_REGISTER!C292)</f>
        <v/>
      </c>
      <c r="D292">
        <f>IF(A292="","",COUNTIF(ATTENDANCE_DAILY!C:C,A292))</f>
        <v/>
      </c>
      <c r="E292">
        <f>IF(A292="","",COUNTIFS(ATTENDANCE_DAILY!C:C,A292,ATTENDANCE_DAILY!E:E,"Present"))</f>
        <v/>
      </c>
      <c r="F292">
        <f>IF(A292="","",COUNTIFS(ATTENDANCE_DAILY!C:C,A292,ATTENDANCE_DAILY!E:E,"Absent"))</f>
        <v/>
      </c>
      <c r="G292" s="5">
        <f>IF(D292=0,"",E292/D292)</f>
        <v/>
      </c>
      <c r="H292" s="4">
        <f>IF(G292="","",IF(G292&lt;0.75,"Low Attendance","OK"))</f>
        <v/>
      </c>
    </row>
    <row r="293">
      <c r="A293">
        <f>IF(MASTER_REGISTER!E293="","",MASTER_REGISTER!E293)</f>
        <v/>
      </c>
      <c r="B293">
        <f>IF(A293="","",MASTER_REGISTER!F293)</f>
        <v/>
      </c>
      <c r="C293">
        <f>IF(A293="","",MASTER_REGISTER!C293)</f>
        <v/>
      </c>
      <c r="D293">
        <f>IF(A293="","",COUNTIF(ATTENDANCE_DAILY!C:C,A293))</f>
        <v/>
      </c>
      <c r="E293">
        <f>IF(A293="","",COUNTIFS(ATTENDANCE_DAILY!C:C,A293,ATTENDANCE_DAILY!E:E,"Present"))</f>
        <v/>
      </c>
      <c r="F293">
        <f>IF(A293="","",COUNTIFS(ATTENDANCE_DAILY!C:C,A293,ATTENDANCE_DAILY!E:E,"Absent"))</f>
        <v/>
      </c>
      <c r="G293" s="5">
        <f>IF(D293=0,"",E293/D293)</f>
        <v/>
      </c>
      <c r="H293" s="4">
        <f>IF(G293="","",IF(G293&lt;0.75,"Low Attendance","OK"))</f>
        <v/>
      </c>
    </row>
    <row r="294">
      <c r="A294">
        <f>IF(MASTER_REGISTER!E294="","",MASTER_REGISTER!E294)</f>
        <v/>
      </c>
      <c r="B294">
        <f>IF(A294="","",MASTER_REGISTER!F294)</f>
        <v/>
      </c>
      <c r="C294">
        <f>IF(A294="","",MASTER_REGISTER!C294)</f>
        <v/>
      </c>
      <c r="D294">
        <f>IF(A294="","",COUNTIF(ATTENDANCE_DAILY!C:C,A294))</f>
        <v/>
      </c>
      <c r="E294">
        <f>IF(A294="","",COUNTIFS(ATTENDANCE_DAILY!C:C,A294,ATTENDANCE_DAILY!E:E,"Present"))</f>
        <v/>
      </c>
      <c r="F294">
        <f>IF(A294="","",COUNTIFS(ATTENDANCE_DAILY!C:C,A294,ATTENDANCE_DAILY!E:E,"Absent"))</f>
        <v/>
      </c>
      <c r="G294" s="5">
        <f>IF(D294=0,"",E294/D294)</f>
        <v/>
      </c>
      <c r="H294" s="4">
        <f>IF(G294="","",IF(G294&lt;0.75,"Low Attendance","OK"))</f>
        <v/>
      </c>
    </row>
    <row r="295">
      <c r="A295">
        <f>IF(MASTER_REGISTER!E295="","",MASTER_REGISTER!E295)</f>
        <v/>
      </c>
      <c r="B295">
        <f>IF(A295="","",MASTER_REGISTER!F295)</f>
        <v/>
      </c>
      <c r="C295">
        <f>IF(A295="","",MASTER_REGISTER!C295)</f>
        <v/>
      </c>
      <c r="D295">
        <f>IF(A295="","",COUNTIF(ATTENDANCE_DAILY!C:C,A295))</f>
        <v/>
      </c>
      <c r="E295">
        <f>IF(A295="","",COUNTIFS(ATTENDANCE_DAILY!C:C,A295,ATTENDANCE_DAILY!E:E,"Present"))</f>
        <v/>
      </c>
      <c r="F295">
        <f>IF(A295="","",COUNTIFS(ATTENDANCE_DAILY!C:C,A295,ATTENDANCE_DAILY!E:E,"Absent"))</f>
        <v/>
      </c>
      <c r="G295" s="5">
        <f>IF(D295=0,"",E295/D295)</f>
        <v/>
      </c>
      <c r="H295" s="4">
        <f>IF(G295="","",IF(G295&lt;0.75,"Low Attendance","OK"))</f>
        <v/>
      </c>
    </row>
    <row r="296">
      <c r="A296">
        <f>IF(MASTER_REGISTER!E296="","",MASTER_REGISTER!E296)</f>
        <v/>
      </c>
      <c r="B296">
        <f>IF(A296="","",MASTER_REGISTER!F296)</f>
        <v/>
      </c>
      <c r="C296">
        <f>IF(A296="","",MASTER_REGISTER!C296)</f>
        <v/>
      </c>
      <c r="D296">
        <f>IF(A296="","",COUNTIF(ATTENDANCE_DAILY!C:C,A296))</f>
        <v/>
      </c>
      <c r="E296">
        <f>IF(A296="","",COUNTIFS(ATTENDANCE_DAILY!C:C,A296,ATTENDANCE_DAILY!E:E,"Present"))</f>
        <v/>
      </c>
      <c r="F296">
        <f>IF(A296="","",COUNTIFS(ATTENDANCE_DAILY!C:C,A296,ATTENDANCE_DAILY!E:E,"Absent"))</f>
        <v/>
      </c>
      <c r="G296" s="5">
        <f>IF(D296=0,"",E296/D296)</f>
        <v/>
      </c>
      <c r="H296" s="4">
        <f>IF(G296="","",IF(G296&lt;0.75,"Low Attendance","OK"))</f>
        <v/>
      </c>
    </row>
    <row r="297">
      <c r="A297">
        <f>IF(MASTER_REGISTER!E297="","",MASTER_REGISTER!E297)</f>
        <v/>
      </c>
      <c r="B297">
        <f>IF(A297="","",MASTER_REGISTER!F297)</f>
        <v/>
      </c>
      <c r="C297">
        <f>IF(A297="","",MASTER_REGISTER!C297)</f>
        <v/>
      </c>
      <c r="D297">
        <f>IF(A297="","",COUNTIF(ATTENDANCE_DAILY!C:C,A297))</f>
        <v/>
      </c>
      <c r="E297">
        <f>IF(A297="","",COUNTIFS(ATTENDANCE_DAILY!C:C,A297,ATTENDANCE_DAILY!E:E,"Present"))</f>
        <v/>
      </c>
      <c r="F297">
        <f>IF(A297="","",COUNTIFS(ATTENDANCE_DAILY!C:C,A297,ATTENDANCE_DAILY!E:E,"Absent"))</f>
        <v/>
      </c>
      <c r="G297" s="5">
        <f>IF(D297=0,"",E297/D297)</f>
        <v/>
      </c>
      <c r="H297" s="4">
        <f>IF(G297="","",IF(G297&lt;0.75,"Low Attendance","OK"))</f>
        <v/>
      </c>
    </row>
    <row r="298">
      <c r="A298">
        <f>IF(MASTER_REGISTER!E298="","",MASTER_REGISTER!E298)</f>
        <v/>
      </c>
      <c r="B298">
        <f>IF(A298="","",MASTER_REGISTER!F298)</f>
        <v/>
      </c>
      <c r="C298">
        <f>IF(A298="","",MASTER_REGISTER!C298)</f>
        <v/>
      </c>
      <c r="D298">
        <f>IF(A298="","",COUNTIF(ATTENDANCE_DAILY!C:C,A298))</f>
        <v/>
      </c>
      <c r="E298">
        <f>IF(A298="","",COUNTIFS(ATTENDANCE_DAILY!C:C,A298,ATTENDANCE_DAILY!E:E,"Present"))</f>
        <v/>
      </c>
      <c r="F298">
        <f>IF(A298="","",COUNTIFS(ATTENDANCE_DAILY!C:C,A298,ATTENDANCE_DAILY!E:E,"Absent"))</f>
        <v/>
      </c>
      <c r="G298" s="5">
        <f>IF(D298=0,"",E298/D298)</f>
        <v/>
      </c>
      <c r="H298" s="4">
        <f>IF(G298="","",IF(G298&lt;0.75,"Low Attendance","OK"))</f>
        <v/>
      </c>
    </row>
    <row r="299">
      <c r="A299">
        <f>IF(MASTER_REGISTER!E299="","",MASTER_REGISTER!E299)</f>
        <v/>
      </c>
      <c r="B299">
        <f>IF(A299="","",MASTER_REGISTER!F299)</f>
        <v/>
      </c>
      <c r="C299">
        <f>IF(A299="","",MASTER_REGISTER!C299)</f>
        <v/>
      </c>
      <c r="D299">
        <f>IF(A299="","",COUNTIF(ATTENDANCE_DAILY!C:C,A299))</f>
        <v/>
      </c>
      <c r="E299">
        <f>IF(A299="","",COUNTIFS(ATTENDANCE_DAILY!C:C,A299,ATTENDANCE_DAILY!E:E,"Present"))</f>
        <v/>
      </c>
      <c r="F299">
        <f>IF(A299="","",COUNTIFS(ATTENDANCE_DAILY!C:C,A299,ATTENDANCE_DAILY!E:E,"Absent"))</f>
        <v/>
      </c>
      <c r="G299" s="5">
        <f>IF(D299=0,"",E299/D299)</f>
        <v/>
      </c>
      <c r="H299" s="4">
        <f>IF(G299="","",IF(G299&lt;0.75,"Low Attendance","OK"))</f>
        <v/>
      </c>
    </row>
    <row r="300">
      <c r="A300">
        <f>IF(MASTER_REGISTER!E300="","",MASTER_REGISTER!E300)</f>
        <v/>
      </c>
      <c r="B300">
        <f>IF(A300="","",MASTER_REGISTER!F300)</f>
        <v/>
      </c>
      <c r="C300">
        <f>IF(A300="","",MASTER_REGISTER!C300)</f>
        <v/>
      </c>
      <c r="D300">
        <f>IF(A300="","",COUNTIF(ATTENDANCE_DAILY!C:C,A300))</f>
        <v/>
      </c>
      <c r="E300">
        <f>IF(A300="","",COUNTIFS(ATTENDANCE_DAILY!C:C,A300,ATTENDANCE_DAILY!E:E,"Present"))</f>
        <v/>
      </c>
      <c r="F300">
        <f>IF(A300="","",COUNTIFS(ATTENDANCE_DAILY!C:C,A300,ATTENDANCE_DAILY!E:E,"Absent"))</f>
        <v/>
      </c>
      <c r="G300" s="5">
        <f>IF(D300=0,"",E300/D300)</f>
        <v/>
      </c>
      <c r="H300" s="4">
        <f>IF(G300="","",IF(G300&lt;0.75,"Low Attendance","OK"))</f>
        <v/>
      </c>
    </row>
    <row r="301">
      <c r="A301">
        <f>IF(MASTER_REGISTER!E301="","",MASTER_REGISTER!E301)</f>
        <v/>
      </c>
      <c r="B301">
        <f>IF(A301="","",MASTER_REGISTER!F301)</f>
        <v/>
      </c>
      <c r="C301">
        <f>IF(A301="","",MASTER_REGISTER!C301)</f>
        <v/>
      </c>
      <c r="D301">
        <f>IF(A301="","",COUNTIF(ATTENDANCE_DAILY!C:C,A301))</f>
        <v/>
      </c>
      <c r="E301">
        <f>IF(A301="","",COUNTIFS(ATTENDANCE_DAILY!C:C,A301,ATTENDANCE_DAILY!E:E,"Present"))</f>
        <v/>
      </c>
      <c r="F301">
        <f>IF(A301="","",COUNTIFS(ATTENDANCE_DAILY!C:C,A301,ATTENDANCE_DAILY!E:E,"Absent"))</f>
        <v/>
      </c>
      <c r="G301" s="5">
        <f>IF(D301=0,"",E301/D301)</f>
        <v/>
      </c>
      <c r="H301" s="4">
        <f>IF(G301="","",IF(G301&lt;0.75,"Low Attendance","OK"))</f>
        <v/>
      </c>
    </row>
    <row r="302">
      <c r="A302">
        <f>IF(MASTER_REGISTER!E302="","",MASTER_REGISTER!E302)</f>
        <v/>
      </c>
      <c r="B302">
        <f>IF(A302="","",MASTER_REGISTER!F302)</f>
        <v/>
      </c>
      <c r="C302">
        <f>IF(A302="","",MASTER_REGISTER!C302)</f>
        <v/>
      </c>
      <c r="D302">
        <f>IF(A302="","",COUNTIF(ATTENDANCE_DAILY!C:C,A302))</f>
        <v/>
      </c>
      <c r="E302">
        <f>IF(A302="","",COUNTIFS(ATTENDANCE_DAILY!C:C,A302,ATTENDANCE_DAILY!E:E,"Present"))</f>
        <v/>
      </c>
      <c r="F302">
        <f>IF(A302="","",COUNTIFS(ATTENDANCE_DAILY!C:C,A302,ATTENDANCE_DAILY!E:E,"Absent"))</f>
        <v/>
      </c>
      <c r="G302" s="5">
        <f>IF(D302=0,"",E302/D302)</f>
        <v/>
      </c>
      <c r="H302" s="4">
        <f>IF(G302="","",IF(G302&lt;0.75,"Low Attendance","OK"))</f>
        <v/>
      </c>
    </row>
    <row r="303">
      <c r="A303">
        <f>IF(MASTER_REGISTER!E303="","",MASTER_REGISTER!E303)</f>
        <v/>
      </c>
      <c r="B303">
        <f>IF(A303="","",MASTER_REGISTER!F303)</f>
        <v/>
      </c>
      <c r="C303">
        <f>IF(A303="","",MASTER_REGISTER!C303)</f>
        <v/>
      </c>
      <c r="D303">
        <f>IF(A303="","",COUNTIF(ATTENDANCE_DAILY!C:C,A303))</f>
        <v/>
      </c>
      <c r="E303">
        <f>IF(A303="","",COUNTIFS(ATTENDANCE_DAILY!C:C,A303,ATTENDANCE_DAILY!E:E,"Present"))</f>
        <v/>
      </c>
      <c r="F303">
        <f>IF(A303="","",COUNTIFS(ATTENDANCE_DAILY!C:C,A303,ATTENDANCE_DAILY!E:E,"Absent"))</f>
        <v/>
      </c>
      <c r="G303" s="5">
        <f>IF(D303=0,"",E303/D303)</f>
        <v/>
      </c>
      <c r="H303" s="4">
        <f>IF(G303="","",IF(G303&lt;0.75,"Low Attendance","OK"))</f>
        <v/>
      </c>
    </row>
    <row r="304">
      <c r="A304">
        <f>IF(MASTER_REGISTER!E304="","",MASTER_REGISTER!E304)</f>
        <v/>
      </c>
      <c r="B304">
        <f>IF(A304="","",MASTER_REGISTER!F304)</f>
        <v/>
      </c>
      <c r="C304">
        <f>IF(A304="","",MASTER_REGISTER!C304)</f>
        <v/>
      </c>
      <c r="D304">
        <f>IF(A304="","",COUNTIF(ATTENDANCE_DAILY!C:C,A304))</f>
        <v/>
      </c>
      <c r="E304">
        <f>IF(A304="","",COUNTIFS(ATTENDANCE_DAILY!C:C,A304,ATTENDANCE_DAILY!E:E,"Present"))</f>
        <v/>
      </c>
      <c r="F304">
        <f>IF(A304="","",COUNTIFS(ATTENDANCE_DAILY!C:C,A304,ATTENDANCE_DAILY!E:E,"Absent"))</f>
        <v/>
      </c>
      <c r="G304" s="5">
        <f>IF(D304=0,"",E304/D304)</f>
        <v/>
      </c>
      <c r="H304" s="4">
        <f>IF(G304="","",IF(G304&lt;0.75,"Low Attendance","OK"))</f>
        <v/>
      </c>
    </row>
    <row r="305">
      <c r="A305">
        <f>IF(MASTER_REGISTER!E305="","",MASTER_REGISTER!E305)</f>
        <v/>
      </c>
      <c r="B305">
        <f>IF(A305="","",MASTER_REGISTER!F305)</f>
        <v/>
      </c>
      <c r="C305">
        <f>IF(A305="","",MASTER_REGISTER!C305)</f>
        <v/>
      </c>
      <c r="D305">
        <f>IF(A305="","",COUNTIF(ATTENDANCE_DAILY!C:C,A305))</f>
        <v/>
      </c>
      <c r="E305">
        <f>IF(A305="","",COUNTIFS(ATTENDANCE_DAILY!C:C,A305,ATTENDANCE_DAILY!E:E,"Present"))</f>
        <v/>
      </c>
      <c r="F305">
        <f>IF(A305="","",COUNTIFS(ATTENDANCE_DAILY!C:C,A305,ATTENDANCE_DAILY!E:E,"Absent"))</f>
        <v/>
      </c>
      <c r="G305" s="5">
        <f>IF(D305=0,"",E305/D305)</f>
        <v/>
      </c>
      <c r="H305" s="4">
        <f>IF(G305="","",IF(G305&lt;0.75,"Low Attendance","OK"))</f>
        <v/>
      </c>
    </row>
    <row r="306">
      <c r="A306">
        <f>IF(MASTER_REGISTER!E306="","",MASTER_REGISTER!E306)</f>
        <v/>
      </c>
      <c r="B306">
        <f>IF(A306="","",MASTER_REGISTER!F306)</f>
        <v/>
      </c>
      <c r="C306">
        <f>IF(A306="","",MASTER_REGISTER!C306)</f>
        <v/>
      </c>
      <c r="D306">
        <f>IF(A306="","",COUNTIF(ATTENDANCE_DAILY!C:C,A306))</f>
        <v/>
      </c>
      <c r="E306">
        <f>IF(A306="","",COUNTIFS(ATTENDANCE_DAILY!C:C,A306,ATTENDANCE_DAILY!E:E,"Present"))</f>
        <v/>
      </c>
      <c r="F306">
        <f>IF(A306="","",COUNTIFS(ATTENDANCE_DAILY!C:C,A306,ATTENDANCE_DAILY!E:E,"Absent"))</f>
        <v/>
      </c>
      <c r="G306" s="5">
        <f>IF(D306=0,"",E306/D306)</f>
        <v/>
      </c>
      <c r="H306" s="4">
        <f>IF(G306="","",IF(G306&lt;0.75,"Low Attendance","OK"))</f>
        <v/>
      </c>
    </row>
    <row r="307">
      <c r="A307">
        <f>IF(MASTER_REGISTER!E307="","",MASTER_REGISTER!E307)</f>
        <v/>
      </c>
      <c r="B307">
        <f>IF(A307="","",MASTER_REGISTER!F307)</f>
        <v/>
      </c>
      <c r="C307">
        <f>IF(A307="","",MASTER_REGISTER!C307)</f>
        <v/>
      </c>
      <c r="D307">
        <f>IF(A307="","",COUNTIF(ATTENDANCE_DAILY!C:C,A307))</f>
        <v/>
      </c>
      <c r="E307">
        <f>IF(A307="","",COUNTIFS(ATTENDANCE_DAILY!C:C,A307,ATTENDANCE_DAILY!E:E,"Present"))</f>
        <v/>
      </c>
      <c r="F307">
        <f>IF(A307="","",COUNTIFS(ATTENDANCE_DAILY!C:C,A307,ATTENDANCE_DAILY!E:E,"Absent"))</f>
        <v/>
      </c>
      <c r="G307" s="5">
        <f>IF(D307=0,"",E307/D307)</f>
        <v/>
      </c>
      <c r="H307" s="4">
        <f>IF(G307="","",IF(G307&lt;0.75,"Low Attendance","OK"))</f>
        <v/>
      </c>
    </row>
    <row r="308">
      <c r="A308">
        <f>IF(MASTER_REGISTER!E308="","",MASTER_REGISTER!E308)</f>
        <v/>
      </c>
      <c r="B308">
        <f>IF(A308="","",MASTER_REGISTER!F308)</f>
        <v/>
      </c>
      <c r="C308">
        <f>IF(A308="","",MASTER_REGISTER!C308)</f>
        <v/>
      </c>
      <c r="D308">
        <f>IF(A308="","",COUNTIF(ATTENDANCE_DAILY!C:C,A308))</f>
        <v/>
      </c>
      <c r="E308">
        <f>IF(A308="","",COUNTIFS(ATTENDANCE_DAILY!C:C,A308,ATTENDANCE_DAILY!E:E,"Present"))</f>
        <v/>
      </c>
      <c r="F308">
        <f>IF(A308="","",COUNTIFS(ATTENDANCE_DAILY!C:C,A308,ATTENDANCE_DAILY!E:E,"Absent"))</f>
        <v/>
      </c>
      <c r="G308" s="5">
        <f>IF(D308=0,"",E308/D308)</f>
        <v/>
      </c>
      <c r="H308" s="4">
        <f>IF(G308="","",IF(G308&lt;0.75,"Low Attendance","OK"))</f>
        <v/>
      </c>
    </row>
    <row r="309">
      <c r="A309">
        <f>IF(MASTER_REGISTER!E309="","",MASTER_REGISTER!E309)</f>
        <v/>
      </c>
      <c r="B309">
        <f>IF(A309="","",MASTER_REGISTER!F309)</f>
        <v/>
      </c>
      <c r="C309">
        <f>IF(A309="","",MASTER_REGISTER!C309)</f>
        <v/>
      </c>
      <c r="D309">
        <f>IF(A309="","",COUNTIF(ATTENDANCE_DAILY!C:C,A309))</f>
        <v/>
      </c>
      <c r="E309">
        <f>IF(A309="","",COUNTIFS(ATTENDANCE_DAILY!C:C,A309,ATTENDANCE_DAILY!E:E,"Present"))</f>
        <v/>
      </c>
      <c r="F309">
        <f>IF(A309="","",COUNTIFS(ATTENDANCE_DAILY!C:C,A309,ATTENDANCE_DAILY!E:E,"Absent"))</f>
        <v/>
      </c>
      <c r="G309" s="5">
        <f>IF(D309=0,"",E309/D309)</f>
        <v/>
      </c>
      <c r="H309" s="4">
        <f>IF(G309="","",IF(G309&lt;0.75,"Low Attendance","OK"))</f>
        <v/>
      </c>
    </row>
    <row r="310">
      <c r="A310">
        <f>IF(MASTER_REGISTER!E310="","",MASTER_REGISTER!E310)</f>
        <v/>
      </c>
      <c r="B310">
        <f>IF(A310="","",MASTER_REGISTER!F310)</f>
        <v/>
      </c>
      <c r="C310">
        <f>IF(A310="","",MASTER_REGISTER!C310)</f>
        <v/>
      </c>
      <c r="D310">
        <f>IF(A310="","",COUNTIF(ATTENDANCE_DAILY!C:C,A310))</f>
        <v/>
      </c>
      <c r="E310">
        <f>IF(A310="","",COUNTIFS(ATTENDANCE_DAILY!C:C,A310,ATTENDANCE_DAILY!E:E,"Present"))</f>
        <v/>
      </c>
      <c r="F310">
        <f>IF(A310="","",COUNTIFS(ATTENDANCE_DAILY!C:C,A310,ATTENDANCE_DAILY!E:E,"Absent"))</f>
        <v/>
      </c>
      <c r="G310" s="5">
        <f>IF(D310=0,"",E310/D310)</f>
        <v/>
      </c>
      <c r="H310" s="4">
        <f>IF(G310="","",IF(G310&lt;0.75,"Low Attendance","OK"))</f>
        <v/>
      </c>
    </row>
    <row r="311">
      <c r="A311">
        <f>IF(MASTER_REGISTER!E311="","",MASTER_REGISTER!E311)</f>
        <v/>
      </c>
      <c r="B311">
        <f>IF(A311="","",MASTER_REGISTER!F311)</f>
        <v/>
      </c>
      <c r="C311">
        <f>IF(A311="","",MASTER_REGISTER!C311)</f>
        <v/>
      </c>
      <c r="D311">
        <f>IF(A311="","",COUNTIF(ATTENDANCE_DAILY!C:C,A311))</f>
        <v/>
      </c>
      <c r="E311">
        <f>IF(A311="","",COUNTIFS(ATTENDANCE_DAILY!C:C,A311,ATTENDANCE_DAILY!E:E,"Present"))</f>
        <v/>
      </c>
      <c r="F311">
        <f>IF(A311="","",COUNTIFS(ATTENDANCE_DAILY!C:C,A311,ATTENDANCE_DAILY!E:E,"Absent"))</f>
        <v/>
      </c>
      <c r="G311" s="5">
        <f>IF(D311=0,"",E311/D311)</f>
        <v/>
      </c>
      <c r="H311" s="4">
        <f>IF(G311="","",IF(G311&lt;0.75,"Low Attendance","OK"))</f>
        <v/>
      </c>
    </row>
    <row r="312">
      <c r="A312">
        <f>IF(MASTER_REGISTER!E312="","",MASTER_REGISTER!E312)</f>
        <v/>
      </c>
      <c r="B312">
        <f>IF(A312="","",MASTER_REGISTER!F312)</f>
        <v/>
      </c>
      <c r="C312">
        <f>IF(A312="","",MASTER_REGISTER!C312)</f>
        <v/>
      </c>
      <c r="D312">
        <f>IF(A312="","",COUNTIF(ATTENDANCE_DAILY!C:C,A312))</f>
        <v/>
      </c>
      <c r="E312">
        <f>IF(A312="","",COUNTIFS(ATTENDANCE_DAILY!C:C,A312,ATTENDANCE_DAILY!E:E,"Present"))</f>
        <v/>
      </c>
      <c r="F312">
        <f>IF(A312="","",COUNTIFS(ATTENDANCE_DAILY!C:C,A312,ATTENDANCE_DAILY!E:E,"Absent"))</f>
        <v/>
      </c>
      <c r="G312" s="5">
        <f>IF(D312=0,"",E312/D312)</f>
        <v/>
      </c>
      <c r="H312" s="4">
        <f>IF(G312="","",IF(G312&lt;0.75,"Low Attendance","OK"))</f>
        <v/>
      </c>
    </row>
    <row r="313">
      <c r="A313">
        <f>IF(MASTER_REGISTER!E313="","",MASTER_REGISTER!E313)</f>
        <v/>
      </c>
      <c r="B313">
        <f>IF(A313="","",MASTER_REGISTER!F313)</f>
        <v/>
      </c>
      <c r="C313">
        <f>IF(A313="","",MASTER_REGISTER!C313)</f>
        <v/>
      </c>
      <c r="D313">
        <f>IF(A313="","",COUNTIF(ATTENDANCE_DAILY!C:C,A313))</f>
        <v/>
      </c>
      <c r="E313">
        <f>IF(A313="","",COUNTIFS(ATTENDANCE_DAILY!C:C,A313,ATTENDANCE_DAILY!E:E,"Present"))</f>
        <v/>
      </c>
      <c r="F313">
        <f>IF(A313="","",COUNTIFS(ATTENDANCE_DAILY!C:C,A313,ATTENDANCE_DAILY!E:E,"Absent"))</f>
        <v/>
      </c>
      <c r="G313" s="5">
        <f>IF(D313=0,"",E313/D313)</f>
        <v/>
      </c>
      <c r="H313" s="4">
        <f>IF(G313="","",IF(G313&lt;0.75,"Low Attendance","OK"))</f>
        <v/>
      </c>
    </row>
    <row r="314">
      <c r="A314">
        <f>IF(MASTER_REGISTER!E314="","",MASTER_REGISTER!E314)</f>
        <v/>
      </c>
      <c r="B314">
        <f>IF(A314="","",MASTER_REGISTER!F314)</f>
        <v/>
      </c>
      <c r="C314">
        <f>IF(A314="","",MASTER_REGISTER!C314)</f>
        <v/>
      </c>
      <c r="D314">
        <f>IF(A314="","",COUNTIF(ATTENDANCE_DAILY!C:C,A314))</f>
        <v/>
      </c>
      <c r="E314">
        <f>IF(A314="","",COUNTIFS(ATTENDANCE_DAILY!C:C,A314,ATTENDANCE_DAILY!E:E,"Present"))</f>
        <v/>
      </c>
      <c r="F314">
        <f>IF(A314="","",COUNTIFS(ATTENDANCE_DAILY!C:C,A314,ATTENDANCE_DAILY!E:E,"Absent"))</f>
        <v/>
      </c>
      <c r="G314" s="5">
        <f>IF(D314=0,"",E314/D314)</f>
        <v/>
      </c>
      <c r="H314" s="4">
        <f>IF(G314="","",IF(G314&lt;0.75,"Low Attendance","OK"))</f>
        <v/>
      </c>
    </row>
    <row r="315">
      <c r="A315">
        <f>IF(MASTER_REGISTER!E315="","",MASTER_REGISTER!E315)</f>
        <v/>
      </c>
      <c r="B315">
        <f>IF(A315="","",MASTER_REGISTER!F315)</f>
        <v/>
      </c>
      <c r="C315">
        <f>IF(A315="","",MASTER_REGISTER!C315)</f>
        <v/>
      </c>
      <c r="D315">
        <f>IF(A315="","",COUNTIF(ATTENDANCE_DAILY!C:C,A315))</f>
        <v/>
      </c>
      <c r="E315">
        <f>IF(A315="","",COUNTIFS(ATTENDANCE_DAILY!C:C,A315,ATTENDANCE_DAILY!E:E,"Present"))</f>
        <v/>
      </c>
      <c r="F315">
        <f>IF(A315="","",COUNTIFS(ATTENDANCE_DAILY!C:C,A315,ATTENDANCE_DAILY!E:E,"Absent"))</f>
        <v/>
      </c>
      <c r="G315" s="5">
        <f>IF(D315=0,"",E315/D315)</f>
        <v/>
      </c>
      <c r="H315" s="4">
        <f>IF(G315="","",IF(G315&lt;0.75,"Low Attendance","OK"))</f>
        <v/>
      </c>
    </row>
    <row r="316">
      <c r="A316">
        <f>IF(MASTER_REGISTER!E316="","",MASTER_REGISTER!E316)</f>
        <v/>
      </c>
      <c r="B316">
        <f>IF(A316="","",MASTER_REGISTER!F316)</f>
        <v/>
      </c>
      <c r="C316">
        <f>IF(A316="","",MASTER_REGISTER!C316)</f>
        <v/>
      </c>
      <c r="D316">
        <f>IF(A316="","",COUNTIF(ATTENDANCE_DAILY!C:C,A316))</f>
        <v/>
      </c>
      <c r="E316">
        <f>IF(A316="","",COUNTIFS(ATTENDANCE_DAILY!C:C,A316,ATTENDANCE_DAILY!E:E,"Present"))</f>
        <v/>
      </c>
      <c r="F316">
        <f>IF(A316="","",COUNTIFS(ATTENDANCE_DAILY!C:C,A316,ATTENDANCE_DAILY!E:E,"Absent"))</f>
        <v/>
      </c>
      <c r="G316" s="5">
        <f>IF(D316=0,"",E316/D316)</f>
        <v/>
      </c>
      <c r="H316" s="4">
        <f>IF(G316="","",IF(G316&lt;0.75,"Low Attendance","OK"))</f>
        <v/>
      </c>
    </row>
    <row r="317">
      <c r="A317">
        <f>IF(MASTER_REGISTER!E317="","",MASTER_REGISTER!E317)</f>
        <v/>
      </c>
      <c r="B317">
        <f>IF(A317="","",MASTER_REGISTER!F317)</f>
        <v/>
      </c>
      <c r="C317">
        <f>IF(A317="","",MASTER_REGISTER!C317)</f>
        <v/>
      </c>
      <c r="D317">
        <f>IF(A317="","",COUNTIF(ATTENDANCE_DAILY!C:C,A317))</f>
        <v/>
      </c>
      <c r="E317">
        <f>IF(A317="","",COUNTIFS(ATTENDANCE_DAILY!C:C,A317,ATTENDANCE_DAILY!E:E,"Present"))</f>
        <v/>
      </c>
      <c r="F317">
        <f>IF(A317="","",COUNTIFS(ATTENDANCE_DAILY!C:C,A317,ATTENDANCE_DAILY!E:E,"Absent"))</f>
        <v/>
      </c>
      <c r="G317" s="5">
        <f>IF(D317=0,"",E317/D317)</f>
        <v/>
      </c>
      <c r="H317" s="4">
        <f>IF(G317="","",IF(G317&lt;0.75,"Low Attendance","OK"))</f>
        <v/>
      </c>
    </row>
    <row r="318">
      <c r="A318">
        <f>IF(MASTER_REGISTER!E318="","",MASTER_REGISTER!E318)</f>
        <v/>
      </c>
      <c r="B318">
        <f>IF(A318="","",MASTER_REGISTER!F318)</f>
        <v/>
      </c>
      <c r="C318">
        <f>IF(A318="","",MASTER_REGISTER!C318)</f>
        <v/>
      </c>
      <c r="D318">
        <f>IF(A318="","",COUNTIF(ATTENDANCE_DAILY!C:C,A318))</f>
        <v/>
      </c>
      <c r="E318">
        <f>IF(A318="","",COUNTIFS(ATTENDANCE_DAILY!C:C,A318,ATTENDANCE_DAILY!E:E,"Present"))</f>
        <v/>
      </c>
      <c r="F318">
        <f>IF(A318="","",COUNTIFS(ATTENDANCE_DAILY!C:C,A318,ATTENDANCE_DAILY!E:E,"Absent"))</f>
        <v/>
      </c>
      <c r="G318" s="5">
        <f>IF(D318=0,"",E318/D318)</f>
        <v/>
      </c>
      <c r="H318" s="4">
        <f>IF(G318="","",IF(G318&lt;0.75,"Low Attendance","OK"))</f>
        <v/>
      </c>
    </row>
    <row r="319">
      <c r="A319">
        <f>IF(MASTER_REGISTER!E319="","",MASTER_REGISTER!E319)</f>
        <v/>
      </c>
      <c r="B319">
        <f>IF(A319="","",MASTER_REGISTER!F319)</f>
        <v/>
      </c>
      <c r="C319">
        <f>IF(A319="","",MASTER_REGISTER!C319)</f>
        <v/>
      </c>
      <c r="D319">
        <f>IF(A319="","",COUNTIF(ATTENDANCE_DAILY!C:C,A319))</f>
        <v/>
      </c>
      <c r="E319">
        <f>IF(A319="","",COUNTIFS(ATTENDANCE_DAILY!C:C,A319,ATTENDANCE_DAILY!E:E,"Present"))</f>
        <v/>
      </c>
      <c r="F319">
        <f>IF(A319="","",COUNTIFS(ATTENDANCE_DAILY!C:C,A319,ATTENDANCE_DAILY!E:E,"Absent"))</f>
        <v/>
      </c>
      <c r="G319" s="5">
        <f>IF(D319=0,"",E319/D319)</f>
        <v/>
      </c>
      <c r="H319" s="4">
        <f>IF(G319="","",IF(G319&lt;0.75,"Low Attendance","OK"))</f>
        <v/>
      </c>
    </row>
    <row r="320">
      <c r="A320">
        <f>IF(MASTER_REGISTER!E320="","",MASTER_REGISTER!E320)</f>
        <v/>
      </c>
      <c r="B320">
        <f>IF(A320="","",MASTER_REGISTER!F320)</f>
        <v/>
      </c>
      <c r="C320">
        <f>IF(A320="","",MASTER_REGISTER!C320)</f>
        <v/>
      </c>
      <c r="D320">
        <f>IF(A320="","",COUNTIF(ATTENDANCE_DAILY!C:C,A320))</f>
        <v/>
      </c>
      <c r="E320">
        <f>IF(A320="","",COUNTIFS(ATTENDANCE_DAILY!C:C,A320,ATTENDANCE_DAILY!E:E,"Present"))</f>
        <v/>
      </c>
      <c r="F320">
        <f>IF(A320="","",COUNTIFS(ATTENDANCE_DAILY!C:C,A320,ATTENDANCE_DAILY!E:E,"Absent"))</f>
        <v/>
      </c>
      <c r="G320" s="5">
        <f>IF(D320=0,"",E320/D320)</f>
        <v/>
      </c>
      <c r="H320" s="4">
        <f>IF(G320="","",IF(G320&lt;0.75,"Low Attendance","OK"))</f>
        <v/>
      </c>
    </row>
    <row r="321">
      <c r="A321">
        <f>IF(MASTER_REGISTER!E321="","",MASTER_REGISTER!E321)</f>
        <v/>
      </c>
      <c r="B321">
        <f>IF(A321="","",MASTER_REGISTER!F321)</f>
        <v/>
      </c>
      <c r="C321">
        <f>IF(A321="","",MASTER_REGISTER!C321)</f>
        <v/>
      </c>
      <c r="D321">
        <f>IF(A321="","",COUNTIF(ATTENDANCE_DAILY!C:C,A321))</f>
        <v/>
      </c>
      <c r="E321">
        <f>IF(A321="","",COUNTIFS(ATTENDANCE_DAILY!C:C,A321,ATTENDANCE_DAILY!E:E,"Present"))</f>
        <v/>
      </c>
      <c r="F321">
        <f>IF(A321="","",COUNTIFS(ATTENDANCE_DAILY!C:C,A321,ATTENDANCE_DAILY!E:E,"Absent"))</f>
        <v/>
      </c>
      <c r="G321" s="5">
        <f>IF(D321=0,"",E321/D321)</f>
        <v/>
      </c>
      <c r="H321" s="4">
        <f>IF(G321="","",IF(G321&lt;0.75,"Low Attendance","OK"))</f>
        <v/>
      </c>
    </row>
    <row r="322">
      <c r="A322">
        <f>IF(MASTER_REGISTER!E322="","",MASTER_REGISTER!E322)</f>
        <v/>
      </c>
      <c r="B322">
        <f>IF(A322="","",MASTER_REGISTER!F322)</f>
        <v/>
      </c>
      <c r="C322">
        <f>IF(A322="","",MASTER_REGISTER!C322)</f>
        <v/>
      </c>
      <c r="D322">
        <f>IF(A322="","",COUNTIF(ATTENDANCE_DAILY!C:C,A322))</f>
        <v/>
      </c>
      <c r="E322">
        <f>IF(A322="","",COUNTIFS(ATTENDANCE_DAILY!C:C,A322,ATTENDANCE_DAILY!E:E,"Present"))</f>
        <v/>
      </c>
      <c r="F322">
        <f>IF(A322="","",COUNTIFS(ATTENDANCE_DAILY!C:C,A322,ATTENDANCE_DAILY!E:E,"Absent"))</f>
        <v/>
      </c>
      <c r="G322" s="5">
        <f>IF(D322=0,"",E322/D322)</f>
        <v/>
      </c>
      <c r="H322" s="4">
        <f>IF(G322="","",IF(G322&lt;0.75,"Low Attendance","OK"))</f>
        <v/>
      </c>
    </row>
    <row r="323">
      <c r="A323">
        <f>IF(MASTER_REGISTER!E323="","",MASTER_REGISTER!E323)</f>
        <v/>
      </c>
      <c r="B323">
        <f>IF(A323="","",MASTER_REGISTER!F323)</f>
        <v/>
      </c>
      <c r="C323">
        <f>IF(A323="","",MASTER_REGISTER!C323)</f>
        <v/>
      </c>
      <c r="D323">
        <f>IF(A323="","",COUNTIF(ATTENDANCE_DAILY!C:C,A323))</f>
        <v/>
      </c>
      <c r="E323">
        <f>IF(A323="","",COUNTIFS(ATTENDANCE_DAILY!C:C,A323,ATTENDANCE_DAILY!E:E,"Present"))</f>
        <v/>
      </c>
      <c r="F323">
        <f>IF(A323="","",COUNTIFS(ATTENDANCE_DAILY!C:C,A323,ATTENDANCE_DAILY!E:E,"Absent"))</f>
        <v/>
      </c>
      <c r="G323" s="5">
        <f>IF(D323=0,"",E323/D323)</f>
        <v/>
      </c>
      <c r="H323" s="4">
        <f>IF(G323="","",IF(G323&lt;0.75,"Low Attendance","OK"))</f>
        <v/>
      </c>
    </row>
    <row r="324">
      <c r="A324">
        <f>IF(MASTER_REGISTER!E324="","",MASTER_REGISTER!E324)</f>
        <v/>
      </c>
      <c r="B324">
        <f>IF(A324="","",MASTER_REGISTER!F324)</f>
        <v/>
      </c>
      <c r="C324">
        <f>IF(A324="","",MASTER_REGISTER!C324)</f>
        <v/>
      </c>
      <c r="D324">
        <f>IF(A324="","",COUNTIF(ATTENDANCE_DAILY!C:C,A324))</f>
        <v/>
      </c>
      <c r="E324">
        <f>IF(A324="","",COUNTIFS(ATTENDANCE_DAILY!C:C,A324,ATTENDANCE_DAILY!E:E,"Present"))</f>
        <v/>
      </c>
      <c r="F324">
        <f>IF(A324="","",COUNTIFS(ATTENDANCE_DAILY!C:C,A324,ATTENDANCE_DAILY!E:E,"Absent"))</f>
        <v/>
      </c>
      <c r="G324" s="5">
        <f>IF(D324=0,"",E324/D324)</f>
        <v/>
      </c>
      <c r="H324" s="4">
        <f>IF(G324="","",IF(G324&lt;0.75,"Low Attendance","OK"))</f>
        <v/>
      </c>
    </row>
    <row r="325">
      <c r="A325">
        <f>IF(MASTER_REGISTER!E325="","",MASTER_REGISTER!E325)</f>
        <v/>
      </c>
      <c r="B325">
        <f>IF(A325="","",MASTER_REGISTER!F325)</f>
        <v/>
      </c>
      <c r="C325">
        <f>IF(A325="","",MASTER_REGISTER!C325)</f>
        <v/>
      </c>
      <c r="D325">
        <f>IF(A325="","",COUNTIF(ATTENDANCE_DAILY!C:C,A325))</f>
        <v/>
      </c>
      <c r="E325">
        <f>IF(A325="","",COUNTIFS(ATTENDANCE_DAILY!C:C,A325,ATTENDANCE_DAILY!E:E,"Present"))</f>
        <v/>
      </c>
      <c r="F325">
        <f>IF(A325="","",COUNTIFS(ATTENDANCE_DAILY!C:C,A325,ATTENDANCE_DAILY!E:E,"Absent"))</f>
        <v/>
      </c>
      <c r="G325" s="5">
        <f>IF(D325=0,"",E325/D325)</f>
        <v/>
      </c>
      <c r="H325" s="4">
        <f>IF(G325="","",IF(G325&lt;0.75,"Low Attendance","OK"))</f>
        <v/>
      </c>
    </row>
    <row r="326">
      <c r="A326">
        <f>IF(MASTER_REGISTER!E326="","",MASTER_REGISTER!E326)</f>
        <v/>
      </c>
      <c r="B326">
        <f>IF(A326="","",MASTER_REGISTER!F326)</f>
        <v/>
      </c>
      <c r="C326">
        <f>IF(A326="","",MASTER_REGISTER!C326)</f>
        <v/>
      </c>
      <c r="D326">
        <f>IF(A326="","",COUNTIF(ATTENDANCE_DAILY!C:C,A326))</f>
        <v/>
      </c>
      <c r="E326">
        <f>IF(A326="","",COUNTIFS(ATTENDANCE_DAILY!C:C,A326,ATTENDANCE_DAILY!E:E,"Present"))</f>
        <v/>
      </c>
      <c r="F326">
        <f>IF(A326="","",COUNTIFS(ATTENDANCE_DAILY!C:C,A326,ATTENDANCE_DAILY!E:E,"Absent"))</f>
        <v/>
      </c>
      <c r="G326" s="5">
        <f>IF(D326=0,"",E326/D326)</f>
        <v/>
      </c>
      <c r="H326" s="4">
        <f>IF(G326="","",IF(G326&lt;0.75,"Low Attendance","OK"))</f>
        <v/>
      </c>
    </row>
    <row r="327">
      <c r="A327">
        <f>IF(MASTER_REGISTER!E327="","",MASTER_REGISTER!E327)</f>
        <v/>
      </c>
      <c r="B327">
        <f>IF(A327="","",MASTER_REGISTER!F327)</f>
        <v/>
      </c>
      <c r="C327">
        <f>IF(A327="","",MASTER_REGISTER!C327)</f>
        <v/>
      </c>
      <c r="D327">
        <f>IF(A327="","",COUNTIF(ATTENDANCE_DAILY!C:C,A327))</f>
        <v/>
      </c>
      <c r="E327">
        <f>IF(A327="","",COUNTIFS(ATTENDANCE_DAILY!C:C,A327,ATTENDANCE_DAILY!E:E,"Present"))</f>
        <v/>
      </c>
      <c r="F327">
        <f>IF(A327="","",COUNTIFS(ATTENDANCE_DAILY!C:C,A327,ATTENDANCE_DAILY!E:E,"Absent"))</f>
        <v/>
      </c>
      <c r="G327" s="5">
        <f>IF(D327=0,"",E327/D327)</f>
        <v/>
      </c>
      <c r="H327" s="4">
        <f>IF(G327="","",IF(G327&lt;0.75,"Low Attendance","OK"))</f>
        <v/>
      </c>
    </row>
    <row r="328">
      <c r="A328">
        <f>IF(MASTER_REGISTER!E328="","",MASTER_REGISTER!E328)</f>
        <v/>
      </c>
      <c r="B328">
        <f>IF(A328="","",MASTER_REGISTER!F328)</f>
        <v/>
      </c>
      <c r="C328">
        <f>IF(A328="","",MASTER_REGISTER!C328)</f>
        <v/>
      </c>
      <c r="D328">
        <f>IF(A328="","",COUNTIF(ATTENDANCE_DAILY!C:C,A328))</f>
        <v/>
      </c>
      <c r="E328">
        <f>IF(A328="","",COUNTIFS(ATTENDANCE_DAILY!C:C,A328,ATTENDANCE_DAILY!E:E,"Present"))</f>
        <v/>
      </c>
      <c r="F328">
        <f>IF(A328="","",COUNTIFS(ATTENDANCE_DAILY!C:C,A328,ATTENDANCE_DAILY!E:E,"Absent"))</f>
        <v/>
      </c>
      <c r="G328" s="5">
        <f>IF(D328=0,"",E328/D328)</f>
        <v/>
      </c>
      <c r="H328" s="4">
        <f>IF(G328="","",IF(G328&lt;0.75,"Low Attendance","OK"))</f>
        <v/>
      </c>
    </row>
    <row r="329">
      <c r="A329">
        <f>IF(MASTER_REGISTER!E329="","",MASTER_REGISTER!E329)</f>
        <v/>
      </c>
      <c r="B329">
        <f>IF(A329="","",MASTER_REGISTER!F329)</f>
        <v/>
      </c>
      <c r="C329">
        <f>IF(A329="","",MASTER_REGISTER!C329)</f>
        <v/>
      </c>
      <c r="D329">
        <f>IF(A329="","",COUNTIF(ATTENDANCE_DAILY!C:C,A329))</f>
        <v/>
      </c>
      <c r="E329">
        <f>IF(A329="","",COUNTIFS(ATTENDANCE_DAILY!C:C,A329,ATTENDANCE_DAILY!E:E,"Present"))</f>
        <v/>
      </c>
      <c r="F329">
        <f>IF(A329="","",COUNTIFS(ATTENDANCE_DAILY!C:C,A329,ATTENDANCE_DAILY!E:E,"Absent"))</f>
        <v/>
      </c>
      <c r="G329" s="5">
        <f>IF(D329=0,"",E329/D329)</f>
        <v/>
      </c>
      <c r="H329" s="4">
        <f>IF(G329="","",IF(G329&lt;0.75,"Low Attendance","OK"))</f>
        <v/>
      </c>
    </row>
    <row r="330">
      <c r="A330">
        <f>IF(MASTER_REGISTER!E330="","",MASTER_REGISTER!E330)</f>
        <v/>
      </c>
      <c r="B330">
        <f>IF(A330="","",MASTER_REGISTER!F330)</f>
        <v/>
      </c>
      <c r="C330">
        <f>IF(A330="","",MASTER_REGISTER!C330)</f>
        <v/>
      </c>
      <c r="D330">
        <f>IF(A330="","",COUNTIF(ATTENDANCE_DAILY!C:C,A330))</f>
        <v/>
      </c>
      <c r="E330">
        <f>IF(A330="","",COUNTIFS(ATTENDANCE_DAILY!C:C,A330,ATTENDANCE_DAILY!E:E,"Present"))</f>
        <v/>
      </c>
      <c r="F330">
        <f>IF(A330="","",COUNTIFS(ATTENDANCE_DAILY!C:C,A330,ATTENDANCE_DAILY!E:E,"Absent"))</f>
        <v/>
      </c>
      <c r="G330" s="5">
        <f>IF(D330=0,"",E330/D330)</f>
        <v/>
      </c>
      <c r="H330" s="4">
        <f>IF(G330="","",IF(G330&lt;0.75,"Low Attendance","OK"))</f>
        <v/>
      </c>
    </row>
    <row r="331">
      <c r="A331">
        <f>IF(MASTER_REGISTER!E331="","",MASTER_REGISTER!E331)</f>
        <v/>
      </c>
      <c r="B331">
        <f>IF(A331="","",MASTER_REGISTER!F331)</f>
        <v/>
      </c>
      <c r="C331">
        <f>IF(A331="","",MASTER_REGISTER!C331)</f>
        <v/>
      </c>
      <c r="D331">
        <f>IF(A331="","",COUNTIF(ATTENDANCE_DAILY!C:C,A331))</f>
        <v/>
      </c>
      <c r="E331">
        <f>IF(A331="","",COUNTIFS(ATTENDANCE_DAILY!C:C,A331,ATTENDANCE_DAILY!E:E,"Present"))</f>
        <v/>
      </c>
      <c r="F331">
        <f>IF(A331="","",COUNTIFS(ATTENDANCE_DAILY!C:C,A331,ATTENDANCE_DAILY!E:E,"Absent"))</f>
        <v/>
      </c>
      <c r="G331" s="5">
        <f>IF(D331=0,"",E331/D331)</f>
        <v/>
      </c>
      <c r="H331" s="4">
        <f>IF(G331="","",IF(G331&lt;0.75,"Low Attendance","OK"))</f>
        <v/>
      </c>
    </row>
    <row r="332">
      <c r="A332">
        <f>IF(MASTER_REGISTER!E332="","",MASTER_REGISTER!E332)</f>
        <v/>
      </c>
      <c r="B332">
        <f>IF(A332="","",MASTER_REGISTER!F332)</f>
        <v/>
      </c>
      <c r="C332">
        <f>IF(A332="","",MASTER_REGISTER!C332)</f>
        <v/>
      </c>
      <c r="D332">
        <f>IF(A332="","",COUNTIF(ATTENDANCE_DAILY!C:C,A332))</f>
        <v/>
      </c>
      <c r="E332">
        <f>IF(A332="","",COUNTIFS(ATTENDANCE_DAILY!C:C,A332,ATTENDANCE_DAILY!E:E,"Present"))</f>
        <v/>
      </c>
      <c r="F332">
        <f>IF(A332="","",COUNTIFS(ATTENDANCE_DAILY!C:C,A332,ATTENDANCE_DAILY!E:E,"Absent"))</f>
        <v/>
      </c>
      <c r="G332" s="5">
        <f>IF(D332=0,"",E332/D332)</f>
        <v/>
      </c>
      <c r="H332" s="4">
        <f>IF(G332="","",IF(G332&lt;0.75,"Low Attendance","OK"))</f>
        <v/>
      </c>
    </row>
    <row r="333">
      <c r="A333">
        <f>IF(MASTER_REGISTER!E333="","",MASTER_REGISTER!E333)</f>
        <v/>
      </c>
      <c r="B333">
        <f>IF(A333="","",MASTER_REGISTER!F333)</f>
        <v/>
      </c>
      <c r="C333">
        <f>IF(A333="","",MASTER_REGISTER!C333)</f>
        <v/>
      </c>
      <c r="D333">
        <f>IF(A333="","",COUNTIF(ATTENDANCE_DAILY!C:C,A333))</f>
        <v/>
      </c>
      <c r="E333">
        <f>IF(A333="","",COUNTIFS(ATTENDANCE_DAILY!C:C,A333,ATTENDANCE_DAILY!E:E,"Present"))</f>
        <v/>
      </c>
      <c r="F333">
        <f>IF(A333="","",COUNTIFS(ATTENDANCE_DAILY!C:C,A333,ATTENDANCE_DAILY!E:E,"Absent"))</f>
        <v/>
      </c>
      <c r="G333" s="5">
        <f>IF(D333=0,"",E333/D333)</f>
        <v/>
      </c>
      <c r="H333" s="4">
        <f>IF(G333="","",IF(G333&lt;0.75,"Low Attendance","OK"))</f>
        <v/>
      </c>
    </row>
    <row r="334">
      <c r="A334">
        <f>IF(MASTER_REGISTER!E334="","",MASTER_REGISTER!E334)</f>
        <v/>
      </c>
      <c r="B334">
        <f>IF(A334="","",MASTER_REGISTER!F334)</f>
        <v/>
      </c>
      <c r="C334">
        <f>IF(A334="","",MASTER_REGISTER!C334)</f>
        <v/>
      </c>
      <c r="D334">
        <f>IF(A334="","",COUNTIF(ATTENDANCE_DAILY!C:C,A334))</f>
        <v/>
      </c>
      <c r="E334">
        <f>IF(A334="","",COUNTIFS(ATTENDANCE_DAILY!C:C,A334,ATTENDANCE_DAILY!E:E,"Present"))</f>
        <v/>
      </c>
      <c r="F334">
        <f>IF(A334="","",COUNTIFS(ATTENDANCE_DAILY!C:C,A334,ATTENDANCE_DAILY!E:E,"Absent"))</f>
        <v/>
      </c>
      <c r="G334" s="5">
        <f>IF(D334=0,"",E334/D334)</f>
        <v/>
      </c>
      <c r="H334" s="4">
        <f>IF(G334="","",IF(G334&lt;0.75,"Low Attendance","OK"))</f>
        <v/>
      </c>
    </row>
    <row r="335">
      <c r="A335">
        <f>IF(MASTER_REGISTER!E335="","",MASTER_REGISTER!E335)</f>
        <v/>
      </c>
      <c r="B335">
        <f>IF(A335="","",MASTER_REGISTER!F335)</f>
        <v/>
      </c>
      <c r="C335">
        <f>IF(A335="","",MASTER_REGISTER!C335)</f>
        <v/>
      </c>
      <c r="D335">
        <f>IF(A335="","",COUNTIF(ATTENDANCE_DAILY!C:C,A335))</f>
        <v/>
      </c>
      <c r="E335">
        <f>IF(A335="","",COUNTIFS(ATTENDANCE_DAILY!C:C,A335,ATTENDANCE_DAILY!E:E,"Present"))</f>
        <v/>
      </c>
      <c r="F335">
        <f>IF(A335="","",COUNTIFS(ATTENDANCE_DAILY!C:C,A335,ATTENDANCE_DAILY!E:E,"Absent"))</f>
        <v/>
      </c>
      <c r="G335" s="5">
        <f>IF(D335=0,"",E335/D335)</f>
        <v/>
      </c>
      <c r="H335" s="4">
        <f>IF(G335="","",IF(G335&lt;0.75,"Low Attendance","OK"))</f>
        <v/>
      </c>
    </row>
    <row r="336">
      <c r="A336">
        <f>IF(MASTER_REGISTER!E336="","",MASTER_REGISTER!E336)</f>
        <v/>
      </c>
      <c r="B336">
        <f>IF(A336="","",MASTER_REGISTER!F336)</f>
        <v/>
      </c>
      <c r="C336">
        <f>IF(A336="","",MASTER_REGISTER!C336)</f>
        <v/>
      </c>
      <c r="D336">
        <f>IF(A336="","",COUNTIF(ATTENDANCE_DAILY!C:C,A336))</f>
        <v/>
      </c>
      <c r="E336">
        <f>IF(A336="","",COUNTIFS(ATTENDANCE_DAILY!C:C,A336,ATTENDANCE_DAILY!E:E,"Present"))</f>
        <v/>
      </c>
      <c r="F336">
        <f>IF(A336="","",COUNTIFS(ATTENDANCE_DAILY!C:C,A336,ATTENDANCE_DAILY!E:E,"Absent"))</f>
        <v/>
      </c>
      <c r="G336" s="5">
        <f>IF(D336=0,"",E336/D336)</f>
        <v/>
      </c>
      <c r="H336" s="4">
        <f>IF(G336="","",IF(G336&lt;0.75,"Low Attendance","OK"))</f>
        <v/>
      </c>
    </row>
    <row r="337">
      <c r="A337">
        <f>IF(MASTER_REGISTER!E337="","",MASTER_REGISTER!E337)</f>
        <v/>
      </c>
      <c r="B337">
        <f>IF(A337="","",MASTER_REGISTER!F337)</f>
        <v/>
      </c>
      <c r="C337">
        <f>IF(A337="","",MASTER_REGISTER!C337)</f>
        <v/>
      </c>
      <c r="D337">
        <f>IF(A337="","",COUNTIF(ATTENDANCE_DAILY!C:C,A337))</f>
        <v/>
      </c>
      <c r="E337">
        <f>IF(A337="","",COUNTIFS(ATTENDANCE_DAILY!C:C,A337,ATTENDANCE_DAILY!E:E,"Present"))</f>
        <v/>
      </c>
      <c r="F337">
        <f>IF(A337="","",COUNTIFS(ATTENDANCE_DAILY!C:C,A337,ATTENDANCE_DAILY!E:E,"Absent"))</f>
        <v/>
      </c>
      <c r="G337" s="5">
        <f>IF(D337=0,"",E337/D337)</f>
        <v/>
      </c>
      <c r="H337" s="4">
        <f>IF(G337="","",IF(G337&lt;0.75,"Low Attendance","OK"))</f>
        <v/>
      </c>
    </row>
    <row r="338">
      <c r="A338">
        <f>IF(MASTER_REGISTER!E338="","",MASTER_REGISTER!E338)</f>
        <v/>
      </c>
      <c r="B338">
        <f>IF(A338="","",MASTER_REGISTER!F338)</f>
        <v/>
      </c>
      <c r="C338">
        <f>IF(A338="","",MASTER_REGISTER!C338)</f>
        <v/>
      </c>
      <c r="D338">
        <f>IF(A338="","",COUNTIF(ATTENDANCE_DAILY!C:C,A338))</f>
        <v/>
      </c>
      <c r="E338">
        <f>IF(A338="","",COUNTIFS(ATTENDANCE_DAILY!C:C,A338,ATTENDANCE_DAILY!E:E,"Present"))</f>
        <v/>
      </c>
      <c r="F338">
        <f>IF(A338="","",COUNTIFS(ATTENDANCE_DAILY!C:C,A338,ATTENDANCE_DAILY!E:E,"Absent"))</f>
        <v/>
      </c>
      <c r="G338" s="5">
        <f>IF(D338=0,"",E338/D338)</f>
        <v/>
      </c>
      <c r="H338" s="4">
        <f>IF(G338="","",IF(G338&lt;0.75,"Low Attendance","OK"))</f>
        <v/>
      </c>
    </row>
    <row r="339">
      <c r="A339">
        <f>IF(MASTER_REGISTER!E339="","",MASTER_REGISTER!E339)</f>
        <v/>
      </c>
      <c r="B339">
        <f>IF(A339="","",MASTER_REGISTER!F339)</f>
        <v/>
      </c>
      <c r="C339">
        <f>IF(A339="","",MASTER_REGISTER!C339)</f>
        <v/>
      </c>
      <c r="D339">
        <f>IF(A339="","",COUNTIF(ATTENDANCE_DAILY!C:C,A339))</f>
        <v/>
      </c>
      <c r="E339">
        <f>IF(A339="","",COUNTIFS(ATTENDANCE_DAILY!C:C,A339,ATTENDANCE_DAILY!E:E,"Present"))</f>
        <v/>
      </c>
      <c r="F339">
        <f>IF(A339="","",COUNTIFS(ATTENDANCE_DAILY!C:C,A339,ATTENDANCE_DAILY!E:E,"Absent"))</f>
        <v/>
      </c>
      <c r="G339" s="5">
        <f>IF(D339=0,"",E339/D339)</f>
        <v/>
      </c>
      <c r="H339" s="4">
        <f>IF(G339="","",IF(G339&lt;0.75,"Low Attendance","OK"))</f>
        <v/>
      </c>
    </row>
    <row r="340">
      <c r="A340">
        <f>IF(MASTER_REGISTER!E340="","",MASTER_REGISTER!E340)</f>
        <v/>
      </c>
      <c r="B340">
        <f>IF(A340="","",MASTER_REGISTER!F340)</f>
        <v/>
      </c>
      <c r="C340">
        <f>IF(A340="","",MASTER_REGISTER!C340)</f>
        <v/>
      </c>
      <c r="D340">
        <f>IF(A340="","",COUNTIF(ATTENDANCE_DAILY!C:C,A340))</f>
        <v/>
      </c>
      <c r="E340">
        <f>IF(A340="","",COUNTIFS(ATTENDANCE_DAILY!C:C,A340,ATTENDANCE_DAILY!E:E,"Present"))</f>
        <v/>
      </c>
      <c r="F340">
        <f>IF(A340="","",COUNTIFS(ATTENDANCE_DAILY!C:C,A340,ATTENDANCE_DAILY!E:E,"Absent"))</f>
        <v/>
      </c>
      <c r="G340" s="5">
        <f>IF(D340=0,"",E340/D340)</f>
        <v/>
      </c>
      <c r="H340" s="4">
        <f>IF(G340="","",IF(G340&lt;0.75,"Low Attendance","OK"))</f>
        <v/>
      </c>
    </row>
    <row r="341">
      <c r="A341">
        <f>IF(MASTER_REGISTER!E341="","",MASTER_REGISTER!E341)</f>
        <v/>
      </c>
      <c r="B341">
        <f>IF(A341="","",MASTER_REGISTER!F341)</f>
        <v/>
      </c>
      <c r="C341">
        <f>IF(A341="","",MASTER_REGISTER!C341)</f>
        <v/>
      </c>
      <c r="D341">
        <f>IF(A341="","",COUNTIF(ATTENDANCE_DAILY!C:C,A341))</f>
        <v/>
      </c>
      <c r="E341">
        <f>IF(A341="","",COUNTIFS(ATTENDANCE_DAILY!C:C,A341,ATTENDANCE_DAILY!E:E,"Present"))</f>
        <v/>
      </c>
      <c r="F341">
        <f>IF(A341="","",COUNTIFS(ATTENDANCE_DAILY!C:C,A341,ATTENDANCE_DAILY!E:E,"Absent"))</f>
        <v/>
      </c>
      <c r="G341" s="5">
        <f>IF(D341=0,"",E341/D341)</f>
        <v/>
      </c>
      <c r="H341" s="4">
        <f>IF(G341="","",IF(G341&lt;0.75,"Low Attendance","OK"))</f>
        <v/>
      </c>
    </row>
    <row r="342">
      <c r="A342">
        <f>IF(MASTER_REGISTER!E342="","",MASTER_REGISTER!E342)</f>
        <v/>
      </c>
      <c r="B342">
        <f>IF(A342="","",MASTER_REGISTER!F342)</f>
        <v/>
      </c>
      <c r="C342">
        <f>IF(A342="","",MASTER_REGISTER!C342)</f>
        <v/>
      </c>
      <c r="D342">
        <f>IF(A342="","",COUNTIF(ATTENDANCE_DAILY!C:C,A342))</f>
        <v/>
      </c>
      <c r="E342">
        <f>IF(A342="","",COUNTIFS(ATTENDANCE_DAILY!C:C,A342,ATTENDANCE_DAILY!E:E,"Present"))</f>
        <v/>
      </c>
      <c r="F342">
        <f>IF(A342="","",COUNTIFS(ATTENDANCE_DAILY!C:C,A342,ATTENDANCE_DAILY!E:E,"Absent"))</f>
        <v/>
      </c>
      <c r="G342" s="5">
        <f>IF(D342=0,"",E342/D342)</f>
        <v/>
      </c>
      <c r="H342" s="4">
        <f>IF(G342="","",IF(G342&lt;0.75,"Low Attendance","OK"))</f>
        <v/>
      </c>
    </row>
    <row r="343">
      <c r="A343">
        <f>IF(MASTER_REGISTER!E343="","",MASTER_REGISTER!E343)</f>
        <v/>
      </c>
      <c r="B343">
        <f>IF(A343="","",MASTER_REGISTER!F343)</f>
        <v/>
      </c>
      <c r="C343">
        <f>IF(A343="","",MASTER_REGISTER!C343)</f>
        <v/>
      </c>
      <c r="D343">
        <f>IF(A343="","",COUNTIF(ATTENDANCE_DAILY!C:C,A343))</f>
        <v/>
      </c>
      <c r="E343">
        <f>IF(A343="","",COUNTIFS(ATTENDANCE_DAILY!C:C,A343,ATTENDANCE_DAILY!E:E,"Present"))</f>
        <v/>
      </c>
      <c r="F343">
        <f>IF(A343="","",COUNTIFS(ATTENDANCE_DAILY!C:C,A343,ATTENDANCE_DAILY!E:E,"Absent"))</f>
        <v/>
      </c>
      <c r="G343" s="5">
        <f>IF(D343=0,"",E343/D343)</f>
        <v/>
      </c>
      <c r="H343" s="4">
        <f>IF(G343="","",IF(G343&lt;0.75,"Low Attendance","OK"))</f>
        <v/>
      </c>
    </row>
    <row r="344">
      <c r="A344">
        <f>IF(MASTER_REGISTER!E344="","",MASTER_REGISTER!E344)</f>
        <v/>
      </c>
      <c r="B344">
        <f>IF(A344="","",MASTER_REGISTER!F344)</f>
        <v/>
      </c>
      <c r="C344">
        <f>IF(A344="","",MASTER_REGISTER!C344)</f>
        <v/>
      </c>
      <c r="D344">
        <f>IF(A344="","",COUNTIF(ATTENDANCE_DAILY!C:C,A344))</f>
        <v/>
      </c>
      <c r="E344">
        <f>IF(A344="","",COUNTIFS(ATTENDANCE_DAILY!C:C,A344,ATTENDANCE_DAILY!E:E,"Present"))</f>
        <v/>
      </c>
      <c r="F344">
        <f>IF(A344="","",COUNTIFS(ATTENDANCE_DAILY!C:C,A344,ATTENDANCE_DAILY!E:E,"Absent"))</f>
        <v/>
      </c>
      <c r="G344" s="5">
        <f>IF(D344=0,"",E344/D344)</f>
        <v/>
      </c>
      <c r="H344" s="4">
        <f>IF(G344="","",IF(G344&lt;0.75,"Low Attendance","OK"))</f>
        <v/>
      </c>
    </row>
    <row r="345">
      <c r="A345">
        <f>IF(MASTER_REGISTER!E345="","",MASTER_REGISTER!E345)</f>
        <v/>
      </c>
      <c r="B345">
        <f>IF(A345="","",MASTER_REGISTER!F345)</f>
        <v/>
      </c>
      <c r="C345">
        <f>IF(A345="","",MASTER_REGISTER!C345)</f>
        <v/>
      </c>
      <c r="D345">
        <f>IF(A345="","",COUNTIF(ATTENDANCE_DAILY!C:C,A345))</f>
        <v/>
      </c>
      <c r="E345">
        <f>IF(A345="","",COUNTIFS(ATTENDANCE_DAILY!C:C,A345,ATTENDANCE_DAILY!E:E,"Present"))</f>
        <v/>
      </c>
      <c r="F345">
        <f>IF(A345="","",COUNTIFS(ATTENDANCE_DAILY!C:C,A345,ATTENDANCE_DAILY!E:E,"Absent"))</f>
        <v/>
      </c>
      <c r="G345" s="5">
        <f>IF(D345=0,"",E345/D345)</f>
        <v/>
      </c>
      <c r="H345" s="4">
        <f>IF(G345="","",IF(G345&lt;0.75,"Low Attendance","OK"))</f>
        <v/>
      </c>
    </row>
    <row r="346">
      <c r="A346">
        <f>IF(MASTER_REGISTER!E346="","",MASTER_REGISTER!E346)</f>
        <v/>
      </c>
      <c r="B346">
        <f>IF(A346="","",MASTER_REGISTER!F346)</f>
        <v/>
      </c>
      <c r="C346">
        <f>IF(A346="","",MASTER_REGISTER!C346)</f>
        <v/>
      </c>
      <c r="D346">
        <f>IF(A346="","",COUNTIF(ATTENDANCE_DAILY!C:C,A346))</f>
        <v/>
      </c>
      <c r="E346">
        <f>IF(A346="","",COUNTIFS(ATTENDANCE_DAILY!C:C,A346,ATTENDANCE_DAILY!E:E,"Present"))</f>
        <v/>
      </c>
      <c r="F346">
        <f>IF(A346="","",COUNTIFS(ATTENDANCE_DAILY!C:C,A346,ATTENDANCE_DAILY!E:E,"Absent"))</f>
        <v/>
      </c>
      <c r="G346" s="5">
        <f>IF(D346=0,"",E346/D346)</f>
        <v/>
      </c>
      <c r="H346" s="4">
        <f>IF(G346="","",IF(G346&lt;0.75,"Low Attendance","OK"))</f>
        <v/>
      </c>
    </row>
    <row r="347">
      <c r="A347">
        <f>IF(MASTER_REGISTER!E347="","",MASTER_REGISTER!E347)</f>
        <v/>
      </c>
      <c r="B347">
        <f>IF(A347="","",MASTER_REGISTER!F347)</f>
        <v/>
      </c>
      <c r="C347">
        <f>IF(A347="","",MASTER_REGISTER!C347)</f>
        <v/>
      </c>
      <c r="D347">
        <f>IF(A347="","",COUNTIF(ATTENDANCE_DAILY!C:C,A347))</f>
        <v/>
      </c>
      <c r="E347">
        <f>IF(A347="","",COUNTIFS(ATTENDANCE_DAILY!C:C,A347,ATTENDANCE_DAILY!E:E,"Present"))</f>
        <v/>
      </c>
      <c r="F347">
        <f>IF(A347="","",COUNTIFS(ATTENDANCE_DAILY!C:C,A347,ATTENDANCE_DAILY!E:E,"Absent"))</f>
        <v/>
      </c>
      <c r="G347" s="5">
        <f>IF(D347=0,"",E347/D347)</f>
        <v/>
      </c>
      <c r="H347" s="4">
        <f>IF(G347="","",IF(G347&lt;0.75,"Low Attendance","OK"))</f>
        <v/>
      </c>
    </row>
    <row r="348">
      <c r="A348">
        <f>IF(MASTER_REGISTER!E348="","",MASTER_REGISTER!E348)</f>
        <v/>
      </c>
      <c r="B348">
        <f>IF(A348="","",MASTER_REGISTER!F348)</f>
        <v/>
      </c>
      <c r="C348">
        <f>IF(A348="","",MASTER_REGISTER!C348)</f>
        <v/>
      </c>
      <c r="D348">
        <f>IF(A348="","",COUNTIF(ATTENDANCE_DAILY!C:C,A348))</f>
        <v/>
      </c>
      <c r="E348">
        <f>IF(A348="","",COUNTIFS(ATTENDANCE_DAILY!C:C,A348,ATTENDANCE_DAILY!E:E,"Present"))</f>
        <v/>
      </c>
      <c r="F348">
        <f>IF(A348="","",COUNTIFS(ATTENDANCE_DAILY!C:C,A348,ATTENDANCE_DAILY!E:E,"Absent"))</f>
        <v/>
      </c>
      <c r="G348" s="5">
        <f>IF(D348=0,"",E348/D348)</f>
        <v/>
      </c>
      <c r="H348" s="4">
        <f>IF(G348="","",IF(G348&lt;0.75,"Low Attendance","OK"))</f>
        <v/>
      </c>
    </row>
    <row r="349">
      <c r="A349">
        <f>IF(MASTER_REGISTER!E349="","",MASTER_REGISTER!E349)</f>
        <v/>
      </c>
      <c r="B349">
        <f>IF(A349="","",MASTER_REGISTER!F349)</f>
        <v/>
      </c>
      <c r="C349">
        <f>IF(A349="","",MASTER_REGISTER!C349)</f>
        <v/>
      </c>
      <c r="D349">
        <f>IF(A349="","",COUNTIF(ATTENDANCE_DAILY!C:C,A349))</f>
        <v/>
      </c>
      <c r="E349">
        <f>IF(A349="","",COUNTIFS(ATTENDANCE_DAILY!C:C,A349,ATTENDANCE_DAILY!E:E,"Present"))</f>
        <v/>
      </c>
      <c r="F349">
        <f>IF(A349="","",COUNTIFS(ATTENDANCE_DAILY!C:C,A349,ATTENDANCE_DAILY!E:E,"Absent"))</f>
        <v/>
      </c>
      <c r="G349" s="5">
        <f>IF(D349=0,"",E349/D349)</f>
        <v/>
      </c>
      <c r="H349" s="4">
        <f>IF(G349="","",IF(G349&lt;0.75,"Low Attendance","OK"))</f>
        <v/>
      </c>
    </row>
    <row r="350">
      <c r="A350">
        <f>IF(MASTER_REGISTER!E350="","",MASTER_REGISTER!E350)</f>
        <v/>
      </c>
      <c r="B350">
        <f>IF(A350="","",MASTER_REGISTER!F350)</f>
        <v/>
      </c>
      <c r="C350">
        <f>IF(A350="","",MASTER_REGISTER!C350)</f>
        <v/>
      </c>
      <c r="D350">
        <f>IF(A350="","",COUNTIF(ATTENDANCE_DAILY!C:C,A350))</f>
        <v/>
      </c>
      <c r="E350">
        <f>IF(A350="","",COUNTIFS(ATTENDANCE_DAILY!C:C,A350,ATTENDANCE_DAILY!E:E,"Present"))</f>
        <v/>
      </c>
      <c r="F350">
        <f>IF(A350="","",COUNTIFS(ATTENDANCE_DAILY!C:C,A350,ATTENDANCE_DAILY!E:E,"Absent"))</f>
        <v/>
      </c>
      <c r="G350" s="5">
        <f>IF(D350=0,"",E350/D350)</f>
        <v/>
      </c>
      <c r="H350" s="4">
        <f>IF(G350="","",IF(G350&lt;0.75,"Low Attendance","OK"))</f>
        <v/>
      </c>
    </row>
    <row r="351">
      <c r="A351">
        <f>IF(MASTER_REGISTER!E351="","",MASTER_REGISTER!E351)</f>
        <v/>
      </c>
      <c r="B351">
        <f>IF(A351="","",MASTER_REGISTER!F351)</f>
        <v/>
      </c>
      <c r="C351">
        <f>IF(A351="","",MASTER_REGISTER!C351)</f>
        <v/>
      </c>
      <c r="D351">
        <f>IF(A351="","",COUNTIF(ATTENDANCE_DAILY!C:C,A351))</f>
        <v/>
      </c>
      <c r="E351">
        <f>IF(A351="","",COUNTIFS(ATTENDANCE_DAILY!C:C,A351,ATTENDANCE_DAILY!E:E,"Present"))</f>
        <v/>
      </c>
      <c r="F351">
        <f>IF(A351="","",COUNTIFS(ATTENDANCE_DAILY!C:C,A351,ATTENDANCE_DAILY!E:E,"Absent"))</f>
        <v/>
      </c>
      <c r="G351" s="5">
        <f>IF(D351=0,"",E351/D351)</f>
        <v/>
      </c>
      <c r="H351" s="4">
        <f>IF(G351="","",IF(G351&lt;0.75,"Low Attendance","OK"))</f>
        <v/>
      </c>
    </row>
    <row r="352">
      <c r="A352">
        <f>IF(MASTER_REGISTER!E352="","",MASTER_REGISTER!E352)</f>
        <v/>
      </c>
      <c r="B352">
        <f>IF(A352="","",MASTER_REGISTER!F352)</f>
        <v/>
      </c>
      <c r="C352">
        <f>IF(A352="","",MASTER_REGISTER!C352)</f>
        <v/>
      </c>
      <c r="D352">
        <f>IF(A352="","",COUNTIF(ATTENDANCE_DAILY!C:C,A352))</f>
        <v/>
      </c>
      <c r="E352">
        <f>IF(A352="","",COUNTIFS(ATTENDANCE_DAILY!C:C,A352,ATTENDANCE_DAILY!E:E,"Present"))</f>
        <v/>
      </c>
      <c r="F352">
        <f>IF(A352="","",COUNTIFS(ATTENDANCE_DAILY!C:C,A352,ATTENDANCE_DAILY!E:E,"Absent"))</f>
        <v/>
      </c>
      <c r="G352" s="5">
        <f>IF(D352=0,"",E352/D352)</f>
        <v/>
      </c>
      <c r="H352" s="4">
        <f>IF(G352="","",IF(G352&lt;0.75,"Low Attendance","OK"))</f>
        <v/>
      </c>
    </row>
    <row r="353">
      <c r="A353">
        <f>IF(MASTER_REGISTER!E353="","",MASTER_REGISTER!E353)</f>
        <v/>
      </c>
      <c r="B353">
        <f>IF(A353="","",MASTER_REGISTER!F353)</f>
        <v/>
      </c>
      <c r="C353">
        <f>IF(A353="","",MASTER_REGISTER!C353)</f>
        <v/>
      </c>
      <c r="D353">
        <f>IF(A353="","",COUNTIF(ATTENDANCE_DAILY!C:C,A353))</f>
        <v/>
      </c>
      <c r="E353">
        <f>IF(A353="","",COUNTIFS(ATTENDANCE_DAILY!C:C,A353,ATTENDANCE_DAILY!E:E,"Present"))</f>
        <v/>
      </c>
      <c r="F353">
        <f>IF(A353="","",COUNTIFS(ATTENDANCE_DAILY!C:C,A353,ATTENDANCE_DAILY!E:E,"Absent"))</f>
        <v/>
      </c>
      <c r="G353" s="5">
        <f>IF(D353=0,"",E353/D353)</f>
        <v/>
      </c>
      <c r="H353" s="4">
        <f>IF(G353="","",IF(G353&lt;0.75,"Low Attendance","OK"))</f>
        <v/>
      </c>
    </row>
    <row r="354">
      <c r="A354">
        <f>IF(MASTER_REGISTER!E354="","",MASTER_REGISTER!E354)</f>
        <v/>
      </c>
      <c r="B354">
        <f>IF(A354="","",MASTER_REGISTER!F354)</f>
        <v/>
      </c>
      <c r="C354">
        <f>IF(A354="","",MASTER_REGISTER!C354)</f>
        <v/>
      </c>
      <c r="D354">
        <f>IF(A354="","",COUNTIF(ATTENDANCE_DAILY!C:C,A354))</f>
        <v/>
      </c>
      <c r="E354">
        <f>IF(A354="","",COUNTIFS(ATTENDANCE_DAILY!C:C,A354,ATTENDANCE_DAILY!E:E,"Present"))</f>
        <v/>
      </c>
      <c r="F354">
        <f>IF(A354="","",COUNTIFS(ATTENDANCE_DAILY!C:C,A354,ATTENDANCE_DAILY!E:E,"Absent"))</f>
        <v/>
      </c>
      <c r="G354" s="5">
        <f>IF(D354=0,"",E354/D354)</f>
        <v/>
      </c>
      <c r="H354" s="4">
        <f>IF(G354="","",IF(G354&lt;0.75,"Low Attendance","OK"))</f>
        <v/>
      </c>
    </row>
    <row r="355">
      <c r="A355">
        <f>IF(MASTER_REGISTER!E355="","",MASTER_REGISTER!E355)</f>
        <v/>
      </c>
      <c r="B355">
        <f>IF(A355="","",MASTER_REGISTER!F355)</f>
        <v/>
      </c>
      <c r="C355">
        <f>IF(A355="","",MASTER_REGISTER!C355)</f>
        <v/>
      </c>
      <c r="D355">
        <f>IF(A355="","",COUNTIF(ATTENDANCE_DAILY!C:C,A355))</f>
        <v/>
      </c>
      <c r="E355">
        <f>IF(A355="","",COUNTIFS(ATTENDANCE_DAILY!C:C,A355,ATTENDANCE_DAILY!E:E,"Present"))</f>
        <v/>
      </c>
      <c r="F355">
        <f>IF(A355="","",COUNTIFS(ATTENDANCE_DAILY!C:C,A355,ATTENDANCE_DAILY!E:E,"Absent"))</f>
        <v/>
      </c>
      <c r="G355" s="5">
        <f>IF(D355=0,"",E355/D355)</f>
        <v/>
      </c>
      <c r="H355" s="4">
        <f>IF(G355="","",IF(G355&lt;0.75,"Low Attendance","OK"))</f>
        <v/>
      </c>
    </row>
    <row r="356">
      <c r="A356">
        <f>IF(MASTER_REGISTER!E356="","",MASTER_REGISTER!E356)</f>
        <v/>
      </c>
      <c r="B356">
        <f>IF(A356="","",MASTER_REGISTER!F356)</f>
        <v/>
      </c>
      <c r="C356">
        <f>IF(A356="","",MASTER_REGISTER!C356)</f>
        <v/>
      </c>
      <c r="D356">
        <f>IF(A356="","",COUNTIF(ATTENDANCE_DAILY!C:C,A356))</f>
        <v/>
      </c>
      <c r="E356">
        <f>IF(A356="","",COUNTIFS(ATTENDANCE_DAILY!C:C,A356,ATTENDANCE_DAILY!E:E,"Present"))</f>
        <v/>
      </c>
      <c r="F356">
        <f>IF(A356="","",COUNTIFS(ATTENDANCE_DAILY!C:C,A356,ATTENDANCE_DAILY!E:E,"Absent"))</f>
        <v/>
      </c>
      <c r="G356" s="5">
        <f>IF(D356=0,"",E356/D356)</f>
        <v/>
      </c>
      <c r="H356" s="4">
        <f>IF(G356="","",IF(G356&lt;0.75,"Low Attendance","OK"))</f>
        <v/>
      </c>
    </row>
    <row r="357">
      <c r="A357">
        <f>IF(MASTER_REGISTER!E357="","",MASTER_REGISTER!E357)</f>
        <v/>
      </c>
      <c r="B357">
        <f>IF(A357="","",MASTER_REGISTER!F357)</f>
        <v/>
      </c>
      <c r="C357">
        <f>IF(A357="","",MASTER_REGISTER!C357)</f>
        <v/>
      </c>
      <c r="D357">
        <f>IF(A357="","",COUNTIF(ATTENDANCE_DAILY!C:C,A357))</f>
        <v/>
      </c>
      <c r="E357">
        <f>IF(A357="","",COUNTIFS(ATTENDANCE_DAILY!C:C,A357,ATTENDANCE_DAILY!E:E,"Present"))</f>
        <v/>
      </c>
      <c r="F357">
        <f>IF(A357="","",COUNTIFS(ATTENDANCE_DAILY!C:C,A357,ATTENDANCE_DAILY!E:E,"Absent"))</f>
        <v/>
      </c>
      <c r="G357" s="5">
        <f>IF(D357=0,"",E357/D357)</f>
        <v/>
      </c>
      <c r="H357" s="4">
        <f>IF(G357="","",IF(G357&lt;0.75,"Low Attendance","OK"))</f>
        <v/>
      </c>
    </row>
    <row r="358">
      <c r="A358">
        <f>IF(MASTER_REGISTER!E358="","",MASTER_REGISTER!E358)</f>
        <v/>
      </c>
      <c r="B358">
        <f>IF(A358="","",MASTER_REGISTER!F358)</f>
        <v/>
      </c>
      <c r="C358">
        <f>IF(A358="","",MASTER_REGISTER!C358)</f>
        <v/>
      </c>
      <c r="D358">
        <f>IF(A358="","",COUNTIF(ATTENDANCE_DAILY!C:C,A358))</f>
        <v/>
      </c>
      <c r="E358">
        <f>IF(A358="","",COUNTIFS(ATTENDANCE_DAILY!C:C,A358,ATTENDANCE_DAILY!E:E,"Present"))</f>
        <v/>
      </c>
      <c r="F358">
        <f>IF(A358="","",COUNTIFS(ATTENDANCE_DAILY!C:C,A358,ATTENDANCE_DAILY!E:E,"Absent"))</f>
        <v/>
      </c>
      <c r="G358" s="5">
        <f>IF(D358=0,"",E358/D358)</f>
        <v/>
      </c>
      <c r="H358" s="4">
        <f>IF(G358="","",IF(G358&lt;0.75,"Low Attendance","OK"))</f>
        <v/>
      </c>
    </row>
    <row r="359">
      <c r="A359">
        <f>IF(MASTER_REGISTER!E359="","",MASTER_REGISTER!E359)</f>
        <v/>
      </c>
      <c r="B359">
        <f>IF(A359="","",MASTER_REGISTER!F359)</f>
        <v/>
      </c>
      <c r="C359">
        <f>IF(A359="","",MASTER_REGISTER!C359)</f>
        <v/>
      </c>
      <c r="D359">
        <f>IF(A359="","",COUNTIF(ATTENDANCE_DAILY!C:C,A359))</f>
        <v/>
      </c>
      <c r="E359">
        <f>IF(A359="","",COUNTIFS(ATTENDANCE_DAILY!C:C,A359,ATTENDANCE_DAILY!E:E,"Present"))</f>
        <v/>
      </c>
      <c r="F359">
        <f>IF(A359="","",COUNTIFS(ATTENDANCE_DAILY!C:C,A359,ATTENDANCE_DAILY!E:E,"Absent"))</f>
        <v/>
      </c>
      <c r="G359" s="5">
        <f>IF(D359=0,"",E359/D359)</f>
        <v/>
      </c>
      <c r="H359" s="4">
        <f>IF(G359="","",IF(G359&lt;0.75,"Low Attendance","OK"))</f>
        <v/>
      </c>
    </row>
    <row r="360">
      <c r="A360">
        <f>IF(MASTER_REGISTER!E360="","",MASTER_REGISTER!E360)</f>
        <v/>
      </c>
      <c r="B360">
        <f>IF(A360="","",MASTER_REGISTER!F360)</f>
        <v/>
      </c>
      <c r="C360">
        <f>IF(A360="","",MASTER_REGISTER!C360)</f>
        <v/>
      </c>
      <c r="D360">
        <f>IF(A360="","",COUNTIF(ATTENDANCE_DAILY!C:C,A360))</f>
        <v/>
      </c>
      <c r="E360">
        <f>IF(A360="","",COUNTIFS(ATTENDANCE_DAILY!C:C,A360,ATTENDANCE_DAILY!E:E,"Present"))</f>
        <v/>
      </c>
      <c r="F360">
        <f>IF(A360="","",COUNTIFS(ATTENDANCE_DAILY!C:C,A360,ATTENDANCE_DAILY!E:E,"Absent"))</f>
        <v/>
      </c>
      <c r="G360" s="5">
        <f>IF(D360=0,"",E360/D360)</f>
        <v/>
      </c>
      <c r="H360" s="4">
        <f>IF(G360="","",IF(G360&lt;0.75,"Low Attendance","OK"))</f>
        <v/>
      </c>
    </row>
    <row r="361">
      <c r="A361">
        <f>IF(MASTER_REGISTER!E361="","",MASTER_REGISTER!E361)</f>
        <v/>
      </c>
      <c r="B361">
        <f>IF(A361="","",MASTER_REGISTER!F361)</f>
        <v/>
      </c>
      <c r="C361">
        <f>IF(A361="","",MASTER_REGISTER!C361)</f>
        <v/>
      </c>
      <c r="D361">
        <f>IF(A361="","",COUNTIF(ATTENDANCE_DAILY!C:C,A361))</f>
        <v/>
      </c>
      <c r="E361">
        <f>IF(A361="","",COUNTIFS(ATTENDANCE_DAILY!C:C,A361,ATTENDANCE_DAILY!E:E,"Present"))</f>
        <v/>
      </c>
      <c r="F361">
        <f>IF(A361="","",COUNTIFS(ATTENDANCE_DAILY!C:C,A361,ATTENDANCE_DAILY!E:E,"Absent"))</f>
        <v/>
      </c>
      <c r="G361" s="5">
        <f>IF(D361=0,"",E361/D361)</f>
        <v/>
      </c>
      <c r="H361" s="4">
        <f>IF(G361="","",IF(G361&lt;0.75,"Low Attendance","OK"))</f>
        <v/>
      </c>
    </row>
    <row r="362">
      <c r="A362">
        <f>IF(MASTER_REGISTER!E362="","",MASTER_REGISTER!E362)</f>
        <v/>
      </c>
      <c r="B362">
        <f>IF(A362="","",MASTER_REGISTER!F362)</f>
        <v/>
      </c>
      <c r="C362">
        <f>IF(A362="","",MASTER_REGISTER!C362)</f>
        <v/>
      </c>
      <c r="D362">
        <f>IF(A362="","",COUNTIF(ATTENDANCE_DAILY!C:C,A362))</f>
        <v/>
      </c>
      <c r="E362">
        <f>IF(A362="","",COUNTIFS(ATTENDANCE_DAILY!C:C,A362,ATTENDANCE_DAILY!E:E,"Present"))</f>
        <v/>
      </c>
      <c r="F362">
        <f>IF(A362="","",COUNTIFS(ATTENDANCE_DAILY!C:C,A362,ATTENDANCE_DAILY!E:E,"Absent"))</f>
        <v/>
      </c>
      <c r="G362" s="5">
        <f>IF(D362=0,"",E362/D362)</f>
        <v/>
      </c>
      <c r="H362" s="4">
        <f>IF(G362="","",IF(G362&lt;0.75,"Low Attendance","OK"))</f>
        <v/>
      </c>
    </row>
    <row r="363">
      <c r="A363">
        <f>IF(MASTER_REGISTER!E363="","",MASTER_REGISTER!E363)</f>
        <v/>
      </c>
      <c r="B363">
        <f>IF(A363="","",MASTER_REGISTER!F363)</f>
        <v/>
      </c>
      <c r="C363">
        <f>IF(A363="","",MASTER_REGISTER!C363)</f>
        <v/>
      </c>
      <c r="D363">
        <f>IF(A363="","",COUNTIF(ATTENDANCE_DAILY!C:C,A363))</f>
        <v/>
      </c>
      <c r="E363">
        <f>IF(A363="","",COUNTIFS(ATTENDANCE_DAILY!C:C,A363,ATTENDANCE_DAILY!E:E,"Present"))</f>
        <v/>
      </c>
      <c r="F363">
        <f>IF(A363="","",COUNTIFS(ATTENDANCE_DAILY!C:C,A363,ATTENDANCE_DAILY!E:E,"Absent"))</f>
        <v/>
      </c>
      <c r="G363" s="5">
        <f>IF(D363=0,"",E363/D363)</f>
        <v/>
      </c>
      <c r="H363" s="4">
        <f>IF(G363="","",IF(G363&lt;0.75,"Low Attendance","OK"))</f>
        <v/>
      </c>
    </row>
    <row r="364">
      <c r="A364">
        <f>IF(MASTER_REGISTER!E364="","",MASTER_REGISTER!E364)</f>
        <v/>
      </c>
      <c r="B364">
        <f>IF(A364="","",MASTER_REGISTER!F364)</f>
        <v/>
      </c>
      <c r="C364">
        <f>IF(A364="","",MASTER_REGISTER!C364)</f>
        <v/>
      </c>
      <c r="D364">
        <f>IF(A364="","",COUNTIF(ATTENDANCE_DAILY!C:C,A364))</f>
        <v/>
      </c>
      <c r="E364">
        <f>IF(A364="","",COUNTIFS(ATTENDANCE_DAILY!C:C,A364,ATTENDANCE_DAILY!E:E,"Present"))</f>
        <v/>
      </c>
      <c r="F364">
        <f>IF(A364="","",COUNTIFS(ATTENDANCE_DAILY!C:C,A364,ATTENDANCE_DAILY!E:E,"Absent"))</f>
        <v/>
      </c>
      <c r="G364" s="5">
        <f>IF(D364=0,"",E364/D364)</f>
        <v/>
      </c>
      <c r="H364" s="4">
        <f>IF(G364="","",IF(G364&lt;0.75,"Low Attendance","OK"))</f>
        <v/>
      </c>
    </row>
    <row r="365">
      <c r="A365">
        <f>IF(MASTER_REGISTER!E365="","",MASTER_REGISTER!E365)</f>
        <v/>
      </c>
      <c r="B365">
        <f>IF(A365="","",MASTER_REGISTER!F365)</f>
        <v/>
      </c>
      <c r="C365">
        <f>IF(A365="","",MASTER_REGISTER!C365)</f>
        <v/>
      </c>
      <c r="D365">
        <f>IF(A365="","",COUNTIF(ATTENDANCE_DAILY!C:C,A365))</f>
        <v/>
      </c>
      <c r="E365">
        <f>IF(A365="","",COUNTIFS(ATTENDANCE_DAILY!C:C,A365,ATTENDANCE_DAILY!E:E,"Present"))</f>
        <v/>
      </c>
      <c r="F365">
        <f>IF(A365="","",COUNTIFS(ATTENDANCE_DAILY!C:C,A365,ATTENDANCE_DAILY!E:E,"Absent"))</f>
        <v/>
      </c>
      <c r="G365" s="5">
        <f>IF(D365=0,"",E365/D365)</f>
        <v/>
      </c>
      <c r="H365" s="4">
        <f>IF(G365="","",IF(G365&lt;0.75,"Low Attendance","OK"))</f>
        <v/>
      </c>
    </row>
    <row r="366">
      <c r="A366">
        <f>IF(MASTER_REGISTER!E366="","",MASTER_REGISTER!E366)</f>
        <v/>
      </c>
      <c r="B366">
        <f>IF(A366="","",MASTER_REGISTER!F366)</f>
        <v/>
      </c>
      <c r="C366">
        <f>IF(A366="","",MASTER_REGISTER!C366)</f>
        <v/>
      </c>
      <c r="D366">
        <f>IF(A366="","",COUNTIF(ATTENDANCE_DAILY!C:C,A366))</f>
        <v/>
      </c>
      <c r="E366">
        <f>IF(A366="","",COUNTIFS(ATTENDANCE_DAILY!C:C,A366,ATTENDANCE_DAILY!E:E,"Present"))</f>
        <v/>
      </c>
      <c r="F366">
        <f>IF(A366="","",COUNTIFS(ATTENDANCE_DAILY!C:C,A366,ATTENDANCE_DAILY!E:E,"Absent"))</f>
        <v/>
      </c>
      <c r="G366" s="5">
        <f>IF(D366=0,"",E366/D366)</f>
        <v/>
      </c>
      <c r="H366" s="4">
        <f>IF(G366="","",IF(G366&lt;0.75,"Low Attendance","OK"))</f>
        <v/>
      </c>
    </row>
    <row r="367">
      <c r="A367">
        <f>IF(MASTER_REGISTER!E367="","",MASTER_REGISTER!E367)</f>
        <v/>
      </c>
      <c r="B367">
        <f>IF(A367="","",MASTER_REGISTER!F367)</f>
        <v/>
      </c>
      <c r="C367">
        <f>IF(A367="","",MASTER_REGISTER!C367)</f>
        <v/>
      </c>
      <c r="D367">
        <f>IF(A367="","",COUNTIF(ATTENDANCE_DAILY!C:C,A367))</f>
        <v/>
      </c>
      <c r="E367">
        <f>IF(A367="","",COUNTIFS(ATTENDANCE_DAILY!C:C,A367,ATTENDANCE_DAILY!E:E,"Present"))</f>
        <v/>
      </c>
      <c r="F367">
        <f>IF(A367="","",COUNTIFS(ATTENDANCE_DAILY!C:C,A367,ATTENDANCE_DAILY!E:E,"Absent"))</f>
        <v/>
      </c>
      <c r="G367" s="5">
        <f>IF(D367=0,"",E367/D367)</f>
        <v/>
      </c>
      <c r="H367" s="4">
        <f>IF(G367="","",IF(G367&lt;0.75,"Low Attendance","OK"))</f>
        <v/>
      </c>
    </row>
    <row r="368">
      <c r="A368">
        <f>IF(MASTER_REGISTER!E368="","",MASTER_REGISTER!E368)</f>
        <v/>
      </c>
      <c r="B368">
        <f>IF(A368="","",MASTER_REGISTER!F368)</f>
        <v/>
      </c>
      <c r="C368">
        <f>IF(A368="","",MASTER_REGISTER!C368)</f>
        <v/>
      </c>
      <c r="D368">
        <f>IF(A368="","",COUNTIF(ATTENDANCE_DAILY!C:C,A368))</f>
        <v/>
      </c>
      <c r="E368">
        <f>IF(A368="","",COUNTIFS(ATTENDANCE_DAILY!C:C,A368,ATTENDANCE_DAILY!E:E,"Present"))</f>
        <v/>
      </c>
      <c r="F368">
        <f>IF(A368="","",COUNTIFS(ATTENDANCE_DAILY!C:C,A368,ATTENDANCE_DAILY!E:E,"Absent"))</f>
        <v/>
      </c>
      <c r="G368" s="5">
        <f>IF(D368=0,"",E368/D368)</f>
        <v/>
      </c>
      <c r="H368" s="4">
        <f>IF(G368="","",IF(G368&lt;0.75,"Low Attendance","OK"))</f>
        <v/>
      </c>
    </row>
    <row r="369">
      <c r="A369">
        <f>IF(MASTER_REGISTER!E369="","",MASTER_REGISTER!E369)</f>
        <v/>
      </c>
      <c r="B369">
        <f>IF(A369="","",MASTER_REGISTER!F369)</f>
        <v/>
      </c>
      <c r="C369">
        <f>IF(A369="","",MASTER_REGISTER!C369)</f>
        <v/>
      </c>
      <c r="D369">
        <f>IF(A369="","",COUNTIF(ATTENDANCE_DAILY!C:C,A369))</f>
        <v/>
      </c>
      <c r="E369">
        <f>IF(A369="","",COUNTIFS(ATTENDANCE_DAILY!C:C,A369,ATTENDANCE_DAILY!E:E,"Present"))</f>
        <v/>
      </c>
      <c r="F369">
        <f>IF(A369="","",COUNTIFS(ATTENDANCE_DAILY!C:C,A369,ATTENDANCE_DAILY!E:E,"Absent"))</f>
        <v/>
      </c>
      <c r="G369" s="5">
        <f>IF(D369=0,"",E369/D369)</f>
        <v/>
      </c>
      <c r="H369" s="4">
        <f>IF(G369="","",IF(G369&lt;0.75,"Low Attendance","OK"))</f>
        <v/>
      </c>
    </row>
    <row r="370">
      <c r="A370">
        <f>IF(MASTER_REGISTER!E370="","",MASTER_REGISTER!E370)</f>
        <v/>
      </c>
      <c r="B370">
        <f>IF(A370="","",MASTER_REGISTER!F370)</f>
        <v/>
      </c>
      <c r="C370">
        <f>IF(A370="","",MASTER_REGISTER!C370)</f>
        <v/>
      </c>
      <c r="D370">
        <f>IF(A370="","",COUNTIF(ATTENDANCE_DAILY!C:C,A370))</f>
        <v/>
      </c>
      <c r="E370">
        <f>IF(A370="","",COUNTIFS(ATTENDANCE_DAILY!C:C,A370,ATTENDANCE_DAILY!E:E,"Present"))</f>
        <v/>
      </c>
      <c r="F370">
        <f>IF(A370="","",COUNTIFS(ATTENDANCE_DAILY!C:C,A370,ATTENDANCE_DAILY!E:E,"Absent"))</f>
        <v/>
      </c>
      <c r="G370" s="5">
        <f>IF(D370=0,"",E370/D370)</f>
        <v/>
      </c>
      <c r="H370" s="4">
        <f>IF(G370="","",IF(G370&lt;0.75,"Low Attendance","OK"))</f>
        <v/>
      </c>
    </row>
    <row r="371">
      <c r="A371">
        <f>IF(MASTER_REGISTER!E371="","",MASTER_REGISTER!E371)</f>
        <v/>
      </c>
      <c r="B371">
        <f>IF(A371="","",MASTER_REGISTER!F371)</f>
        <v/>
      </c>
      <c r="C371">
        <f>IF(A371="","",MASTER_REGISTER!C371)</f>
        <v/>
      </c>
      <c r="D371">
        <f>IF(A371="","",COUNTIF(ATTENDANCE_DAILY!C:C,A371))</f>
        <v/>
      </c>
      <c r="E371">
        <f>IF(A371="","",COUNTIFS(ATTENDANCE_DAILY!C:C,A371,ATTENDANCE_DAILY!E:E,"Present"))</f>
        <v/>
      </c>
      <c r="F371">
        <f>IF(A371="","",COUNTIFS(ATTENDANCE_DAILY!C:C,A371,ATTENDANCE_DAILY!E:E,"Absent"))</f>
        <v/>
      </c>
      <c r="G371" s="5">
        <f>IF(D371=0,"",E371/D371)</f>
        <v/>
      </c>
      <c r="H371" s="4">
        <f>IF(G371="","",IF(G371&lt;0.75,"Low Attendance","OK"))</f>
        <v/>
      </c>
    </row>
    <row r="372">
      <c r="A372">
        <f>IF(MASTER_REGISTER!E372="","",MASTER_REGISTER!E372)</f>
        <v/>
      </c>
      <c r="B372">
        <f>IF(A372="","",MASTER_REGISTER!F372)</f>
        <v/>
      </c>
      <c r="C372">
        <f>IF(A372="","",MASTER_REGISTER!C372)</f>
        <v/>
      </c>
      <c r="D372">
        <f>IF(A372="","",COUNTIF(ATTENDANCE_DAILY!C:C,A372))</f>
        <v/>
      </c>
      <c r="E372">
        <f>IF(A372="","",COUNTIFS(ATTENDANCE_DAILY!C:C,A372,ATTENDANCE_DAILY!E:E,"Present"))</f>
        <v/>
      </c>
      <c r="F372">
        <f>IF(A372="","",COUNTIFS(ATTENDANCE_DAILY!C:C,A372,ATTENDANCE_DAILY!E:E,"Absent"))</f>
        <v/>
      </c>
      <c r="G372" s="5">
        <f>IF(D372=0,"",E372/D372)</f>
        <v/>
      </c>
      <c r="H372" s="4">
        <f>IF(G372="","",IF(G372&lt;0.75,"Low Attendance","OK"))</f>
        <v/>
      </c>
    </row>
    <row r="373">
      <c r="A373">
        <f>IF(MASTER_REGISTER!E373="","",MASTER_REGISTER!E373)</f>
        <v/>
      </c>
      <c r="B373">
        <f>IF(A373="","",MASTER_REGISTER!F373)</f>
        <v/>
      </c>
      <c r="C373">
        <f>IF(A373="","",MASTER_REGISTER!C373)</f>
        <v/>
      </c>
      <c r="D373">
        <f>IF(A373="","",COUNTIF(ATTENDANCE_DAILY!C:C,A373))</f>
        <v/>
      </c>
      <c r="E373">
        <f>IF(A373="","",COUNTIFS(ATTENDANCE_DAILY!C:C,A373,ATTENDANCE_DAILY!E:E,"Present"))</f>
        <v/>
      </c>
      <c r="F373">
        <f>IF(A373="","",COUNTIFS(ATTENDANCE_DAILY!C:C,A373,ATTENDANCE_DAILY!E:E,"Absent"))</f>
        <v/>
      </c>
      <c r="G373" s="5">
        <f>IF(D373=0,"",E373/D373)</f>
        <v/>
      </c>
      <c r="H373" s="4">
        <f>IF(G373="","",IF(G373&lt;0.75,"Low Attendance","OK"))</f>
        <v/>
      </c>
    </row>
    <row r="374">
      <c r="A374">
        <f>IF(MASTER_REGISTER!E374="","",MASTER_REGISTER!E374)</f>
        <v/>
      </c>
      <c r="B374">
        <f>IF(A374="","",MASTER_REGISTER!F374)</f>
        <v/>
      </c>
      <c r="C374">
        <f>IF(A374="","",MASTER_REGISTER!C374)</f>
        <v/>
      </c>
      <c r="D374">
        <f>IF(A374="","",COUNTIF(ATTENDANCE_DAILY!C:C,A374))</f>
        <v/>
      </c>
      <c r="E374">
        <f>IF(A374="","",COUNTIFS(ATTENDANCE_DAILY!C:C,A374,ATTENDANCE_DAILY!E:E,"Present"))</f>
        <v/>
      </c>
      <c r="F374">
        <f>IF(A374="","",COUNTIFS(ATTENDANCE_DAILY!C:C,A374,ATTENDANCE_DAILY!E:E,"Absent"))</f>
        <v/>
      </c>
      <c r="G374" s="5">
        <f>IF(D374=0,"",E374/D374)</f>
        <v/>
      </c>
      <c r="H374" s="4">
        <f>IF(G374="","",IF(G374&lt;0.75,"Low Attendance","OK"))</f>
        <v/>
      </c>
    </row>
    <row r="375">
      <c r="A375">
        <f>IF(MASTER_REGISTER!E375="","",MASTER_REGISTER!E375)</f>
        <v/>
      </c>
      <c r="B375">
        <f>IF(A375="","",MASTER_REGISTER!F375)</f>
        <v/>
      </c>
      <c r="C375">
        <f>IF(A375="","",MASTER_REGISTER!C375)</f>
        <v/>
      </c>
      <c r="D375">
        <f>IF(A375="","",COUNTIF(ATTENDANCE_DAILY!C:C,A375))</f>
        <v/>
      </c>
      <c r="E375">
        <f>IF(A375="","",COUNTIFS(ATTENDANCE_DAILY!C:C,A375,ATTENDANCE_DAILY!E:E,"Present"))</f>
        <v/>
      </c>
      <c r="F375">
        <f>IF(A375="","",COUNTIFS(ATTENDANCE_DAILY!C:C,A375,ATTENDANCE_DAILY!E:E,"Absent"))</f>
        <v/>
      </c>
      <c r="G375" s="5">
        <f>IF(D375=0,"",E375/D375)</f>
        <v/>
      </c>
      <c r="H375" s="4">
        <f>IF(G375="","",IF(G375&lt;0.75,"Low Attendance","OK"))</f>
        <v/>
      </c>
    </row>
    <row r="376">
      <c r="A376">
        <f>IF(MASTER_REGISTER!E376="","",MASTER_REGISTER!E376)</f>
        <v/>
      </c>
      <c r="B376">
        <f>IF(A376="","",MASTER_REGISTER!F376)</f>
        <v/>
      </c>
      <c r="C376">
        <f>IF(A376="","",MASTER_REGISTER!C376)</f>
        <v/>
      </c>
      <c r="D376">
        <f>IF(A376="","",COUNTIF(ATTENDANCE_DAILY!C:C,A376))</f>
        <v/>
      </c>
      <c r="E376">
        <f>IF(A376="","",COUNTIFS(ATTENDANCE_DAILY!C:C,A376,ATTENDANCE_DAILY!E:E,"Present"))</f>
        <v/>
      </c>
      <c r="F376">
        <f>IF(A376="","",COUNTIFS(ATTENDANCE_DAILY!C:C,A376,ATTENDANCE_DAILY!E:E,"Absent"))</f>
        <v/>
      </c>
      <c r="G376" s="5">
        <f>IF(D376=0,"",E376/D376)</f>
        <v/>
      </c>
      <c r="H376" s="4">
        <f>IF(G376="","",IF(G376&lt;0.75,"Low Attendance","OK"))</f>
        <v/>
      </c>
    </row>
    <row r="377">
      <c r="A377">
        <f>IF(MASTER_REGISTER!E377="","",MASTER_REGISTER!E377)</f>
        <v/>
      </c>
      <c r="B377">
        <f>IF(A377="","",MASTER_REGISTER!F377)</f>
        <v/>
      </c>
      <c r="C377">
        <f>IF(A377="","",MASTER_REGISTER!C377)</f>
        <v/>
      </c>
      <c r="D377">
        <f>IF(A377="","",COUNTIF(ATTENDANCE_DAILY!C:C,A377))</f>
        <v/>
      </c>
      <c r="E377">
        <f>IF(A377="","",COUNTIFS(ATTENDANCE_DAILY!C:C,A377,ATTENDANCE_DAILY!E:E,"Present"))</f>
        <v/>
      </c>
      <c r="F377">
        <f>IF(A377="","",COUNTIFS(ATTENDANCE_DAILY!C:C,A377,ATTENDANCE_DAILY!E:E,"Absent"))</f>
        <v/>
      </c>
      <c r="G377" s="5">
        <f>IF(D377=0,"",E377/D377)</f>
        <v/>
      </c>
      <c r="H377" s="4">
        <f>IF(G377="","",IF(G377&lt;0.75,"Low Attendance","OK"))</f>
        <v/>
      </c>
    </row>
    <row r="378">
      <c r="A378">
        <f>IF(MASTER_REGISTER!E378="","",MASTER_REGISTER!E378)</f>
        <v/>
      </c>
      <c r="B378">
        <f>IF(A378="","",MASTER_REGISTER!F378)</f>
        <v/>
      </c>
      <c r="C378">
        <f>IF(A378="","",MASTER_REGISTER!C378)</f>
        <v/>
      </c>
      <c r="D378">
        <f>IF(A378="","",COUNTIF(ATTENDANCE_DAILY!C:C,A378))</f>
        <v/>
      </c>
      <c r="E378">
        <f>IF(A378="","",COUNTIFS(ATTENDANCE_DAILY!C:C,A378,ATTENDANCE_DAILY!E:E,"Present"))</f>
        <v/>
      </c>
      <c r="F378">
        <f>IF(A378="","",COUNTIFS(ATTENDANCE_DAILY!C:C,A378,ATTENDANCE_DAILY!E:E,"Absent"))</f>
        <v/>
      </c>
      <c r="G378" s="5">
        <f>IF(D378=0,"",E378/D378)</f>
        <v/>
      </c>
      <c r="H378" s="4">
        <f>IF(G378="","",IF(G378&lt;0.75,"Low Attendance","OK"))</f>
        <v/>
      </c>
    </row>
    <row r="379">
      <c r="A379">
        <f>IF(MASTER_REGISTER!E379="","",MASTER_REGISTER!E379)</f>
        <v/>
      </c>
      <c r="B379">
        <f>IF(A379="","",MASTER_REGISTER!F379)</f>
        <v/>
      </c>
      <c r="C379">
        <f>IF(A379="","",MASTER_REGISTER!C379)</f>
        <v/>
      </c>
      <c r="D379">
        <f>IF(A379="","",COUNTIF(ATTENDANCE_DAILY!C:C,A379))</f>
        <v/>
      </c>
      <c r="E379">
        <f>IF(A379="","",COUNTIFS(ATTENDANCE_DAILY!C:C,A379,ATTENDANCE_DAILY!E:E,"Present"))</f>
        <v/>
      </c>
      <c r="F379">
        <f>IF(A379="","",COUNTIFS(ATTENDANCE_DAILY!C:C,A379,ATTENDANCE_DAILY!E:E,"Absent"))</f>
        <v/>
      </c>
      <c r="G379" s="5">
        <f>IF(D379=0,"",E379/D379)</f>
        <v/>
      </c>
      <c r="H379" s="4">
        <f>IF(G379="","",IF(G379&lt;0.75,"Low Attendance","OK"))</f>
        <v/>
      </c>
    </row>
    <row r="380">
      <c r="A380">
        <f>IF(MASTER_REGISTER!E380="","",MASTER_REGISTER!E380)</f>
        <v/>
      </c>
      <c r="B380">
        <f>IF(A380="","",MASTER_REGISTER!F380)</f>
        <v/>
      </c>
      <c r="C380">
        <f>IF(A380="","",MASTER_REGISTER!C380)</f>
        <v/>
      </c>
      <c r="D380">
        <f>IF(A380="","",COUNTIF(ATTENDANCE_DAILY!C:C,A380))</f>
        <v/>
      </c>
      <c r="E380">
        <f>IF(A380="","",COUNTIFS(ATTENDANCE_DAILY!C:C,A380,ATTENDANCE_DAILY!E:E,"Present"))</f>
        <v/>
      </c>
      <c r="F380">
        <f>IF(A380="","",COUNTIFS(ATTENDANCE_DAILY!C:C,A380,ATTENDANCE_DAILY!E:E,"Absent"))</f>
        <v/>
      </c>
      <c r="G380" s="5">
        <f>IF(D380=0,"",E380/D380)</f>
        <v/>
      </c>
      <c r="H380" s="4">
        <f>IF(G380="","",IF(G380&lt;0.75,"Low Attendance","OK"))</f>
        <v/>
      </c>
    </row>
    <row r="381">
      <c r="A381">
        <f>IF(MASTER_REGISTER!E381="","",MASTER_REGISTER!E381)</f>
        <v/>
      </c>
      <c r="B381">
        <f>IF(A381="","",MASTER_REGISTER!F381)</f>
        <v/>
      </c>
      <c r="C381">
        <f>IF(A381="","",MASTER_REGISTER!C381)</f>
        <v/>
      </c>
      <c r="D381">
        <f>IF(A381="","",COUNTIF(ATTENDANCE_DAILY!C:C,A381))</f>
        <v/>
      </c>
      <c r="E381">
        <f>IF(A381="","",COUNTIFS(ATTENDANCE_DAILY!C:C,A381,ATTENDANCE_DAILY!E:E,"Present"))</f>
        <v/>
      </c>
      <c r="F381">
        <f>IF(A381="","",COUNTIFS(ATTENDANCE_DAILY!C:C,A381,ATTENDANCE_DAILY!E:E,"Absent"))</f>
        <v/>
      </c>
      <c r="G381" s="5">
        <f>IF(D381=0,"",E381/D381)</f>
        <v/>
      </c>
      <c r="H381" s="4">
        <f>IF(G381="","",IF(G381&lt;0.75,"Low Attendance","OK"))</f>
        <v/>
      </c>
    </row>
    <row r="382">
      <c r="A382">
        <f>IF(MASTER_REGISTER!E382="","",MASTER_REGISTER!E382)</f>
        <v/>
      </c>
      <c r="B382">
        <f>IF(A382="","",MASTER_REGISTER!F382)</f>
        <v/>
      </c>
      <c r="C382">
        <f>IF(A382="","",MASTER_REGISTER!C382)</f>
        <v/>
      </c>
      <c r="D382">
        <f>IF(A382="","",COUNTIF(ATTENDANCE_DAILY!C:C,A382))</f>
        <v/>
      </c>
      <c r="E382">
        <f>IF(A382="","",COUNTIFS(ATTENDANCE_DAILY!C:C,A382,ATTENDANCE_DAILY!E:E,"Present"))</f>
        <v/>
      </c>
      <c r="F382">
        <f>IF(A382="","",COUNTIFS(ATTENDANCE_DAILY!C:C,A382,ATTENDANCE_DAILY!E:E,"Absent"))</f>
        <v/>
      </c>
      <c r="G382" s="5">
        <f>IF(D382=0,"",E382/D382)</f>
        <v/>
      </c>
      <c r="H382" s="4">
        <f>IF(G382="","",IF(G382&lt;0.75,"Low Attendance","OK"))</f>
        <v/>
      </c>
    </row>
    <row r="383">
      <c r="A383">
        <f>IF(MASTER_REGISTER!E383="","",MASTER_REGISTER!E383)</f>
        <v/>
      </c>
      <c r="B383">
        <f>IF(A383="","",MASTER_REGISTER!F383)</f>
        <v/>
      </c>
      <c r="C383">
        <f>IF(A383="","",MASTER_REGISTER!C383)</f>
        <v/>
      </c>
      <c r="D383">
        <f>IF(A383="","",COUNTIF(ATTENDANCE_DAILY!C:C,A383))</f>
        <v/>
      </c>
      <c r="E383">
        <f>IF(A383="","",COUNTIFS(ATTENDANCE_DAILY!C:C,A383,ATTENDANCE_DAILY!E:E,"Present"))</f>
        <v/>
      </c>
      <c r="F383">
        <f>IF(A383="","",COUNTIFS(ATTENDANCE_DAILY!C:C,A383,ATTENDANCE_DAILY!E:E,"Absent"))</f>
        <v/>
      </c>
      <c r="G383" s="5">
        <f>IF(D383=0,"",E383/D383)</f>
        <v/>
      </c>
      <c r="H383" s="4">
        <f>IF(G383="","",IF(G383&lt;0.75,"Low Attendance","OK"))</f>
        <v/>
      </c>
    </row>
    <row r="384">
      <c r="A384">
        <f>IF(MASTER_REGISTER!E384="","",MASTER_REGISTER!E384)</f>
        <v/>
      </c>
      <c r="B384">
        <f>IF(A384="","",MASTER_REGISTER!F384)</f>
        <v/>
      </c>
      <c r="C384">
        <f>IF(A384="","",MASTER_REGISTER!C384)</f>
        <v/>
      </c>
      <c r="D384">
        <f>IF(A384="","",COUNTIF(ATTENDANCE_DAILY!C:C,A384))</f>
        <v/>
      </c>
      <c r="E384">
        <f>IF(A384="","",COUNTIFS(ATTENDANCE_DAILY!C:C,A384,ATTENDANCE_DAILY!E:E,"Present"))</f>
        <v/>
      </c>
      <c r="F384">
        <f>IF(A384="","",COUNTIFS(ATTENDANCE_DAILY!C:C,A384,ATTENDANCE_DAILY!E:E,"Absent"))</f>
        <v/>
      </c>
      <c r="G384" s="5">
        <f>IF(D384=0,"",E384/D384)</f>
        <v/>
      </c>
      <c r="H384" s="4">
        <f>IF(G384="","",IF(G384&lt;0.75,"Low Attendance","OK"))</f>
        <v/>
      </c>
    </row>
    <row r="385">
      <c r="A385">
        <f>IF(MASTER_REGISTER!E385="","",MASTER_REGISTER!E385)</f>
        <v/>
      </c>
      <c r="B385">
        <f>IF(A385="","",MASTER_REGISTER!F385)</f>
        <v/>
      </c>
      <c r="C385">
        <f>IF(A385="","",MASTER_REGISTER!C385)</f>
        <v/>
      </c>
      <c r="D385">
        <f>IF(A385="","",COUNTIF(ATTENDANCE_DAILY!C:C,A385))</f>
        <v/>
      </c>
      <c r="E385">
        <f>IF(A385="","",COUNTIFS(ATTENDANCE_DAILY!C:C,A385,ATTENDANCE_DAILY!E:E,"Present"))</f>
        <v/>
      </c>
      <c r="F385">
        <f>IF(A385="","",COUNTIFS(ATTENDANCE_DAILY!C:C,A385,ATTENDANCE_DAILY!E:E,"Absent"))</f>
        <v/>
      </c>
      <c r="G385" s="5">
        <f>IF(D385=0,"",E385/D385)</f>
        <v/>
      </c>
      <c r="H385" s="4">
        <f>IF(G385="","",IF(G385&lt;0.75,"Low Attendance","OK"))</f>
        <v/>
      </c>
    </row>
    <row r="386">
      <c r="A386">
        <f>IF(MASTER_REGISTER!E386="","",MASTER_REGISTER!E386)</f>
        <v/>
      </c>
      <c r="B386">
        <f>IF(A386="","",MASTER_REGISTER!F386)</f>
        <v/>
      </c>
      <c r="C386">
        <f>IF(A386="","",MASTER_REGISTER!C386)</f>
        <v/>
      </c>
      <c r="D386">
        <f>IF(A386="","",COUNTIF(ATTENDANCE_DAILY!C:C,A386))</f>
        <v/>
      </c>
      <c r="E386">
        <f>IF(A386="","",COUNTIFS(ATTENDANCE_DAILY!C:C,A386,ATTENDANCE_DAILY!E:E,"Present"))</f>
        <v/>
      </c>
      <c r="F386">
        <f>IF(A386="","",COUNTIFS(ATTENDANCE_DAILY!C:C,A386,ATTENDANCE_DAILY!E:E,"Absent"))</f>
        <v/>
      </c>
      <c r="G386" s="5">
        <f>IF(D386=0,"",E386/D386)</f>
        <v/>
      </c>
      <c r="H386" s="4">
        <f>IF(G386="","",IF(G386&lt;0.75,"Low Attendance","OK"))</f>
        <v/>
      </c>
    </row>
    <row r="387">
      <c r="A387">
        <f>IF(MASTER_REGISTER!E387="","",MASTER_REGISTER!E387)</f>
        <v/>
      </c>
      <c r="B387">
        <f>IF(A387="","",MASTER_REGISTER!F387)</f>
        <v/>
      </c>
      <c r="C387">
        <f>IF(A387="","",MASTER_REGISTER!C387)</f>
        <v/>
      </c>
      <c r="D387">
        <f>IF(A387="","",COUNTIF(ATTENDANCE_DAILY!C:C,A387))</f>
        <v/>
      </c>
      <c r="E387">
        <f>IF(A387="","",COUNTIFS(ATTENDANCE_DAILY!C:C,A387,ATTENDANCE_DAILY!E:E,"Present"))</f>
        <v/>
      </c>
      <c r="F387">
        <f>IF(A387="","",COUNTIFS(ATTENDANCE_DAILY!C:C,A387,ATTENDANCE_DAILY!E:E,"Absent"))</f>
        <v/>
      </c>
      <c r="G387" s="5">
        <f>IF(D387=0,"",E387/D387)</f>
        <v/>
      </c>
      <c r="H387" s="4">
        <f>IF(G387="","",IF(G387&lt;0.75,"Low Attendance","OK"))</f>
        <v/>
      </c>
    </row>
    <row r="388">
      <c r="A388">
        <f>IF(MASTER_REGISTER!E388="","",MASTER_REGISTER!E388)</f>
        <v/>
      </c>
      <c r="B388">
        <f>IF(A388="","",MASTER_REGISTER!F388)</f>
        <v/>
      </c>
      <c r="C388">
        <f>IF(A388="","",MASTER_REGISTER!C388)</f>
        <v/>
      </c>
      <c r="D388">
        <f>IF(A388="","",COUNTIF(ATTENDANCE_DAILY!C:C,A388))</f>
        <v/>
      </c>
      <c r="E388">
        <f>IF(A388="","",COUNTIFS(ATTENDANCE_DAILY!C:C,A388,ATTENDANCE_DAILY!E:E,"Present"))</f>
        <v/>
      </c>
      <c r="F388">
        <f>IF(A388="","",COUNTIFS(ATTENDANCE_DAILY!C:C,A388,ATTENDANCE_DAILY!E:E,"Absent"))</f>
        <v/>
      </c>
      <c r="G388" s="5">
        <f>IF(D388=0,"",E388/D388)</f>
        <v/>
      </c>
      <c r="H388" s="4">
        <f>IF(G388="","",IF(G388&lt;0.75,"Low Attendance","OK"))</f>
        <v/>
      </c>
    </row>
    <row r="389">
      <c r="A389">
        <f>IF(MASTER_REGISTER!E389="","",MASTER_REGISTER!E389)</f>
        <v/>
      </c>
      <c r="B389">
        <f>IF(A389="","",MASTER_REGISTER!F389)</f>
        <v/>
      </c>
      <c r="C389">
        <f>IF(A389="","",MASTER_REGISTER!C389)</f>
        <v/>
      </c>
      <c r="D389">
        <f>IF(A389="","",COUNTIF(ATTENDANCE_DAILY!C:C,A389))</f>
        <v/>
      </c>
      <c r="E389">
        <f>IF(A389="","",COUNTIFS(ATTENDANCE_DAILY!C:C,A389,ATTENDANCE_DAILY!E:E,"Present"))</f>
        <v/>
      </c>
      <c r="F389">
        <f>IF(A389="","",COUNTIFS(ATTENDANCE_DAILY!C:C,A389,ATTENDANCE_DAILY!E:E,"Absent"))</f>
        <v/>
      </c>
      <c r="G389" s="5">
        <f>IF(D389=0,"",E389/D389)</f>
        <v/>
      </c>
      <c r="H389" s="4">
        <f>IF(G389="","",IF(G389&lt;0.75,"Low Attendance","OK"))</f>
        <v/>
      </c>
    </row>
    <row r="390">
      <c r="A390">
        <f>IF(MASTER_REGISTER!E390="","",MASTER_REGISTER!E390)</f>
        <v/>
      </c>
      <c r="B390">
        <f>IF(A390="","",MASTER_REGISTER!F390)</f>
        <v/>
      </c>
      <c r="C390">
        <f>IF(A390="","",MASTER_REGISTER!C390)</f>
        <v/>
      </c>
      <c r="D390">
        <f>IF(A390="","",COUNTIF(ATTENDANCE_DAILY!C:C,A390))</f>
        <v/>
      </c>
      <c r="E390">
        <f>IF(A390="","",COUNTIFS(ATTENDANCE_DAILY!C:C,A390,ATTENDANCE_DAILY!E:E,"Present"))</f>
        <v/>
      </c>
      <c r="F390">
        <f>IF(A390="","",COUNTIFS(ATTENDANCE_DAILY!C:C,A390,ATTENDANCE_DAILY!E:E,"Absent"))</f>
        <v/>
      </c>
      <c r="G390" s="5">
        <f>IF(D390=0,"",E390/D390)</f>
        <v/>
      </c>
      <c r="H390" s="4">
        <f>IF(G390="","",IF(G390&lt;0.75,"Low Attendance","OK"))</f>
        <v/>
      </c>
    </row>
    <row r="391">
      <c r="A391">
        <f>IF(MASTER_REGISTER!E391="","",MASTER_REGISTER!E391)</f>
        <v/>
      </c>
      <c r="B391">
        <f>IF(A391="","",MASTER_REGISTER!F391)</f>
        <v/>
      </c>
      <c r="C391">
        <f>IF(A391="","",MASTER_REGISTER!C391)</f>
        <v/>
      </c>
      <c r="D391">
        <f>IF(A391="","",COUNTIF(ATTENDANCE_DAILY!C:C,A391))</f>
        <v/>
      </c>
      <c r="E391">
        <f>IF(A391="","",COUNTIFS(ATTENDANCE_DAILY!C:C,A391,ATTENDANCE_DAILY!E:E,"Present"))</f>
        <v/>
      </c>
      <c r="F391">
        <f>IF(A391="","",COUNTIFS(ATTENDANCE_DAILY!C:C,A391,ATTENDANCE_DAILY!E:E,"Absent"))</f>
        <v/>
      </c>
      <c r="G391" s="5">
        <f>IF(D391=0,"",E391/D391)</f>
        <v/>
      </c>
      <c r="H391" s="4">
        <f>IF(G391="","",IF(G391&lt;0.75,"Low Attendance","OK"))</f>
        <v/>
      </c>
    </row>
    <row r="392">
      <c r="A392">
        <f>IF(MASTER_REGISTER!E392="","",MASTER_REGISTER!E392)</f>
        <v/>
      </c>
      <c r="B392">
        <f>IF(A392="","",MASTER_REGISTER!F392)</f>
        <v/>
      </c>
      <c r="C392">
        <f>IF(A392="","",MASTER_REGISTER!C392)</f>
        <v/>
      </c>
      <c r="D392">
        <f>IF(A392="","",COUNTIF(ATTENDANCE_DAILY!C:C,A392))</f>
        <v/>
      </c>
      <c r="E392">
        <f>IF(A392="","",COUNTIFS(ATTENDANCE_DAILY!C:C,A392,ATTENDANCE_DAILY!E:E,"Present"))</f>
        <v/>
      </c>
      <c r="F392">
        <f>IF(A392="","",COUNTIFS(ATTENDANCE_DAILY!C:C,A392,ATTENDANCE_DAILY!E:E,"Absent"))</f>
        <v/>
      </c>
      <c r="G392" s="5">
        <f>IF(D392=0,"",E392/D392)</f>
        <v/>
      </c>
      <c r="H392" s="4">
        <f>IF(G392="","",IF(G392&lt;0.75,"Low Attendance","OK"))</f>
        <v/>
      </c>
    </row>
    <row r="393">
      <c r="A393">
        <f>IF(MASTER_REGISTER!E393="","",MASTER_REGISTER!E393)</f>
        <v/>
      </c>
      <c r="B393">
        <f>IF(A393="","",MASTER_REGISTER!F393)</f>
        <v/>
      </c>
      <c r="C393">
        <f>IF(A393="","",MASTER_REGISTER!C393)</f>
        <v/>
      </c>
      <c r="D393">
        <f>IF(A393="","",COUNTIF(ATTENDANCE_DAILY!C:C,A393))</f>
        <v/>
      </c>
      <c r="E393">
        <f>IF(A393="","",COUNTIFS(ATTENDANCE_DAILY!C:C,A393,ATTENDANCE_DAILY!E:E,"Present"))</f>
        <v/>
      </c>
      <c r="F393">
        <f>IF(A393="","",COUNTIFS(ATTENDANCE_DAILY!C:C,A393,ATTENDANCE_DAILY!E:E,"Absent"))</f>
        <v/>
      </c>
      <c r="G393" s="5">
        <f>IF(D393=0,"",E393/D393)</f>
        <v/>
      </c>
      <c r="H393" s="4">
        <f>IF(G393="","",IF(G393&lt;0.75,"Low Attendance","OK"))</f>
        <v/>
      </c>
    </row>
    <row r="394">
      <c r="A394">
        <f>IF(MASTER_REGISTER!E394="","",MASTER_REGISTER!E394)</f>
        <v/>
      </c>
      <c r="B394">
        <f>IF(A394="","",MASTER_REGISTER!F394)</f>
        <v/>
      </c>
      <c r="C394">
        <f>IF(A394="","",MASTER_REGISTER!C394)</f>
        <v/>
      </c>
      <c r="D394">
        <f>IF(A394="","",COUNTIF(ATTENDANCE_DAILY!C:C,A394))</f>
        <v/>
      </c>
      <c r="E394">
        <f>IF(A394="","",COUNTIFS(ATTENDANCE_DAILY!C:C,A394,ATTENDANCE_DAILY!E:E,"Present"))</f>
        <v/>
      </c>
      <c r="F394">
        <f>IF(A394="","",COUNTIFS(ATTENDANCE_DAILY!C:C,A394,ATTENDANCE_DAILY!E:E,"Absent"))</f>
        <v/>
      </c>
      <c r="G394" s="5">
        <f>IF(D394=0,"",E394/D394)</f>
        <v/>
      </c>
      <c r="H394" s="4">
        <f>IF(G394="","",IF(G394&lt;0.75,"Low Attendance","OK"))</f>
        <v/>
      </c>
    </row>
    <row r="395">
      <c r="A395">
        <f>IF(MASTER_REGISTER!E395="","",MASTER_REGISTER!E395)</f>
        <v/>
      </c>
      <c r="B395">
        <f>IF(A395="","",MASTER_REGISTER!F395)</f>
        <v/>
      </c>
      <c r="C395">
        <f>IF(A395="","",MASTER_REGISTER!C395)</f>
        <v/>
      </c>
      <c r="D395">
        <f>IF(A395="","",COUNTIF(ATTENDANCE_DAILY!C:C,A395))</f>
        <v/>
      </c>
      <c r="E395">
        <f>IF(A395="","",COUNTIFS(ATTENDANCE_DAILY!C:C,A395,ATTENDANCE_DAILY!E:E,"Present"))</f>
        <v/>
      </c>
      <c r="F395">
        <f>IF(A395="","",COUNTIFS(ATTENDANCE_DAILY!C:C,A395,ATTENDANCE_DAILY!E:E,"Absent"))</f>
        <v/>
      </c>
      <c r="G395" s="5">
        <f>IF(D395=0,"",E395/D395)</f>
        <v/>
      </c>
      <c r="H395" s="4">
        <f>IF(G395="","",IF(G395&lt;0.75,"Low Attendance","OK"))</f>
        <v/>
      </c>
    </row>
    <row r="396">
      <c r="A396">
        <f>IF(MASTER_REGISTER!E396="","",MASTER_REGISTER!E396)</f>
        <v/>
      </c>
      <c r="B396">
        <f>IF(A396="","",MASTER_REGISTER!F396)</f>
        <v/>
      </c>
      <c r="C396">
        <f>IF(A396="","",MASTER_REGISTER!C396)</f>
        <v/>
      </c>
      <c r="D396">
        <f>IF(A396="","",COUNTIF(ATTENDANCE_DAILY!C:C,A396))</f>
        <v/>
      </c>
      <c r="E396">
        <f>IF(A396="","",COUNTIFS(ATTENDANCE_DAILY!C:C,A396,ATTENDANCE_DAILY!E:E,"Present"))</f>
        <v/>
      </c>
      <c r="F396">
        <f>IF(A396="","",COUNTIFS(ATTENDANCE_DAILY!C:C,A396,ATTENDANCE_DAILY!E:E,"Absent"))</f>
        <v/>
      </c>
      <c r="G396" s="5">
        <f>IF(D396=0,"",E396/D396)</f>
        <v/>
      </c>
      <c r="H396" s="4">
        <f>IF(G396="","",IF(G396&lt;0.75,"Low Attendance","OK"))</f>
        <v/>
      </c>
    </row>
    <row r="397">
      <c r="A397">
        <f>IF(MASTER_REGISTER!E397="","",MASTER_REGISTER!E397)</f>
        <v/>
      </c>
      <c r="B397">
        <f>IF(A397="","",MASTER_REGISTER!F397)</f>
        <v/>
      </c>
      <c r="C397">
        <f>IF(A397="","",MASTER_REGISTER!C397)</f>
        <v/>
      </c>
      <c r="D397">
        <f>IF(A397="","",COUNTIF(ATTENDANCE_DAILY!C:C,A397))</f>
        <v/>
      </c>
      <c r="E397">
        <f>IF(A397="","",COUNTIFS(ATTENDANCE_DAILY!C:C,A397,ATTENDANCE_DAILY!E:E,"Present"))</f>
        <v/>
      </c>
      <c r="F397">
        <f>IF(A397="","",COUNTIFS(ATTENDANCE_DAILY!C:C,A397,ATTENDANCE_DAILY!E:E,"Absent"))</f>
        <v/>
      </c>
      <c r="G397" s="5">
        <f>IF(D397=0,"",E397/D397)</f>
        <v/>
      </c>
      <c r="H397" s="4">
        <f>IF(G397="","",IF(G397&lt;0.75,"Low Attendance","OK"))</f>
        <v/>
      </c>
    </row>
    <row r="398">
      <c r="A398">
        <f>IF(MASTER_REGISTER!E398="","",MASTER_REGISTER!E398)</f>
        <v/>
      </c>
      <c r="B398">
        <f>IF(A398="","",MASTER_REGISTER!F398)</f>
        <v/>
      </c>
      <c r="C398">
        <f>IF(A398="","",MASTER_REGISTER!C398)</f>
        <v/>
      </c>
      <c r="D398">
        <f>IF(A398="","",COUNTIF(ATTENDANCE_DAILY!C:C,A398))</f>
        <v/>
      </c>
      <c r="E398">
        <f>IF(A398="","",COUNTIFS(ATTENDANCE_DAILY!C:C,A398,ATTENDANCE_DAILY!E:E,"Present"))</f>
        <v/>
      </c>
      <c r="F398">
        <f>IF(A398="","",COUNTIFS(ATTENDANCE_DAILY!C:C,A398,ATTENDANCE_DAILY!E:E,"Absent"))</f>
        <v/>
      </c>
      <c r="G398" s="5">
        <f>IF(D398=0,"",E398/D398)</f>
        <v/>
      </c>
      <c r="H398" s="4">
        <f>IF(G398="","",IF(G398&lt;0.75,"Low Attendance","OK"))</f>
        <v/>
      </c>
    </row>
    <row r="399">
      <c r="A399">
        <f>IF(MASTER_REGISTER!E399="","",MASTER_REGISTER!E399)</f>
        <v/>
      </c>
      <c r="B399">
        <f>IF(A399="","",MASTER_REGISTER!F399)</f>
        <v/>
      </c>
      <c r="C399">
        <f>IF(A399="","",MASTER_REGISTER!C399)</f>
        <v/>
      </c>
      <c r="D399">
        <f>IF(A399="","",COUNTIF(ATTENDANCE_DAILY!C:C,A399))</f>
        <v/>
      </c>
      <c r="E399">
        <f>IF(A399="","",COUNTIFS(ATTENDANCE_DAILY!C:C,A399,ATTENDANCE_DAILY!E:E,"Present"))</f>
        <v/>
      </c>
      <c r="F399">
        <f>IF(A399="","",COUNTIFS(ATTENDANCE_DAILY!C:C,A399,ATTENDANCE_DAILY!E:E,"Absent"))</f>
        <v/>
      </c>
      <c r="G399" s="5">
        <f>IF(D399=0,"",E399/D399)</f>
        <v/>
      </c>
      <c r="H399" s="4">
        <f>IF(G399="","",IF(G399&lt;0.75,"Low Attendance","OK"))</f>
        <v/>
      </c>
    </row>
    <row r="400">
      <c r="A400">
        <f>IF(MASTER_REGISTER!E400="","",MASTER_REGISTER!E400)</f>
        <v/>
      </c>
      <c r="B400">
        <f>IF(A400="","",MASTER_REGISTER!F400)</f>
        <v/>
      </c>
      <c r="C400">
        <f>IF(A400="","",MASTER_REGISTER!C400)</f>
        <v/>
      </c>
      <c r="D400">
        <f>IF(A400="","",COUNTIF(ATTENDANCE_DAILY!C:C,A400))</f>
        <v/>
      </c>
      <c r="E400">
        <f>IF(A400="","",COUNTIFS(ATTENDANCE_DAILY!C:C,A400,ATTENDANCE_DAILY!E:E,"Present"))</f>
        <v/>
      </c>
      <c r="F400">
        <f>IF(A400="","",COUNTIFS(ATTENDANCE_DAILY!C:C,A400,ATTENDANCE_DAILY!E:E,"Absent"))</f>
        <v/>
      </c>
      <c r="G400" s="5">
        <f>IF(D400=0,"",E400/D400)</f>
        <v/>
      </c>
      <c r="H400" s="4">
        <f>IF(G400="","",IF(G400&lt;0.75,"Low Attendance","OK"))</f>
        <v/>
      </c>
    </row>
    <row r="401">
      <c r="A401">
        <f>IF(MASTER_REGISTER!E401="","",MASTER_REGISTER!E401)</f>
        <v/>
      </c>
      <c r="B401">
        <f>IF(A401="","",MASTER_REGISTER!F401)</f>
        <v/>
      </c>
      <c r="C401">
        <f>IF(A401="","",MASTER_REGISTER!C401)</f>
        <v/>
      </c>
      <c r="D401">
        <f>IF(A401="","",COUNTIF(ATTENDANCE_DAILY!C:C,A401))</f>
        <v/>
      </c>
      <c r="E401">
        <f>IF(A401="","",COUNTIFS(ATTENDANCE_DAILY!C:C,A401,ATTENDANCE_DAILY!E:E,"Present"))</f>
        <v/>
      </c>
      <c r="F401">
        <f>IF(A401="","",COUNTIFS(ATTENDANCE_DAILY!C:C,A401,ATTENDANCE_DAILY!E:E,"Absent"))</f>
        <v/>
      </c>
      <c r="G401" s="5">
        <f>IF(D401=0,"",E401/D401)</f>
        <v/>
      </c>
      <c r="H401" s="4">
        <f>IF(G401="","",IF(G401&lt;0.75,"Low Attendance","OK"))</f>
        <v/>
      </c>
    </row>
    <row r="402">
      <c r="A402">
        <f>IF(MASTER_REGISTER!E402="","",MASTER_REGISTER!E402)</f>
        <v/>
      </c>
      <c r="B402">
        <f>IF(A402="","",MASTER_REGISTER!F402)</f>
        <v/>
      </c>
      <c r="C402">
        <f>IF(A402="","",MASTER_REGISTER!C402)</f>
        <v/>
      </c>
      <c r="D402">
        <f>IF(A402="","",COUNTIF(ATTENDANCE_DAILY!C:C,A402))</f>
        <v/>
      </c>
      <c r="E402">
        <f>IF(A402="","",COUNTIFS(ATTENDANCE_DAILY!C:C,A402,ATTENDANCE_DAILY!E:E,"Present"))</f>
        <v/>
      </c>
      <c r="F402">
        <f>IF(A402="","",COUNTIFS(ATTENDANCE_DAILY!C:C,A402,ATTENDANCE_DAILY!E:E,"Absent"))</f>
        <v/>
      </c>
      <c r="G402" s="5">
        <f>IF(D402=0,"",E402/D402)</f>
        <v/>
      </c>
      <c r="H402" s="4">
        <f>IF(G402="","",IF(G402&lt;0.75,"Low Attendance","OK"))</f>
        <v/>
      </c>
    </row>
    <row r="403">
      <c r="A403">
        <f>IF(MASTER_REGISTER!E403="","",MASTER_REGISTER!E403)</f>
        <v/>
      </c>
      <c r="B403">
        <f>IF(A403="","",MASTER_REGISTER!F403)</f>
        <v/>
      </c>
      <c r="C403">
        <f>IF(A403="","",MASTER_REGISTER!C403)</f>
        <v/>
      </c>
      <c r="D403">
        <f>IF(A403="","",COUNTIF(ATTENDANCE_DAILY!C:C,A403))</f>
        <v/>
      </c>
      <c r="E403">
        <f>IF(A403="","",COUNTIFS(ATTENDANCE_DAILY!C:C,A403,ATTENDANCE_DAILY!E:E,"Present"))</f>
        <v/>
      </c>
      <c r="F403">
        <f>IF(A403="","",COUNTIFS(ATTENDANCE_DAILY!C:C,A403,ATTENDANCE_DAILY!E:E,"Absent"))</f>
        <v/>
      </c>
      <c r="G403" s="5">
        <f>IF(D403=0,"",E403/D403)</f>
        <v/>
      </c>
      <c r="H403" s="4">
        <f>IF(G403="","",IF(G403&lt;0.75,"Low Attendance","OK"))</f>
        <v/>
      </c>
    </row>
    <row r="404">
      <c r="A404">
        <f>IF(MASTER_REGISTER!E404="","",MASTER_REGISTER!E404)</f>
        <v/>
      </c>
      <c r="B404">
        <f>IF(A404="","",MASTER_REGISTER!F404)</f>
        <v/>
      </c>
      <c r="C404">
        <f>IF(A404="","",MASTER_REGISTER!C404)</f>
        <v/>
      </c>
      <c r="D404">
        <f>IF(A404="","",COUNTIF(ATTENDANCE_DAILY!C:C,A404))</f>
        <v/>
      </c>
      <c r="E404">
        <f>IF(A404="","",COUNTIFS(ATTENDANCE_DAILY!C:C,A404,ATTENDANCE_DAILY!E:E,"Present"))</f>
        <v/>
      </c>
      <c r="F404">
        <f>IF(A404="","",COUNTIFS(ATTENDANCE_DAILY!C:C,A404,ATTENDANCE_DAILY!E:E,"Absent"))</f>
        <v/>
      </c>
      <c r="G404" s="5">
        <f>IF(D404=0,"",E404/D404)</f>
        <v/>
      </c>
      <c r="H404" s="4">
        <f>IF(G404="","",IF(G404&lt;0.75,"Low Attendance","OK"))</f>
        <v/>
      </c>
    </row>
    <row r="405">
      <c r="A405">
        <f>IF(MASTER_REGISTER!E405="","",MASTER_REGISTER!E405)</f>
        <v/>
      </c>
      <c r="B405">
        <f>IF(A405="","",MASTER_REGISTER!F405)</f>
        <v/>
      </c>
      <c r="C405">
        <f>IF(A405="","",MASTER_REGISTER!C405)</f>
        <v/>
      </c>
      <c r="D405">
        <f>IF(A405="","",COUNTIF(ATTENDANCE_DAILY!C:C,A405))</f>
        <v/>
      </c>
      <c r="E405">
        <f>IF(A405="","",COUNTIFS(ATTENDANCE_DAILY!C:C,A405,ATTENDANCE_DAILY!E:E,"Present"))</f>
        <v/>
      </c>
      <c r="F405">
        <f>IF(A405="","",COUNTIFS(ATTENDANCE_DAILY!C:C,A405,ATTENDANCE_DAILY!E:E,"Absent"))</f>
        <v/>
      </c>
      <c r="G405" s="5">
        <f>IF(D405=0,"",E405/D405)</f>
        <v/>
      </c>
      <c r="H405" s="4">
        <f>IF(G405="","",IF(G405&lt;0.75,"Low Attendance","OK"))</f>
        <v/>
      </c>
    </row>
    <row r="406">
      <c r="A406">
        <f>IF(MASTER_REGISTER!E406="","",MASTER_REGISTER!E406)</f>
        <v/>
      </c>
      <c r="B406">
        <f>IF(A406="","",MASTER_REGISTER!F406)</f>
        <v/>
      </c>
      <c r="C406">
        <f>IF(A406="","",MASTER_REGISTER!C406)</f>
        <v/>
      </c>
      <c r="D406">
        <f>IF(A406="","",COUNTIF(ATTENDANCE_DAILY!C:C,A406))</f>
        <v/>
      </c>
      <c r="E406">
        <f>IF(A406="","",COUNTIFS(ATTENDANCE_DAILY!C:C,A406,ATTENDANCE_DAILY!E:E,"Present"))</f>
        <v/>
      </c>
      <c r="F406">
        <f>IF(A406="","",COUNTIFS(ATTENDANCE_DAILY!C:C,A406,ATTENDANCE_DAILY!E:E,"Absent"))</f>
        <v/>
      </c>
      <c r="G406" s="5">
        <f>IF(D406=0,"",E406/D406)</f>
        <v/>
      </c>
      <c r="H406" s="4">
        <f>IF(G406="","",IF(G406&lt;0.75,"Low Attendance","OK"))</f>
        <v/>
      </c>
    </row>
    <row r="407">
      <c r="A407">
        <f>IF(MASTER_REGISTER!E407="","",MASTER_REGISTER!E407)</f>
        <v/>
      </c>
      <c r="B407">
        <f>IF(A407="","",MASTER_REGISTER!F407)</f>
        <v/>
      </c>
      <c r="C407">
        <f>IF(A407="","",MASTER_REGISTER!C407)</f>
        <v/>
      </c>
      <c r="D407">
        <f>IF(A407="","",COUNTIF(ATTENDANCE_DAILY!C:C,A407))</f>
        <v/>
      </c>
      <c r="E407">
        <f>IF(A407="","",COUNTIFS(ATTENDANCE_DAILY!C:C,A407,ATTENDANCE_DAILY!E:E,"Present"))</f>
        <v/>
      </c>
      <c r="F407">
        <f>IF(A407="","",COUNTIFS(ATTENDANCE_DAILY!C:C,A407,ATTENDANCE_DAILY!E:E,"Absent"))</f>
        <v/>
      </c>
      <c r="G407" s="5">
        <f>IF(D407=0,"",E407/D407)</f>
        <v/>
      </c>
      <c r="H407" s="4">
        <f>IF(G407="","",IF(G407&lt;0.75,"Low Attendance","OK"))</f>
        <v/>
      </c>
    </row>
    <row r="408">
      <c r="A408">
        <f>IF(MASTER_REGISTER!E408="","",MASTER_REGISTER!E408)</f>
        <v/>
      </c>
      <c r="B408">
        <f>IF(A408="","",MASTER_REGISTER!F408)</f>
        <v/>
      </c>
      <c r="C408">
        <f>IF(A408="","",MASTER_REGISTER!C408)</f>
        <v/>
      </c>
      <c r="D408">
        <f>IF(A408="","",COUNTIF(ATTENDANCE_DAILY!C:C,A408))</f>
        <v/>
      </c>
      <c r="E408">
        <f>IF(A408="","",COUNTIFS(ATTENDANCE_DAILY!C:C,A408,ATTENDANCE_DAILY!E:E,"Present"))</f>
        <v/>
      </c>
      <c r="F408">
        <f>IF(A408="","",COUNTIFS(ATTENDANCE_DAILY!C:C,A408,ATTENDANCE_DAILY!E:E,"Absent"))</f>
        <v/>
      </c>
      <c r="G408" s="5">
        <f>IF(D408=0,"",E408/D408)</f>
        <v/>
      </c>
      <c r="H408" s="4">
        <f>IF(G408="","",IF(G408&lt;0.75,"Low Attendance","OK"))</f>
        <v/>
      </c>
    </row>
    <row r="409">
      <c r="A409">
        <f>IF(MASTER_REGISTER!E409="","",MASTER_REGISTER!E409)</f>
        <v/>
      </c>
      <c r="B409">
        <f>IF(A409="","",MASTER_REGISTER!F409)</f>
        <v/>
      </c>
      <c r="C409">
        <f>IF(A409="","",MASTER_REGISTER!C409)</f>
        <v/>
      </c>
      <c r="D409">
        <f>IF(A409="","",COUNTIF(ATTENDANCE_DAILY!C:C,A409))</f>
        <v/>
      </c>
      <c r="E409">
        <f>IF(A409="","",COUNTIFS(ATTENDANCE_DAILY!C:C,A409,ATTENDANCE_DAILY!E:E,"Present"))</f>
        <v/>
      </c>
      <c r="F409">
        <f>IF(A409="","",COUNTIFS(ATTENDANCE_DAILY!C:C,A409,ATTENDANCE_DAILY!E:E,"Absent"))</f>
        <v/>
      </c>
      <c r="G409" s="5">
        <f>IF(D409=0,"",E409/D409)</f>
        <v/>
      </c>
      <c r="H409" s="4">
        <f>IF(G409="","",IF(G409&lt;0.75,"Low Attendance","OK"))</f>
        <v/>
      </c>
    </row>
    <row r="410">
      <c r="A410">
        <f>IF(MASTER_REGISTER!E410="","",MASTER_REGISTER!E410)</f>
        <v/>
      </c>
      <c r="B410">
        <f>IF(A410="","",MASTER_REGISTER!F410)</f>
        <v/>
      </c>
      <c r="C410">
        <f>IF(A410="","",MASTER_REGISTER!C410)</f>
        <v/>
      </c>
      <c r="D410">
        <f>IF(A410="","",COUNTIF(ATTENDANCE_DAILY!C:C,A410))</f>
        <v/>
      </c>
      <c r="E410">
        <f>IF(A410="","",COUNTIFS(ATTENDANCE_DAILY!C:C,A410,ATTENDANCE_DAILY!E:E,"Present"))</f>
        <v/>
      </c>
      <c r="F410">
        <f>IF(A410="","",COUNTIFS(ATTENDANCE_DAILY!C:C,A410,ATTENDANCE_DAILY!E:E,"Absent"))</f>
        <v/>
      </c>
      <c r="G410" s="5">
        <f>IF(D410=0,"",E410/D410)</f>
        <v/>
      </c>
      <c r="H410" s="4">
        <f>IF(G410="","",IF(G410&lt;0.75,"Low Attendance","OK"))</f>
        <v/>
      </c>
    </row>
    <row r="411">
      <c r="A411">
        <f>IF(MASTER_REGISTER!E411="","",MASTER_REGISTER!E411)</f>
        <v/>
      </c>
      <c r="B411">
        <f>IF(A411="","",MASTER_REGISTER!F411)</f>
        <v/>
      </c>
      <c r="C411">
        <f>IF(A411="","",MASTER_REGISTER!C411)</f>
        <v/>
      </c>
      <c r="D411">
        <f>IF(A411="","",COUNTIF(ATTENDANCE_DAILY!C:C,A411))</f>
        <v/>
      </c>
      <c r="E411">
        <f>IF(A411="","",COUNTIFS(ATTENDANCE_DAILY!C:C,A411,ATTENDANCE_DAILY!E:E,"Present"))</f>
        <v/>
      </c>
      <c r="F411">
        <f>IF(A411="","",COUNTIFS(ATTENDANCE_DAILY!C:C,A411,ATTENDANCE_DAILY!E:E,"Absent"))</f>
        <v/>
      </c>
      <c r="G411" s="5">
        <f>IF(D411=0,"",E411/D411)</f>
        <v/>
      </c>
      <c r="H411" s="4">
        <f>IF(G411="","",IF(G411&lt;0.75,"Low Attendance","OK"))</f>
        <v/>
      </c>
    </row>
    <row r="412">
      <c r="A412">
        <f>IF(MASTER_REGISTER!E412="","",MASTER_REGISTER!E412)</f>
        <v/>
      </c>
      <c r="B412">
        <f>IF(A412="","",MASTER_REGISTER!F412)</f>
        <v/>
      </c>
      <c r="C412">
        <f>IF(A412="","",MASTER_REGISTER!C412)</f>
        <v/>
      </c>
      <c r="D412">
        <f>IF(A412="","",COUNTIF(ATTENDANCE_DAILY!C:C,A412))</f>
        <v/>
      </c>
      <c r="E412">
        <f>IF(A412="","",COUNTIFS(ATTENDANCE_DAILY!C:C,A412,ATTENDANCE_DAILY!E:E,"Present"))</f>
        <v/>
      </c>
      <c r="F412">
        <f>IF(A412="","",COUNTIFS(ATTENDANCE_DAILY!C:C,A412,ATTENDANCE_DAILY!E:E,"Absent"))</f>
        <v/>
      </c>
      <c r="G412" s="5">
        <f>IF(D412=0,"",E412/D412)</f>
        <v/>
      </c>
      <c r="H412" s="4">
        <f>IF(G412="","",IF(G412&lt;0.75,"Low Attendance","OK"))</f>
        <v/>
      </c>
    </row>
    <row r="413">
      <c r="A413">
        <f>IF(MASTER_REGISTER!E413="","",MASTER_REGISTER!E413)</f>
        <v/>
      </c>
      <c r="B413">
        <f>IF(A413="","",MASTER_REGISTER!F413)</f>
        <v/>
      </c>
      <c r="C413">
        <f>IF(A413="","",MASTER_REGISTER!C413)</f>
        <v/>
      </c>
      <c r="D413">
        <f>IF(A413="","",COUNTIF(ATTENDANCE_DAILY!C:C,A413))</f>
        <v/>
      </c>
      <c r="E413">
        <f>IF(A413="","",COUNTIFS(ATTENDANCE_DAILY!C:C,A413,ATTENDANCE_DAILY!E:E,"Present"))</f>
        <v/>
      </c>
      <c r="F413">
        <f>IF(A413="","",COUNTIFS(ATTENDANCE_DAILY!C:C,A413,ATTENDANCE_DAILY!E:E,"Absent"))</f>
        <v/>
      </c>
      <c r="G413" s="5">
        <f>IF(D413=0,"",E413/D413)</f>
        <v/>
      </c>
      <c r="H413" s="4">
        <f>IF(G413="","",IF(G413&lt;0.75,"Low Attendance","OK"))</f>
        <v/>
      </c>
    </row>
    <row r="414">
      <c r="A414">
        <f>IF(MASTER_REGISTER!E414="","",MASTER_REGISTER!E414)</f>
        <v/>
      </c>
      <c r="B414">
        <f>IF(A414="","",MASTER_REGISTER!F414)</f>
        <v/>
      </c>
      <c r="C414">
        <f>IF(A414="","",MASTER_REGISTER!C414)</f>
        <v/>
      </c>
      <c r="D414">
        <f>IF(A414="","",COUNTIF(ATTENDANCE_DAILY!C:C,A414))</f>
        <v/>
      </c>
      <c r="E414">
        <f>IF(A414="","",COUNTIFS(ATTENDANCE_DAILY!C:C,A414,ATTENDANCE_DAILY!E:E,"Present"))</f>
        <v/>
      </c>
      <c r="F414">
        <f>IF(A414="","",COUNTIFS(ATTENDANCE_DAILY!C:C,A414,ATTENDANCE_DAILY!E:E,"Absent"))</f>
        <v/>
      </c>
      <c r="G414" s="5">
        <f>IF(D414=0,"",E414/D414)</f>
        <v/>
      </c>
      <c r="H414" s="4">
        <f>IF(G414="","",IF(G414&lt;0.75,"Low Attendance","OK"))</f>
        <v/>
      </c>
    </row>
    <row r="415">
      <c r="A415">
        <f>IF(MASTER_REGISTER!E415="","",MASTER_REGISTER!E415)</f>
        <v/>
      </c>
      <c r="B415">
        <f>IF(A415="","",MASTER_REGISTER!F415)</f>
        <v/>
      </c>
      <c r="C415">
        <f>IF(A415="","",MASTER_REGISTER!C415)</f>
        <v/>
      </c>
      <c r="D415">
        <f>IF(A415="","",COUNTIF(ATTENDANCE_DAILY!C:C,A415))</f>
        <v/>
      </c>
      <c r="E415">
        <f>IF(A415="","",COUNTIFS(ATTENDANCE_DAILY!C:C,A415,ATTENDANCE_DAILY!E:E,"Present"))</f>
        <v/>
      </c>
      <c r="F415">
        <f>IF(A415="","",COUNTIFS(ATTENDANCE_DAILY!C:C,A415,ATTENDANCE_DAILY!E:E,"Absent"))</f>
        <v/>
      </c>
      <c r="G415" s="5">
        <f>IF(D415=0,"",E415/D415)</f>
        <v/>
      </c>
      <c r="H415" s="4">
        <f>IF(G415="","",IF(G415&lt;0.75,"Low Attendance","OK"))</f>
        <v/>
      </c>
    </row>
    <row r="416">
      <c r="A416">
        <f>IF(MASTER_REGISTER!E416="","",MASTER_REGISTER!E416)</f>
        <v/>
      </c>
      <c r="B416">
        <f>IF(A416="","",MASTER_REGISTER!F416)</f>
        <v/>
      </c>
      <c r="C416">
        <f>IF(A416="","",MASTER_REGISTER!C416)</f>
        <v/>
      </c>
      <c r="D416">
        <f>IF(A416="","",COUNTIF(ATTENDANCE_DAILY!C:C,A416))</f>
        <v/>
      </c>
      <c r="E416">
        <f>IF(A416="","",COUNTIFS(ATTENDANCE_DAILY!C:C,A416,ATTENDANCE_DAILY!E:E,"Present"))</f>
        <v/>
      </c>
      <c r="F416">
        <f>IF(A416="","",COUNTIFS(ATTENDANCE_DAILY!C:C,A416,ATTENDANCE_DAILY!E:E,"Absent"))</f>
        <v/>
      </c>
      <c r="G416" s="5">
        <f>IF(D416=0,"",E416/D416)</f>
        <v/>
      </c>
      <c r="H416" s="4">
        <f>IF(G416="","",IF(G416&lt;0.75,"Low Attendance","OK"))</f>
        <v/>
      </c>
    </row>
    <row r="417">
      <c r="A417">
        <f>IF(MASTER_REGISTER!E417="","",MASTER_REGISTER!E417)</f>
        <v/>
      </c>
      <c r="B417">
        <f>IF(A417="","",MASTER_REGISTER!F417)</f>
        <v/>
      </c>
      <c r="C417">
        <f>IF(A417="","",MASTER_REGISTER!C417)</f>
        <v/>
      </c>
      <c r="D417">
        <f>IF(A417="","",COUNTIF(ATTENDANCE_DAILY!C:C,A417))</f>
        <v/>
      </c>
      <c r="E417">
        <f>IF(A417="","",COUNTIFS(ATTENDANCE_DAILY!C:C,A417,ATTENDANCE_DAILY!E:E,"Present"))</f>
        <v/>
      </c>
      <c r="F417">
        <f>IF(A417="","",COUNTIFS(ATTENDANCE_DAILY!C:C,A417,ATTENDANCE_DAILY!E:E,"Absent"))</f>
        <v/>
      </c>
      <c r="G417" s="5">
        <f>IF(D417=0,"",E417/D417)</f>
        <v/>
      </c>
      <c r="H417" s="4">
        <f>IF(G417="","",IF(G417&lt;0.75,"Low Attendance","OK"))</f>
        <v/>
      </c>
    </row>
    <row r="418">
      <c r="A418">
        <f>IF(MASTER_REGISTER!E418="","",MASTER_REGISTER!E418)</f>
        <v/>
      </c>
      <c r="B418">
        <f>IF(A418="","",MASTER_REGISTER!F418)</f>
        <v/>
      </c>
      <c r="C418">
        <f>IF(A418="","",MASTER_REGISTER!C418)</f>
        <v/>
      </c>
      <c r="D418">
        <f>IF(A418="","",COUNTIF(ATTENDANCE_DAILY!C:C,A418))</f>
        <v/>
      </c>
      <c r="E418">
        <f>IF(A418="","",COUNTIFS(ATTENDANCE_DAILY!C:C,A418,ATTENDANCE_DAILY!E:E,"Present"))</f>
        <v/>
      </c>
      <c r="F418">
        <f>IF(A418="","",COUNTIFS(ATTENDANCE_DAILY!C:C,A418,ATTENDANCE_DAILY!E:E,"Absent"))</f>
        <v/>
      </c>
      <c r="G418" s="5">
        <f>IF(D418=0,"",E418/D418)</f>
        <v/>
      </c>
      <c r="H418" s="4">
        <f>IF(G418="","",IF(G418&lt;0.75,"Low Attendance","OK"))</f>
        <v/>
      </c>
    </row>
    <row r="419">
      <c r="A419">
        <f>IF(MASTER_REGISTER!E419="","",MASTER_REGISTER!E419)</f>
        <v/>
      </c>
      <c r="B419">
        <f>IF(A419="","",MASTER_REGISTER!F419)</f>
        <v/>
      </c>
      <c r="C419">
        <f>IF(A419="","",MASTER_REGISTER!C419)</f>
        <v/>
      </c>
      <c r="D419">
        <f>IF(A419="","",COUNTIF(ATTENDANCE_DAILY!C:C,A419))</f>
        <v/>
      </c>
      <c r="E419">
        <f>IF(A419="","",COUNTIFS(ATTENDANCE_DAILY!C:C,A419,ATTENDANCE_DAILY!E:E,"Present"))</f>
        <v/>
      </c>
      <c r="F419">
        <f>IF(A419="","",COUNTIFS(ATTENDANCE_DAILY!C:C,A419,ATTENDANCE_DAILY!E:E,"Absent"))</f>
        <v/>
      </c>
      <c r="G419" s="5">
        <f>IF(D419=0,"",E419/D419)</f>
        <v/>
      </c>
      <c r="H419" s="4">
        <f>IF(G419="","",IF(G419&lt;0.75,"Low Attendance","OK"))</f>
        <v/>
      </c>
    </row>
    <row r="420">
      <c r="A420">
        <f>IF(MASTER_REGISTER!E420="","",MASTER_REGISTER!E420)</f>
        <v/>
      </c>
      <c r="B420">
        <f>IF(A420="","",MASTER_REGISTER!F420)</f>
        <v/>
      </c>
      <c r="C420">
        <f>IF(A420="","",MASTER_REGISTER!C420)</f>
        <v/>
      </c>
      <c r="D420">
        <f>IF(A420="","",COUNTIF(ATTENDANCE_DAILY!C:C,A420))</f>
        <v/>
      </c>
      <c r="E420">
        <f>IF(A420="","",COUNTIFS(ATTENDANCE_DAILY!C:C,A420,ATTENDANCE_DAILY!E:E,"Present"))</f>
        <v/>
      </c>
      <c r="F420">
        <f>IF(A420="","",COUNTIFS(ATTENDANCE_DAILY!C:C,A420,ATTENDANCE_DAILY!E:E,"Absent"))</f>
        <v/>
      </c>
      <c r="G420" s="5">
        <f>IF(D420=0,"",E420/D420)</f>
        <v/>
      </c>
      <c r="H420" s="4">
        <f>IF(G420="","",IF(G420&lt;0.75,"Low Attendance","OK"))</f>
        <v/>
      </c>
    </row>
    <row r="421">
      <c r="A421">
        <f>IF(MASTER_REGISTER!E421="","",MASTER_REGISTER!E421)</f>
        <v/>
      </c>
      <c r="B421">
        <f>IF(A421="","",MASTER_REGISTER!F421)</f>
        <v/>
      </c>
      <c r="C421">
        <f>IF(A421="","",MASTER_REGISTER!C421)</f>
        <v/>
      </c>
      <c r="D421">
        <f>IF(A421="","",COUNTIF(ATTENDANCE_DAILY!C:C,A421))</f>
        <v/>
      </c>
      <c r="E421">
        <f>IF(A421="","",COUNTIFS(ATTENDANCE_DAILY!C:C,A421,ATTENDANCE_DAILY!E:E,"Present"))</f>
        <v/>
      </c>
      <c r="F421">
        <f>IF(A421="","",COUNTIFS(ATTENDANCE_DAILY!C:C,A421,ATTENDANCE_DAILY!E:E,"Absent"))</f>
        <v/>
      </c>
      <c r="G421" s="5">
        <f>IF(D421=0,"",E421/D421)</f>
        <v/>
      </c>
      <c r="H421" s="4">
        <f>IF(G421="","",IF(G421&lt;0.75,"Low Attendance","OK"))</f>
        <v/>
      </c>
    </row>
    <row r="422">
      <c r="A422">
        <f>IF(MASTER_REGISTER!E422="","",MASTER_REGISTER!E422)</f>
        <v/>
      </c>
      <c r="B422">
        <f>IF(A422="","",MASTER_REGISTER!F422)</f>
        <v/>
      </c>
      <c r="C422">
        <f>IF(A422="","",MASTER_REGISTER!C422)</f>
        <v/>
      </c>
      <c r="D422">
        <f>IF(A422="","",COUNTIF(ATTENDANCE_DAILY!C:C,A422))</f>
        <v/>
      </c>
      <c r="E422">
        <f>IF(A422="","",COUNTIFS(ATTENDANCE_DAILY!C:C,A422,ATTENDANCE_DAILY!E:E,"Present"))</f>
        <v/>
      </c>
      <c r="F422">
        <f>IF(A422="","",COUNTIFS(ATTENDANCE_DAILY!C:C,A422,ATTENDANCE_DAILY!E:E,"Absent"))</f>
        <v/>
      </c>
      <c r="G422" s="5">
        <f>IF(D422=0,"",E422/D422)</f>
        <v/>
      </c>
      <c r="H422" s="4">
        <f>IF(G422="","",IF(G422&lt;0.75,"Low Attendance","OK"))</f>
        <v/>
      </c>
    </row>
    <row r="423">
      <c r="A423">
        <f>IF(MASTER_REGISTER!E423="","",MASTER_REGISTER!E423)</f>
        <v/>
      </c>
      <c r="B423">
        <f>IF(A423="","",MASTER_REGISTER!F423)</f>
        <v/>
      </c>
      <c r="C423">
        <f>IF(A423="","",MASTER_REGISTER!C423)</f>
        <v/>
      </c>
      <c r="D423">
        <f>IF(A423="","",COUNTIF(ATTENDANCE_DAILY!C:C,A423))</f>
        <v/>
      </c>
      <c r="E423">
        <f>IF(A423="","",COUNTIFS(ATTENDANCE_DAILY!C:C,A423,ATTENDANCE_DAILY!E:E,"Present"))</f>
        <v/>
      </c>
      <c r="F423">
        <f>IF(A423="","",COUNTIFS(ATTENDANCE_DAILY!C:C,A423,ATTENDANCE_DAILY!E:E,"Absent"))</f>
        <v/>
      </c>
      <c r="G423" s="5">
        <f>IF(D423=0,"",E423/D423)</f>
        <v/>
      </c>
      <c r="H423" s="4">
        <f>IF(G423="","",IF(G423&lt;0.75,"Low Attendance","OK"))</f>
        <v/>
      </c>
    </row>
    <row r="424">
      <c r="A424">
        <f>IF(MASTER_REGISTER!E424="","",MASTER_REGISTER!E424)</f>
        <v/>
      </c>
      <c r="B424">
        <f>IF(A424="","",MASTER_REGISTER!F424)</f>
        <v/>
      </c>
      <c r="C424">
        <f>IF(A424="","",MASTER_REGISTER!C424)</f>
        <v/>
      </c>
      <c r="D424">
        <f>IF(A424="","",COUNTIF(ATTENDANCE_DAILY!C:C,A424))</f>
        <v/>
      </c>
      <c r="E424">
        <f>IF(A424="","",COUNTIFS(ATTENDANCE_DAILY!C:C,A424,ATTENDANCE_DAILY!E:E,"Present"))</f>
        <v/>
      </c>
      <c r="F424">
        <f>IF(A424="","",COUNTIFS(ATTENDANCE_DAILY!C:C,A424,ATTENDANCE_DAILY!E:E,"Absent"))</f>
        <v/>
      </c>
      <c r="G424" s="5">
        <f>IF(D424=0,"",E424/D424)</f>
        <v/>
      </c>
      <c r="H424" s="4">
        <f>IF(G424="","",IF(G424&lt;0.75,"Low Attendance","OK"))</f>
        <v/>
      </c>
    </row>
    <row r="425">
      <c r="A425">
        <f>IF(MASTER_REGISTER!E425="","",MASTER_REGISTER!E425)</f>
        <v/>
      </c>
      <c r="B425">
        <f>IF(A425="","",MASTER_REGISTER!F425)</f>
        <v/>
      </c>
      <c r="C425">
        <f>IF(A425="","",MASTER_REGISTER!C425)</f>
        <v/>
      </c>
      <c r="D425">
        <f>IF(A425="","",COUNTIF(ATTENDANCE_DAILY!C:C,A425))</f>
        <v/>
      </c>
      <c r="E425">
        <f>IF(A425="","",COUNTIFS(ATTENDANCE_DAILY!C:C,A425,ATTENDANCE_DAILY!E:E,"Present"))</f>
        <v/>
      </c>
      <c r="F425">
        <f>IF(A425="","",COUNTIFS(ATTENDANCE_DAILY!C:C,A425,ATTENDANCE_DAILY!E:E,"Absent"))</f>
        <v/>
      </c>
      <c r="G425" s="5">
        <f>IF(D425=0,"",E425/D425)</f>
        <v/>
      </c>
      <c r="H425" s="4">
        <f>IF(G425="","",IF(G425&lt;0.75,"Low Attendance","OK"))</f>
        <v/>
      </c>
    </row>
    <row r="426">
      <c r="A426">
        <f>IF(MASTER_REGISTER!E426="","",MASTER_REGISTER!E426)</f>
        <v/>
      </c>
      <c r="B426">
        <f>IF(A426="","",MASTER_REGISTER!F426)</f>
        <v/>
      </c>
      <c r="C426">
        <f>IF(A426="","",MASTER_REGISTER!C426)</f>
        <v/>
      </c>
      <c r="D426">
        <f>IF(A426="","",COUNTIF(ATTENDANCE_DAILY!C:C,A426))</f>
        <v/>
      </c>
      <c r="E426">
        <f>IF(A426="","",COUNTIFS(ATTENDANCE_DAILY!C:C,A426,ATTENDANCE_DAILY!E:E,"Present"))</f>
        <v/>
      </c>
      <c r="F426">
        <f>IF(A426="","",COUNTIFS(ATTENDANCE_DAILY!C:C,A426,ATTENDANCE_DAILY!E:E,"Absent"))</f>
        <v/>
      </c>
      <c r="G426" s="5">
        <f>IF(D426=0,"",E426/D426)</f>
        <v/>
      </c>
      <c r="H426" s="4">
        <f>IF(G426="","",IF(G426&lt;0.75,"Low Attendance","OK"))</f>
        <v/>
      </c>
    </row>
    <row r="427">
      <c r="A427">
        <f>IF(MASTER_REGISTER!E427="","",MASTER_REGISTER!E427)</f>
        <v/>
      </c>
      <c r="B427">
        <f>IF(A427="","",MASTER_REGISTER!F427)</f>
        <v/>
      </c>
      <c r="C427">
        <f>IF(A427="","",MASTER_REGISTER!C427)</f>
        <v/>
      </c>
      <c r="D427">
        <f>IF(A427="","",COUNTIF(ATTENDANCE_DAILY!C:C,A427))</f>
        <v/>
      </c>
      <c r="E427">
        <f>IF(A427="","",COUNTIFS(ATTENDANCE_DAILY!C:C,A427,ATTENDANCE_DAILY!E:E,"Present"))</f>
        <v/>
      </c>
      <c r="F427">
        <f>IF(A427="","",COUNTIFS(ATTENDANCE_DAILY!C:C,A427,ATTENDANCE_DAILY!E:E,"Absent"))</f>
        <v/>
      </c>
      <c r="G427" s="5">
        <f>IF(D427=0,"",E427/D427)</f>
        <v/>
      </c>
      <c r="H427" s="4">
        <f>IF(G427="","",IF(G427&lt;0.75,"Low Attendance","OK"))</f>
        <v/>
      </c>
    </row>
    <row r="428">
      <c r="A428">
        <f>IF(MASTER_REGISTER!E428="","",MASTER_REGISTER!E428)</f>
        <v/>
      </c>
      <c r="B428">
        <f>IF(A428="","",MASTER_REGISTER!F428)</f>
        <v/>
      </c>
      <c r="C428">
        <f>IF(A428="","",MASTER_REGISTER!C428)</f>
        <v/>
      </c>
      <c r="D428">
        <f>IF(A428="","",COUNTIF(ATTENDANCE_DAILY!C:C,A428))</f>
        <v/>
      </c>
      <c r="E428">
        <f>IF(A428="","",COUNTIFS(ATTENDANCE_DAILY!C:C,A428,ATTENDANCE_DAILY!E:E,"Present"))</f>
        <v/>
      </c>
      <c r="F428">
        <f>IF(A428="","",COUNTIFS(ATTENDANCE_DAILY!C:C,A428,ATTENDANCE_DAILY!E:E,"Absent"))</f>
        <v/>
      </c>
      <c r="G428" s="5">
        <f>IF(D428=0,"",E428/D428)</f>
        <v/>
      </c>
      <c r="H428" s="4">
        <f>IF(G428="","",IF(G428&lt;0.75,"Low Attendance","OK"))</f>
        <v/>
      </c>
    </row>
    <row r="429">
      <c r="A429">
        <f>IF(MASTER_REGISTER!E429="","",MASTER_REGISTER!E429)</f>
        <v/>
      </c>
      <c r="B429">
        <f>IF(A429="","",MASTER_REGISTER!F429)</f>
        <v/>
      </c>
      <c r="C429">
        <f>IF(A429="","",MASTER_REGISTER!C429)</f>
        <v/>
      </c>
      <c r="D429">
        <f>IF(A429="","",COUNTIF(ATTENDANCE_DAILY!C:C,A429))</f>
        <v/>
      </c>
      <c r="E429">
        <f>IF(A429="","",COUNTIFS(ATTENDANCE_DAILY!C:C,A429,ATTENDANCE_DAILY!E:E,"Present"))</f>
        <v/>
      </c>
      <c r="F429">
        <f>IF(A429="","",COUNTIFS(ATTENDANCE_DAILY!C:C,A429,ATTENDANCE_DAILY!E:E,"Absent"))</f>
        <v/>
      </c>
      <c r="G429" s="5">
        <f>IF(D429=0,"",E429/D429)</f>
        <v/>
      </c>
      <c r="H429" s="4">
        <f>IF(G429="","",IF(G429&lt;0.75,"Low Attendance","OK"))</f>
        <v/>
      </c>
    </row>
    <row r="430">
      <c r="A430">
        <f>IF(MASTER_REGISTER!E430="","",MASTER_REGISTER!E430)</f>
        <v/>
      </c>
      <c r="B430">
        <f>IF(A430="","",MASTER_REGISTER!F430)</f>
        <v/>
      </c>
      <c r="C430">
        <f>IF(A430="","",MASTER_REGISTER!C430)</f>
        <v/>
      </c>
      <c r="D430">
        <f>IF(A430="","",COUNTIF(ATTENDANCE_DAILY!C:C,A430))</f>
        <v/>
      </c>
      <c r="E430">
        <f>IF(A430="","",COUNTIFS(ATTENDANCE_DAILY!C:C,A430,ATTENDANCE_DAILY!E:E,"Present"))</f>
        <v/>
      </c>
      <c r="F430">
        <f>IF(A430="","",COUNTIFS(ATTENDANCE_DAILY!C:C,A430,ATTENDANCE_DAILY!E:E,"Absent"))</f>
        <v/>
      </c>
      <c r="G430" s="5">
        <f>IF(D430=0,"",E430/D430)</f>
        <v/>
      </c>
      <c r="H430" s="4">
        <f>IF(G430="","",IF(G430&lt;0.75,"Low Attendance","OK"))</f>
        <v/>
      </c>
    </row>
    <row r="431">
      <c r="A431">
        <f>IF(MASTER_REGISTER!E431="","",MASTER_REGISTER!E431)</f>
        <v/>
      </c>
      <c r="B431">
        <f>IF(A431="","",MASTER_REGISTER!F431)</f>
        <v/>
      </c>
      <c r="C431">
        <f>IF(A431="","",MASTER_REGISTER!C431)</f>
        <v/>
      </c>
      <c r="D431">
        <f>IF(A431="","",COUNTIF(ATTENDANCE_DAILY!C:C,A431))</f>
        <v/>
      </c>
      <c r="E431">
        <f>IF(A431="","",COUNTIFS(ATTENDANCE_DAILY!C:C,A431,ATTENDANCE_DAILY!E:E,"Present"))</f>
        <v/>
      </c>
      <c r="F431">
        <f>IF(A431="","",COUNTIFS(ATTENDANCE_DAILY!C:C,A431,ATTENDANCE_DAILY!E:E,"Absent"))</f>
        <v/>
      </c>
      <c r="G431" s="5">
        <f>IF(D431=0,"",E431/D431)</f>
        <v/>
      </c>
      <c r="H431" s="4">
        <f>IF(G431="","",IF(G431&lt;0.75,"Low Attendance","OK"))</f>
        <v/>
      </c>
    </row>
    <row r="432">
      <c r="A432">
        <f>IF(MASTER_REGISTER!E432="","",MASTER_REGISTER!E432)</f>
        <v/>
      </c>
      <c r="B432">
        <f>IF(A432="","",MASTER_REGISTER!F432)</f>
        <v/>
      </c>
      <c r="C432">
        <f>IF(A432="","",MASTER_REGISTER!C432)</f>
        <v/>
      </c>
      <c r="D432">
        <f>IF(A432="","",COUNTIF(ATTENDANCE_DAILY!C:C,A432))</f>
        <v/>
      </c>
      <c r="E432">
        <f>IF(A432="","",COUNTIFS(ATTENDANCE_DAILY!C:C,A432,ATTENDANCE_DAILY!E:E,"Present"))</f>
        <v/>
      </c>
      <c r="F432">
        <f>IF(A432="","",COUNTIFS(ATTENDANCE_DAILY!C:C,A432,ATTENDANCE_DAILY!E:E,"Absent"))</f>
        <v/>
      </c>
      <c r="G432" s="5">
        <f>IF(D432=0,"",E432/D432)</f>
        <v/>
      </c>
      <c r="H432" s="4">
        <f>IF(G432="","",IF(G432&lt;0.75,"Low Attendance","OK"))</f>
        <v/>
      </c>
    </row>
    <row r="433">
      <c r="A433">
        <f>IF(MASTER_REGISTER!E433="","",MASTER_REGISTER!E433)</f>
        <v/>
      </c>
      <c r="B433">
        <f>IF(A433="","",MASTER_REGISTER!F433)</f>
        <v/>
      </c>
      <c r="C433">
        <f>IF(A433="","",MASTER_REGISTER!C433)</f>
        <v/>
      </c>
      <c r="D433">
        <f>IF(A433="","",COUNTIF(ATTENDANCE_DAILY!C:C,A433))</f>
        <v/>
      </c>
      <c r="E433">
        <f>IF(A433="","",COUNTIFS(ATTENDANCE_DAILY!C:C,A433,ATTENDANCE_DAILY!E:E,"Present"))</f>
        <v/>
      </c>
      <c r="F433">
        <f>IF(A433="","",COUNTIFS(ATTENDANCE_DAILY!C:C,A433,ATTENDANCE_DAILY!E:E,"Absent"))</f>
        <v/>
      </c>
      <c r="G433" s="5">
        <f>IF(D433=0,"",E433/D433)</f>
        <v/>
      </c>
      <c r="H433" s="4">
        <f>IF(G433="","",IF(G433&lt;0.75,"Low Attendance","OK"))</f>
        <v/>
      </c>
    </row>
    <row r="434">
      <c r="A434">
        <f>IF(MASTER_REGISTER!E434="","",MASTER_REGISTER!E434)</f>
        <v/>
      </c>
      <c r="B434">
        <f>IF(A434="","",MASTER_REGISTER!F434)</f>
        <v/>
      </c>
      <c r="C434">
        <f>IF(A434="","",MASTER_REGISTER!C434)</f>
        <v/>
      </c>
      <c r="D434">
        <f>IF(A434="","",COUNTIF(ATTENDANCE_DAILY!C:C,A434))</f>
        <v/>
      </c>
      <c r="E434">
        <f>IF(A434="","",COUNTIFS(ATTENDANCE_DAILY!C:C,A434,ATTENDANCE_DAILY!E:E,"Present"))</f>
        <v/>
      </c>
      <c r="F434">
        <f>IF(A434="","",COUNTIFS(ATTENDANCE_DAILY!C:C,A434,ATTENDANCE_DAILY!E:E,"Absent"))</f>
        <v/>
      </c>
      <c r="G434" s="5">
        <f>IF(D434=0,"",E434/D434)</f>
        <v/>
      </c>
      <c r="H434" s="4">
        <f>IF(G434="","",IF(G434&lt;0.75,"Low Attendance","OK"))</f>
        <v/>
      </c>
    </row>
    <row r="435">
      <c r="A435">
        <f>IF(MASTER_REGISTER!E435="","",MASTER_REGISTER!E435)</f>
        <v/>
      </c>
      <c r="B435">
        <f>IF(A435="","",MASTER_REGISTER!F435)</f>
        <v/>
      </c>
      <c r="C435">
        <f>IF(A435="","",MASTER_REGISTER!C435)</f>
        <v/>
      </c>
      <c r="D435">
        <f>IF(A435="","",COUNTIF(ATTENDANCE_DAILY!C:C,A435))</f>
        <v/>
      </c>
      <c r="E435">
        <f>IF(A435="","",COUNTIFS(ATTENDANCE_DAILY!C:C,A435,ATTENDANCE_DAILY!E:E,"Present"))</f>
        <v/>
      </c>
      <c r="F435">
        <f>IF(A435="","",COUNTIFS(ATTENDANCE_DAILY!C:C,A435,ATTENDANCE_DAILY!E:E,"Absent"))</f>
        <v/>
      </c>
      <c r="G435" s="5">
        <f>IF(D435=0,"",E435/D435)</f>
        <v/>
      </c>
      <c r="H435" s="4">
        <f>IF(G435="","",IF(G435&lt;0.75,"Low Attendance","OK"))</f>
        <v/>
      </c>
    </row>
    <row r="436">
      <c r="A436">
        <f>IF(MASTER_REGISTER!E436="","",MASTER_REGISTER!E436)</f>
        <v/>
      </c>
      <c r="B436">
        <f>IF(A436="","",MASTER_REGISTER!F436)</f>
        <v/>
      </c>
      <c r="C436">
        <f>IF(A436="","",MASTER_REGISTER!C436)</f>
        <v/>
      </c>
      <c r="D436">
        <f>IF(A436="","",COUNTIF(ATTENDANCE_DAILY!C:C,A436))</f>
        <v/>
      </c>
      <c r="E436">
        <f>IF(A436="","",COUNTIFS(ATTENDANCE_DAILY!C:C,A436,ATTENDANCE_DAILY!E:E,"Present"))</f>
        <v/>
      </c>
      <c r="F436">
        <f>IF(A436="","",COUNTIFS(ATTENDANCE_DAILY!C:C,A436,ATTENDANCE_DAILY!E:E,"Absent"))</f>
        <v/>
      </c>
      <c r="G436" s="5">
        <f>IF(D436=0,"",E436/D436)</f>
        <v/>
      </c>
      <c r="H436" s="4">
        <f>IF(G436="","",IF(G436&lt;0.75,"Low Attendance","OK"))</f>
        <v/>
      </c>
    </row>
    <row r="437">
      <c r="A437">
        <f>IF(MASTER_REGISTER!E437="","",MASTER_REGISTER!E437)</f>
        <v/>
      </c>
      <c r="B437">
        <f>IF(A437="","",MASTER_REGISTER!F437)</f>
        <v/>
      </c>
      <c r="C437">
        <f>IF(A437="","",MASTER_REGISTER!C437)</f>
        <v/>
      </c>
      <c r="D437">
        <f>IF(A437="","",COUNTIF(ATTENDANCE_DAILY!C:C,A437))</f>
        <v/>
      </c>
      <c r="E437">
        <f>IF(A437="","",COUNTIFS(ATTENDANCE_DAILY!C:C,A437,ATTENDANCE_DAILY!E:E,"Present"))</f>
        <v/>
      </c>
      <c r="F437">
        <f>IF(A437="","",COUNTIFS(ATTENDANCE_DAILY!C:C,A437,ATTENDANCE_DAILY!E:E,"Absent"))</f>
        <v/>
      </c>
      <c r="G437" s="5">
        <f>IF(D437=0,"",E437/D437)</f>
        <v/>
      </c>
      <c r="H437" s="4">
        <f>IF(G437="","",IF(G437&lt;0.75,"Low Attendance","OK"))</f>
        <v/>
      </c>
    </row>
    <row r="438">
      <c r="A438">
        <f>IF(MASTER_REGISTER!E438="","",MASTER_REGISTER!E438)</f>
        <v/>
      </c>
      <c r="B438">
        <f>IF(A438="","",MASTER_REGISTER!F438)</f>
        <v/>
      </c>
      <c r="C438">
        <f>IF(A438="","",MASTER_REGISTER!C438)</f>
        <v/>
      </c>
      <c r="D438">
        <f>IF(A438="","",COUNTIF(ATTENDANCE_DAILY!C:C,A438))</f>
        <v/>
      </c>
      <c r="E438">
        <f>IF(A438="","",COUNTIFS(ATTENDANCE_DAILY!C:C,A438,ATTENDANCE_DAILY!E:E,"Present"))</f>
        <v/>
      </c>
      <c r="F438">
        <f>IF(A438="","",COUNTIFS(ATTENDANCE_DAILY!C:C,A438,ATTENDANCE_DAILY!E:E,"Absent"))</f>
        <v/>
      </c>
      <c r="G438" s="5">
        <f>IF(D438=0,"",E438/D438)</f>
        <v/>
      </c>
      <c r="H438" s="4">
        <f>IF(G438="","",IF(G438&lt;0.75,"Low Attendance","OK"))</f>
        <v/>
      </c>
    </row>
    <row r="439">
      <c r="A439">
        <f>IF(MASTER_REGISTER!E439="","",MASTER_REGISTER!E439)</f>
        <v/>
      </c>
      <c r="B439">
        <f>IF(A439="","",MASTER_REGISTER!F439)</f>
        <v/>
      </c>
      <c r="C439">
        <f>IF(A439="","",MASTER_REGISTER!C439)</f>
        <v/>
      </c>
      <c r="D439">
        <f>IF(A439="","",COUNTIF(ATTENDANCE_DAILY!C:C,A439))</f>
        <v/>
      </c>
      <c r="E439">
        <f>IF(A439="","",COUNTIFS(ATTENDANCE_DAILY!C:C,A439,ATTENDANCE_DAILY!E:E,"Present"))</f>
        <v/>
      </c>
      <c r="F439">
        <f>IF(A439="","",COUNTIFS(ATTENDANCE_DAILY!C:C,A439,ATTENDANCE_DAILY!E:E,"Absent"))</f>
        <v/>
      </c>
      <c r="G439" s="5">
        <f>IF(D439=0,"",E439/D439)</f>
        <v/>
      </c>
      <c r="H439" s="4">
        <f>IF(G439="","",IF(G439&lt;0.75,"Low Attendance","OK"))</f>
        <v/>
      </c>
    </row>
    <row r="440">
      <c r="A440">
        <f>IF(MASTER_REGISTER!E440="","",MASTER_REGISTER!E440)</f>
        <v/>
      </c>
      <c r="B440">
        <f>IF(A440="","",MASTER_REGISTER!F440)</f>
        <v/>
      </c>
      <c r="C440">
        <f>IF(A440="","",MASTER_REGISTER!C440)</f>
        <v/>
      </c>
      <c r="D440">
        <f>IF(A440="","",COUNTIF(ATTENDANCE_DAILY!C:C,A440))</f>
        <v/>
      </c>
      <c r="E440">
        <f>IF(A440="","",COUNTIFS(ATTENDANCE_DAILY!C:C,A440,ATTENDANCE_DAILY!E:E,"Present"))</f>
        <v/>
      </c>
      <c r="F440">
        <f>IF(A440="","",COUNTIFS(ATTENDANCE_DAILY!C:C,A440,ATTENDANCE_DAILY!E:E,"Absent"))</f>
        <v/>
      </c>
      <c r="G440" s="5">
        <f>IF(D440=0,"",E440/D440)</f>
        <v/>
      </c>
      <c r="H440" s="4">
        <f>IF(G440="","",IF(G440&lt;0.75,"Low Attendance","OK"))</f>
        <v/>
      </c>
    </row>
    <row r="441">
      <c r="A441">
        <f>IF(MASTER_REGISTER!E441="","",MASTER_REGISTER!E441)</f>
        <v/>
      </c>
      <c r="B441">
        <f>IF(A441="","",MASTER_REGISTER!F441)</f>
        <v/>
      </c>
      <c r="C441">
        <f>IF(A441="","",MASTER_REGISTER!C441)</f>
        <v/>
      </c>
      <c r="D441">
        <f>IF(A441="","",COUNTIF(ATTENDANCE_DAILY!C:C,A441))</f>
        <v/>
      </c>
      <c r="E441">
        <f>IF(A441="","",COUNTIFS(ATTENDANCE_DAILY!C:C,A441,ATTENDANCE_DAILY!E:E,"Present"))</f>
        <v/>
      </c>
      <c r="F441">
        <f>IF(A441="","",COUNTIFS(ATTENDANCE_DAILY!C:C,A441,ATTENDANCE_DAILY!E:E,"Absent"))</f>
        <v/>
      </c>
      <c r="G441" s="5">
        <f>IF(D441=0,"",E441/D441)</f>
        <v/>
      </c>
      <c r="H441" s="4">
        <f>IF(G441="","",IF(G441&lt;0.75,"Low Attendance","OK"))</f>
        <v/>
      </c>
    </row>
    <row r="442">
      <c r="A442">
        <f>IF(MASTER_REGISTER!E442="","",MASTER_REGISTER!E442)</f>
        <v/>
      </c>
      <c r="B442">
        <f>IF(A442="","",MASTER_REGISTER!F442)</f>
        <v/>
      </c>
      <c r="C442">
        <f>IF(A442="","",MASTER_REGISTER!C442)</f>
        <v/>
      </c>
      <c r="D442">
        <f>IF(A442="","",COUNTIF(ATTENDANCE_DAILY!C:C,A442))</f>
        <v/>
      </c>
      <c r="E442">
        <f>IF(A442="","",COUNTIFS(ATTENDANCE_DAILY!C:C,A442,ATTENDANCE_DAILY!E:E,"Present"))</f>
        <v/>
      </c>
      <c r="F442">
        <f>IF(A442="","",COUNTIFS(ATTENDANCE_DAILY!C:C,A442,ATTENDANCE_DAILY!E:E,"Absent"))</f>
        <v/>
      </c>
      <c r="G442" s="5">
        <f>IF(D442=0,"",E442/D442)</f>
        <v/>
      </c>
      <c r="H442" s="4">
        <f>IF(G442="","",IF(G442&lt;0.75,"Low Attendance","OK"))</f>
        <v/>
      </c>
    </row>
    <row r="443">
      <c r="A443">
        <f>IF(MASTER_REGISTER!E443="","",MASTER_REGISTER!E443)</f>
        <v/>
      </c>
      <c r="B443">
        <f>IF(A443="","",MASTER_REGISTER!F443)</f>
        <v/>
      </c>
      <c r="C443">
        <f>IF(A443="","",MASTER_REGISTER!C443)</f>
        <v/>
      </c>
      <c r="D443">
        <f>IF(A443="","",COUNTIF(ATTENDANCE_DAILY!C:C,A443))</f>
        <v/>
      </c>
      <c r="E443">
        <f>IF(A443="","",COUNTIFS(ATTENDANCE_DAILY!C:C,A443,ATTENDANCE_DAILY!E:E,"Present"))</f>
        <v/>
      </c>
      <c r="F443">
        <f>IF(A443="","",COUNTIFS(ATTENDANCE_DAILY!C:C,A443,ATTENDANCE_DAILY!E:E,"Absent"))</f>
        <v/>
      </c>
      <c r="G443" s="5">
        <f>IF(D443=0,"",E443/D443)</f>
        <v/>
      </c>
      <c r="H443" s="4">
        <f>IF(G443="","",IF(G443&lt;0.75,"Low Attendance","OK"))</f>
        <v/>
      </c>
    </row>
    <row r="444">
      <c r="A444">
        <f>IF(MASTER_REGISTER!E444="","",MASTER_REGISTER!E444)</f>
        <v/>
      </c>
      <c r="B444">
        <f>IF(A444="","",MASTER_REGISTER!F444)</f>
        <v/>
      </c>
      <c r="C444">
        <f>IF(A444="","",MASTER_REGISTER!C444)</f>
        <v/>
      </c>
      <c r="D444">
        <f>IF(A444="","",COUNTIF(ATTENDANCE_DAILY!C:C,A444))</f>
        <v/>
      </c>
      <c r="E444">
        <f>IF(A444="","",COUNTIFS(ATTENDANCE_DAILY!C:C,A444,ATTENDANCE_DAILY!E:E,"Present"))</f>
        <v/>
      </c>
      <c r="F444">
        <f>IF(A444="","",COUNTIFS(ATTENDANCE_DAILY!C:C,A444,ATTENDANCE_DAILY!E:E,"Absent"))</f>
        <v/>
      </c>
      <c r="G444" s="5">
        <f>IF(D444=0,"",E444/D444)</f>
        <v/>
      </c>
      <c r="H444" s="4">
        <f>IF(G444="","",IF(G444&lt;0.75,"Low Attendance","OK"))</f>
        <v/>
      </c>
    </row>
    <row r="445">
      <c r="A445">
        <f>IF(MASTER_REGISTER!E445="","",MASTER_REGISTER!E445)</f>
        <v/>
      </c>
      <c r="B445">
        <f>IF(A445="","",MASTER_REGISTER!F445)</f>
        <v/>
      </c>
      <c r="C445">
        <f>IF(A445="","",MASTER_REGISTER!C445)</f>
        <v/>
      </c>
      <c r="D445">
        <f>IF(A445="","",COUNTIF(ATTENDANCE_DAILY!C:C,A445))</f>
        <v/>
      </c>
      <c r="E445">
        <f>IF(A445="","",COUNTIFS(ATTENDANCE_DAILY!C:C,A445,ATTENDANCE_DAILY!E:E,"Present"))</f>
        <v/>
      </c>
      <c r="F445">
        <f>IF(A445="","",COUNTIFS(ATTENDANCE_DAILY!C:C,A445,ATTENDANCE_DAILY!E:E,"Absent"))</f>
        <v/>
      </c>
      <c r="G445" s="5">
        <f>IF(D445=0,"",E445/D445)</f>
        <v/>
      </c>
      <c r="H445" s="4">
        <f>IF(G445="","",IF(G445&lt;0.75,"Low Attendance","OK"))</f>
        <v/>
      </c>
    </row>
    <row r="446">
      <c r="A446">
        <f>IF(MASTER_REGISTER!E446="","",MASTER_REGISTER!E446)</f>
        <v/>
      </c>
      <c r="B446">
        <f>IF(A446="","",MASTER_REGISTER!F446)</f>
        <v/>
      </c>
      <c r="C446">
        <f>IF(A446="","",MASTER_REGISTER!C446)</f>
        <v/>
      </c>
      <c r="D446">
        <f>IF(A446="","",COUNTIF(ATTENDANCE_DAILY!C:C,A446))</f>
        <v/>
      </c>
      <c r="E446">
        <f>IF(A446="","",COUNTIFS(ATTENDANCE_DAILY!C:C,A446,ATTENDANCE_DAILY!E:E,"Present"))</f>
        <v/>
      </c>
      <c r="F446">
        <f>IF(A446="","",COUNTIFS(ATTENDANCE_DAILY!C:C,A446,ATTENDANCE_DAILY!E:E,"Absent"))</f>
        <v/>
      </c>
      <c r="G446" s="5">
        <f>IF(D446=0,"",E446/D446)</f>
        <v/>
      </c>
      <c r="H446" s="4">
        <f>IF(G446="","",IF(G446&lt;0.75,"Low Attendance","OK"))</f>
        <v/>
      </c>
    </row>
    <row r="447">
      <c r="A447">
        <f>IF(MASTER_REGISTER!E447="","",MASTER_REGISTER!E447)</f>
        <v/>
      </c>
      <c r="B447">
        <f>IF(A447="","",MASTER_REGISTER!F447)</f>
        <v/>
      </c>
      <c r="C447">
        <f>IF(A447="","",MASTER_REGISTER!C447)</f>
        <v/>
      </c>
      <c r="D447">
        <f>IF(A447="","",COUNTIF(ATTENDANCE_DAILY!C:C,A447))</f>
        <v/>
      </c>
      <c r="E447">
        <f>IF(A447="","",COUNTIFS(ATTENDANCE_DAILY!C:C,A447,ATTENDANCE_DAILY!E:E,"Present"))</f>
        <v/>
      </c>
      <c r="F447">
        <f>IF(A447="","",COUNTIFS(ATTENDANCE_DAILY!C:C,A447,ATTENDANCE_DAILY!E:E,"Absent"))</f>
        <v/>
      </c>
      <c r="G447" s="5">
        <f>IF(D447=0,"",E447/D447)</f>
        <v/>
      </c>
      <c r="H447" s="4">
        <f>IF(G447="","",IF(G447&lt;0.75,"Low Attendance","OK"))</f>
        <v/>
      </c>
    </row>
    <row r="448">
      <c r="A448">
        <f>IF(MASTER_REGISTER!E448="","",MASTER_REGISTER!E448)</f>
        <v/>
      </c>
      <c r="B448">
        <f>IF(A448="","",MASTER_REGISTER!F448)</f>
        <v/>
      </c>
      <c r="C448">
        <f>IF(A448="","",MASTER_REGISTER!C448)</f>
        <v/>
      </c>
      <c r="D448">
        <f>IF(A448="","",COUNTIF(ATTENDANCE_DAILY!C:C,A448))</f>
        <v/>
      </c>
      <c r="E448">
        <f>IF(A448="","",COUNTIFS(ATTENDANCE_DAILY!C:C,A448,ATTENDANCE_DAILY!E:E,"Present"))</f>
        <v/>
      </c>
      <c r="F448">
        <f>IF(A448="","",COUNTIFS(ATTENDANCE_DAILY!C:C,A448,ATTENDANCE_DAILY!E:E,"Absent"))</f>
        <v/>
      </c>
      <c r="G448" s="5">
        <f>IF(D448=0,"",E448/D448)</f>
        <v/>
      </c>
      <c r="H448" s="4">
        <f>IF(G448="","",IF(G448&lt;0.75,"Low Attendance","OK"))</f>
        <v/>
      </c>
    </row>
    <row r="449">
      <c r="A449">
        <f>IF(MASTER_REGISTER!E449="","",MASTER_REGISTER!E449)</f>
        <v/>
      </c>
      <c r="B449">
        <f>IF(A449="","",MASTER_REGISTER!F449)</f>
        <v/>
      </c>
      <c r="C449">
        <f>IF(A449="","",MASTER_REGISTER!C449)</f>
        <v/>
      </c>
      <c r="D449">
        <f>IF(A449="","",COUNTIF(ATTENDANCE_DAILY!C:C,A449))</f>
        <v/>
      </c>
      <c r="E449">
        <f>IF(A449="","",COUNTIFS(ATTENDANCE_DAILY!C:C,A449,ATTENDANCE_DAILY!E:E,"Present"))</f>
        <v/>
      </c>
      <c r="F449">
        <f>IF(A449="","",COUNTIFS(ATTENDANCE_DAILY!C:C,A449,ATTENDANCE_DAILY!E:E,"Absent"))</f>
        <v/>
      </c>
      <c r="G449" s="5">
        <f>IF(D449=0,"",E449/D449)</f>
        <v/>
      </c>
      <c r="H449" s="4">
        <f>IF(G449="","",IF(G449&lt;0.75,"Low Attendance","OK"))</f>
        <v/>
      </c>
    </row>
    <row r="450">
      <c r="A450">
        <f>IF(MASTER_REGISTER!E450="","",MASTER_REGISTER!E450)</f>
        <v/>
      </c>
      <c r="B450">
        <f>IF(A450="","",MASTER_REGISTER!F450)</f>
        <v/>
      </c>
      <c r="C450">
        <f>IF(A450="","",MASTER_REGISTER!C450)</f>
        <v/>
      </c>
      <c r="D450">
        <f>IF(A450="","",COUNTIF(ATTENDANCE_DAILY!C:C,A450))</f>
        <v/>
      </c>
      <c r="E450">
        <f>IF(A450="","",COUNTIFS(ATTENDANCE_DAILY!C:C,A450,ATTENDANCE_DAILY!E:E,"Present"))</f>
        <v/>
      </c>
      <c r="F450">
        <f>IF(A450="","",COUNTIFS(ATTENDANCE_DAILY!C:C,A450,ATTENDANCE_DAILY!E:E,"Absent"))</f>
        <v/>
      </c>
      <c r="G450" s="5">
        <f>IF(D450=0,"",E450/D450)</f>
        <v/>
      </c>
      <c r="H450" s="4">
        <f>IF(G450="","",IF(G450&lt;0.75,"Low Attendance","OK"))</f>
        <v/>
      </c>
    </row>
    <row r="451">
      <c r="A451">
        <f>IF(MASTER_REGISTER!E451="","",MASTER_REGISTER!E451)</f>
        <v/>
      </c>
      <c r="B451">
        <f>IF(A451="","",MASTER_REGISTER!F451)</f>
        <v/>
      </c>
      <c r="C451">
        <f>IF(A451="","",MASTER_REGISTER!C451)</f>
        <v/>
      </c>
      <c r="D451">
        <f>IF(A451="","",COUNTIF(ATTENDANCE_DAILY!C:C,A451))</f>
        <v/>
      </c>
      <c r="E451">
        <f>IF(A451="","",COUNTIFS(ATTENDANCE_DAILY!C:C,A451,ATTENDANCE_DAILY!E:E,"Present"))</f>
        <v/>
      </c>
      <c r="F451">
        <f>IF(A451="","",COUNTIFS(ATTENDANCE_DAILY!C:C,A451,ATTENDANCE_DAILY!E:E,"Absent"))</f>
        <v/>
      </c>
      <c r="G451" s="5">
        <f>IF(D451=0,"",E451/D451)</f>
        <v/>
      </c>
      <c r="H451" s="4">
        <f>IF(G451="","",IF(G451&lt;0.75,"Low Attendance","OK"))</f>
        <v/>
      </c>
    </row>
    <row r="452">
      <c r="A452">
        <f>IF(MASTER_REGISTER!E452="","",MASTER_REGISTER!E452)</f>
        <v/>
      </c>
      <c r="B452">
        <f>IF(A452="","",MASTER_REGISTER!F452)</f>
        <v/>
      </c>
      <c r="C452">
        <f>IF(A452="","",MASTER_REGISTER!C452)</f>
        <v/>
      </c>
      <c r="D452">
        <f>IF(A452="","",COUNTIF(ATTENDANCE_DAILY!C:C,A452))</f>
        <v/>
      </c>
      <c r="E452">
        <f>IF(A452="","",COUNTIFS(ATTENDANCE_DAILY!C:C,A452,ATTENDANCE_DAILY!E:E,"Present"))</f>
        <v/>
      </c>
      <c r="F452">
        <f>IF(A452="","",COUNTIFS(ATTENDANCE_DAILY!C:C,A452,ATTENDANCE_DAILY!E:E,"Absent"))</f>
        <v/>
      </c>
      <c r="G452" s="5">
        <f>IF(D452=0,"",E452/D452)</f>
        <v/>
      </c>
      <c r="H452" s="4">
        <f>IF(G452="","",IF(G452&lt;0.75,"Low Attendance","OK"))</f>
        <v/>
      </c>
    </row>
    <row r="453">
      <c r="A453">
        <f>IF(MASTER_REGISTER!E453="","",MASTER_REGISTER!E453)</f>
        <v/>
      </c>
      <c r="B453">
        <f>IF(A453="","",MASTER_REGISTER!F453)</f>
        <v/>
      </c>
      <c r="C453">
        <f>IF(A453="","",MASTER_REGISTER!C453)</f>
        <v/>
      </c>
      <c r="D453">
        <f>IF(A453="","",COUNTIF(ATTENDANCE_DAILY!C:C,A453))</f>
        <v/>
      </c>
      <c r="E453">
        <f>IF(A453="","",COUNTIFS(ATTENDANCE_DAILY!C:C,A453,ATTENDANCE_DAILY!E:E,"Present"))</f>
        <v/>
      </c>
      <c r="F453">
        <f>IF(A453="","",COUNTIFS(ATTENDANCE_DAILY!C:C,A453,ATTENDANCE_DAILY!E:E,"Absent"))</f>
        <v/>
      </c>
      <c r="G453" s="5">
        <f>IF(D453=0,"",E453/D453)</f>
        <v/>
      </c>
      <c r="H453" s="4">
        <f>IF(G453="","",IF(G453&lt;0.75,"Low Attendance","OK"))</f>
        <v/>
      </c>
    </row>
    <row r="454">
      <c r="A454">
        <f>IF(MASTER_REGISTER!E454="","",MASTER_REGISTER!E454)</f>
        <v/>
      </c>
      <c r="B454">
        <f>IF(A454="","",MASTER_REGISTER!F454)</f>
        <v/>
      </c>
      <c r="C454">
        <f>IF(A454="","",MASTER_REGISTER!C454)</f>
        <v/>
      </c>
      <c r="D454">
        <f>IF(A454="","",COUNTIF(ATTENDANCE_DAILY!C:C,A454))</f>
        <v/>
      </c>
      <c r="E454">
        <f>IF(A454="","",COUNTIFS(ATTENDANCE_DAILY!C:C,A454,ATTENDANCE_DAILY!E:E,"Present"))</f>
        <v/>
      </c>
      <c r="F454">
        <f>IF(A454="","",COUNTIFS(ATTENDANCE_DAILY!C:C,A454,ATTENDANCE_DAILY!E:E,"Absent"))</f>
        <v/>
      </c>
      <c r="G454" s="5">
        <f>IF(D454=0,"",E454/D454)</f>
        <v/>
      </c>
      <c r="H454" s="4">
        <f>IF(G454="","",IF(G454&lt;0.75,"Low Attendance","OK"))</f>
        <v/>
      </c>
    </row>
    <row r="455">
      <c r="A455">
        <f>IF(MASTER_REGISTER!E455="","",MASTER_REGISTER!E455)</f>
        <v/>
      </c>
      <c r="B455">
        <f>IF(A455="","",MASTER_REGISTER!F455)</f>
        <v/>
      </c>
      <c r="C455">
        <f>IF(A455="","",MASTER_REGISTER!C455)</f>
        <v/>
      </c>
      <c r="D455">
        <f>IF(A455="","",COUNTIF(ATTENDANCE_DAILY!C:C,A455))</f>
        <v/>
      </c>
      <c r="E455">
        <f>IF(A455="","",COUNTIFS(ATTENDANCE_DAILY!C:C,A455,ATTENDANCE_DAILY!E:E,"Present"))</f>
        <v/>
      </c>
      <c r="F455">
        <f>IF(A455="","",COUNTIFS(ATTENDANCE_DAILY!C:C,A455,ATTENDANCE_DAILY!E:E,"Absent"))</f>
        <v/>
      </c>
      <c r="G455" s="5">
        <f>IF(D455=0,"",E455/D455)</f>
        <v/>
      </c>
      <c r="H455" s="4">
        <f>IF(G455="","",IF(G455&lt;0.75,"Low Attendance","OK"))</f>
        <v/>
      </c>
    </row>
    <row r="456">
      <c r="A456">
        <f>IF(MASTER_REGISTER!E456="","",MASTER_REGISTER!E456)</f>
        <v/>
      </c>
      <c r="B456">
        <f>IF(A456="","",MASTER_REGISTER!F456)</f>
        <v/>
      </c>
      <c r="C456">
        <f>IF(A456="","",MASTER_REGISTER!C456)</f>
        <v/>
      </c>
      <c r="D456">
        <f>IF(A456="","",COUNTIF(ATTENDANCE_DAILY!C:C,A456))</f>
        <v/>
      </c>
      <c r="E456">
        <f>IF(A456="","",COUNTIFS(ATTENDANCE_DAILY!C:C,A456,ATTENDANCE_DAILY!E:E,"Present"))</f>
        <v/>
      </c>
      <c r="F456">
        <f>IF(A456="","",COUNTIFS(ATTENDANCE_DAILY!C:C,A456,ATTENDANCE_DAILY!E:E,"Absent"))</f>
        <v/>
      </c>
      <c r="G456" s="5">
        <f>IF(D456=0,"",E456/D456)</f>
        <v/>
      </c>
      <c r="H456" s="4">
        <f>IF(G456="","",IF(G456&lt;0.75,"Low Attendance","OK"))</f>
        <v/>
      </c>
    </row>
    <row r="457">
      <c r="A457">
        <f>IF(MASTER_REGISTER!E457="","",MASTER_REGISTER!E457)</f>
        <v/>
      </c>
      <c r="B457">
        <f>IF(A457="","",MASTER_REGISTER!F457)</f>
        <v/>
      </c>
      <c r="C457">
        <f>IF(A457="","",MASTER_REGISTER!C457)</f>
        <v/>
      </c>
      <c r="D457">
        <f>IF(A457="","",COUNTIF(ATTENDANCE_DAILY!C:C,A457))</f>
        <v/>
      </c>
      <c r="E457">
        <f>IF(A457="","",COUNTIFS(ATTENDANCE_DAILY!C:C,A457,ATTENDANCE_DAILY!E:E,"Present"))</f>
        <v/>
      </c>
      <c r="F457">
        <f>IF(A457="","",COUNTIFS(ATTENDANCE_DAILY!C:C,A457,ATTENDANCE_DAILY!E:E,"Absent"))</f>
        <v/>
      </c>
      <c r="G457" s="5">
        <f>IF(D457=0,"",E457/D457)</f>
        <v/>
      </c>
      <c r="H457" s="4">
        <f>IF(G457="","",IF(G457&lt;0.75,"Low Attendance","OK"))</f>
        <v/>
      </c>
    </row>
    <row r="458">
      <c r="A458">
        <f>IF(MASTER_REGISTER!E458="","",MASTER_REGISTER!E458)</f>
        <v/>
      </c>
      <c r="B458">
        <f>IF(A458="","",MASTER_REGISTER!F458)</f>
        <v/>
      </c>
      <c r="C458">
        <f>IF(A458="","",MASTER_REGISTER!C458)</f>
        <v/>
      </c>
      <c r="D458">
        <f>IF(A458="","",COUNTIF(ATTENDANCE_DAILY!C:C,A458))</f>
        <v/>
      </c>
      <c r="E458">
        <f>IF(A458="","",COUNTIFS(ATTENDANCE_DAILY!C:C,A458,ATTENDANCE_DAILY!E:E,"Present"))</f>
        <v/>
      </c>
      <c r="F458">
        <f>IF(A458="","",COUNTIFS(ATTENDANCE_DAILY!C:C,A458,ATTENDANCE_DAILY!E:E,"Absent"))</f>
        <v/>
      </c>
      <c r="G458" s="5">
        <f>IF(D458=0,"",E458/D458)</f>
        <v/>
      </c>
      <c r="H458" s="4">
        <f>IF(G458="","",IF(G458&lt;0.75,"Low Attendance","OK"))</f>
        <v/>
      </c>
    </row>
    <row r="459">
      <c r="A459">
        <f>IF(MASTER_REGISTER!E459="","",MASTER_REGISTER!E459)</f>
        <v/>
      </c>
      <c r="B459">
        <f>IF(A459="","",MASTER_REGISTER!F459)</f>
        <v/>
      </c>
      <c r="C459">
        <f>IF(A459="","",MASTER_REGISTER!C459)</f>
        <v/>
      </c>
      <c r="D459">
        <f>IF(A459="","",COUNTIF(ATTENDANCE_DAILY!C:C,A459))</f>
        <v/>
      </c>
      <c r="E459">
        <f>IF(A459="","",COUNTIFS(ATTENDANCE_DAILY!C:C,A459,ATTENDANCE_DAILY!E:E,"Present"))</f>
        <v/>
      </c>
      <c r="F459">
        <f>IF(A459="","",COUNTIFS(ATTENDANCE_DAILY!C:C,A459,ATTENDANCE_DAILY!E:E,"Absent"))</f>
        <v/>
      </c>
      <c r="G459" s="5">
        <f>IF(D459=0,"",E459/D459)</f>
        <v/>
      </c>
      <c r="H459" s="4">
        <f>IF(G459="","",IF(G459&lt;0.75,"Low Attendance","OK"))</f>
        <v/>
      </c>
    </row>
    <row r="460">
      <c r="A460">
        <f>IF(MASTER_REGISTER!E460="","",MASTER_REGISTER!E460)</f>
        <v/>
      </c>
      <c r="B460">
        <f>IF(A460="","",MASTER_REGISTER!F460)</f>
        <v/>
      </c>
      <c r="C460">
        <f>IF(A460="","",MASTER_REGISTER!C460)</f>
        <v/>
      </c>
      <c r="D460">
        <f>IF(A460="","",COUNTIF(ATTENDANCE_DAILY!C:C,A460))</f>
        <v/>
      </c>
      <c r="E460">
        <f>IF(A460="","",COUNTIFS(ATTENDANCE_DAILY!C:C,A460,ATTENDANCE_DAILY!E:E,"Present"))</f>
        <v/>
      </c>
      <c r="F460">
        <f>IF(A460="","",COUNTIFS(ATTENDANCE_DAILY!C:C,A460,ATTENDANCE_DAILY!E:E,"Absent"))</f>
        <v/>
      </c>
      <c r="G460" s="5">
        <f>IF(D460=0,"",E460/D460)</f>
        <v/>
      </c>
      <c r="H460" s="4">
        <f>IF(G460="","",IF(G460&lt;0.75,"Low Attendance","OK"))</f>
        <v/>
      </c>
    </row>
    <row r="461">
      <c r="A461">
        <f>IF(MASTER_REGISTER!E461="","",MASTER_REGISTER!E461)</f>
        <v/>
      </c>
      <c r="B461">
        <f>IF(A461="","",MASTER_REGISTER!F461)</f>
        <v/>
      </c>
      <c r="C461">
        <f>IF(A461="","",MASTER_REGISTER!C461)</f>
        <v/>
      </c>
      <c r="D461">
        <f>IF(A461="","",COUNTIF(ATTENDANCE_DAILY!C:C,A461))</f>
        <v/>
      </c>
      <c r="E461">
        <f>IF(A461="","",COUNTIFS(ATTENDANCE_DAILY!C:C,A461,ATTENDANCE_DAILY!E:E,"Present"))</f>
        <v/>
      </c>
      <c r="F461">
        <f>IF(A461="","",COUNTIFS(ATTENDANCE_DAILY!C:C,A461,ATTENDANCE_DAILY!E:E,"Absent"))</f>
        <v/>
      </c>
      <c r="G461" s="5">
        <f>IF(D461=0,"",E461/D461)</f>
        <v/>
      </c>
      <c r="H461" s="4">
        <f>IF(G461="","",IF(G461&lt;0.75,"Low Attendance","OK"))</f>
        <v/>
      </c>
    </row>
    <row r="462">
      <c r="A462">
        <f>IF(MASTER_REGISTER!E462="","",MASTER_REGISTER!E462)</f>
        <v/>
      </c>
      <c r="B462">
        <f>IF(A462="","",MASTER_REGISTER!F462)</f>
        <v/>
      </c>
      <c r="C462">
        <f>IF(A462="","",MASTER_REGISTER!C462)</f>
        <v/>
      </c>
      <c r="D462">
        <f>IF(A462="","",COUNTIF(ATTENDANCE_DAILY!C:C,A462))</f>
        <v/>
      </c>
      <c r="E462">
        <f>IF(A462="","",COUNTIFS(ATTENDANCE_DAILY!C:C,A462,ATTENDANCE_DAILY!E:E,"Present"))</f>
        <v/>
      </c>
      <c r="F462">
        <f>IF(A462="","",COUNTIFS(ATTENDANCE_DAILY!C:C,A462,ATTENDANCE_DAILY!E:E,"Absent"))</f>
        <v/>
      </c>
      <c r="G462" s="5">
        <f>IF(D462=0,"",E462/D462)</f>
        <v/>
      </c>
      <c r="H462" s="4">
        <f>IF(G462="","",IF(G462&lt;0.75,"Low Attendance","OK"))</f>
        <v/>
      </c>
    </row>
    <row r="463">
      <c r="A463">
        <f>IF(MASTER_REGISTER!E463="","",MASTER_REGISTER!E463)</f>
        <v/>
      </c>
      <c r="B463">
        <f>IF(A463="","",MASTER_REGISTER!F463)</f>
        <v/>
      </c>
      <c r="C463">
        <f>IF(A463="","",MASTER_REGISTER!C463)</f>
        <v/>
      </c>
      <c r="D463">
        <f>IF(A463="","",COUNTIF(ATTENDANCE_DAILY!C:C,A463))</f>
        <v/>
      </c>
      <c r="E463">
        <f>IF(A463="","",COUNTIFS(ATTENDANCE_DAILY!C:C,A463,ATTENDANCE_DAILY!E:E,"Present"))</f>
        <v/>
      </c>
      <c r="F463">
        <f>IF(A463="","",COUNTIFS(ATTENDANCE_DAILY!C:C,A463,ATTENDANCE_DAILY!E:E,"Absent"))</f>
        <v/>
      </c>
      <c r="G463" s="5">
        <f>IF(D463=0,"",E463/D463)</f>
        <v/>
      </c>
      <c r="H463" s="4">
        <f>IF(G463="","",IF(G463&lt;0.75,"Low Attendance","OK"))</f>
        <v/>
      </c>
    </row>
    <row r="464">
      <c r="A464">
        <f>IF(MASTER_REGISTER!E464="","",MASTER_REGISTER!E464)</f>
        <v/>
      </c>
      <c r="B464">
        <f>IF(A464="","",MASTER_REGISTER!F464)</f>
        <v/>
      </c>
      <c r="C464">
        <f>IF(A464="","",MASTER_REGISTER!C464)</f>
        <v/>
      </c>
      <c r="D464">
        <f>IF(A464="","",COUNTIF(ATTENDANCE_DAILY!C:C,A464))</f>
        <v/>
      </c>
      <c r="E464">
        <f>IF(A464="","",COUNTIFS(ATTENDANCE_DAILY!C:C,A464,ATTENDANCE_DAILY!E:E,"Present"))</f>
        <v/>
      </c>
      <c r="F464">
        <f>IF(A464="","",COUNTIFS(ATTENDANCE_DAILY!C:C,A464,ATTENDANCE_DAILY!E:E,"Absent"))</f>
        <v/>
      </c>
      <c r="G464" s="5">
        <f>IF(D464=0,"",E464/D464)</f>
        <v/>
      </c>
      <c r="H464" s="4">
        <f>IF(G464="","",IF(G464&lt;0.75,"Low Attendance","OK"))</f>
        <v/>
      </c>
    </row>
    <row r="465">
      <c r="A465">
        <f>IF(MASTER_REGISTER!E465="","",MASTER_REGISTER!E465)</f>
        <v/>
      </c>
      <c r="B465">
        <f>IF(A465="","",MASTER_REGISTER!F465)</f>
        <v/>
      </c>
      <c r="C465">
        <f>IF(A465="","",MASTER_REGISTER!C465)</f>
        <v/>
      </c>
      <c r="D465">
        <f>IF(A465="","",COUNTIF(ATTENDANCE_DAILY!C:C,A465))</f>
        <v/>
      </c>
      <c r="E465">
        <f>IF(A465="","",COUNTIFS(ATTENDANCE_DAILY!C:C,A465,ATTENDANCE_DAILY!E:E,"Present"))</f>
        <v/>
      </c>
      <c r="F465">
        <f>IF(A465="","",COUNTIFS(ATTENDANCE_DAILY!C:C,A465,ATTENDANCE_DAILY!E:E,"Absent"))</f>
        <v/>
      </c>
      <c r="G465" s="5">
        <f>IF(D465=0,"",E465/D465)</f>
        <v/>
      </c>
      <c r="H465" s="4">
        <f>IF(G465="","",IF(G465&lt;0.75,"Low Attendance","OK"))</f>
        <v/>
      </c>
    </row>
    <row r="466">
      <c r="A466">
        <f>IF(MASTER_REGISTER!E466="","",MASTER_REGISTER!E466)</f>
        <v/>
      </c>
      <c r="B466">
        <f>IF(A466="","",MASTER_REGISTER!F466)</f>
        <v/>
      </c>
      <c r="C466">
        <f>IF(A466="","",MASTER_REGISTER!C466)</f>
        <v/>
      </c>
      <c r="D466">
        <f>IF(A466="","",COUNTIF(ATTENDANCE_DAILY!C:C,A466))</f>
        <v/>
      </c>
      <c r="E466">
        <f>IF(A466="","",COUNTIFS(ATTENDANCE_DAILY!C:C,A466,ATTENDANCE_DAILY!E:E,"Present"))</f>
        <v/>
      </c>
      <c r="F466">
        <f>IF(A466="","",COUNTIFS(ATTENDANCE_DAILY!C:C,A466,ATTENDANCE_DAILY!E:E,"Absent"))</f>
        <v/>
      </c>
      <c r="G466" s="5">
        <f>IF(D466=0,"",E466/D466)</f>
        <v/>
      </c>
      <c r="H466" s="4">
        <f>IF(G466="","",IF(G466&lt;0.75,"Low Attendance","OK"))</f>
        <v/>
      </c>
    </row>
    <row r="467">
      <c r="A467">
        <f>IF(MASTER_REGISTER!E467="","",MASTER_REGISTER!E467)</f>
        <v/>
      </c>
      <c r="B467">
        <f>IF(A467="","",MASTER_REGISTER!F467)</f>
        <v/>
      </c>
      <c r="C467">
        <f>IF(A467="","",MASTER_REGISTER!C467)</f>
        <v/>
      </c>
      <c r="D467">
        <f>IF(A467="","",COUNTIF(ATTENDANCE_DAILY!C:C,A467))</f>
        <v/>
      </c>
      <c r="E467">
        <f>IF(A467="","",COUNTIFS(ATTENDANCE_DAILY!C:C,A467,ATTENDANCE_DAILY!E:E,"Present"))</f>
        <v/>
      </c>
      <c r="F467">
        <f>IF(A467="","",COUNTIFS(ATTENDANCE_DAILY!C:C,A467,ATTENDANCE_DAILY!E:E,"Absent"))</f>
        <v/>
      </c>
      <c r="G467" s="5">
        <f>IF(D467=0,"",E467/D467)</f>
        <v/>
      </c>
      <c r="H467" s="4">
        <f>IF(G467="","",IF(G467&lt;0.75,"Low Attendance","OK"))</f>
        <v/>
      </c>
    </row>
    <row r="468">
      <c r="A468">
        <f>IF(MASTER_REGISTER!E468="","",MASTER_REGISTER!E468)</f>
        <v/>
      </c>
      <c r="B468">
        <f>IF(A468="","",MASTER_REGISTER!F468)</f>
        <v/>
      </c>
      <c r="C468">
        <f>IF(A468="","",MASTER_REGISTER!C468)</f>
        <v/>
      </c>
      <c r="D468">
        <f>IF(A468="","",COUNTIF(ATTENDANCE_DAILY!C:C,A468))</f>
        <v/>
      </c>
      <c r="E468">
        <f>IF(A468="","",COUNTIFS(ATTENDANCE_DAILY!C:C,A468,ATTENDANCE_DAILY!E:E,"Present"))</f>
        <v/>
      </c>
      <c r="F468">
        <f>IF(A468="","",COUNTIFS(ATTENDANCE_DAILY!C:C,A468,ATTENDANCE_DAILY!E:E,"Absent"))</f>
        <v/>
      </c>
      <c r="G468" s="5">
        <f>IF(D468=0,"",E468/D468)</f>
        <v/>
      </c>
      <c r="H468" s="4">
        <f>IF(G468="","",IF(G468&lt;0.75,"Low Attendance","OK"))</f>
        <v/>
      </c>
    </row>
    <row r="469">
      <c r="A469">
        <f>IF(MASTER_REGISTER!E469="","",MASTER_REGISTER!E469)</f>
        <v/>
      </c>
      <c r="B469">
        <f>IF(A469="","",MASTER_REGISTER!F469)</f>
        <v/>
      </c>
      <c r="C469">
        <f>IF(A469="","",MASTER_REGISTER!C469)</f>
        <v/>
      </c>
      <c r="D469">
        <f>IF(A469="","",COUNTIF(ATTENDANCE_DAILY!C:C,A469))</f>
        <v/>
      </c>
      <c r="E469">
        <f>IF(A469="","",COUNTIFS(ATTENDANCE_DAILY!C:C,A469,ATTENDANCE_DAILY!E:E,"Present"))</f>
        <v/>
      </c>
      <c r="F469">
        <f>IF(A469="","",COUNTIFS(ATTENDANCE_DAILY!C:C,A469,ATTENDANCE_DAILY!E:E,"Absent"))</f>
        <v/>
      </c>
      <c r="G469" s="5">
        <f>IF(D469=0,"",E469/D469)</f>
        <v/>
      </c>
      <c r="H469" s="4">
        <f>IF(G469="","",IF(G469&lt;0.75,"Low Attendance","OK"))</f>
        <v/>
      </c>
    </row>
    <row r="470">
      <c r="A470">
        <f>IF(MASTER_REGISTER!E470="","",MASTER_REGISTER!E470)</f>
        <v/>
      </c>
      <c r="B470">
        <f>IF(A470="","",MASTER_REGISTER!F470)</f>
        <v/>
      </c>
      <c r="C470">
        <f>IF(A470="","",MASTER_REGISTER!C470)</f>
        <v/>
      </c>
      <c r="D470">
        <f>IF(A470="","",COUNTIF(ATTENDANCE_DAILY!C:C,A470))</f>
        <v/>
      </c>
      <c r="E470">
        <f>IF(A470="","",COUNTIFS(ATTENDANCE_DAILY!C:C,A470,ATTENDANCE_DAILY!E:E,"Present"))</f>
        <v/>
      </c>
      <c r="F470">
        <f>IF(A470="","",COUNTIFS(ATTENDANCE_DAILY!C:C,A470,ATTENDANCE_DAILY!E:E,"Absent"))</f>
        <v/>
      </c>
      <c r="G470" s="5">
        <f>IF(D470=0,"",E470/D470)</f>
        <v/>
      </c>
      <c r="H470" s="4">
        <f>IF(G470="","",IF(G470&lt;0.75,"Low Attendance","OK"))</f>
        <v/>
      </c>
    </row>
    <row r="471">
      <c r="A471">
        <f>IF(MASTER_REGISTER!E471="","",MASTER_REGISTER!E471)</f>
        <v/>
      </c>
      <c r="B471">
        <f>IF(A471="","",MASTER_REGISTER!F471)</f>
        <v/>
      </c>
      <c r="C471">
        <f>IF(A471="","",MASTER_REGISTER!C471)</f>
        <v/>
      </c>
      <c r="D471">
        <f>IF(A471="","",COUNTIF(ATTENDANCE_DAILY!C:C,A471))</f>
        <v/>
      </c>
      <c r="E471">
        <f>IF(A471="","",COUNTIFS(ATTENDANCE_DAILY!C:C,A471,ATTENDANCE_DAILY!E:E,"Present"))</f>
        <v/>
      </c>
      <c r="F471">
        <f>IF(A471="","",COUNTIFS(ATTENDANCE_DAILY!C:C,A471,ATTENDANCE_DAILY!E:E,"Absent"))</f>
        <v/>
      </c>
      <c r="G471" s="5">
        <f>IF(D471=0,"",E471/D471)</f>
        <v/>
      </c>
      <c r="H471" s="4">
        <f>IF(G471="","",IF(G471&lt;0.75,"Low Attendance","OK"))</f>
        <v/>
      </c>
    </row>
    <row r="472">
      <c r="A472">
        <f>IF(MASTER_REGISTER!E472="","",MASTER_REGISTER!E472)</f>
        <v/>
      </c>
      <c r="B472">
        <f>IF(A472="","",MASTER_REGISTER!F472)</f>
        <v/>
      </c>
      <c r="C472">
        <f>IF(A472="","",MASTER_REGISTER!C472)</f>
        <v/>
      </c>
      <c r="D472">
        <f>IF(A472="","",COUNTIF(ATTENDANCE_DAILY!C:C,A472))</f>
        <v/>
      </c>
      <c r="E472">
        <f>IF(A472="","",COUNTIFS(ATTENDANCE_DAILY!C:C,A472,ATTENDANCE_DAILY!E:E,"Present"))</f>
        <v/>
      </c>
      <c r="F472">
        <f>IF(A472="","",COUNTIFS(ATTENDANCE_DAILY!C:C,A472,ATTENDANCE_DAILY!E:E,"Absent"))</f>
        <v/>
      </c>
      <c r="G472" s="5">
        <f>IF(D472=0,"",E472/D472)</f>
        <v/>
      </c>
      <c r="H472" s="4">
        <f>IF(G472="","",IF(G472&lt;0.75,"Low Attendance","OK"))</f>
        <v/>
      </c>
    </row>
    <row r="473">
      <c r="A473">
        <f>IF(MASTER_REGISTER!E473="","",MASTER_REGISTER!E473)</f>
        <v/>
      </c>
      <c r="B473">
        <f>IF(A473="","",MASTER_REGISTER!F473)</f>
        <v/>
      </c>
      <c r="C473">
        <f>IF(A473="","",MASTER_REGISTER!C473)</f>
        <v/>
      </c>
      <c r="D473">
        <f>IF(A473="","",COUNTIF(ATTENDANCE_DAILY!C:C,A473))</f>
        <v/>
      </c>
      <c r="E473">
        <f>IF(A473="","",COUNTIFS(ATTENDANCE_DAILY!C:C,A473,ATTENDANCE_DAILY!E:E,"Present"))</f>
        <v/>
      </c>
      <c r="F473">
        <f>IF(A473="","",COUNTIFS(ATTENDANCE_DAILY!C:C,A473,ATTENDANCE_DAILY!E:E,"Absent"))</f>
        <v/>
      </c>
      <c r="G473" s="5">
        <f>IF(D473=0,"",E473/D473)</f>
        <v/>
      </c>
      <c r="H473" s="4">
        <f>IF(G473="","",IF(G473&lt;0.75,"Low Attendance","OK"))</f>
        <v/>
      </c>
    </row>
    <row r="474">
      <c r="A474">
        <f>IF(MASTER_REGISTER!E474="","",MASTER_REGISTER!E474)</f>
        <v/>
      </c>
      <c r="B474">
        <f>IF(A474="","",MASTER_REGISTER!F474)</f>
        <v/>
      </c>
      <c r="C474">
        <f>IF(A474="","",MASTER_REGISTER!C474)</f>
        <v/>
      </c>
      <c r="D474">
        <f>IF(A474="","",COUNTIF(ATTENDANCE_DAILY!C:C,A474))</f>
        <v/>
      </c>
      <c r="E474">
        <f>IF(A474="","",COUNTIFS(ATTENDANCE_DAILY!C:C,A474,ATTENDANCE_DAILY!E:E,"Present"))</f>
        <v/>
      </c>
      <c r="F474">
        <f>IF(A474="","",COUNTIFS(ATTENDANCE_DAILY!C:C,A474,ATTENDANCE_DAILY!E:E,"Absent"))</f>
        <v/>
      </c>
      <c r="G474" s="5">
        <f>IF(D474=0,"",E474/D474)</f>
        <v/>
      </c>
      <c r="H474" s="4">
        <f>IF(G474="","",IF(G474&lt;0.75,"Low Attendance","OK"))</f>
        <v/>
      </c>
    </row>
    <row r="475">
      <c r="A475">
        <f>IF(MASTER_REGISTER!E475="","",MASTER_REGISTER!E475)</f>
        <v/>
      </c>
      <c r="B475">
        <f>IF(A475="","",MASTER_REGISTER!F475)</f>
        <v/>
      </c>
      <c r="C475">
        <f>IF(A475="","",MASTER_REGISTER!C475)</f>
        <v/>
      </c>
      <c r="D475">
        <f>IF(A475="","",COUNTIF(ATTENDANCE_DAILY!C:C,A475))</f>
        <v/>
      </c>
      <c r="E475">
        <f>IF(A475="","",COUNTIFS(ATTENDANCE_DAILY!C:C,A475,ATTENDANCE_DAILY!E:E,"Present"))</f>
        <v/>
      </c>
      <c r="F475">
        <f>IF(A475="","",COUNTIFS(ATTENDANCE_DAILY!C:C,A475,ATTENDANCE_DAILY!E:E,"Absent"))</f>
        <v/>
      </c>
      <c r="G475" s="5">
        <f>IF(D475=0,"",E475/D475)</f>
        <v/>
      </c>
      <c r="H475" s="4">
        <f>IF(G475="","",IF(G475&lt;0.75,"Low Attendance","OK"))</f>
        <v/>
      </c>
    </row>
    <row r="476">
      <c r="A476">
        <f>IF(MASTER_REGISTER!E476="","",MASTER_REGISTER!E476)</f>
        <v/>
      </c>
      <c r="B476">
        <f>IF(A476="","",MASTER_REGISTER!F476)</f>
        <v/>
      </c>
      <c r="C476">
        <f>IF(A476="","",MASTER_REGISTER!C476)</f>
        <v/>
      </c>
      <c r="D476">
        <f>IF(A476="","",COUNTIF(ATTENDANCE_DAILY!C:C,A476))</f>
        <v/>
      </c>
      <c r="E476">
        <f>IF(A476="","",COUNTIFS(ATTENDANCE_DAILY!C:C,A476,ATTENDANCE_DAILY!E:E,"Present"))</f>
        <v/>
      </c>
      <c r="F476">
        <f>IF(A476="","",COUNTIFS(ATTENDANCE_DAILY!C:C,A476,ATTENDANCE_DAILY!E:E,"Absent"))</f>
        <v/>
      </c>
      <c r="G476" s="5">
        <f>IF(D476=0,"",E476/D476)</f>
        <v/>
      </c>
      <c r="H476" s="4">
        <f>IF(G476="","",IF(G476&lt;0.75,"Low Attendance","OK"))</f>
        <v/>
      </c>
    </row>
    <row r="477">
      <c r="A477">
        <f>IF(MASTER_REGISTER!E477="","",MASTER_REGISTER!E477)</f>
        <v/>
      </c>
      <c r="B477">
        <f>IF(A477="","",MASTER_REGISTER!F477)</f>
        <v/>
      </c>
      <c r="C477">
        <f>IF(A477="","",MASTER_REGISTER!C477)</f>
        <v/>
      </c>
      <c r="D477">
        <f>IF(A477="","",COUNTIF(ATTENDANCE_DAILY!C:C,A477))</f>
        <v/>
      </c>
      <c r="E477">
        <f>IF(A477="","",COUNTIFS(ATTENDANCE_DAILY!C:C,A477,ATTENDANCE_DAILY!E:E,"Present"))</f>
        <v/>
      </c>
      <c r="F477">
        <f>IF(A477="","",COUNTIFS(ATTENDANCE_DAILY!C:C,A477,ATTENDANCE_DAILY!E:E,"Absent"))</f>
        <v/>
      </c>
      <c r="G477" s="5">
        <f>IF(D477=0,"",E477/D477)</f>
        <v/>
      </c>
      <c r="H477" s="4">
        <f>IF(G477="","",IF(G477&lt;0.75,"Low Attendance","OK"))</f>
        <v/>
      </c>
    </row>
    <row r="478">
      <c r="A478">
        <f>IF(MASTER_REGISTER!E478="","",MASTER_REGISTER!E478)</f>
        <v/>
      </c>
      <c r="B478">
        <f>IF(A478="","",MASTER_REGISTER!F478)</f>
        <v/>
      </c>
      <c r="C478">
        <f>IF(A478="","",MASTER_REGISTER!C478)</f>
        <v/>
      </c>
      <c r="D478">
        <f>IF(A478="","",COUNTIF(ATTENDANCE_DAILY!C:C,A478))</f>
        <v/>
      </c>
      <c r="E478">
        <f>IF(A478="","",COUNTIFS(ATTENDANCE_DAILY!C:C,A478,ATTENDANCE_DAILY!E:E,"Present"))</f>
        <v/>
      </c>
      <c r="F478">
        <f>IF(A478="","",COUNTIFS(ATTENDANCE_DAILY!C:C,A478,ATTENDANCE_DAILY!E:E,"Absent"))</f>
        <v/>
      </c>
      <c r="G478" s="5">
        <f>IF(D478=0,"",E478/D478)</f>
        <v/>
      </c>
      <c r="H478" s="4">
        <f>IF(G478="","",IF(G478&lt;0.75,"Low Attendance","OK"))</f>
        <v/>
      </c>
    </row>
    <row r="479">
      <c r="A479">
        <f>IF(MASTER_REGISTER!E479="","",MASTER_REGISTER!E479)</f>
        <v/>
      </c>
      <c r="B479">
        <f>IF(A479="","",MASTER_REGISTER!F479)</f>
        <v/>
      </c>
      <c r="C479">
        <f>IF(A479="","",MASTER_REGISTER!C479)</f>
        <v/>
      </c>
      <c r="D479">
        <f>IF(A479="","",COUNTIF(ATTENDANCE_DAILY!C:C,A479))</f>
        <v/>
      </c>
      <c r="E479">
        <f>IF(A479="","",COUNTIFS(ATTENDANCE_DAILY!C:C,A479,ATTENDANCE_DAILY!E:E,"Present"))</f>
        <v/>
      </c>
      <c r="F479">
        <f>IF(A479="","",COUNTIFS(ATTENDANCE_DAILY!C:C,A479,ATTENDANCE_DAILY!E:E,"Absent"))</f>
        <v/>
      </c>
      <c r="G479" s="5">
        <f>IF(D479=0,"",E479/D479)</f>
        <v/>
      </c>
      <c r="H479" s="4">
        <f>IF(G479="","",IF(G479&lt;0.75,"Low Attendance","OK"))</f>
        <v/>
      </c>
    </row>
    <row r="480">
      <c r="A480">
        <f>IF(MASTER_REGISTER!E480="","",MASTER_REGISTER!E480)</f>
        <v/>
      </c>
      <c r="B480">
        <f>IF(A480="","",MASTER_REGISTER!F480)</f>
        <v/>
      </c>
      <c r="C480">
        <f>IF(A480="","",MASTER_REGISTER!C480)</f>
        <v/>
      </c>
      <c r="D480">
        <f>IF(A480="","",COUNTIF(ATTENDANCE_DAILY!C:C,A480))</f>
        <v/>
      </c>
      <c r="E480">
        <f>IF(A480="","",COUNTIFS(ATTENDANCE_DAILY!C:C,A480,ATTENDANCE_DAILY!E:E,"Present"))</f>
        <v/>
      </c>
      <c r="F480">
        <f>IF(A480="","",COUNTIFS(ATTENDANCE_DAILY!C:C,A480,ATTENDANCE_DAILY!E:E,"Absent"))</f>
        <v/>
      </c>
      <c r="G480" s="5">
        <f>IF(D480=0,"",E480/D480)</f>
        <v/>
      </c>
      <c r="H480" s="4">
        <f>IF(G480="","",IF(G480&lt;0.75,"Low Attendance","OK"))</f>
        <v/>
      </c>
    </row>
    <row r="481">
      <c r="A481">
        <f>IF(MASTER_REGISTER!E481="","",MASTER_REGISTER!E481)</f>
        <v/>
      </c>
      <c r="B481">
        <f>IF(A481="","",MASTER_REGISTER!F481)</f>
        <v/>
      </c>
      <c r="C481">
        <f>IF(A481="","",MASTER_REGISTER!C481)</f>
        <v/>
      </c>
      <c r="D481">
        <f>IF(A481="","",COUNTIF(ATTENDANCE_DAILY!C:C,A481))</f>
        <v/>
      </c>
      <c r="E481">
        <f>IF(A481="","",COUNTIFS(ATTENDANCE_DAILY!C:C,A481,ATTENDANCE_DAILY!E:E,"Present"))</f>
        <v/>
      </c>
      <c r="F481">
        <f>IF(A481="","",COUNTIFS(ATTENDANCE_DAILY!C:C,A481,ATTENDANCE_DAILY!E:E,"Absent"))</f>
        <v/>
      </c>
      <c r="G481" s="5">
        <f>IF(D481=0,"",E481/D481)</f>
        <v/>
      </c>
      <c r="H481" s="4">
        <f>IF(G481="","",IF(G481&lt;0.75,"Low Attendance","OK"))</f>
        <v/>
      </c>
    </row>
    <row r="482">
      <c r="A482">
        <f>IF(MASTER_REGISTER!E482="","",MASTER_REGISTER!E482)</f>
        <v/>
      </c>
      <c r="B482">
        <f>IF(A482="","",MASTER_REGISTER!F482)</f>
        <v/>
      </c>
      <c r="C482">
        <f>IF(A482="","",MASTER_REGISTER!C482)</f>
        <v/>
      </c>
      <c r="D482">
        <f>IF(A482="","",COUNTIF(ATTENDANCE_DAILY!C:C,A482))</f>
        <v/>
      </c>
      <c r="E482">
        <f>IF(A482="","",COUNTIFS(ATTENDANCE_DAILY!C:C,A482,ATTENDANCE_DAILY!E:E,"Present"))</f>
        <v/>
      </c>
      <c r="F482">
        <f>IF(A482="","",COUNTIFS(ATTENDANCE_DAILY!C:C,A482,ATTENDANCE_DAILY!E:E,"Absent"))</f>
        <v/>
      </c>
      <c r="G482" s="5">
        <f>IF(D482=0,"",E482/D482)</f>
        <v/>
      </c>
      <c r="H482" s="4">
        <f>IF(G482="","",IF(G482&lt;0.75,"Low Attendance","OK"))</f>
        <v/>
      </c>
    </row>
    <row r="483">
      <c r="A483">
        <f>IF(MASTER_REGISTER!E483="","",MASTER_REGISTER!E483)</f>
        <v/>
      </c>
      <c r="B483">
        <f>IF(A483="","",MASTER_REGISTER!F483)</f>
        <v/>
      </c>
      <c r="C483">
        <f>IF(A483="","",MASTER_REGISTER!C483)</f>
        <v/>
      </c>
      <c r="D483">
        <f>IF(A483="","",COUNTIF(ATTENDANCE_DAILY!C:C,A483))</f>
        <v/>
      </c>
      <c r="E483">
        <f>IF(A483="","",COUNTIFS(ATTENDANCE_DAILY!C:C,A483,ATTENDANCE_DAILY!E:E,"Present"))</f>
        <v/>
      </c>
      <c r="F483">
        <f>IF(A483="","",COUNTIFS(ATTENDANCE_DAILY!C:C,A483,ATTENDANCE_DAILY!E:E,"Absent"))</f>
        <v/>
      </c>
      <c r="G483" s="5">
        <f>IF(D483=0,"",E483/D483)</f>
        <v/>
      </c>
      <c r="H483" s="4">
        <f>IF(G483="","",IF(G483&lt;0.75,"Low Attendance","OK"))</f>
        <v/>
      </c>
    </row>
    <row r="484">
      <c r="A484">
        <f>IF(MASTER_REGISTER!E484="","",MASTER_REGISTER!E484)</f>
        <v/>
      </c>
      <c r="B484">
        <f>IF(A484="","",MASTER_REGISTER!F484)</f>
        <v/>
      </c>
      <c r="C484">
        <f>IF(A484="","",MASTER_REGISTER!C484)</f>
        <v/>
      </c>
      <c r="D484">
        <f>IF(A484="","",COUNTIF(ATTENDANCE_DAILY!C:C,A484))</f>
        <v/>
      </c>
      <c r="E484">
        <f>IF(A484="","",COUNTIFS(ATTENDANCE_DAILY!C:C,A484,ATTENDANCE_DAILY!E:E,"Present"))</f>
        <v/>
      </c>
      <c r="F484">
        <f>IF(A484="","",COUNTIFS(ATTENDANCE_DAILY!C:C,A484,ATTENDANCE_DAILY!E:E,"Absent"))</f>
        <v/>
      </c>
      <c r="G484" s="5">
        <f>IF(D484=0,"",E484/D484)</f>
        <v/>
      </c>
      <c r="H484" s="4">
        <f>IF(G484="","",IF(G484&lt;0.75,"Low Attendance","OK"))</f>
        <v/>
      </c>
    </row>
    <row r="485">
      <c r="A485">
        <f>IF(MASTER_REGISTER!E485="","",MASTER_REGISTER!E485)</f>
        <v/>
      </c>
      <c r="B485">
        <f>IF(A485="","",MASTER_REGISTER!F485)</f>
        <v/>
      </c>
      <c r="C485">
        <f>IF(A485="","",MASTER_REGISTER!C485)</f>
        <v/>
      </c>
      <c r="D485">
        <f>IF(A485="","",COUNTIF(ATTENDANCE_DAILY!C:C,A485))</f>
        <v/>
      </c>
      <c r="E485">
        <f>IF(A485="","",COUNTIFS(ATTENDANCE_DAILY!C:C,A485,ATTENDANCE_DAILY!E:E,"Present"))</f>
        <v/>
      </c>
      <c r="F485">
        <f>IF(A485="","",COUNTIFS(ATTENDANCE_DAILY!C:C,A485,ATTENDANCE_DAILY!E:E,"Absent"))</f>
        <v/>
      </c>
      <c r="G485" s="5">
        <f>IF(D485=0,"",E485/D485)</f>
        <v/>
      </c>
      <c r="H485" s="4">
        <f>IF(G485="","",IF(G485&lt;0.75,"Low Attendance","OK"))</f>
        <v/>
      </c>
    </row>
    <row r="486">
      <c r="A486">
        <f>IF(MASTER_REGISTER!E486="","",MASTER_REGISTER!E486)</f>
        <v/>
      </c>
      <c r="B486">
        <f>IF(A486="","",MASTER_REGISTER!F486)</f>
        <v/>
      </c>
      <c r="C486">
        <f>IF(A486="","",MASTER_REGISTER!C486)</f>
        <v/>
      </c>
      <c r="D486">
        <f>IF(A486="","",COUNTIF(ATTENDANCE_DAILY!C:C,A486))</f>
        <v/>
      </c>
      <c r="E486">
        <f>IF(A486="","",COUNTIFS(ATTENDANCE_DAILY!C:C,A486,ATTENDANCE_DAILY!E:E,"Present"))</f>
        <v/>
      </c>
      <c r="F486">
        <f>IF(A486="","",COUNTIFS(ATTENDANCE_DAILY!C:C,A486,ATTENDANCE_DAILY!E:E,"Absent"))</f>
        <v/>
      </c>
      <c r="G486" s="5">
        <f>IF(D486=0,"",E486/D486)</f>
        <v/>
      </c>
      <c r="H486" s="4">
        <f>IF(G486="","",IF(G486&lt;0.75,"Low Attendance","OK"))</f>
        <v/>
      </c>
    </row>
    <row r="487">
      <c r="A487">
        <f>IF(MASTER_REGISTER!E487="","",MASTER_REGISTER!E487)</f>
        <v/>
      </c>
      <c r="B487">
        <f>IF(A487="","",MASTER_REGISTER!F487)</f>
        <v/>
      </c>
      <c r="C487">
        <f>IF(A487="","",MASTER_REGISTER!C487)</f>
        <v/>
      </c>
      <c r="D487">
        <f>IF(A487="","",COUNTIF(ATTENDANCE_DAILY!C:C,A487))</f>
        <v/>
      </c>
      <c r="E487">
        <f>IF(A487="","",COUNTIFS(ATTENDANCE_DAILY!C:C,A487,ATTENDANCE_DAILY!E:E,"Present"))</f>
        <v/>
      </c>
      <c r="F487">
        <f>IF(A487="","",COUNTIFS(ATTENDANCE_DAILY!C:C,A487,ATTENDANCE_DAILY!E:E,"Absent"))</f>
        <v/>
      </c>
      <c r="G487" s="5">
        <f>IF(D487=0,"",E487/D487)</f>
        <v/>
      </c>
      <c r="H487" s="4">
        <f>IF(G487="","",IF(G487&lt;0.75,"Low Attendance","OK"))</f>
        <v/>
      </c>
    </row>
    <row r="488">
      <c r="A488">
        <f>IF(MASTER_REGISTER!E488="","",MASTER_REGISTER!E488)</f>
        <v/>
      </c>
      <c r="B488">
        <f>IF(A488="","",MASTER_REGISTER!F488)</f>
        <v/>
      </c>
      <c r="C488">
        <f>IF(A488="","",MASTER_REGISTER!C488)</f>
        <v/>
      </c>
      <c r="D488">
        <f>IF(A488="","",COUNTIF(ATTENDANCE_DAILY!C:C,A488))</f>
        <v/>
      </c>
      <c r="E488">
        <f>IF(A488="","",COUNTIFS(ATTENDANCE_DAILY!C:C,A488,ATTENDANCE_DAILY!E:E,"Present"))</f>
        <v/>
      </c>
      <c r="F488">
        <f>IF(A488="","",COUNTIFS(ATTENDANCE_DAILY!C:C,A488,ATTENDANCE_DAILY!E:E,"Absent"))</f>
        <v/>
      </c>
      <c r="G488" s="5">
        <f>IF(D488=0,"",E488/D488)</f>
        <v/>
      </c>
      <c r="H488" s="4">
        <f>IF(G488="","",IF(G488&lt;0.75,"Low Attendance","OK"))</f>
        <v/>
      </c>
    </row>
    <row r="489">
      <c r="A489">
        <f>IF(MASTER_REGISTER!E489="","",MASTER_REGISTER!E489)</f>
        <v/>
      </c>
      <c r="B489">
        <f>IF(A489="","",MASTER_REGISTER!F489)</f>
        <v/>
      </c>
      <c r="C489">
        <f>IF(A489="","",MASTER_REGISTER!C489)</f>
        <v/>
      </c>
      <c r="D489">
        <f>IF(A489="","",COUNTIF(ATTENDANCE_DAILY!C:C,A489))</f>
        <v/>
      </c>
      <c r="E489">
        <f>IF(A489="","",COUNTIFS(ATTENDANCE_DAILY!C:C,A489,ATTENDANCE_DAILY!E:E,"Present"))</f>
        <v/>
      </c>
      <c r="F489">
        <f>IF(A489="","",COUNTIFS(ATTENDANCE_DAILY!C:C,A489,ATTENDANCE_DAILY!E:E,"Absent"))</f>
        <v/>
      </c>
      <c r="G489" s="5">
        <f>IF(D489=0,"",E489/D489)</f>
        <v/>
      </c>
      <c r="H489" s="4">
        <f>IF(G489="","",IF(G489&lt;0.75,"Low Attendance","OK"))</f>
        <v/>
      </c>
    </row>
    <row r="490">
      <c r="A490">
        <f>IF(MASTER_REGISTER!E490="","",MASTER_REGISTER!E490)</f>
        <v/>
      </c>
      <c r="B490">
        <f>IF(A490="","",MASTER_REGISTER!F490)</f>
        <v/>
      </c>
      <c r="C490">
        <f>IF(A490="","",MASTER_REGISTER!C490)</f>
        <v/>
      </c>
      <c r="D490">
        <f>IF(A490="","",COUNTIF(ATTENDANCE_DAILY!C:C,A490))</f>
        <v/>
      </c>
      <c r="E490">
        <f>IF(A490="","",COUNTIFS(ATTENDANCE_DAILY!C:C,A490,ATTENDANCE_DAILY!E:E,"Present"))</f>
        <v/>
      </c>
      <c r="F490">
        <f>IF(A490="","",COUNTIFS(ATTENDANCE_DAILY!C:C,A490,ATTENDANCE_DAILY!E:E,"Absent"))</f>
        <v/>
      </c>
      <c r="G490" s="5">
        <f>IF(D490=0,"",E490/D490)</f>
        <v/>
      </c>
      <c r="H490" s="4">
        <f>IF(G490="","",IF(G490&lt;0.75,"Low Attendance","OK"))</f>
        <v/>
      </c>
    </row>
    <row r="491">
      <c r="A491">
        <f>IF(MASTER_REGISTER!E491="","",MASTER_REGISTER!E491)</f>
        <v/>
      </c>
      <c r="B491">
        <f>IF(A491="","",MASTER_REGISTER!F491)</f>
        <v/>
      </c>
      <c r="C491">
        <f>IF(A491="","",MASTER_REGISTER!C491)</f>
        <v/>
      </c>
      <c r="D491">
        <f>IF(A491="","",COUNTIF(ATTENDANCE_DAILY!C:C,A491))</f>
        <v/>
      </c>
      <c r="E491">
        <f>IF(A491="","",COUNTIFS(ATTENDANCE_DAILY!C:C,A491,ATTENDANCE_DAILY!E:E,"Present"))</f>
        <v/>
      </c>
      <c r="F491">
        <f>IF(A491="","",COUNTIFS(ATTENDANCE_DAILY!C:C,A491,ATTENDANCE_DAILY!E:E,"Absent"))</f>
        <v/>
      </c>
      <c r="G491" s="5">
        <f>IF(D491=0,"",E491/D491)</f>
        <v/>
      </c>
      <c r="H491" s="4">
        <f>IF(G491="","",IF(G491&lt;0.75,"Low Attendance","OK"))</f>
        <v/>
      </c>
    </row>
    <row r="492">
      <c r="A492">
        <f>IF(MASTER_REGISTER!E492="","",MASTER_REGISTER!E492)</f>
        <v/>
      </c>
      <c r="B492">
        <f>IF(A492="","",MASTER_REGISTER!F492)</f>
        <v/>
      </c>
      <c r="C492">
        <f>IF(A492="","",MASTER_REGISTER!C492)</f>
        <v/>
      </c>
      <c r="D492">
        <f>IF(A492="","",COUNTIF(ATTENDANCE_DAILY!C:C,A492))</f>
        <v/>
      </c>
      <c r="E492">
        <f>IF(A492="","",COUNTIFS(ATTENDANCE_DAILY!C:C,A492,ATTENDANCE_DAILY!E:E,"Present"))</f>
        <v/>
      </c>
      <c r="F492">
        <f>IF(A492="","",COUNTIFS(ATTENDANCE_DAILY!C:C,A492,ATTENDANCE_DAILY!E:E,"Absent"))</f>
        <v/>
      </c>
      <c r="G492" s="5">
        <f>IF(D492=0,"",E492/D492)</f>
        <v/>
      </c>
      <c r="H492" s="4">
        <f>IF(G492="","",IF(G492&lt;0.75,"Low Attendance","OK"))</f>
        <v/>
      </c>
    </row>
    <row r="493">
      <c r="A493">
        <f>IF(MASTER_REGISTER!E493="","",MASTER_REGISTER!E493)</f>
        <v/>
      </c>
      <c r="B493">
        <f>IF(A493="","",MASTER_REGISTER!F493)</f>
        <v/>
      </c>
      <c r="C493">
        <f>IF(A493="","",MASTER_REGISTER!C493)</f>
        <v/>
      </c>
      <c r="D493">
        <f>IF(A493="","",COUNTIF(ATTENDANCE_DAILY!C:C,A493))</f>
        <v/>
      </c>
      <c r="E493">
        <f>IF(A493="","",COUNTIFS(ATTENDANCE_DAILY!C:C,A493,ATTENDANCE_DAILY!E:E,"Present"))</f>
        <v/>
      </c>
      <c r="F493">
        <f>IF(A493="","",COUNTIFS(ATTENDANCE_DAILY!C:C,A493,ATTENDANCE_DAILY!E:E,"Absent"))</f>
        <v/>
      </c>
      <c r="G493" s="5">
        <f>IF(D493=0,"",E493/D493)</f>
        <v/>
      </c>
      <c r="H493" s="4">
        <f>IF(G493="","",IF(G493&lt;0.75,"Low Attendance","OK"))</f>
        <v/>
      </c>
    </row>
    <row r="494">
      <c r="A494">
        <f>IF(MASTER_REGISTER!E494="","",MASTER_REGISTER!E494)</f>
        <v/>
      </c>
      <c r="B494">
        <f>IF(A494="","",MASTER_REGISTER!F494)</f>
        <v/>
      </c>
      <c r="C494">
        <f>IF(A494="","",MASTER_REGISTER!C494)</f>
        <v/>
      </c>
      <c r="D494">
        <f>IF(A494="","",COUNTIF(ATTENDANCE_DAILY!C:C,A494))</f>
        <v/>
      </c>
      <c r="E494">
        <f>IF(A494="","",COUNTIFS(ATTENDANCE_DAILY!C:C,A494,ATTENDANCE_DAILY!E:E,"Present"))</f>
        <v/>
      </c>
      <c r="F494">
        <f>IF(A494="","",COUNTIFS(ATTENDANCE_DAILY!C:C,A494,ATTENDANCE_DAILY!E:E,"Absent"))</f>
        <v/>
      </c>
      <c r="G494" s="5">
        <f>IF(D494=0,"",E494/D494)</f>
        <v/>
      </c>
      <c r="H494" s="4">
        <f>IF(G494="","",IF(G494&lt;0.75,"Low Attendance","OK"))</f>
        <v/>
      </c>
    </row>
    <row r="495">
      <c r="A495">
        <f>IF(MASTER_REGISTER!E495="","",MASTER_REGISTER!E495)</f>
        <v/>
      </c>
      <c r="B495">
        <f>IF(A495="","",MASTER_REGISTER!F495)</f>
        <v/>
      </c>
      <c r="C495">
        <f>IF(A495="","",MASTER_REGISTER!C495)</f>
        <v/>
      </c>
      <c r="D495">
        <f>IF(A495="","",COUNTIF(ATTENDANCE_DAILY!C:C,A495))</f>
        <v/>
      </c>
      <c r="E495">
        <f>IF(A495="","",COUNTIFS(ATTENDANCE_DAILY!C:C,A495,ATTENDANCE_DAILY!E:E,"Present"))</f>
        <v/>
      </c>
      <c r="F495">
        <f>IF(A495="","",COUNTIFS(ATTENDANCE_DAILY!C:C,A495,ATTENDANCE_DAILY!E:E,"Absent"))</f>
        <v/>
      </c>
      <c r="G495" s="5">
        <f>IF(D495=0,"",E495/D495)</f>
        <v/>
      </c>
      <c r="H495" s="4">
        <f>IF(G495="","",IF(G495&lt;0.75,"Low Attendance","OK"))</f>
        <v/>
      </c>
    </row>
    <row r="496">
      <c r="A496">
        <f>IF(MASTER_REGISTER!E496="","",MASTER_REGISTER!E496)</f>
        <v/>
      </c>
      <c r="B496">
        <f>IF(A496="","",MASTER_REGISTER!F496)</f>
        <v/>
      </c>
      <c r="C496">
        <f>IF(A496="","",MASTER_REGISTER!C496)</f>
        <v/>
      </c>
      <c r="D496">
        <f>IF(A496="","",COUNTIF(ATTENDANCE_DAILY!C:C,A496))</f>
        <v/>
      </c>
      <c r="E496">
        <f>IF(A496="","",COUNTIFS(ATTENDANCE_DAILY!C:C,A496,ATTENDANCE_DAILY!E:E,"Present"))</f>
        <v/>
      </c>
      <c r="F496">
        <f>IF(A496="","",COUNTIFS(ATTENDANCE_DAILY!C:C,A496,ATTENDANCE_DAILY!E:E,"Absent"))</f>
        <v/>
      </c>
      <c r="G496" s="5">
        <f>IF(D496=0,"",E496/D496)</f>
        <v/>
      </c>
      <c r="H496" s="4">
        <f>IF(G496="","",IF(G496&lt;0.75,"Low Attendance","OK"))</f>
        <v/>
      </c>
    </row>
    <row r="497">
      <c r="A497">
        <f>IF(MASTER_REGISTER!E497="","",MASTER_REGISTER!E497)</f>
        <v/>
      </c>
      <c r="B497">
        <f>IF(A497="","",MASTER_REGISTER!F497)</f>
        <v/>
      </c>
      <c r="C497">
        <f>IF(A497="","",MASTER_REGISTER!C497)</f>
        <v/>
      </c>
      <c r="D497">
        <f>IF(A497="","",COUNTIF(ATTENDANCE_DAILY!C:C,A497))</f>
        <v/>
      </c>
      <c r="E497">
        <f>IF(A497="","",COUNTIFS(ATTENDANCE_DAILY!C:C,A497,ATTENDANCE_DAILY!E:E,"Present"))</f>
        <v/>
      </c>
      <c r="F497">
        <f>IF(A497="","",COUNTIFS(ATTENDANCE_DAILY!C:C,A497,ATTENDANCE_DAILY!E:E,"Absent"))</f>
        <v/>
      </c>
      <c r="G497" s="5">
        <f>IF(D497=0,"",E497/D497)</f>
        <v/>
      </c>
      <c r="H497" s="4">
        <f>IF(G497="","",IF(G497&lt;0.75,"Low Attendance","OK"))</f>
        <v/>
      </c>
    </row>
    <row r="498">
      <c r="A498">
        <f>IF(MASTER_REGISTER!E498="","",MASTER_REGISTER!E498)</f>
        <v/>
      </c>
      <c r="B498">
        <f>IF(A498="","",MASTER_REGISTER!F498)</f>
        <v/>
      </c>
      <c r="C498">
        <f>IF(A498="","",MASTER_REGISTER!C498)</f>
        <v/>
      </c>
      <c r="D498">
        <f>IF(A498="","",COUNTIF(ATTENDANCE_DAILY!C:C,A498))</f>
        <v/>
      </c>
      <c r="E498">
        <f>IF(A498="","",COUNTIFS(ATTENDANCE_DAILY!C:C,A498,ATTENDANCE_DAILY!E:E,"Present"))</f>
        <v/>
      </c>
      <c r="F498">
        <f>IF(A498="","",COUNTIFS(ATTENDANCE_DAILY!C:C,A498,ATTENDANCE_DAILY!E:E,"Absent"))</f>
        <v/>
      </c>
      <c r="G498" s="5">
        <f>IF(D498=0,"",E498/D498)</f>
        <v/>
      </c>
      <c r="H498" s="4">
        <f>IF(G498="","",IF(G498&lt;0.75,"Low Attendance","OK"))</f>
        <v/>
      </c>
    </row>
    <row r="499">
      <c r="A499">
        <f>IF(MASTER_REGISTER!E499="","",MASTER_REGISTER!E499)</f>
        <v/>
      </c>
      <c r="B499">
        <f>IF(A499="","",MASTER_REGISTER!F499)</f>
        <v/>
      </c>
      <c r="C499">
        <f>IF(A499="","",MASTER_REGISTER!C499)</f>
        <v/>
      </c>
      <c r="D499">
        <f>IF(A499="","",COUNTIF(ATTENDANCE_DAILY!C:C,A499))</f>
        <v/>
      </c>
      <c r="E499">
        <f>IF(A499="","",COUNTIFS(ATTENDANCE_DAILY!C:C,A499,ATTENDANCE_DAILY!E:E,"Present"))</f>
        <v/>
      </c>
      <c r="F499">
        <f>IF(A499="","",COUNTIFS(ATTENDANCE_DAILY!C:C,A499,ATTENDANCE_DAILY!E:E,"Absent"))</f>
        <v/>
      </c>
      <c r="G499" s="5">
        <f>IF(D499=0,"",E499/D499)</f>
        <v/>
      </c>
      <c r="H499" s="4">
        <f>IF(G499="","",IF(G499&lt;0.75,"Low Attendance","OK"))</f>
        <v/>
      </c>
    </row>
    <row r="500">
      <c r="A500">
        <f>IF(MASTER_REGISTER!E500="","",MASTER_REGISTER!E500)</f>
        <v/>
      </c>
      <c r="B500">
        <f>IF(A500="","",MASTER_REGISTER!F500)</f>
        <v/>
      </c>
      <c r="C500">
        <f>IF(A500="","",MASTER_REGISTER!C500)</f>
        <v/>
      </c>
      <c r="D500">
        <f>IF(A500="","",COUNTIF(ATTENDANCE_DAILY!C:C,A500))</f>
        <v/>
      </c>
      <c r="E500">
        <f>IF(A500="","",COUNTIFS(ATTENDANCE_DAILY!C:C,A500,ATTENDANCE_DAILY!E:E,"Present"))</f>
        <v/>
      </c>
      <c r="F500">
        <f>IF(A500="","",COUNTIFS(ATTENDANCE_DAILY!C:C,A500,ATTENDANCE_DAILY!E:E,"Absent"))</f>
        <v/>
      </c>
      <c r="G500" s="5">
        <f>IF(D500=0,"",E500/D500)</f>
        <v/>
      </c>
      <c r="H500" s="4">
        <f>IF(G500="","",IF(G500&lt;0.75,"Low Attendance","OK"))</f>
        <v/>
      </c>
    </row>
    <row r="501">
      <c r="A501">
        <f>IF(MASTER_REGISTER!E501="","",MASTER_REGISTER!E501)</f>
        <v/>
      </c>
      <c r="B501">
        <f>IF(A501="","",MASTER_REGISTER!F501)</f>
        <v/>
      </c>
      <c r="C501">
        <f>IF(A501="","",MASTER_REGISTER!C501)</f>
        <v/>
      </c>
      <c r="D501">
        <f>IF(A501="","",COUNTIF(ATTENDANCE_DAILY!C:C,A501))</f>
        <v/>
      </c>
      <c r="E501">
        <f>IF(A501="","",COUNTIFS(ATTENDANCE_DAILY!C:C,A501,ATTENDANCE_DAILY!E:E,"Present"))</f>
        <v/>
      </c>
      <c r="F501">
        <f>IF(A501="","",COUNTIFS(ATTENDANCE_DAILY!C:C,A501,ATTENDANCE_DAILY!E:E,"Absent"))</f>
        <v/>
      </c>
      <c r="G501" s="5">
        <f>IF(D501=0,"",E501/D501)</f>
        <v/>
      </c>
      <c r="H501" s="4">
        <f>IF(G501="","",IF(G501&lt;0.75,"Low Attendance","OK"))</f>
        <v/>
      </c>
    </row>
  </sheetData>
  <conditionalFormatting sqref="H2:H501">
    <cfRule type="cellIs" priority="1" operator="equal" dxfId="1">
      <formula>"Low Attendance"</formula>
    </cfRule>
    <cfRule type="cellIs" priority="2" operator="equal" dxfId="0">
      <formula>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6" customWidth="1" style="10" min="2" max="2"/>
    <col width="18" customWidth="1" style="10" min="3" max="3"/>
    <col width="22" customWidth="1" style="10" min="4" max="4"/>
    <col width="16" customWidth="1" style="10" min="5" max="5"/>
    <col width="14" customWidth="1" style="10" min="6" max="6"/>
    <col width="26" customWidth="1" style="10" min="7" max="7"/>
  </cols>
  <sheetData>
    <row r="1">
      <c r="A1" s="12" t="inlineStr">
        <is>
          <t>Payment Date</t>
        </is>
      </c>
      <c r="B1" s="12" t="inlineStr">
        <is>
          <t>Receipt/Ref</t>
        </is>
      </c>
      <c r="C1" s="12" t="inlineStr">
        <is>
          <t>Student Number</t>
        </is>
      </c>
      <c r="D1" s="12" t="inlineStr">
        <is>
          <t>Payer Name</t>
        </is>
      </c>
      <c r="E1" s="12" t="inlineStr">
        <is>
          <t>Amount Paid (R)</t>
        </is>
      </c>
      <c r="F1" s="12" t="inlineStr">
        <is>
          <t>Method</t>
        </is>
      </c>
      <c r="G1" s="12" t="inlineStr">
        <is>
          <t>Notes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</sheetData>
  <dataValidations count="1">
    <dataValidation sqref="F2:F5000" showDropDown="0" showInputMessage="0" showErrorMessage="0" allowBlank="1" type="list">
      <formula1>"Cash,EFT,Bank Deposit,Other"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8" customWidth="1" style="10" min="2" max="2"/>
    <col width="26" customWidth="1" style="10" min="3" max="3"/>
    <col width="10" customWidth="1" style="10" min="4" max="4"/>
    <col width="18" customWidth="1" style="10" min="5" max="6"/>
    <col width="22" customWidth="1" style="10" min="7" max="7"/>
    <col width="10" customWidth="1" style="10" min="8" max="8"/>
    <col width="18" customWidth="1" style="10" min="9" max="9"/>
    <col width="28" customWidth="1" style="10" min="10" max="10"/>
  </cols>
  <sheetData>
    <row r="1" ht="28.8" customHeight="1" s="10">
      <c r="A1" s="12" t="inlineStr">
        <is>
          <t>Assessment Date</t>
        </is>
      </c>
      <c r="B1" s="12" t="inlineStr">
        <is>
          <t>Student Number</t>
        </is>
      </c>
      <c r="C1" s="12" t="inlineStr">
        <is>
          <t>Learner Name (auto)</t>
        </is>
      </c>
      <c r="D1" s="12" t="inlineStr">
        <is>
          <t>Grade (auto)</t>
        </is>
      </c>
      <c r="E1" s="12" t="inlineStr">
        <is>
          <t>Subject</t>
        </is>
      </c>
      <c r="F1" s="12" t="inlineStr">
        <is>
          <t>Assessment Type</t>
        </is>
      </c>
      <c r="G1" s="12" t="inlineStr">
        <is>
          <t>Topic</t>
        </is>
      </c>
      <c r="H1" s="12" t="inlineStr">
        <is>
          <t>Score (%)</t>
        </is>
      </c>
      <c r="I1" s="12" t="inlineStr">
        <is>
          <t>Tutor</t>
        </is>
      </c>
      <c r="J1" s="12" t="inlineStr">
        <is>
          <t>Notes</t>
        </is>
      </c>
    </row>
    <row r="2">
      <c r="C2" s="7">
        <f>IFERROR(_xludf.XLOOKUP(B2,MASTER_REGISTER!E:E,MASTER_REGISTER!F:F,""),"")</f>
        <v/>
      </c>
      <c r="D2" s="4">
        <f>IFERROR(_xludf.XLOOKUP(B2,MASTER_REGISTER!E:E,MASTER_REGISTER!C:C,""),"")</f>
        <v/>
      </c>
      <c r="H2" s="4" t="n"/>
    </row>
    <row r="3">
      <c r="C3" s="7">
        <f>IFERROR(_xludf.XLOOKUP(B3,MASTER_REGISTER!E:E,MASTER_REGISTER!F:F,""),"")</f>
        <v/>
      </c>
      <c r="D3" s="4">
        <f>IFERROR(_xludf.XLOOKUP(B3,MASTER_REGISTER!E:E,MASTER_REGISTER!C:C,""),"")</f>
        <v/>
      </c>
      <c r="H3" s="4" t="n"/>
    </row>
    <row r="4">
      <c r="C4" s="7">
        <f>IFERROR(_xludf.XLOOKUP(B4,MASTER_REGISTER!E:E,MASTER_REGISTER!F:F,""),"")</f>
        <v/>
      </c>
      <c r="D4" s="4">
        <f>IFERROR(_xludf.XLOOKUP(B4,MASTER_REGISTER!E:E,MASTER_REGISTER!C:C,""),"")</f>
        <v/>
      </c>
      <c r="H4" s="4" t="n"/>
    </row>
    <row r="5">
      <c r="C5" s="7">
        <f>IFERROR(_xludf.XLOOKUP(B5,MASTER_REGISTER!E:E,MASTER_REGISTER!F:F,""),"")</f>
        <v/>
      </c>
      <c r="D5" s="4">
        <f>IFERROR(_xludf.XLOOKUP(B5,MASTER_REGISTER!E:E,MASTER_REGISTER!C:C,""),"")</f>
        <v/>
      </c>
      <c r="H5" s="4" t="n"/>
    </row>
    <row r="6">
      <c r="C6" s="7">
        <f>IFERROR(_xludf.XLOOKUP(B6,MASTER_REGISTER!E:E,MASTER_REGISTER!F:F,""),"")</f>
        <v/>
      </c>
      <c r="D6" s="4">
        <f>IFERROR(_xludf.XLOOKUP(B6,MASTER_REGISTER!E:E,MASTER_REGISTER!C:C,""),"")</f>
        <v/>
      </c>
      <c r="H6" s="4" t="n"/>
    </row>
    <row r="7">
      <c r="C7" s="7">
        <f>IFERROR(_xludf.XLOOKUP(B7,MASTER_REGISTER!E:E,MASTER_REGISTER!F:F,""),"")</f>
        <v/>
      </c>
      <c r="D7" s="4">
        <f>IFERROR(_xludf.XLOOKUP(B7,MASTER_REGISTER!E:E,MASTER_REGISTER!C:C,""),"")</f>
        <v/>
      </c>
      <c r="H7" s="4" t="n"/>
    </row>
    <row r="8">
      <c r="C8" s="7">
        <f>IFERROR(_xludf.XLOOKUP(B8,MASTER_REGISTER!E:E,MASTER_REGISTER!F:F,""),"")</f>
        <v/>
      </c>
      <c r="D8" s="4">
        <f>IFERROR(_xludf.XLOOKUP(B8,MASTER_REGISTER!E:E,MASTER_REGISTER!C:C,""),"")</f>
        <v/>
      </c>
      <c r="H8" s="4" t="n"/>
    </row>
    <row r="9">
      <c r="C9" s="7">
        <f>IFERROR(_xludf.XLOOKUP(B9,MASTER_REGISTER!E:E,MASTER_REGISTER!F:F,""),"")</f>
        <v/>
      </c>
      <c r="D9" s="4">
        <f>IFERROR(_xludf.XLOOKUP(B9,MASTER_REGISTER!E:E,MASTER_REGISTER!C:C,""),"")</f>
        <v/>
      </c>
      <c r="H9" s="4" t="n"/>
    </row>
    <row r="10">
      <c r="C10" s="7">
        <f>IFERROR(_xludf.XLOOKUP(B10,MASTER_REGISTER!E:E,MASTER_REGISTER!F:F,""),"")</f>
        <v/>
      </c>
      <c r="D10" s="4">
        <f>IFERROR(_xludf.XLOOKUP(B10,MASTER_REGISTER!E:E,MASTER_REGISTER!C:C,""),"")</f>
        <v/>
      </c>
      <c r="H10" s="4" t="n"/>
    </row>
    <row r="11">
      <c r="C11" s="7">
        <f>IFERROR(_xludf.XLOOKUP(B11,MASTER_REGISTER!E:E,MASTER_REGISTER!F:F,""),"")</f>
        <v/>
      </c>
      <c r="D11" s="4">
        <f>IFERROR(_xludf.XLOOKUP(B11,MASTER_REGISTER!E:E,MASTER_REGISTER!C:C,""),"")</f>
        <v/>
      </c>
      <c r="H11" s="4" t="n"/>
    </row>
    <row r="12">
      <c r="C12" s="7">
        <f>IFERROR(_xludf.XLOOKUP(B12,MASTER_REGISTER!E:E,MASTER_REGISTER!F:F,""),"")</f>
        <v/>
      </c>
      <c r="D12" s="4">
        <f>IFERROR(_xludf.XLOOKUP(B12,MASTER_REGISTER!E:E,MASTER_REGISTER!C:C,""),"")</f>
        <v/>
      </c>
      <c r="H12" s="4" t="n"/>
    </row>
    <row r="13">
      <c r="C13" s="7">
        <f>IFERROR(_xludf.XLOOKUP(B13,MASTER_REGISTER!E:E,MASTER_REGISTER!F:F,""),"")</f>
        <v/>
      </c>
      <c r="D13" s="4">
        <f>IFERROR(_xludf.XLOOKUP(B13,MASTER_REGISTER!E:E,MASTER_REGISTER!C:C,""),"")</f>
        <v/>
      </c>
      <c r="H13" s="4" t="n"/>
    </row>
    <row r="14">
      <c r="C14" s="7">
        <f>IFERROR(_xludf.XLOOKUP(B14,MASTER_REGISTER!E:E,MASTER_REGISTER!F:F,""),"")</f>
        <v/>
      </c>
      <c r="D14" s="4">
        <f>IFERROR(_xludf.XLOOKUP(B14,MASTER_REGISTER!E:E,MASTER_REGISTER!C:C,""),"")</f>
        <v/>
      </c>
      <c r="H14" s="4" t="n"/>
    </row>
    <row r="15">
      <c r="C15" s="7">
        <f>IFERROR(_xludf.XLOOKUP(B15,MASTER_REGISTER!E:E,MASTER_REGISTER!F:F,""),"")</f>
        <v/>
      </c>
      <c r="D15" s="4">
        <f>IFERROR(_xludf.XLOOKUP(B15,MASTER_REGISTER!E:E,MASTER_REGISTER!C:C,""),"")</f>
        <v/>
      </c>
      <c r="H15" s="4" t="n"/>
    </row>
    <row r="16">
      <c r="C16" s="7">
        <f>IFERROR(_xludf.XLOOKUP(B16,MASTER_REGISTER!E:E,MASTER_REGISTER!F:F,""),"")</f>
        <v/>
      </c>
      <c r="D16" s="4">
        <f>IFERROR(_xludf.XLOOKUP(B16,MASTER_REGISTER!E:E,MASTER_REGISTER!C:C,""),"")</f>
        <v/>
      </c>
      <c r="H16" s="4" t="n"/>
    </row>
    <row r="17">
      <c r="C17" s="7">
        <f>IFERROR(_xludf.XLOOKUP(B17,MASTER_REGISTER!E:E,MASTER_REGISTER!F:F,""),"")</f>
        <v/>
      </c>
      <c r="D17" s="4">
        <f>IFERROR(_xludf.XLOOKUP(B17,MASTER_REGISTER!E:E,MASTER_REGISTER!C:C,""),"")</f>
        <v/>
      </c>
      <c r="H17" s="4" t="n"/>
    </row>
    <row r="18">
      <c r="C18" s="7">
        <f>IFERROR(_xludf.XLOOKUP(B18,MASTER_REGISTER!E:E,MASTER_REGISTER!F:F,""),"")</f>
        <v/>
      </c>
      <c r="D18" s="4">
        <f>IFERROR(_xludf.XLOOKUP(B18,MASTER_REGISTER!E:E,MASTER_REGISTER!C:C,""),"")</f>
        <v/>
      </c>
      <c r="H18" s="4" t="n"/>
    </row>
    <row r="19">
      <c r="C19" s="7">
        <f>IFERROR(_xludf.XLOOKUP(B19,MASTER_REGISTER!E:E,MASTER_REGISTER!F:F,""),"")</f>
        <v/>
      </c>
      <c r="D19" s="4">
        <f>IFERROR(_xludf.XLOOKUP(B19,MASTER_REGISTER!E:E,MASTER_REGISTER!C:C,""),"")</f>
        <v/>
      </c>
      <c r="H19" s="4" t="n"/>
    </row>
    <row r="20">
      <c r="C20" s="7">
        <f>IFERROR(_xludf.XLOOKUP(B20,MASTER_REGISTER!E:E,MASTER_REGISTER!F:F,""),"")</f>
        <v/>
      </c>
      <c r="D20" s="4">
        <f>IFERROR(_xludf.XLOOKUP(B20,MASTER_REGISTER!E:E,MASTER_REGISTER!C:C,""),"")</f>
        <v/>
      </c>
      <c r="H20" s="4" t="n"/>
    </row>
    <row r="21">
      <c r="C21" s="7">
        <f>IFERROR(_xludf.XLOOKUP(B21,MASTER_REGISTER!E:E,MASTER_REGISTER!F:F,""),"")</f>
        <v/>
      </c>
      <c r="D21" s="4">
        <f>IFERROR(_xludf.XLOOKUP(B21,MASTER_REGISTER!E:E,MASTER_REGISTER!C:C,""),"")</f>
        <v/>
      </c>
      <c r="H21" s="4" t="n"/>
    </row>
    <row r="22">
      <c r="C22" s="7">
        <f>IFERROR(_xludf.XLOOKUP(B22,MASTER_REGISTER!E:E,MASTER_REGISTER!F:F,""),"")</f>
        <v/>
      </c>
      <c r="D22" s="4">
        <f>IFERROR(_xludf.XLOOKUP(B22,MASTER_REGISTER!E:E,MASTER_REGISTER!C:C,""),"")</f>
        <v/>
      </c>
      <c r="H22" s="4" t="n"/>
    </row>
    <row r="23">
      <c r="C23" s="7">
        <f>IFERROR(_xludf.XLOOKUP(B23,MASTER_REGISTER!E:E,MASTER_REGISTER!F:F,""),"")</f>
        <v/>
      </c>
      <c r="D23" s="4">
        <f>IFERROR(_xludf.XLOOKUP(B23,MASTER_REGISTER!E:E,MASTER_REGISTER!C:C,""),"")</f>
        <v/>
      </c>
      <c r="H23" s="4" t="n"/>
    </row>
    <row r="24">
      <c r="C24" s="7">
        <f>IFERROR(_xludf.XLOOKUP(B24,MASTER_REGISTER!E:E,MASTER_REGISTER!F:F,""),"")</f>
        <v/>
      </c>
      <c r="D24" s="4">
        <f>IFERROR(_xludf.XLOOKUP(B24,MASTER_REGISTER!E:E,MASTER_REGISTER!C:C,""),"")</f>
        <v/>
      </c>
      <c r="H24" s="4" t="n"/>
    </row>
    <row r="25">
      <c r="C25" s="7">
        <f>IFERROR(_xludf.XLOOKUP(B25,MASTER_REGISTER!E:E,MASTER_REGISTER!F:F,""),"")</f>
        <v/>
      </c>
      <c r="D25" s="4">
        <f>IFERROR(_xludf.XLOOKUP(B25,MASTER_REGISTER!E:E,MASTER_REGISTER!C:C,""),"")</f>
        <v/>
      </c>
      <c r="H25" s="4" t="n"/>
    </row>
    <row r="26">
      <c r="C26" s="7">
        <f>IFERROR(_xludf.XLOOKUP(B26,MASTER_REGISTER!E:E,MASTER_REGISTER!F:F,""),"")</f>
        <v/>
      </c>
      <c r="D26" s="4">
        <f>IFERROR(_xludf.XLOOKUP(B26,MASTER_REGISTER!E:E,MASTER_REGISTER!C:C,""),"")</f>
        <v/>
      </c>
      <c r="H26" s="4" t="n"/>
    </row>
    <row r="27">
      <c r="C27" s="7">
        <f>IFERROR(_xludf.XLOOKUP(B27,MASTER_REGISTER!E:E,MASTER_REGISTER!F:F,""),"")</f>
        <v/>
      </c>
      <c r="D27" s="4">
        <f>IFERROR(_xludf.XLOOKUP(B27,MASTER_REGISTER!E:E,MASTER_REGISTER!C:C,""),"")</f>
        <v/>
      </c>
      <c r="H27" s="4" t="n"/>
    </row>
    <row r="28">
      <c r="C28" s="7">
        <f>IFERROR(_xludf.XLOOKUP(B28,MASTER_REGISTER!E:E,MASTER_REGISTER!F:F,""),"")</f>
        <v/>
      </c>
      <c r="D28" s="4">
        <f>IFERROR(_xludf.XLOOKUP(B28,MASTER_REGISTER!E:E,MASTER_REGISTER!C:C,""),"")</f>
        <v/>
      </c>
      <c r="H28" s="4" t="n"/>
    </row>
    <row r="29">
      <c r="C29" s="7">
        <f>IFERROR(_xludf.XLOOKUP(B29,MASTER_REGISTER!E:E,MASTER_REGISTER!F:F,""),"")</f>
        <v/>
      </c>
      <c r="D29" s="4">
        <f>IFERROR(_xludf.XLOOKUP(B29,MASTER_REGISTER!E:E,MASTER_REGISTER!C:C,""),"")</f>
        <v/>
      </c>
      <c r="H29" s="4" t="n"/>
    </row>
    <row r="30">
      <c r="C30" s="7">
        <f>IFERROR(_xludf.XLOOKUP(B30,MASTER_REGISTER!E:E,MASTER_REGISTER!F:F,""),"")</f>
        <v/>
      </c>
      <c r="D30" s="4">
        <f>IFERROR(_xludf.XLOOKUP(B30,MASTER_REGISTER!E:E,MASTER_REGISTER!C:C,""),"")</f>
        <v/>
      </c>
      <c r="H30" s="4" t="n"/>
    </row>
    <row r="31">
      <c r="C31" s="7">
        <f>IFERROR(_xludf.XLOOKUP(B31,MASTER_REGISTER!E:E,MASTER_REGISTER!F:F,""),"")</f>
        <v/>
      </c>
      <c r="D31" s="4">
        <f>IFERROR(_xludf.XLOOKUP(B31,MASTER_REGISTER!E:E,MASTER_REGISTER!C:C,""),"")</f>
        <v/>
      </c>
      <c r="H31" s="4" t="n"/>
    </row>
    <row r="32">
      <c r="C32" s="7">
        <f>IFERROR(_xludf.XLOOKUP(B32,MASTER_REGISTER!E:E,MASTER_REGISTER!F:F,""),"")</f>
        <v/>
      </c>
      <c r="D32" s="4">
        <f>IFERROR(_xludf.XLOOKUP(B32,MASTER_REGISTER!E:E,MASTER_REGISTER!C:C,""),"")</f>
        <v/>
      </c>
      <c r="H32" s="4" t="n"/>
    </row>
    <row r="33">
      <c r="C33" s="7">
        <f>IFERROR(_xludf.XLOOKUP(B33,MASTER_REGISTER!E:E,MASTER_REGISTER!F:F,""),"")</f>
        <v/>
      </c>
      <c r="D33" s="4">
        <f>IFERROR(_xludf.XLOOKUP(B33,MASTER_REGISTER!E:E,MASTER_REGISTER!C:C,""),"")</f>
        <v/>
      </c>
      <c r="H33" s="4" t="n"/>
    </row>
    <row r="34">
      <c r="C34" s="7">
        <f>IFERROR(_xludf.XLOOKUP(B34,MASTER_REGISTER!E:E,MASTER_REGISTER!F:F,""),"")</f>
        <v/>
      </c>
      <c r="D34" s="4">
        <f>IFERROR(_xludf.XLOOKUP(B34,MASTER_REGISTER!E:E,MASTER_REGISTER!C:C,""),"")</f>
        <v/>
      </c>
      <c r="H34" s="4" t="n"/>
    </row>
    <row r="35">
      <c r="C35" s="7">
        <f>IFERROR(_xludf.XLOOKUP(B35,MASTER_REGISTER!E:E,MASTER_REGISTER!F:F,""),"")</f>
        <v/>
      </c>
      <c r="D35" s="4">
        <f>IFERROR(_xludf.XLOOKUP(B35,MASTER_REGISTER!E:E,MASTER_REGISTER!C:C,""),"")</f>
        <v/>
      </c>
      <c r="H35" s="4" t="n"/>
    </row>
    <row r="36">
      <c r="C36" s="7">
        <f>IFERROR(_xludf.XLOOKUP(B36,MASTER_REGISTER!E:E,MASTER_REGISTER!F:F,""),"")</f>
        <v/>
      </c>
      <c r="D36" s="4">
        <f>IFERROR(_xludf.XLOOKUP(B36,MASTER_REGISTER!E:E,MASTER_REGISTER!C:C,""),"")</f>
        <v/>
      </c>
      <c r="H36" s="4" t="n"/>
    </row>
    <row r="37">
      <c r="C37" s="7">
        <f>IFERROR(_xludf.XLOOKUP(B37,MASTER_REGISTER!E:E,MASTER_REGISTER!F:F,""),"")</f>
        <v/>
      </c>
      <c r="D37" s="4">
        <f>IFERROR(_xludf.XLOOKUP(B37,MASTER_REGISTER!E:E,MASTER_REGISTER!C:C,""),"")</f>
        <v/>
      </c>
      <c r="H37" s="4" t="n"/>
    </row>
    <row r="38">
      <c r="C38" s="7">
        <f>IFERROR(_xludf.XLOOKUP(B38,MASTER_REGISTER!E:E,MASTER_REGISTER!F:F,""),"")</f>
        <v/>
      </c>
      <c r="D38" s="4">
        <f>IFERROR(_xludf.XLOOKUP(B38,MASTER_REGISTER!E:E,MASTER_REGISTER!C:C,""),"")</f>
        <v/>
      </c>
      <c r="H38" s="4" t="n"/>
    </row>
    <row r="39">
      <c r="C39" s="7">
        <f>IFERROR(_xludf.XLOOKUP(B39,MASTER_REGISTER!E:E,MASTER_REGISTER!F:F,""),"")</f>
        <v/>
      </c>
      <c r="D39" s="4">
        <f>IFERROR(_xludf.XLOOKUP(B39,MASTER_REGISTER!E:E,MASTER_REGISTER!C:C,""),"")</f>
        <v/>
      </c>
      <c r="H39" s="4" t="n"/>
    </row>
    <row r="40">
      <c r="C40" s="7">
        <f>IFERROR(_xludf.XLOOKUP(B40,MASTER_REGISTER!E:E,MASTER_REGISTER!F:F,""),"")</f>
        <v/>
      </c>
      <c r="D40" s="4">
        <f>IFERROR(_xludf.XLOOKUP(B40,MASTER_REGISTER!E:E,MASTER_REGISTER!C:C,""),"")</f>
        <v/>
      </c>
      <c r="H40" s="4" t="n"/>
    </row>
    <row r="41">
      <c r="C41" s="7">
        <f>IFERROR(_xludf.XLOOKUP(B41,MASTER_REGISTER!E:E,MASTER_REGISTER!F:F,""),"")</f>
        <v/>
      </c>
      <c r="D41" s="4">
        <f>IFERROR(_xludf.XLOOKUP(B41,MASTER_REGISTER!E:E,MASTER_REGISTER!C:C,""),"")</f>
        <v/>
      </c>
      <c r="H41" s="4" t="n"/>
    </row>
    <row r="42">
      <c r="C42" s="7">
        <f>IFERROR(_xludf.XLOOKUP(B42,MASTER_REGISTER!E:E,MASTER_REGISTER!F:F,""),"")</f>
        <v/>
      </c>
      <c r="D42" s="4">
        <f>IFERROR(_xludf.XLOOKUP(B42,MASTER_REGISTER!E:E,MASTER_REGISTER!C:C,""),"")</f>
        <v/>
      </c>
      <c r="H42" s="4" t="n"/>
    </row>
    <row r="43">
      <c r="C43" s="7">
        <f>IFERROR(_xludf.XLOOKUP(B43,MASTER_REGISTER!E:E,MASTER_REGISTER!F:F,""),"")</f>
        <v/>
      </c>
      <c r="D43" s="4">
        <f>IFERROR(_xludf.XLOOKUP(B43,MASTER_REGISTER!E:E,MASTER_REGISTER!C:C,""),"")</f>
        <v/>
      </c>
      <c r="H43" s="4" t="n"/>
    </row>
    <row r="44">
      <c r="C44" s="7">
        <f>IFERROR(_xludf.XLOOKUP(B44,MASTER_REGISTER!E:E,MASTER_REGISTER!F:F,""),"")</f>
        <v/>
      </c>
      <c r="D44" s="4">
        <f>IFERROR(_xludf.XLOOKUP(B44,MASTER_REGISTER!E:E,MASTER_REGISTER!C:C,""),"")</f>
        <v/>
      </c>
      <c r="H44" s="4" t="n"/>
    </row>
    <row r="45">
      <c r="C45" s="7">
        <f>IFERROR(_xludf.XLOOKUP(B45,MASTER_REGISTER!E:E,MASTER_REGISTER!F:F,""),"")</f>
        <v/>
      </c>
      <c r="D45" s="4">
        <f>IFERROR(_xludf.XLOOKUP(B45,MASTER_REGISTER!E:E,MASTER_REGISTER!C:C,""),"")</f>
        <v/>
      </c>
      <c r="H45" s="4" t="n"/>
    </row>
    <row r="46">
      <c r="C46" s="7">
        <f>IFERROR(_xludf.XLOOKUP(B46,MASTER_REGISTER!E:E,MASTER_REGISTER!F:F,""),"")</f>
        <v/>
      </c>
      <c r="D46" s="4">
        <f>IFERROR(_xludf.XLOOKUP(B46,MASTER_REGISTER!E:E,MASTER_REGISTER!C:C,""),"")</f>
        <v/>
      </c>
      <c r="H46" s="4" t="n"/>
    </row>
    <row r="47">
      <c r="C47" s="7">
        <f>IFERROR(_xludf.XLOOKUP(B47,MASTER_REGISTER!E:E,MASTER_REGISTER!F:F,""),"")</f>
        <v/>
      </c>
      <c r="D47" s="4">
        <f>IFERROR(_xludf.XLOOKUP(B47,MASTER_REGISTER!E:E,MASTER_REGISTER!C:C,""),"")</f>
        <v/>
      </c>
      <c r="H47" s="4" t="n"/>
    </row>
    <row r="48">
      <c r="C48" s="7">
        <f>IFERROR(_xludf.XLOOKUP(B48,MASTER_REGISTER!E:E,MASTER_REGISTER!F:F,""),"")</f>
        <v/>
      </c>
      <c r="D48" s="4">
        <f>IFERROR(_xludf.XLOOKUP(B48,MASTER_REGISTER!E:E,MASTER_REGISTER!C:C,""),"")</f>
        <v/>
      </c>
      <c r="H48" s="4" t="n"/>
    </row>
    <row r="49">
      <c r="C49" s="7">
        <f>IFERROR(_xludf.XLOOKUP(B49,MASTER_REGISTER!E:E,MASTER_REGISTER!F:F,""),"")</f>
        <v/>
      </c>
      <c r="D49" s="4">
        <f>IFERROR(_xludf.XLOOKUP(B49,MASTER_REGISTER!E:E,MASTER_REGISTER!C:C,""),"")</f>
        <v/>
      </c>
      <c r="H49" s="4" t="n"/>
    </row>
    <row r="50">
      <c r="C50" s="7">
        <f>IFERROR(_xludf.XLOOKUP(B50,MASTER_REGISTER!E:E,MASTER_REGISTER!F:F,""),"")</f>
        <v/>
      </c>
      <c r="D50" s="4">
        <f>IFERROR(_xludf.XLOOKUP(B50,MASTER_REGISTER!E:E,MASTER_REGISTER!C:C,""),"")</f>
        <v/>
      </c>
      <c r="H50" s="4" t="n"/>
    </row>
    <row r="51">
      <c r="C51" s="7">
        <f>IFERROR(_xludf.XLOOKUP(B51,MASTER_REGISTER!E:E,MASTER_REGISTER!F:F,""),"")</f>
        <v/>
      </c>
      <c r="D51" s="4">
        <f>IFERROR(_xludf.XLOOKUP(B51,MASTER_REGISTER!E:E,MASTER_REGISTER!C:C,""),"")</f>
        <v/>
      </c>
      <c r="H51" s="4" t="n"/>
    </row>
    <row r="52">
      <c r="C52" s="7">
        <f>IFERROR(_xludf.XLOOKUP(B52,MASTER_REGISTER!E:E,MASTER_REGISTER!F:F,""),"")</f>
        <v/>
      </c>
      <c r="D52" s="4">
        <f>IFERROR(_xludf.XLOOKUP(B52,MASTER_REGISTER!E:E,MASTER_REGISTER!C:C,""),"")</f>
        <v/>
      </c>
      <c r="H52" s="4" t="n"/>
    </row>
    <row r="53">
      <c r="C53" s="7">
        <f>IFERROR(_xludf.XLOOKUP(B53,MASTER_REGISTER!E:E,MASTER_REGISTER!F:F,""),"")</f>
        <v/>
      </c>
      <c r="D53" s="4">
        <f>IFERROR(_xludf.XLOOKUP(B53,MASTER_REGISTER!E:E,MASTER_REGISTER!C:C,""),"")</f>
        <v/>
      </c>
      <c r="H53" s="4" t="n"/>
    </row>
    <row r="54">
      <c r="C54" s="7">
        <f>IFERROR(_xludf.XLOOKUP(B54,MASTER_REGISTER!E:E,MASTER_REGISTER!F:F,""),"")</f>
        <v/>
      </c>
      <c r="D54" s="4">
        <f>IFERROR(_xludf.XLOOKUP(B54,MASTER_REGISTER!E:E,MASTER_REGISTER!C:C,""),"")</f>
        <v/>
      </c>
      <c r="H54" s="4" t="n"/>
    </row>
    <row r="55">
      <c r="C55" s="7">
        <f>IFERROR(_xludf.XLOOKUP(B55,MASTER_REGISTER!E:E,MASTER_REGISTER!F:F,""),"")</f>
        <v/>
      </c>
      <c r="D55" s="4">
        <f>IFERROR(_xludf.XLOOKUP(B55,MASTER_REGISTER!E:E,MASTER_REGISTER!C:C,""),"")</f>
        <v/>
      </c>
      <c r="H55" s="4" t="n"/>
    </row>
    <row r="56">
      <c r="C56" s="7">
        <f>IFERROR(_xludf.XLOOKUP(B56,MASTER_REGISTER!E:E,MASTER_REGISTER!F:F,""),"")</f>
        <v/>
      </c>
      <c r="D56" s="4">
        <f>IFERROR(_xludf.XLOOKUP(B56,MASTER_REGISTER!E:E,MASTER_REGISTER!C:C,""),"")</f>
        <v/>
      </c>
      <c r="H56" s="4" t="n"/>
    </row>
    <row r="57">
      <c r="C57" s="7">
        <f>IFERROR(_xludf.XLOOKUP(B57,MASTER_REGISTER!E:E,MASTER_REGISTER!F:F,""),"")</f>
        <v/>
      </c>
      <c r="D57" s="4">
        <f>IFERROR(_xludf.XLOOKUP(B57,MASTER_REGISTER!E:E,MASTER_REGISTER!C:C,""),"")</f>
        <v/>
      </c>
      <c r="H57" s="4" t="n"/>
    </row>
    <row r="58">
      <c r="C58" s="7">
        <f>IFERROR(_xludf.XLOOKUP(B58,MASTER_REGISTER!E:E,MASTER_REGISTER!F:F,""),"")</f>
        <v/>
      </c>
      <c r="D58" s="4">
        <f>IFERROR(_xludf.XLOOKUP(B58,MASTER_REGISTER!E:E,MASTER_REGISTER!C:C,""),"")</f>
        <v/>
      </c>
      <c r="H58" s="4" t="n"/>
    </row>
    <row r="59">
      <c r="C59" s="7">
        <f>IFERROR(_xludf.XLOOKUP(B59,MASTER_REGISTER!E:E,MASTER_REGISTER!F:F,""),"")</f>
        <v/>
      </c>
      <c r="D59" s="4">
        <f>IFERROR(_xludf.XLOOKUP(B59,MASTER_REGISTER!E:E,MASTER_REGISTER!C:C,""),"")</f>
        <v/>
      </c>
      <c r="H59" s="4" t="n"/>
    </row>
    <row r="60">
      <c r="C60" s="7">
        <f>IFERROR(_xludf.XLOOKUP(B60,MASTER_REGISTER!E:E,MASTER_REGISTER!F:F,""),"")</f>
        <v/>
      </c>
      <c r="D60" s="4">
        <f>IFERROR(_xludf.XLOOKUP(B60,MASTER_REGISTER!E:E,MASTER_REGISTER!C:C,""),"")</f>
        <v/>
      </c>
      <c r="H60" s="4" t="n"/>
    </row>
    <row r="61">
      <c r="C61" s="7">
        <f>IFERROR(_xludf.XLOOKUP(B61,MASTER_REGISTER!E:E,MASTER_REGISTER!F:F,""),"")</f>
        <v/>
      </c>
      <c r="D61" s="4">
        <f>IFERROR(_xludf.XLOOKUP(B61,MASTER_REGISTER!E:E,MASTER_REGISTER!C:C,""),"")</f>
        <v/>
      </c>
      <c r="H61" s="4" t="n"/>
    </row>
    <row r="62">
      <c r="C62" s="7">
        <f>IFERROR(_xludf.XLOOKUP(B62,MASTER_REGISTER!E:E,MASTER_REGISTER!F:F,""),"")</f>
        <v/>
      </c>
      <c r="D62" s="4">
        <f>IFERROR(_xludf.XLOOKUP(B62,MASTER_REGISTER!E:E,MASTER_REGISTER!C:C,""),"")</f>
        <v/>
      </c>
      <c r="H62" s="4" t="n"/>
    </row>
    <row r="63">
      <c r="C63" s="7">
        <f>IFERROR(_xludf.XLOOKUP(B63,MASTER_REGISTER!E:E,MASTER_REGISTER!F:F,""),"")</f>
        <v/>
      </c>
      <c r="D63" s="4">
        <f>IFERROR(_xludf.XLOOKUP(B63,MASTER_REGISTER!E:E,MASTER_REGISTER!C:C,""),"")</f>
        <v/>
      </c>
      <c r="H63" s="4" t="n"/>
    </row>
    <row r="64">
      <c r="C64" s="7">
        <f>IFERROR(_xludf.XLOOKUP(B64,MASTER_REGISTER!E:E,MASTER_REGISTER!F:F,""),"")</f>
        <v/>
      </c>
      <c r="D64" s="4">
        <f>IFERROR(_xludf.XLOOKUP(B64,MASTER_REGISTER!E:E,MASTER_REGISTER!C:C,""),"")</f>
        <v/>
      </c>
      <c r="H64" s="4" t="n"/>
    </row>
    <row r="65">
      <c r="C65" s="7">
        <f>IFERROR(_xludf.XLOOKUP(B65,MASTER_REGISTER!E:E,MASTER_REGISTER!F:F,""),"")</f>
        <v/>
      </c>
      <c r="D65" s="4">
        <f>IFERROR(_xludf.XLOOKUP(B65,MASTER_REGISTER!E:E,MASTER_REGISTER!C:C,""),"")</f>
        <v/>
      </c>
      <c r="H65" s="4" t="n"/>
    </row>
    <row r="66">
      <c r="C66" s="7">
        <f>IFERROR(_xludf.XLOOKUP(B66,MASTER_REGISTER!E:E,MASTER_REGISTER!F:F,""),"")</f>
        <v/>
      </c>
      <c r="D66" s="4">
        <f>IFERROR(_xludf.XLOOKUP(B66,MASTER_REGISTER!E:E,MASTER_REGISTER!C:C,""),"")</f>
        <v/>
      </c>
      <c r="H66" s="4" t="n"/>
    </row>
    <row r="67">
      <c r="C67" s="7">
        <f>IFERROR(_xludf.XLOOKUP(B67,MASTER_REGISTER!E:E,MASTER_REGISTER!F:F,""),"")</f>
        <v/>
      </c>
      <c r="D67" s="4">
        <f>IFERROR(_xludf.XLOOKUP(B67,MASTER_REGISTER!E:E,MASTER_REGISTER!C:C,""),"")</f>
        <v/>
      </c>
      <c r="H67" s="4" t="n"/>
    </row>
    <row r="68">
      <c r="C68" s="7">
        <f>IFERROR(_xludf.XLOOKUP(B68,MASTER_REGISTER!E:E,MASTER_REGISTER!F:F,""),"")</f>
        <v/>
      </c>
      <c r="D68" s="4">
        <f>IFERROR(_xludf.XLOOKUP(B68,MASTER_REGISTER!E:E,MASTER_REGISTER!C:C,""),"")</f>
        <v/>
      </c>
      <c r="H68" s="4" t="n"/>
    </row>
    <row r="69">
      <c r="C69" s="7">
        <f>IFERROR(_xludf.XLOOKUP(B69,MASTER_REGISTER!E:E,MASTER_REGISTER!F:F,""),"")</f>
        <v/>
      </c>
      <c r="D69" s="4">
        <f>IFERROR(_xludf.XLOOKUP(B69,MASTER_REGISTER!E:E,MASTER_REGISTER!C:C,""),"")</f>
        <v/>
      </c>
      <c r="H69" s="4" t="n"/>
    </row>
    <row r="70">
      <c r="C70" s="7">
        <f>IFERROR(_xludf.XLOOKUP(B70,MASTER_REGISTER!E:E,MASTER_REGISTER!F:F,""),"")</f>
        <v/>
      </c>
      <c r="D70" s="4">
        <f>IFERROR(_xludf.XLOOKUP(B70,MASTER_REGISTER!E:E,MASTER_REGISTER!C:C,""),"")</f>
        <v/>
      </c>
      <c r="H70" s="4" t="n"/>
    </row>
    <row r="71">
      <c r="C71" s="7">
        <f>IFERROR(_xludf.XLOOKUP(B71,MASTER_REGISTER!E:E,MASTER_REGISTER!F:F,""),"")</f>
        <v/>
      </c>
      <c r="D71" s="4">
        <f>IFERROR(_xludf.XLOOKUP(B71,MASTER_REGISTER!E:E,MASTER_REGISTER!C:C,""),"")</f>
        <v/>
      </c>
      <c r="H71" s="4" t="n"/>
    </row>
    <row r="72">
      <c r="C72" s="7">
        <f>IFERROR(_xludf.XLOOKUP(B72,MASTER_REGISTER!E:E,MASTER_REGISTER!F:F,""),"")</f>
        <v/>
      </c>
      <c r="D72" s="4">
        <f>IFERROR(_xludf.XLOOKUP(B72,MASTER_REGISTER!E:E,MASTER_REGISTER!C:C,""),"")</f>
        <v/>
      </c>
      <c r="H72" s="4" t="n"/>
    </row>
    <row r="73">
      <c r="C73" s="7">
        <f>IFERROR(_xludf.XLOOKUP(B73,MASTER_REGISTER!E:E,MASTER_REGISTER!F:F,""),"")</f>
        <v/>
      </c>
      <c r="D73" s="4">
        <f>IFERROR(_xludf.XLOOKUP(B73,MASTER_REGISTER!E:E,MASTER_REGISTER!C:C,""),"")</f>
        <v/>
      </c>
      <c r="H73" s="4" t="n"/>
    </row>
    <row r="74">
      <c r="C74" s="7">
        <f>IFERROR(_xludf.XLOOKUP(B74,MASTER_REGISTER!E:E,MASTER_REGISTER!F:F,""),"")</f>
        <v/>
      </c>
      <c r="D74" s="4">
        <f>IFERROR(_xludf.XLOOKUP(B74,MASTER_REGISTER!E:E,MASTER_REGISTER!C:C,""),"")</f>
        <v/>
      </c>
      <c r="H74" s="4" t="n"/>
    </row>
    <row r="75">
      <c r="C75" s="7">
        <f>IFERROR(_xludf.XLOOKUP(B75,MASTER_REGISTER!E:E,MASTER_REGISTER!F:F,""),"")</f>
        <v/>
      </c>
      <c r="D75" s="4">
        <f>IFERROR(_xludf.XLOOKUP(B75,MASTER_REGISTER!E:E,MASTER_REGISTER!C:C,""),"")</f>
        <v/>
      </c>
      <c r="H75" s="4" t="n"/>
    </row>
    <row r="76">
      <c r="C76" s="7">
        <f>IFERROR(_xludf.XLOOKUP(B76,MASTER_REGISTER!E:E,MASTER_REGISTER!F:F,""),"")</f>
        <v/>
      </c>
      <c r="D76" s="4">
        <f>IFERROR(_xludf.XLOOKUP(B76,MASTER_REGISTER!E:E,MASTER_REGISTER!C:C,""),"")</f>
        <v/>
      </c>
      <c r="H76" s="4" t="n"/>
    </row>
    <row r="77">
      <c r="C77" s="7">
        <f>IFERROR(_xludf.XLOOKUP(B77,MASTER_REGISTER!E:E,MASTER_REGISTER!F:F,""),"")</f>
        <v/>
      </c>
      <c r="D77" s="4">
        <f>IFERROR(_xludf.XLOOKUP(B77,MASTER_REGISTER!E:E,MASTER_REGISTER!C:C,""),"")</f>
        <v/>
      </c>
      <c r="H77" s="4" t="n"/>
    </row>
    <row r="78">
      <c r="C78" s="7">
        <f>IFERROR(_xludf.XLOOKUP(B78,MASTER_REGISTER!E:E,MASTER_REGISTER!F:F,""),"")</f>
        <v/>
      </c>
      <c r="D78" s="4">
        <f>IFERROR(_xludf.XLOOKUP(B78,MASTER_REGISTER!E:E,MASTER_REGISTER!C:C,""),"")</f>
        <v/>
      </c>
      <c r="H78" s="4" t="n"/>
    </row>
    <row r="79">
      <c r="C79" s="7">
        <f>IFERROR(_xludf.XLOOKUP(B79,MASTER_REGISTER!E:E,MASTER_REGISTER!F:F,""),"")</f>
        <v/>
      </c>
      <c r="D79" s="4">
        <f>IFERROR(_xludf.XLOOKUP(B79,MASTER_REGISTER!E:E,MASTER_REGISTER!C:C,""),"")</f>
        <v/>
      </c>
      <c r="H79" s="4" t="n"/>
    </row>
    <row r="80">
      <c r="C80" s="7">
        <f>IFERROR(_xludf.XLOOKUP(B80,MASTER_REGISTER!E:E,MASTER_REGISTER!F:F,""),"")</f>
        <v/>
      </c>
      <c r="D80" s="4">
        <f>IFERROR(_xludf.XLOOKUP(B80,MASTER_REGISTER!E:E,MASTER_REGISTER!C:C,""),"")</f>
        <v/>
      </c>
      <c r="H80" s="4" t="n"/>
    </row>
    <row r="81">
      <c r="C81" s="7">
        <f>IFERROR(_xludf.XLOOKUP(B81,MASTER_REGISTER!E:E,MASTER_REGISTER!F:F,""),"")</f>
        <v/>
      </c>
      <c r="D81" s="4">
        <f>IFERROR(_xludf.XLOOKUP(B81,MASTER_REGISTER!E:E,MASTER_REGISTER!C:C,""),"")</f>
        <v/>
      </c>
      <c r="H81" s="4" t="n"/>
    </row>
    <row r="82">
      <c r="C82" s="7">
        <f>IFERROR(_xludf.XLOOKUP(B82,MASTER_REGISTER!E:E,MASTER_REGISTER!F:F,""),"")</f>
        <v/>
      </c>
      <c r="D82" s="4">
        <f>IFERROR(_xludf.XLOOKUP(B82,MASTER_REGISTER!E:E,MASTER_REGISTER!C:C,""),"")</f>
        <v/>
      </c>
      <c r="H82" s="4" t="n"/>
    </row>
    <row r="83">
      <c r="C83" s="7">
        <f>IFERROR(_xludf.XLOOKUP(B83,MASTER_REGISTER!E:E,MASTER_REGISTER!F:F,""),"")</f>
        <v/>
      </c>
      <c r="D83" s="4">
        <f>IFERROR(_xludf.XLOOKUP(B83,MASTER_REGISTER!E:E,MASTER_REGISTER!C:C,""),"")</f>
        <v/>
      </c>
      <c r="H83" s="4" t="n"/>
    </row>
    <row r="84">
      <c r="C84" s="7">
        <f>IFERROR(_xludf.XLOOKUP(B84,MASTER_REGISTER!E:E,MASTER_REGISTER!F:F,""),"")</f>
        <v/>
      </c>
      <c r="D84" s="4">
        <f>IFERROR(_xludf.XLOOKUP(B84,MASTER_REGISTER!E:E,MASTER_REGISTER!C:C,""),"")</f>
        <v/>
      </c>
      <c r="H84" s="4" t="n"/>
    </row>
    <row r="85">
      <c r="C85" s="7">
        <f>IFERROR(_xludf.XLOOKUP(B85,MASTER_REGISTER!E:E,MASTER_REGISTER!F:F,""),"")</f>
        <v/>
      </c>
      <c r="D85" s="4">
        <f>IFERROR(_xludf.XLOOKUP(B85,MASTER_REGISTER!E:E,MASTER_REGISTER!C:C,""),"")</f>
        <v/>
      </c>
      <c r="H85" s="4" t="n"/>
    </row>
    <row r="86">
      <c r="C86" s="7">
        <f>IFERROR(_xludf.XLOOKUP(B86,MASTER_REGISTER!E:E,MASTER_REGISTER!F:F,""),"")</f>
        <v/>
      </c>
      <c r="D86" s="4">
        <f>IFERROR(_xludf.XLOOKUP(B86,MASTER_REGISTER!E:E,MASTER_REGISTER!C:C,""),"")</f>
        <v/>
      </c>
      <c r="H86" s="4" t="n"/>
    </row>
    <row r="87">
      <c r="C87" s="7">
        <f>IFERROR(_xludf.XLOOKUP(B87,MASTER_REGISTER!E:E,MASTER_REGISTER!F:F,""),"")</f>
        <v/>
      </c>
      <c r="D87" s="4">
        <f>IFERROR(_xludf.XLOOKUP(B87,MASTER_REGISTER!E:E,MASTER_REGISTER!C:C,""),"")</f>
        <v/>
      </c>
      <c r="H87" s="4" t="n"/>
    </row>
    <row r="88">
      <c r="C88" s="7">
        <f>IFERROR(_xludf.XLOOKUP(B88,MASTER_REGISTER!E:E,MASTER_REGISTER!F:F,""),"")</f>
        <v/>
      </c>
      <c r="D88" s="4">
        <f>IFERROR(_xludf.XLOOKUP(B88,MASTER_REGISTER!E:E,MASTER_REGISTER!C:C,""),"")</f>
        <v/>
      </c>
      <c r="H88" s="4" t="n"/>
    </row>
    <row r="89">
      <c r="C89" s="7">
        <f>IFERROR(_xludf.XLOOKUP(B89,MASTER_REGISTER!E:E,MASTER_REGISTER!F:F,""),"")</f>
        <v/>
      </c>
      <c r="D89" s="4">
        <f>IFERROR(_xludf.XLOOKUP(B89,MASTER_REGISTER!E:E,MASTER_REGISTER!C:C,""),"")</f>
        <v/>
      </c>
      <c r="H89" s="4" t="n"/>
    </row>
    <row r="90">
      <c r="C90" s="7">
        <f>IFERROR(_xludf.XLOOKUP(B90,MASTER_REGISTER!E:E,MASTER_REGISTER!F:F,""),"")</f>
        <v/>
      </c>
      <c r="D90" s="4">
        <f>IFERROR(_xludf.XLOOKUP(B90,MASTER_REGISTER!E:E,MASTER_REGISTER!C:C,""),"")</f>
        <v/>
      </c>
      <c r="H90" s="4" t="n"/>
    </row>
    <row r="91">
      <c r="C91" s="7">
        <f>IFERROR(_xludf.XLOOKUP(B91,MASTER_REGISTER!E:E,MASTER_REGISTER!F:F,""),"")</f>
        <v/>
      </c>
      <c r="D91" s="4">
        <f>IFERROR(_xludf.XLOOKUP(B91,MASTER_REGISTER!E:E,MASTER_REGISTER!C:C,""),"")</f>
        <v/>
      </c>
      <c r="H91" s="4" t="n"/>
    </row>
    <row r="92">
      <c r="C92" s="7">
        <f>IFERROR(_xludf.XLOOKUP(B92,MASTER_REGISTER!E:E,MASTER_REGISTER!F:F,""),"")</f>
        <v/>
      </c>
      <c r="D92" s="4">
        <f>IFERROR(_xludf.XLOOKUP(B92,MASTER_REGISTER!E:E,MASTER_REGISTER!C:C,""),"")</f>
        <v/>
      </c>
      <c r="H92" s="4" t="n"/>
    </row>
    <row r="93">
      <c r="C93" s="7">
        <f>IFERROR(_xludf.XLOOKUP(B93,MASTER_REGISTER!E:E,MASTER_REGISTER!F:F,""),"")</f>
        <v/>
      </c>
      <c r="D93" s="4">
        <f>IFERROR(_xludf.XLOOKUP(B93,MASTER_REGISTER!E:E,MASTER_REGISTER!C:C,""),"")</f>
        <v/>
      </c>
      <c r="H93" s="4" t="n"/>
    </row>
    <row r="94">
      <c r="C94" s="7">
        <f>IFERROR(_xludf.XLOOKUP(B94,MASTER_REGISTER!E:E,MASTER_REGISTER!F:F,""),"")</f>
        <v/>
      </c>
      <c r="D94" s="4">
        <f>IFERROR(_xludf.XLOOKUP(B94,MASTER_REGISTER!E:E,MASTER_REGISTER!C:C,""),"")</f>
        <v/>
      </c>
      <c r="H94" s="4" t="n"/>
    </row>
    <row r="95">
      <c r="C95" s="7">
        <f>IFERROR(_xludf.XLOOKUP(B95,MASTER_REGISTER!E:E,MASTER_REGISTER!F:F,""),"")</f>
        <v/>
      </c>
      <c r="D95" s="4">
        <f>IFERROR(_xludf.XLOOKUP(B95,MASTER_REGISTER!E:E,MASTER_REGISTER!C:C,""),"")</f>
        <v/>
      </c>
      <c r="H95" s="4" t="n"/>
    </row>
    <row r="96">
      <c r="C96" s="7">
        <f>IFERROR(_xludf.XLOOKUP(B96,MASTER_REGISTER!E:E,MASTER_REGISTER!F:F,""),"")</f>
        <v/>
      </c>
      <c r="D96" s="4">
        <f>IFERROR(_xludf.XLOOKUP(B96,MASTER_REGISTER!E:E,MASTER_REGISTER!C:C,""),"")</f>
        <v/>
      </c>
      <c r="H96" s="4" t="n"/>
    </row>
    <row r="97">
      <c r="C97" s="7">
        <f>IFERROR(_xludf.XLOOKUP(B97,MASTER_REGISTER!E:E,MASTER_REGISTER!F:F,""),"")</f>
        <v/>
      </c>
      <c r="D97" s="4">
        <f>IFERROR(_xludf.XLOOKUP(B97,MASTER_REGISTER!E:E,MASTER_REGISTER!C:C,""),"")</f>
        <v/>
      </c>
      <c r="H97" s="4" t="n"/>
    </row>
    <row r="98">
      <c r="C98" s="7">
        <f>IFERROR(_xludf.XLOOKUP(B98,MASTER_REGISTER!E:E,MASTER_REGISTER!F:F,""),"")</f>
        <v/>
      </c>
      <c r="D98" s="4">
        <f>IFERROR(_xludf.XLOOKUP(B98,MASTER_REGISTER!E:E,MASTER_REGISTER!C:C,""),"")</f>
        <v/>
      </c>
      <c r="H98" s="4" t="n"/>
    </row>
    <row r="99">
      <c r="C99" s="7">
        <f>IFERROR(_xludf.XLOOKUP(B99,MASTER_REGISTER!E:E,MASTER_REGISTER!F:F,""),"")</f>
        <v/>
      </c>
      <c r="D99" s="4">
        <f>IFERROR(_xludf.XLOOKUP(B99,MASTER_REGISTER!E:E,MASTER_REGISTER!C:C,""),"")</f>
        <v/>
      </c>
      <c r="H99" s="4" t="n"/>
    </row>
    <row r="100">
      <c r="C100" s="7">
        <f>IFERROR(_xludf.XLOOKUP(B100,MASTER_REGISTER!E:E,MASTER_REGISTER!F:F,""),"")</f>
        <v/>
      </c>
      <c r="D100" s="4">
        <f>IFERROR(_xludf.XLOOKUP(B100,MASTER_REGISTER!E:E,MASTER_REGISTER!C:C,""),"")</f>
        <v/>
      </c>
      <c r="H100" s="4" t="n"/>
    </row>
    <row r="101">
      <c r="C101" s="7">
        <f>IFERROR(_xludf.XLOOKUP(B101,MASTER_REGISTER!E:E,MASTER_REGISTER!F:F,""),"")</f>
        <v/>
      </c>
      <c r="D101" s="4">
        <f>IFERROR(_xludf.XLOOKUP(B101,MASTER_REGISTER!E:E,MASTER_REGISTER!C:C,""),"")</f>
        <v/>
      </c>
      <c r="H101" s="4" t="n"/>
    </row>
    <row r="102">
      <c r="C102" s="7">
        <f>IFERROR(_xludf.XLOOKUP(B102,MASTER_REGISTER!E:E,MASTER_REGISTER!F:F,""),"")</f>
        <v/>
      </c>
      <c r="D102" s="4">
        <f>IFERROR(_xludf.XLOOKUP(B102,MASTER_REGISTER!E:E,MASTER_REGISTER!C:C,""),"")</f>
        <v/>
      </c>
      <c r="H102" s="4" t="n"/>
    </row>
    <row r="103">
      <c r="C103" s="7">
        <f>IFERROR(_xludf.XLOOKUP(B103,MASTER_REGISTER!E:E,MASTER_REGISTER!F:F,""),"")</f>
        <v/>
      </c>
      <c r="D103" s="4">
        <f>IFERROR(_xludf.XLOOKUP(B103,MASTER_REGISTER!E:E,MASTER_REGISTER!C:C,""),"")</f>
        <v/>
      </c>
      <c r="H103" s="4" t="n"/>
    </row>
    <row r="104">
      <c r="C104" s="7">
        <f>IFERROR(_xludf.XLOOKUP(B104,MASTER_REGISTER!E:E,MASTER_REGISTER!F:F,""),"")</f>
        <v/>
      </c>
      <c r="D104" s="4">
        <f>IFERROR(_xludf.XLOOKUP(B104,MASTER_REGISTER!E:E,MASTER_REGISTER!C:C,""),"")</f>
        <v/>
      </c>
      <c r="H104" s="4" t="n"/>
    </row>
    <row r="105">
      <c r="C105" s="7">
        <f>IFERROR(_xludf.XLOOKUP(B105,MASTER_REGISTER!E:E,MASTER_REGISTER!F:F,""),"")</f>
        <v/>
      </c>
      <c r="D105" s="4">
        <f>IFERROR(_xludf.XLOOKUP(B105,MASTER_REGISTER!E:E,MASTER_REGISTER!C:C,""),"")</f>
        <v/>
      </c>
      <c r="H105" s="4" t="n"/>
    </row>
    <row r="106">
      <c r="C106" s="7">
        <f>IFERROR(_xludf.XLOOKUP(B106,MASTER_REGISTER!E:E,MASTER_REGISTER!F:F,""),"")</f>
        <v/>
      </c>
      <c r="D106" s="4">
        <f>IFERROR(_xludf.XLOOKUP(B106,MASTER_REGISTER!E:E,MASTER_REGISTER!C:C,""),"")</f>
        <v/>
      </c>
      <c r="H106" s="4" t="n"/>
    </row>
    <row r="107">
      <c r="C107" s="7">
        <f>IFERROR(_xludf.XLOOKUP(B107,MASTER_REGISTER!E:E,MASTER_REGISTER!F:F,""),"")</f>
        <v/>
      </c>
      <c r="D107" s="4">
        <f>IFERROR(_xludf.XLOOKUP(B107,MASTER_REGISTER!E:E,MASTER_REGISTER!C:C,""),"")</f>
        <v/>
      </c>
      <c r="H107" s="4" t="n"/>
    </row>
    <row r="108">
      <c r="C108" s="7">
        <f>IFERROR(_xludf.XLOOKUP(B108,MASTER_REGISTER!E:E,MASTER_REGISTER!F:F,""),"")</f>
        <v/>
      </c>
      <c r="D108" s="4">
        <f>IFERROR(_xludf.XLOOKUP(B108,MASTER_REGISTER!E:E,MASTER_REGISTER!C:C,""),"")</f>
        <v/>
      </c>
      <c r="H108" s="4" t="n"/>
    </row>
    <row r="109">
      <c r="C109" s="7">
        <f>IFERROR(_xludf.XLOOKUP(B109,MASTER_REGISTER!E:E,MASTER_REGISTER!F:F,""),"")</f>
        <v/>
      </c>
      <c r="D109" s="4">
        <f>IFERROR(_xludf.XLOOKUP(B109,MASTER_REGISTER!E:E,MASTER_REGISTER!C:C,""),"")</f>
        <v/>
      </c>
      <c r="H109" s="4" t="n"/>
    </row>
    <row r="110">
      <c r="C110" s="7">
        <f>IFERROR(_xludf.XLOOKUP(B110,MASTER_REGISTER!E:E,MASTER_REGISTER!F:F,""),"")</f>
        <v/>
      </c>
      <c r="D110" s="4">
        <f>IFERROR(_xludf.XLOOKUP(B110,MASTER_REGISTER!E:E,MASTER_REGISTER!C:C,""),"")</f>
        <v/>
      </c>
      <c r="H110" s="4" t="n"/>
    </row>
    <row r="111">
      <c r="C111" s="7">
        <f>IFERROR(_xludf.XLOOKUP(B111,MASTER_REGISTER!E:E,MASTER_REGISTER!F:F,""),"")</f>
        <v/>
      </c>
      <c r="D111" s="4">
        <f>IFERROR(_xludf.XLOOKUP(B111,MASTER_REGISTER!E:E,MASTER_REGISTER!C:C,""),"")</f>
        <v/>
      </c>
      <c r="H111" s="4" t="n"/>
    </row>
    <row r="112">
      <c r="C112" s="7">
        <f>IFERROR(_xludf.XLOOKUP(B112,MASTER_REGISTER!E:E,MASTER_REGISTER!F:F,""),"")</f>
        <v/>
      </c>
      <c r="D112" s="4">
        <f>IFERROR(_xludf.XLOOKUP(B112,MASTER_REGISTER!E:E,MASTER_REGISTER!C:C,""),"")</f>
        <v/>
      </c>
      <c r="H112" s="4" t="n"/>
    </row>
    <row r="113">
      <c r="C113" s="7">
        <f>IFERROR(_xludf.XLOOKUP(B113,MASTER_REGISTER!E:E,MASTER_REGISTER!F:F,""),"")</f>
        <v/>
      </c>
      <c r="D113" s="4">
        <f>IFERROR(_xludf.XLOOKUP(B113,MASTER_REGISTER!E:E,MASTER_REGISTER!C:C,""),"")</f>
        <v/>
      </c>
      <c r="H113" s="4" t="n"/>
    </row>
    <row r="114">
      <c r="C114" s="7">
        <f>IFERROR(_xludf.XLOOKUP(B114,MASTER_REGISTER!E:E,MASTER_REGISTER!F:F,""),"")</f>
        <v/>
      </c>
      <c r="D114" s="4">
        <f>IFERROR(_xludf.XLOOKUP(B114,MASTER_REGISTER!E:E,MASTER_REGISTER!C:C,""),"")</f>
        <v/>
      </c>
      <c r="H114" s="4" t="n"/>
    </row>
    <row r="115">
      <c r="C115" s="7">
        <f>IFERROR(_xludf.XLOOKUP(B115,MASTER_REGISTER!E:E,MASTER_REGISTER!F:F,""),"")</f>
        <v/>
      </c>
      <c r="D115" s="4">
        <f>IFERROR(_xludf.XLOOKUP(B115,MASTER_REGISTER!E:E,MASTER_REGISTER!C:C,""),"")</f>
        <v/>
      </c>
      <c r="H115" s="4" t="n"/>
    </row>
    <row r="116">
      <c r="C116" s="7">
        <f>IFERROR(_xludf.XLOOKUP(B116,MASTER_REGISTER!E:E,MASTER_REGISTER!F:F,""),"")</f>
        <v/>
      </c>
      <c r="D116" s="4">
        <f>IFERROR(_xludf.XLOOKUP(B116,MASTER_REGISTER!E:E,MASTER_REGISTER!C:C,""),"")</f>
        <v/>
      </c>
      <c r="H116" s="4" t="n"/>
    </row>
    <row r="117">
      <c r="C117" s="7">
        <f>IFERROR(_xludf.XLOOKUP(B117,MASTER_REGISTER!E:E,MASTER_REGISTER!F:F,""),"")</f>
        <v/>
      </c>
      <c r="D117" s="4">
        <f>IFERROR(_xludf.XLOOKUP(B117,MASTER_REGISTER!E:E,MASTER_REGISTER!C:C,""),"")</f>
        <v/>
      </c>
      <c r="H117" s="4" t="n"/>
    </row>
    <row r="118">
      <c r="C118" s="7">
        <f>IFERROR(_xludf.XLOOKUP(B118,MASTER_REGISTER!E:E,MASTER_REGISTER!F:F,""),"")</f>
        <v/>
      </c>
      <c r="D118" s="4">
        <f>IFERROR(_xludf.XLOOKUP(B118,MASTER_REGISTER!E:E,MASTER_REGISTER!C:C,""),"")</f>
        <v/>
      </c>
      <c r="H118" s="4" t="n"/>
    </row>
    <row r="119">
      <c r="C119" s="7">
        <f>IFERROR(_xludf.XLOOKUP(B119,MASTER_REGISTER!E:E,MASTER_REGISTER!F:F,""),"")</f>
        <v/>
      </c>
      <c r="D119" s="4">
        <f>IFERROR(_xludf.XLOOKUP(B119,MASTER_REGISTER!E:E,MASTER_REGISTER!C:C,""),"")</f>
        <v/>
      </c>
      <c r="H119" s="4" t="n"/>
    </row>
    <row r="120">
      <c r="C120" s="7">
        <f>IFERROR(_xludf.XLOOKUP(B120,MASTER_REGISTER!E:E,MASTER_REGISTER!F:F,""),"")</f>
        <v/>
      </c>
      <c r="D120" s="4">
        <f>IFERROR(_xludf.XLOOKUP(B120,MASTER_REGISTER!E:E,MASTER_REGISTER!C:C,""),"")</f>
        <v/>
      </c>
      <c r="H120" s="4" t="n"/>
    </row>
    <row r="121">
      <c r="C121" s="7">
        <f>IFERROR(_xludf.XLOOKUP(B121,MASTER_REGISTER!E:E,MASTER_REGISTER!F:F,""),"")</f>
        <v/>
      </c>
      <c r="D121" s="4">
        <f>IFERROR(_xludf.XLOOKUP(B121,MASTER_REGISTER!E:E,MASTER_REGISTER!C:C,""),"")</f>
        <v/>
      </c>
      <c r="H121" s="4" t="n"/>
    </row>
    <row r="122">
      <c r="C122" s="7">
        <f>IFERROR(_xludf.XLOOKUP(B122,MASTER_REGISTER!E:E,MASTER_REGISTER!F:F,""),"")</f>
        <v/>
      </c>
      <c r="D122" s="4">
        <f>IFERROR(_xludf.XLOOKUP(B122,MASTER_REGISTER!E:E,MASTER_REGISTER!C:C,""),"")</f>
        <v/>
      </c>
      <c r="H122" s="4" t="n"/>
    </row>
    <row r="123">
      <c r="C123" s="7">
        <f>IFERROR(_xludf.XLOOKUP(B123,MASTER_REGISTER!E:E,MASTER_REGISTER!F:F,""),"")</f>
        <v/>
      </c>
      <c r="D123" s="4">
        <f>IFERROR(_xludf.XLOOKUP(B123,MASTER_REGISTER!E:E,MASTER_REGISTER!C:C,""),"")</f>
        <v/>
      </c>
      <c r="H123" s="4" t="n"/>
    </row>
    <row r="124">
      <c r="C124" s="7">
        <f>IFERROR(_xludf.XLOOKUP(B124,MASTER_REGISTER!E:E,MASTER_REGISTER!F:F,""),"")</f>
        <v/>
      </c>
      <c r="D124" s="4">
        <f>IFERROR(_xludf.XLOOKUP(B124,MASTER_REGISTER!E:E,MASTER_REGISTER!C:C,""),"")</f>
        <v/>
      </c>
      <c r="H124" s="4" t="n"/>
    </row>
    <row r="125">
      <c r="C125" s="7">
        <f>IFERROR(_xludf.XLOOKUP(B125,MASTER_REGISTER!E:E,MASTER_REGISTER!F:F,""),"")</f>
        <v/>
      </c>
      <c r="D125" s="4">
        <f>IFERROR(_xludf.XLOOKUP(B125,MASTER_REGISTER!E:E,MASTER_REGISTER!C:C,""),"")</f>
        <v/>
      </c>
      <c r="H125" s="4" t="n"/>
    </row>
    <row r="126">
      <c r="C126" s="7">
        <f>IFERROR(_xludf.XLOOKUP(B126,MASTER_REGISTER!E:E,MASTER_REGISTER!F:F,""),"")</f>
        <v/>
      </c>
      <c r="D126" s="4">
        <f>IFERROR(_xludf.XLOOKUP(B126,MASTER_REGISTER!E:E,MASTER_REGISTER!C:C,""),"")</f>
        <v/>
      </c>
      <c r="H126" s="4" t="n"/>
    </row>
    <row r="127">
      <c r="C127" s="7">
        <f>IFERROR(_xludf.XLOOKUP(B127,MASTER_REGISTER!E:E,MASTER_REGISTER!F:F,""),"")</f>
        <v/>
      </c>
      <c r="D127" s="4">
        <f>IFERROR(_xludf.XLOOKUP(B127,MASTER_REGISTER!E:E,MASTER_REGISTER!C:C,""),"")</f>
        <v/>
      </c>
      <c r="H127" s="4" t="n"/>
    </row>
    <row r="128">
      <c r="C128" s="7">
        <f>IFERROR(_xludf.XLOOKUP(B128,MASTER_REGISTER!E:E,MASTER_REGISTER!F:F,""),"")</f>
        <v/>
      </c>
      <c r="D128" s="4">
        <f>IFERROR(_xludf.XLOOKUP(B128,MASTER_REGISTER!E:E,MASTER_REGISTER!C:C,""),"")</f>
        <v/>
      </c>
      <c r="H128" s="4" t="n"/>
    </row>
    <row r="129">
      <c r="C129" s="7">
        <f>IFERROR(_xludf.XLOOKUP(B129,MASTER_REGISTER!E:E,MASTER_REGISTER!F:F,""),"")</f>
        <v/>
      </c>
      <c r="D129" s="4">
        <f>IFERROR(_xludf.XLOOKUP(B129,MASTER_REGISTER!E:E,MASTER_REGISTER!C:C,""),"")</f>
        <v/>
      </c>
      <c r="H129" s="4" t="n"/>
    </row>
    <row r="130">
      <c r="C130" s="7">
        <f>IFERROR(_xludf.XLOOKUP(B130,MASTER_REGISTER!E:E,MASTER_REGISTER!F:F,""),"")</f>
        <v/>
      </c>
      <c r="D130" s="4">
        <f>IFERROR(_xludf.XLOOKUP(B130,MASTER_REGISTER!E:E,MASTER_REGISTER!C:C,""),"")</f>
        <v/>
      </c>
      <c r="H130" s="4" t="n"/>
    </row>
    <row r="131">
      <c r="C131" s="7">
        <f>IFERROR(_xludf.XLOOKUP(B131,MASTER_REGISTER!E:E,MASTER_REGISTER!F:F,""),"")</f>
        <v/>
      </c>
      <c r="D131" s="4">
        <f>IFERROR(_xludf.XLOOKUP(B131,MASTER_REGISTER!E:E,MASTER_REGISTER!C:C,""),"")</f>
        <v/>
      </c>
      <c r="H131" s="4" t="n"/>
    </row>
    <row r="132">
      <c r="C132" s="7">
        <f>IFERROR(_xludf.XLOOKUP(B132,MASTER_REGISTER!E:E,MASTER_REGISTER!F:F,""),"")</f>
        <v/>
      </c>
      <c r="D132" s="4">
        <f>IFERROR(_xludf.XLOOKUP(B132,MASTER_REGISTER!E:E,MASTER_REGISTER!C:C,""),"")</f>
        <v/>
      </c>
      <c r="H132" s="4" t="n"/>
    </row>
    <row r="133">
      <c r="C133" s="7">
        <f>IFERROR(_xludf.XLOOKUP(B133,MASTER_REGISTER!E:E,MASTER_REGISTER!F:F,""),"")</f>
        <v/>
      </c>
      <c r="D133" s="4">
        <f>IFERROR(_xludf.XLOOKUP(B133,MASTER_REGISTER!E:E,MASTER_REGISTER!C:C,""),"")</f>
        <v/>
      </c>
      <c r="H133" s="4" t="n"/>
    </row>
    <row r="134">
      <c r="C134" s="7">
        <f>IFERROR(_xludf.XLOOKUP(B134,MASTER_REGISTER!E:E,MASTER_REGISTER!F:F,""),"")</f>
        <v/>
      </c>
      <c r="D134" s="4">
        <f>IFERROR(_xludf.XLOOKUP(B134,MASTER_REGISTER!E:E,MASTER_REGISTER!C:C,""),"")</f>
        <v/>
      </c>
      <c r="H134" s="4" t="n"/>
    </row>
    <row r="135">
      <c r="C135" s="7">
        <f>IFERROR(_xludf.XLOOKUP(B135,MASTER_REGISTER!E:E,MASTER_REGISTER!F:F,""),"")</f>
        <v/>
      </c>
      <c r="D135" s="4">
        <f>IFERROR(_xludf.XLOOKUP(B135,MASTER_REGISTER!E:E,MASTER_REGISTER!C:C,""),"")</f>
        <v/>
      </c>
      <c r="H135" s="4" t="n"/>
    </row>
    <row r="136">
      <c r="C136" s="7">
        <f>IFERROR(_xludf.XLOOKUP(B136,MASTER_REGISTER!E:E,MASTER_REGISTER!F:F,""),"")</f>
        <v/>
      </c>
      <c r="D136" s="4">
        <f>IFERROR(_xludf.XLOOKUP(B136,MASTER_REGISTER!E:E,MASTER_REGISTER!C:C,""),"")</f>
        <v/>
      </c>
      <c r="H136" s="4" t="n"/>
    </row>
    <row r="137">
      <c r="C137" s="7">
        <f>IFERROR(_xludf.XLOOKUP(B137,MASTER_REGISTER!E:E,MASTER_REGISTER!F:F,""),"")</f>
        <v/>
      </c>
      <c r="D137" s="4">
        <f>IFERROR(_xludf.XLOOKUP(B137,MASTER_REGISTER!E:E,MASTER_REGISTER!C:C,""),"")</f>
        <v/>
      </c>
      <c r="H137" s="4" t="n"/>
    </row>
    <row r="138">
      <c r="C138" s="7">
        <f>IFERROR(_xludf.XLOOKUP(B138,MASTER_REGISTER!E:E,MASTER_REGISTER!F:F,""),"")</f>
        <v/>
      </c>
      <c r="D138" s="4">
        <f>IFERROR(_xludf.XLOOKUP(B138,MASTER_REGISTER!E:E,MASTER_REGISTER!C:C,""),"")</f>
        <v/>
      </c>
      <c r="H138" s="4" t="n"/>
    </row>
    <row r="139">
      <c r="C139" s="7">
        <f>IFERROR(_xludf.XLOOKUP(B139,MASTER_REGISTER!E:E,MASTER_REGISTER!F:F,""),"")</f>
        <v/>
      </c>
      <c r="D139" s="4">
        <f>IFERROR(_xludf.XLOOKUP(B139,MASTER_REGISTER!E:E,MASTER_REGISTER!C:C,""),"")</f>
        <v/>
      </c>
      <c r="H139" s="4" t="n"/>
    </row>
    <row r="140">
      <c r="C140" s="7">
        <f>IFERROR(_xludf.XLOOKUP(B140,MASTER_REGISTER!E:E,MASTER_REGISTER!F:F,""),"")</f>
        <v/>
      </c>
      <c r="D140" s="4">
        <f>IFERROR(_xludf.XLOOKUP(B140,MASTER_REGISTER!E:E,MASTER_REGISTER!C:C,""),"")</f>
        <v/>
      </c>
      <c r="H140" s="4" t="n"/>
    </row>
    <row r="141">
      <c r="C141" s="7">
        <f>IFERROR(_xludf.XLOOKUP(B141,MASTER_REGISTER!E:E,MASTER_REGISTER!F:F,""),"")</f>
        <v/>
      </c>
      <c r="D141" s="4">
        <f>IFERROR(_xludf.XLOOKUP(B141,MASTER_REGISTER!E:E,MASTER_REGISTER!C:C,""),"")</f>
        <v/>
      </c>
      <c r="H141" s="4" t="n"/>
    </row>
    <row r="142">
      <c r="C142" s="7">
        <f>IFERROR(_xludf.XLOOKUP(B142,MASTER_REGISTER!E:E,MASTER_REGISTER!F:F,""),"")</f>
        <v/>
      </c>
      <c r="D142" s="4">
        <f>IFERROR(_xludf.XLOOKUP(B142,MASTER_REGISTER!E:E,MASTER_REGISTER!C:C,""),"")</f>
        <v/>
      </c>
      <c r="H142" s="4" t="n"/>
    </row>
    <row r="143">
      <c r="C143" s="7">
        <f>IFERROR(_xludf.XLOOKUP(B143,MASTER_REGISTER!E:E,MASTER_REGISTER!F:F,""),"")</f>
        <v/>
      </c>
      <c r="D143" s="4">
        <f>IFERROR(_xludf.XLOOKUP(B143,MASTER_REGISTER!E:E,MASTER_REGISTER!C:C,""),"")</f>
        <v/>
      </c>
      <c r="H143" s="4" t="n"/>
    </row>
    <row r="144">
      <c r="C144" s="7">
        <f>IFERROR(_xludf.XLOOKUP(B144,MASTER_REGISTER!E:E,MASTER_REGISTER!F:F,""),"")</f>
        <v/>
      </c>
      <c r="D144" s="4">
        <f>IFERROR(_xludf.XLOOKUP(B144,MASTER_REGISTER!E:E,MASTER_REGISTER!C:C,""),"")</f>
        <v/>
      </c>
      <c r="H144" s="4" t="n"/>
    </row>
    <row r="145">
      <c r="C145" s="7">
        <f>IFERROR(_xludf.XLOOKUP(B145,MASTER_REGISTER!E:E,MASTER_REGISTER!F:F,""),"")</f>
        <v/>
      </c>
      <c r="D145" s="4">
        <f>IFERROR(_xludf.XLOOKUP(B145,MASTER_REGISTER!E:E,MASTER_REGISTER!C:C,""),"")</f>
        <v/>
      </c>
      <c r="H145" s="4" t="n"/>
    </row>
    <row r="146">
      <c r="C146" s="7">
        <f>IFERROR(_xludf.XLOOKUP(B146,MASTER_REGISTER!E:E,MASTER_REGISTER!F:F,""),"")</f>
        <v/>
      </c>
      <c r="D146" s="4">
        <f>IFERROR(_xludf.XLOOKUP(B146,MASTER_REGISTER!E:E,MASTER_REGISTER!C:C,""),"")</f>
        <v/>
      </c>
      <c r="H146" s="4" t="n"/>
    </row>
    <row r="147">
      <c r="C147" s="7">
        <f>IFERROR(_xludf.XLOOKUP(B147,MASTER_REGISTER!E:E,MASTER_REGISTER!F:F,""),"")</f>
        <v/>
      </c>
      <c r="D147" s="4">
        <f>IFERROR(_xludf.XLOOKUP(B147,MASTER_REGISTER!E:E,MASTER_REGISTER!C:C,""),"")</f>
        <v/>
      </c>
      <c r="H147" s="4" t="n"/>
    </row>
    <row r="148">
      <c r="C148" s="7">
        <f>IFERROR(_xludf.XLOOKUP(B148,MASTER_REGISTER!E:E,MASTER_REGISTER!F:F,""),"")</f>
        <v/>
      </c>
      <c r="D148" s="4">
        <f>IFERROR(_xludf.XLOOKUP(B148,MASTER_REGISTER!E:E,MASTER_REGISTER!C:C,""),"")</f>
        <v/>
      </c>
      <c r="H148" s="4" t="n"/>
    </row>
    <row r="149">
      <c r="C149" s="7">
        <f>IFERROR(_xludf.XLOOKUP(B149,MASTER_REGISTER!E:E,MASTER_REGISTER!F:F,""),"")</f>
        <v/>
      </c>
      <c r="D149" s="4">
        <f>IFERROR(_xludf.XLOOKUP(B149,MASTER_REGISTER!E:E,MASTER_REGISTER!C:C,""),"")</f>
        <v/>
      </c>
      <c r="H149" s="4" t="n"/>
    </row>
    <row r="150">
      <c r="C150" s="7">
        <f>IFERROR(_xludf.XLOOKUP(B150,MASTER_REGISTER!E:E,MASTER_REGISTER!F:F,""),"")</f>
        <v/>
      </c>
      <c r="D150" s="4">
        <f>IFERROR(_xludf.XLOOKUP(B150,MASTER_REGISTER!E:E,MASTER_REGISTER!C:C,""),"")</f>
        <v/>
      </c>
      <c r="H150" s="4" t="n"/>
    </row>
    <row r="151">
      <c r="C151" s="7">
        <f>IFERROR(_xludf.XLOOKUP(B151,MASTER_REGISTER!E:E,MASTER_REGISTER!F:F,""),"")</f>
        <v/>
      </c>
      <c r="D151" s="4">
        <f>IFERROR(_xludf.XLOOKUP(B151,MASTER_REGISTER!E:E,MASTER_REGISTER!C:C,""),"")</f>
        <v/>
      </c>
      <c r="H151" s="4" t="n"/>
    </row>
    <row r="152">
      <c r="C152" s="7">
        <f>IFERROR(_xludf.XLOOKUP(B152,MASTER_REGISTER!E:E,MASTER_REGISTER!F:F,""),"")</f>
        <v/>
      </c>
      <c r="D152" s="4">
        <f>IFERROR(_xludf.XLOOKUP(B152,MASTER_REGISTER!E:E,MASTER_REGISTER!C:C,""),"")</f>
        <v/>
      </c>
      <c r="H152" s="4" t="n"/>
    </row>
    <row r="153">
      <c r="C153" s="7">
        <f>IFERROR(_xludf.XLOOKUP(B153,MASTER_REGISTER!E:E,MASTER_REGISTER!F:F,""),"")</f>
        <v/>
      </c>
      <c r="D153" s="4">
        <f>IFERROR(_xludf.XLOOKUP(B153,MASTER_REGISTER!E:E,MASTER_REGISTER!C:C,""),"")</f>
        <v/>
      </c>
      <c r="H153" s="4" t="n"/>
    </row>
    <row r="154">
      <c r="C154" s="7">
        <f>IFERROR(_xludf.XLOOKUP(B154,MASTER_REGISTER!E:E,MASTER_REGISTER!F:F,""),"")</f>
        <v/>
      </c>
      <c r="D154" s="4">
        <f>IFERROR(_xludf.XLOOKUP(B154,MASTER_REGISTER!E:E,MASTER_REGISTER!C:C,""),"")</f>
        <v/>
      </c>
      <c r="H154" s="4" t="n"/>
    </row>
    <row r="155">
      <c r="C155" s="7">
        <f>IFERROR(_xludf.XLOOKUP(B155,MASTER_REGISTER!E:E,MASTER_REGISTER!F:F,""),"")</f>
        <v/>
      </c>
      <c r="D155" s="4">
        <f>IFERROR(_xludf.XLOOKUP(B155,MASTER_REGISTER!E:E,MASTER_REGISTER!C:C,""),"")</f>
        <v/>
      </c>
      <c r="H155" s="4" t="n"/>
    </row>
    <row r="156">
      <c r="C156" s="7">
        <f>IFERROR(_xludf.XLOOKUP(B156,MASTER_REGISTER!E:E,MASTER_REGISTER!F:F,""),"")</f>
        <v/>
      </c>
      <c r="D156" s="4">
        <f>IFERROR(_xludf.XLOOKUP(B156,MASTER_REGISTER!E:E,MASTER_REGISTER!C:C,""),"")</f>
        <v/>
      </c>
      <c r="H156" s="4" t="n"/>
    </row>
    <row r="157">
      <c r="C157" s="7">
        <f>IFERROR(_xludf.XLOOKUP(B157,MASTER_REGISTER!E:E,MASTER_REGISTER!F:F,""),"")</f>
        <v/>
      </c>
      <c r="D157" s="4">
        <f>IFERROR(_xludf.XLOOKUP(B157,MASTER_REGISTER!E:E,MASTER_REGISTER!C:C,""),"")</f>
        <v/>
      </c>
      <c r="H157" s="4" t="n"/>
    </row>
    <row r="158">
      <c r="C158" s="7">
        <f>IFERROR(_xludf.XLOOKUP(B158,MASTER_REGISTER!E:E,MASTER_REGISTER!F:F,""),"")</f>
        <v/>
      </c>
      <c r="D158" s="4">
        <f>IFERROR(_xludf.XLOOKUP(B158,MASTER_REGISTER!E:E,MASTER_REGISTER!C:C,""),"")</f>
        <v/>
      </c>
      <c r="H158" s="4" t="n"/>
    </row>
    <row r="159">
      <c r="C159" s="7">
        <f>IFERROR(_xludf.XLOOKUP(B159,MASTER_REGISTER!E:E,MASTER_REGISTER!F:F,""),"")</f>
        <v/>
      </c>
      <c r="D159" s="4">
        <f>IFERROR(_xludf.XLOOKUP(B159,MASTER_REGISTER!E:E,MASTER_REGISTER!C:C,""),"")</f>
        <v/>
      </c>
      <c r="H159" s="4" t="n"/>
    </row>
    <row r="160">
      <c r="C160" s="7">
        <f>IFERROR(_xludf.XLOOKUP(B160,MASTER_REGISTER!E:E,MASTER_REGISTER!F:F,""),"")</f>
        <v/>
      </c>
      <c r="D160" s="4">
        <f>IFERROR(_xludf.XLOOKUP(B160,MASTER_REGISTER!E:E,MASTER_REGISTER!C:C,""),"")</f>
        <v/>
      </c>
      <c r="H160" s="4" t="n"/>
    </row>
    <row r="161">
      <c r="C161" s="7">
        <f>IFERROR(_xludf.XLOOKUP(B161,MASTER_REGISTER!E:E,MASTER_REGISTER!F:F,""),"")</f>
        <v/>
      </c>
      <c r="D161" s="4">
        <f>IFERROR(_xludf.XLOOKUP(B161,MASTER_REGISTER!E:E,MASTER_REGISTER!C:C,""),"")</f>
        <v/>
      </c>
      <c r="H161" s="4" t="n"/>
    </row>
    <row r="162">
      <c r="C162" s="7">
        <f>IFERROR(_xludf.XLOOKUP(B162,MASTER_REGISTER!E:E,MASTER_REGISTER!F:F,""),"")</f>
        <v/>
      </c>
      <c r="D162" s="4">
        <f>IFERROR(_xludf.XLOOKUP(B162,MASTER_REGISTER!E:E,MASTER_REGISTER!C:C,""),"")</f>
        <v/>
      </c>
      <c r="H162" s="4" t="n"/>
    </row>
    <row r="163">
      <c r="C163" s="7">
        <f>IFERROR(_xludf.XLOOKUP(B163,MASTER_REGISTER!E:E,MASTER_REGISTER!F:F,""),"")</f>
        <v/>
      </c>
      <c r="D163" s="4">
        <f>IFERROR(_xludf.XLOOKUP(B163,MASTER_REGISTER!E:E,MASTER_REGISTER!C:C,""),"")</f>
        <v/>
      </c>
      <c r="H163" s="4" t="n"/>
    </row>
    <row r="164">
      <c r="C164" s="7">
        <f>IFERROR(_xludf.XLOOKUP(B164,MASTER_REGISTER!E:E,MASTER_REGISTER!F:F,""),"")</f>
        <v/>
      </c>
      <c r="D164" s="4">
        <f>IFERROR(_xludf.XLOOKUP(B164,MASTER_REGISTER!E:E,MASTER_REGISTER!C:C,""),"")</f>
        <v/>
      </c>
      <c r="H164" s="4" t="n"/>
    </row>
    <row r="165">
      <c r="C165" s="7">
        <f>IFERROR(_xludf.XLOOKUP(B165,MASTER_REGISTER!E:E,MASTER_REGISTER!F:F,""),"")</f>
        <v/>
      </c>
      <c r="D165" s="4">
        <f>IFERROR(_xludf.XLOOKUP(B165,MASTER_REGISTER!E:E,MASTER_REGISTER!C:C,""),"")</f>
        <v/>
      </c>
      <c r="H165" s="4" t="n"/>
    </row>
    <row r="166">
      <c r="C166" s="7">
        <f>IFERROR(_xludf.XLOOKUP(B166,MASTER_REGISTER!E:E,MASTER_REGISTER!F:F,""),"")</f>
        <v/>
      </c>
      <c r="D166" s="4">
        <f>IFERROR(_xludf.XLOOKUP(B166,MASTER_REGISTER!E:E,MASTER_REGISTER!C:C,""),"")</f>
        <v/>
      </c>
      <c r="H166" s="4" t="n"/>
    </row>
    <row r="167">
      <c r="C167" s="7">
        <f>IFERROR(_xludf.XLOOKUP(B167,MASTER_REGISTER!E:E,MASTER_REGISTER!F:F,""),"")</f>
        <v/>
      </c>
      <c r="D167" s="4">
        <f>IFERROR(_xludf.XLOOKUP(B167,MASTER_REGISTER!E:E,MASTER_REGISTER!C:C,""),"")</f>
        <v/>
      </c>
      <c r="H167" s="4" t="n"/>
    </row>
    <row r="168">
      <c r="C168" s="7">
        <f>IFERROR(_xludf.XLOOKUP(B168,MASTER_REGISTER!E:E,MASTER_REGISTER!F:F,""),"")</f>
        <v/>
      </c>
      <c r="D168" s="4">
        <f>IFERROR(_xludf.XLOOKUP(B168,MASTER_REGISTER!E:E,MASTER_REGISTER!C:C,""),"")</f>
        <v/>
      </c>
      <c r="H168" s="4" t="n"/>
    </row>
    <row r="169">
      <c r="C169" s="7">
        <f>IFERROR(_xludf.XLOOKUP(B169,MASTER_REGISTER!E:E,MASTER_REGISTER!F:F,""),"")</f>
        <v/>
      </c>
      <c r="D169" s="4">
        <f>IFERROR(_xludf.XLOOKUP(B169,MASTER_REGISTER!E:E,MASTER_REGISTER!C:C,""),"")</f>
        <v/>
      </c>
      <c r="H169" s="4" t="n"/>
    </row>
    <row r="170">
      <c r="C170" s="7">
        <f>IFERROR(_xludf.XLOOKUP(B170,MASTER_REGISTER!E:E,MASTER_REGISTER!F:F,""),"")</f>
        <v/>
      </c>
      <c r="D170" s="4">
        <f>IFERROR(_xludf.XLOOKUP(B170,MASTER_REGISTER!E:E,MASTER_REGISTER!C:C,""),"")</f>
        <v/>
      </c>
      <c r="H170" s="4" t="n"/>
    </row>
    <row r="171">
      <c r="C171" s="7">
        <f>IFERROR(_xludf.XLOOKUP(B171,MASTER_REGISTER!E:E,MASTER_REGISTER!F:F,""),"")</f>
        <v/>
      </c>
      <c r="D171" s="4">
        <f>IFERROR(_xludf.XLOOKUP(B171,MASTER_REGISTER!E:E,MASTER_REGISTER!C:C,""),"")</f>
        <v/>
      </c>
      <c r="H171" s="4" t="n"/>
    </row>
    <row r="172">
      <c r="C172" s="7">
        <f>IFERROR(_xludf.XLOOKUP(B172,MASTER_REGISTER!E:E,MASTER_REGISTER!F:F,""),"")</f>
        <v/>
      </c>
      <c r="D172" s="4">
        <f>IFERROR(_xludf.XLOOKUP(B172,MASTER_REGISTER!E:E,MASTER_REGISTER!C:C,""),"")</f>
        <v/>
      </c>
      <c r="H172" s="4" t="n"/>
    </row>
    <row r="173">
      <c r="C173" s="7">
        <f>IFERROR(_xludf.XLOOKUP(B173,MASTER_REGISTER!E:E,MASTER_REGISTER!F:F,""),"")</f>
        <v/>
      </c>
      <c r="D173" s="4">
        <f>IFERROR(_xludf.XLOOKUP(B173,MASTER_REGISTER!E:E,MASTER_REGISTER!C:C,""),"")</f>
        <v/>
      </c>
      <c r="H173" s="4" t="n"/>
    </row>
    <row r="174">
      <c r="C174" s="7">
        <f>IFERROR(_xludf.XLOOKUP(B174,MASTER_REGISTER!E:E,MASTER_REGISTER!F:F,""),"")</f>
        <v/>
      </c>
      <c r="D174" s="4">
        <f>IFERROR(_xludf.XLOOKUP(B174,MASTER_REGISTER!E:E,MASTER_REGISTER!C:C,""),"")</f>
        <v/>
      </c>
      <c r="H174" s="4" t="n"/>
    </row>
    <row r="175">
      <c r="C175" s="7">
        <f>IFERROR(_xludf.XLOOKUP(B175,MASTER_REGISTER!E:E,MASTER_REGISTER!F:F,""),"")</f>
        <v/>
      </c>
      <c r="D175" s="4">
        <f>IFERROR(_xludf.XLOOKUP(B175,MASTER_REGISTER!E:E,MASTER_REGISTER!C:C,""),"")</f>
        <v/>
      </c>
      <c r="H175" s="4" t="n"/>
    </row>
    <row r="176">
      <c r="C176" s="7">
        <f>IFERROR(_xludf.XLOOKUP(B176,MASTER_REGISTER!E:E,MASTER_REGISTER!F:F,""),"")</f>
        <v/>
      </c>
      <c r="D176" s="4">
        <f>IFERROR(_xludf.XLOOKUP(B176,MASTER_REGISTER!E:E,MASTER_REGISTER!C:C,""),"")</f>
        <v/>
      </c>
      <c r="H176" s="4" t="n"/>
    </row>
    <row r="177">
      <c r="C177" s="7">
        <f>IFERROR(_xludf.XLOOKUP(B177,MASTER_REGISTER!E:E,MASTER_REGISTER!F:F,""),"")</f>
        <v/>
      </c>
      <c r="D177" s="4">
        <f>IFERROR(_xludf.XLOOKUP(B177,MASTER_REGISTER!E:E,MASTER_REGISTER!C:C,""),"")</f>
        <v/>
      </c>
      <c r="H177" s="4" t="n"/>
    </row>
    <row r="178">
      <c r="C178" s="7">
        <f>IFERROR(_xludf.XLOOKUP(B178,MASTER_REGISTER!E:E,MASTER_REGISTER!F:F,""),"")</f>
        <v/>
      </c>
      <c r="D178" s="4">
        <f>IFERROR(_xludf.XLOOKUP(B178,MASTER_REGISTER!E:E,MASTER_REGISTER!C:C,""),"")</f>
        <v/>
      </c>
      <c r="H178" s="4" t="n"/>
    </row>
    <row r="179">
      <c r="C179" s="7">
        <f>IFERROR(_xludf.XLOOKUP(B179,MASTER_REGISTER!E:E,MASTER_REGISTER!F:F,""),"")</f>
        <v/>
      </c>
      <c r="D179" s="4">
        <f>IFERROR(_xludf.XLOOKUP(B179,MASTER_REGISTER!E:E,MASTER_REGISTER!C:C,""),"")</f>
        <v/>
      </c>
      <c r="H179" s="4" t="n"/>
    </row>
    <row r="180">
      <c r="C180" s="7">
        <f>IFERROR(_xludf.XLOOKUP(B180,MASTER_REGISTER!E:E,MASTER_REGISTER!F:F,""),"")</f>
        <v/>
      </c>
      <c r="D180" s="4">
        <f>IFERROR(_xludf.XLOOKUP(B180,MASTER_REGISTER!E:E,MASTER_REGISTER!C:C,""),"")</f>
        <v/>
      </c>
      <c r="H180" s="4" t="n"/>
    </row>
    <row r="181">
      <c r="C181" s="7">
        <f>IFERROR(_xludf.XLOOKUP(B181,MASTER_REGISTER!E:E,MASTER_REGISTER!F:F,""),"")</f>
        <v/>
      </c>
      <c r="D181" s="4">
        <f>IFERROR(_xludf.XLOOKUP(B181,MASTER_REGISTER!E:E,MASTER_REGISTER!C:C,""),"")</f>
        <v/>
      </c>
      <c r="H181" s="4" t="n"/>
    </row>
    <row r="182">
      <c r="C182" s="7">
        <f>IFERROR(_xludf.XLOOKUP(B182,MASTER_REGISTER!E:E,MASTER_REGISTER!F:F,""),"")</f>
        <v/>
      </c>
      <c r="D182" s="4">
        <f>IFERROR(_xludf.XLOOKUP(B182,MASTER_REGISTER!E:E,MASTER_REGISTER!C:C,""),"")</f>
        <v/>
      </c>
      <c r="H182" s="4" t="n"/>
    </row>
    <row r="183">
      <c r="C183" s="7">
        <f>IFERROR(_xludf.XLOOKUP(B183,MASTER_REGISTER!E:E,MASTER_REGISTER!F:F,""),"")</f>
        <v/>
      </c>
      <c r="D183" s="4">
        <f>IFERROR(_xludf.XLOOKUP(B183,MASTER_REGISTER!E:E,MASTER_REGISTER!C:C,""),"")</f>
        <v/>
      </c>
      <c r="H183" s="4" t="n"/>
    </row>
    <row r="184">
      <c r="C184" s="7">
        <f>IFERROR(_xludf.XLOOKUP(B184,MASTER_REGISTER!E:E,MASTER_REGISTER!F:F,""),"")</f>
        <v/>
      </c>
      <c r="D184" s="4">
        <f>IFERROR(_xludf.XLOOKUP(B184,MASTER_REGISTER!E:E,MASTER_REGISTER!C:C,""),"")</f>
        <v/>
      </c>
      <c r="H184" s="4" t="n"/>
    </row>
    <row r="185">
      <c r="C185" s="7">
        <f>IFERROR(_xludf.XLOOKUP(B185,MASTER_REGISTER!E:E,MASTER_REGISTER!F:F,""),"")</f>
        <v/>
      </c>
      <c r="D185" s="4">
        <f>IFERROR(_xludf.XLOOKUP(B185,MASTER_REGISTER!E:E,MASTER_REGISTER!C:C,""),"")</f>
        <v/>
      </c>
      <c r="H185" s="4" t="n"/>
    </row>
    <row r="186">
      <c r="C186" s="7">
        <f>IFERROR(_xludf.XLOOKUP(B186,MASTER_REGISTER!E:E,MASTER_REGISTER!F:F,""),"")</f>
        <v/>
      </c>
      <c r="D186" s="4">
        <f>IFERROR(_xludf.XLOOKUP(B186,MASTER_REGISTER!E:E,MASTER_REGISTER!C:C,""),"")</f>
        <v/>
      </c>
      <c r="H186" s="4" t="n"/>
    </row>
    <row r="187">
      <c r="C187" s="7">
        <f>IFERROR(_xludf.XLOOKUP(B187,MASTER_REGISTER!E:E,MASTER_REGISTER!F:F,""),"")</f>
        <v/>
      </c>
      <c r="D187" s="4">
        <f>IFERROR(_xludf.XLOOKUP(B187,MASTER_REGISTER!E:E,MASTER_REGISTER!C:C,""),"")</f>
        <v/>
      </c>
      <c r="H187" s="4" t="n"/>
    </row>
    <row r="188">
      <c r="C188" s="7">
        <f>IFERROR(_xludf.XLOOKUP(B188,MASTER_REGISTER!E:E,MASTER_REGISTER!F:F,""),"")</f>
        <v/>
      </c>
      <c r="D188" s="4">
        <f>IFERROR(_xludf.XLOOKUP(B188,MASTER_REGISTER!E:E,MASTER_REGISTER!C:C,""),"")</f>
        <v/>
      </c>
      <c r="H188" s="4" t="n"/>
    </row>
    <row r="189">
      <c r="C189" s="7">
        <f>IFERROR(_xludf.XLOOKUP(B189,MASTER_REGISTER!E:E,MASTER_REGISTER!F:F,""),"")</f>
        <v/>
      </c>
      <c r="D189" s="4">
        <f>IFERROR(_xludf.XLOOKUP(B189,MASTER_REGISTER!E:E,MASTER_REGISTER!C:C,""),"")</f>
        <v/>
      </c>
      <c r="H189" s="4" t="n"/>
    </row>
    <row r="190">
      <c r="C190" s="7">
        <f>IFERROR(_xludf.XLOOKUP(B190,MASTER_REGISTER!E:E,MASTER_REGISTER!F:F,""),"")</f>
        <v/>
      </c>
      <c r="D190" s="4">
        <f>IFERROR(_xludf.XLOOKUP(B190,MASTER_REGISTER!E:E,MASTER_REGISTER!C:C,""),"")</f>
        <v/>
      </c>
      <c r="H190" s="4" t="n"/>
    </row>
    <row r="191">
      <c r="C191" s="7">
        <f>IFERROR(_xludf.XLOOKUP(B191,MASTER_REGISTER!E:E,MASTER_REGISTER!F:F,""),"")</f>
        <v/>
      </c>
      <c r="D191" s="4">
        <f>IFERROR(_xludf.XLOOKUP(B191,MASTER_REGISTER!E:E,MASTER_REGISTER!C:C,""),"")</f>
        <v/>
      </c>
      <c r="H191" s="4" t="n"/>
    </row>
    <row r="192">
      <c r="C192" s="7">
        <f>IFERROR(_xludf.XLOOKUP(B192,MASTER_REGISTER!E:E,MASTER_REGISTER!F:F,""),"")</f>
        <v/>
      </c>
      <c r="D192" s="4">
        <f>IFERROR(_xludf.XLOOKUP(B192,MASTER_REGISTER!E:E,MASTER_REGISTER!C:C,""),"")</f>
        <v/>
      </c>
      <c r="H192" s="4" t="n"/>
    </row>
    <row r="193">
      <c r="C193" s="7">
        <f>IFERROR(_xludf.XLOOKUP(B193,MASTER_REGISTER!E:E,MASTER_REGISTER!F:F,""),"")</f>
        <v/>
      </c>
      <c r="D193" s="4">
        <f>IFERROR(_xludf.XLOOKUP(B193,MASTER_REGISTER!E:E,MASTER_REGISTER!C:C,""),"")</f>
        <v/>
      </c>
      <c r="H193" s="4" t="n"/>
    </row>
    <row r="194">
      <c r="C194" s="7">
        <f>IFERROR(_xludf.XLOOKUP(B194,MASTER_REGISTER!E:E,MASTER_REGISTER!F:F,""),"")</f>
        <v/>
      </c>
      <c r="D194" s="4">
        <f>IFERROR(_xludf.XLOOKUP(B194,MASTER_REGISTER!E:E,MASTER_REGISTER!C:C,""),"")</f>
        <v/>
      </c>
      <c r="H194" s="4" t="n"/>
    </row>
    <row r="195">
      <c r="C195" s="7">
        <f>IFERROR(_xludf.XLOOKUP(B195,MASTER_REGISTER!E:E,MASTER_REGISTER!F:F,""),"")</f>
        <v/>
      </c>
      <c r="D195" s="4">
        <f>IFERROR(_xludf.XLOOKUP(B195,MASTER_REGISTER!E:E,MASTER_REGISTER!C:C,""),"")</f>
        <v/>
      </c>
      <c r="H195" s="4" t="n"/>
    </row>
    <row r="196">
      <c r="C196" s="7">
        <f>IFERROR(_xludf.XLOOKUP(B196,MASTER_REGISTER!E:E,MASTER_REGISTER!F:F,""),"")</f>
        <v/>
      </c>
      <c r="D196" s="4">
        <f>IFERROR(_xludf.XLOOKUP(B196,MASTER_REGISTER!E:E,MASTER_REGISTER!C:C,""),"")</f>
        <v/>
      </c>
      <c r="H196" s="4" t="n"/>
    </row>
    <row r="197">
      <c r="C197" s="7">
        <f>IFERROR(_xludf.XLOOKUP(B197,MASTER_REGISTER!E:E,MASTER_REGISTER!F:F,""),"")</f>
        <v/>
      </c>
      <c r="D197" s="4">
        <f>IFERROR(_xludf.XLOOKUP(B197,MASTER_REGISTER!E:E,MASTER_REGISTER!C:C,""),"")</f>
        <v/>
      </c>
      <c r="H197" s="4" t="n"/>
    </row>
    <row r="198">
      <c r="C198" s="7">
        <f>IFERROR(_xludf.XLOOKUP(B198,MASTER_REGISTER!E:E,MASTER_REGISTER!F:F,""),"")</f>
        <v/>
      </c>
      <c r="D198" s="4">
        <f>IFERROR(_xludf.XLOOKUP(B198,MASTER_REGISTER!E:E,MASTER_REGISTER!C:C,""),"")</f>
        <v/>
      </c>
      <c r="H198" s="4" t="n"/>
    </row>
    <row r="199">
      <c r="C199" s="7">
        <f>IFERROR(_xludf.XLOOKUP(B199,MASTER_REGISTER!E:E,MASTER_REGISTER!F:F,""),"")</f>
        <v/>
      </c>
      <c r="D199" s="4">
        <f>IFERROR(_xludf.XLOOKUP(B199,MASTER_REGISTER!E:E,MASTER_REGISTER!C:C,""),"")</f>
        <v/>
      </c>
      <c r="H199" s="4" t="n"/>
    </row>
    <row r="200">
      <c r="C200" s="7">
        <f>IFERROR(_xludf.XLOOKUP(B200,MASTER_REGISTER!E:E,MASTER_REGISTER!F:F,""),"")</f>
        <v/>
      </c>
      <c r="D200" s="4">
        <f>IFERROR(_xludf.XLOOKUP(B200,MASTER_REGISTER!E:E,MASTER_REGISTER!C:C,""),"")</f>
        <v/>
      </c>
      <c r="H200" s="4" t="n"/>
    </row>
    <row r="201">
      <c r="C201" s="7">
        <f>IFERROR(_xludf.XLOOKUP(B201,MASTER_REGISTER!E:E,MASTER_REGISTER!F:F,""),"")</f>
        <v/>
      </c>
      <c r="D201" s="4">
        <f>IFERROR(_xludf.XLOOKUP(B201,MASTER_REGISTER!E:E,MASTER_REGISTER!C:C,""),"")</f>
        <v/>
      </c>
      <c r="H201" s="4" t="n"/>
    </row>
    <row r="202">
      <c r="C202" s="7">
        <f>IFERROR(_xludf.XLOOKUP(B202,MASTER_REGISTER!E:E,MASTER_REGISTER!F:F,""),"")</f>
        <v/>
      </c>
      <c r="D202" s="4">
        <f>IFERROR(_xludf.XLOOKUP(B202,MASTER_REGISTER!E:E,MASTER_REGISTER!C:C,""),"")</f>
        <v/>
      </c>
      <c r="H202" s="4" t="n"/>
    </row>
    <row r="203">
      <c r="C203" s="7">
        <f>IFERROR(_xludf.XLOOKUP(B203,MASTER_REGISTER!E:E,MASTER_REGISTER!F:F,""),"")</f>
        <v/>
      </c>
      <c r="D203" s="4">
        <f>IFERROR(_xludf.XLOOKUP(B203,MASTER_REGISTER!E:E,MASTER_REGISTER!C:C,""),"")</f>
        <v/>
      </c>
      <c r="H203" s="4" t="n"/>
    </row>
    <row r="204">
      <c r="C204" s="7">
        <f>IFERROR(_xludf.XLOOKUP(B204,MASTER_REGISTER!E:E,MASTER_REGISTER!F:F,""),"")</f>
        <v/>
      </c>
      <c r="D204" s="4">
        <f>IFERROR(_xludf.XLOOKUP(B204,MASTER_REGISTER!E:E,MASTER_REGISTER!C:C,""),"")</f>
        <v/>
      </c>
      <c r="H204" s="4" t="n"/>
    </row>
    <row r="205">
      <c r="C205" s="7">
        <f>IFERROR(_xludf.XLOOKUP(B205,MASTER_REGISTER!E:E,MASTER_REGISTER!F:F,""),"")</f>
        <v/>
      </c>
      <c r="D205" s="4">
        <f>IFERROR(_xludf.XLOOKUP(B205,MASTER_REGISTER!E:E,MASTER_REGISTER!C:C,""),"")</f>
        <v/>
      </c>
      <c r="H205" s="4" t="n"/>
    </row>
    <row r="206">
      <c r="C206" s="7">
        <f>IFERROR(_xludf.XLOOKUP(B206,MASTER_REGISTER!E:E,MASTER_REGISTER!F:F,""),"")</f>
        <v/>
      </c>
      <c r="D206" s="4">
        <f>IFERROR(_xludf.XLOOKUP(B206,MASTER_REGISTER!E:E,MASTER_REGISTER!C:C,""),"")</f>
        <v/>
      </c>
      <c r="H206" s="4" t="n"/>
    </row>
    <row r="207">
      <c r="C207" s="7">
        <f>IFERROR(_xludf.XLOOKUP(B207,MASTER_REGISTER!E:E,MASTER_REGISTER!F:F,""),"")</f>
        <v/>
      </c>
      <c r="D207" s="4">
        <f>IFERROR(_xludf.XLOOKUP(B207,MASTER_REGISTER!E:E,MASTER_REGISTER!C:C,""),"")</f>
        <v/>
      </c>
      <c r="H207" s="4" t="n"/>
    </row>
    <row r="208">
      <c r="C208" s="7">
        <f>IFERROR(_xludf.XLOOKUP(B208,MASTER_REGISTER!E:E,MASTER_REGISTER!F:F,""),"")</f>
        <v/>
      </c>
      <c r="D208" s="4">
        <f>IFERROR(_xludf.XLOOKUP(B208,MASTER_REGISTER!E:E,MASTER_REGISTER!C:C,""),"")</f>
        <v/>
      </c>
      <c r="H208" s="4" t="n"/>
    </row>
    <row r="209">
      <c r="C209" s="7">
        <f>IFERROR(_xludf.XLOOKUP(B209,MASTER_REGISTER!E:E,MASTER_REGISTER!F:F,""),"")</f>
        <v/>
      </c>
      <c r="D209" s="4">
        <f>IFERROR(_xludf.XLOOKUP(B209,MASTER_REGISTER!E:E,MASTER_REGISTER!C:C,""),"")</f>
        <v/>
      </c>
      <c r="H209" s="4" t="n"/>
    </row>
    <row r="210">
      <c r="C210" s="7">
        <f>IFERROR(_xludf.XLOOKUP(B210,MASTER_REGISTER!E:E,MASTER_REGISTER!F:F,""),"")</f>
        <v/>
      </c>
      <c r="D210" s="4">
        <f>IFERROR(_xludf.XLOOKUP(B210,MASTER_REGISTER!E:E,MASTER_REGISTER!C:C,""),"")</f>
        <v/>
      </c>
      <c r="H210" s="4" t="n"/>
    </row>
    <row r="211">
      <c r="C211" s="7">
        <f>IFERROR(_xludf.XLOOKUP(B211,MASTER_REGISTER!E:E,MASTER_REGISTER!F:F,""),"")</f>
        <v/>
      </c>
      <c r="D211" s="4">
        <f>IFERROR(_xludf.XLOOKUP(B211,MASTER_REGISTER!E:E,MASTER_REGISTER!C:C,""),"")</f>
        <v/>
      </c>
      <c r="H211" s="4" t="n"/>
    </row>
    <row r="212">
      <c r="C212" s="7">
        <f>IFERROR(_xludf.XLOOKUP(B212,MASTER_REGISTER!E:E,MASTER_REGISTER!F:F,""),"")</f>
        <v/>
      </c>
      <c r="D212" s="4">
        <f>IFERROR(_xludf.XLOOKUP(B212,MASTER_REGISTER!E:E,MASTER_REGISTER!C:C,""),"")</f>
        <v/>
      </c>
      <c r="H212" s="4" t="n"/>
    </row>
    <row r="213">
      <c r="C213" s="7">
        <f>IFERROR(_xludf.XLOOKUP(B213,MASTER_REGISTER!E:E,MASTER_REGISTER!F:F,""),"")</f>
        <v/>
      </c>
      <c r="D213" s="4">
        <f>IFERROR(_xludf.XLOOKUP(B213,MASTER_REGISTER!E:E,MASTER_REGISTER!C:C,""),"")</f>
        <v/>
      </c>
      <c r="H213" s="4" t="n"/>
    </row>
    <row r="214">
      <c r="C214" s="7">
        <f>IFERROR(_xludf.XLOOKUP(B214,MASTER_REGISTER!E:E,MASTER_REGISTER!F:F,""),"")</f>
        <v/>
      </c>
      <c r="D214" s="4">
        <f>IFERROR(_xludf.XLOOKUP(B214,MASTER_REGISTER!E:E,MASTER_REGISTER!C:C,""),"")</f>
        <v/>
      </c>
      <c r="H214" s="4" t="n"/>
    </row>
    <row r="215">
      <c r="C215" s="7">
        <f>IFERROR(_xludf.XLOOKUP(B215,MASTER_REGISTER!E:E,MASTER_REGISTER!F:F,""),"")</f>
        <v/>
      </c>
      <c r="D215" s="4">
        <f>IFERROR(_xludf.XLOOKUP(B215,MASTER_REGISTER!E:E,MASTER_REGISTER!C:C,""),"")</f>
        <v/>
      </c>
      <c r="H215" s="4" t="n"/>
    </row>
    <row r="216">
      <c r="C216" s="7">
        <f>IFERROR(_xludf.XLOOKUP(B216,MASTER_REGISTER!E:E,MASTER_REGISTER!F:F,""),"")</f>
        <v/>
      </c>
      <c r="D216" s="4">
        <f>IFERROR(_xludf.XLOOKUP(B216,MASTER_REGISTER!E:E,MASTER_REGISTER!C:C,""),"")</f>
        <v/>
      </c>
      <c r="H216" s="4" t="n"/>
    </row>
    <row r="217">
      <c r="C217" s="7">
        <f>IFERROR(_xludf.XLOOKUP(B217,MASTER_REGISTER!E:E,MASTER_REGISTER!F:F,""),"")</f>
        <v/>
      </c>
      <c r="D217" s="4">
        <f>IFERROR(_xludf.XLOOKUP(B217,MASTER_REGISTER!E:E,MASTER_REGISTER!C:C,""),"")</f>
        <v/>
      </c>
      <c r="H217" s="4" t="n"/>
    </row>
    <row r="218">
      <c r="C218" s="7">
        <f>IFERROR(_xludf.XLOOKUP(B218,MASTER_REGISTER!E:E,MASTER_REGISTER!F:F,""),"")</f>
        <v/>
      </c>
      <c r="D218" s="4">
        <f>IFERROR(_xludf.XLOOKUP(B218,MASTER_REGISTER!E:E,MASTER_REGISTER!C:C,""),"")</f>
        <v/>
      </c>
      <c r="H218" s="4" t="n"/>
    </row>
    <row r="219">
      <c r="C219" s="7">
        <f>IFERROR(_xludf.XLOOKUP(B219,MASTER_REGISTER!E:E,MASTER_REGISTER!F:F,""),"")</f>
        <v/>
      </c>
      <c r="D219" s="4">
        <f>IFERROR(_xludf.XLOOKUP(B219,MASTER_REGISTER!E:E,MASTER_REGISTER!C:C,""),"")</f>
        <v/>
      </c>
      <c r="H219" s="4" t="n"/>
    </row>
    <row r="220">
      <c r="C220" s="7">
        <f>IFERROR(_xludf.XLOOKUP(B220,MASTER_REGISTER!E:E,MASTER_REGISTER!F:F,""),"")</f>
        <v/>
      </c>
      <c r="D220" s="4">
        <f>IFERROR(_xludf.XLOOKUP(B220,MASTER_REGISTER!E:E,MASTER_REGISTER!C:C,""),"")</f>
        <v/>
      </c>
      <c r="H220" s="4" t="n"/>
    </row>
    <row r="221">
      <c r="C221" s="7">
        <f>IFERROR(_xludf.XLOOKUP(B221,MASTER_REGISTER!E:E,MASTER_REGISTER!F:F,""),"")</f>
        <v/>
      </c>
      <c r="D221" s="4">
        <f>IFERROR(_xludf.XLOOKUP(B221,MASTER_REGISTER!E:E,MASTER_REGISTER!C:C,""),"")</f>
        <v/>
      </c>
      <c r="H221" s="4" t="n"/>
    </row>
    <row r="222">
      <c r="C222" s="7">
        <f>IFERROR(_xludf.XLOOKUP(B222,MASTER_REGISTER!E:E,MASTER_REGISTER!F:F,""),"")</f>
        <v/>
      </c>
      <c r="D222" s="4">
        <f>IFERROR(_xludf.XLOOKUP(B222,MASTER_REGISTER!E:E,MASTER_REGISTER!C:C,""),"")</f>
        <v/>
      </c>
      <c r="H222" s="4" t="n"/>
    </row>
    <row r="223">
      <c r="C223" s="7">
        <f>IFERROR(_xludf.XLOOKUP(B223,MASTER_REGISTER!E:E,MASTER_REGISTER!F:F,""),"")</f>
        <v/>
      </c>
      <c r="D223" s="4">
        <f>IFERROR(_xludf.XLOOKUP(B223,MASTER_REGISTER!E:E,MASTER_REGISTER!C:C,""),"")</f>
        <v/>
      </c>
      <c r="H223" s="4" t="n"/>
    </row>
    <row r="224">
      <c r="C224" s="7">
        <f>IFERROR(_xludf.XLOOKUP(B224,MASTER_REGISTER!E:E,MASTER_REGISTER!F:F,""),"")</f>
        <v/>
      </c>
      <c r="D224" s="4">
        <f>IFERROR(_xludf.XLOOKUP(B224,MASTER_REGISTER!E:E,MASTER_REGISTER!C:C,""),"")</f>
        <v/>
      </c>
      <c r="H224" s="4" t="n"/>
    </row>
    <row r="225">
      <c r="C225" s="7">
        <f>IFERROR(_xludf.XLOOKUP(B225,MASTER_REGISTER!E:E,MASTER_REGISTER!F:F,""),"")</f>
        <v/>
      </c>
      <c r="D225" s="4">
        <f>IFERROR(_xludf.XLOOKUP(B225,MASTER_REGISTER!E:E,MASTER_REGISTER!C:C,""),"")</f>
        <v/>
      </c>
      <c r="H225" s="4" t="n"/>
    </row>
    <row r="226">
      <c r="C226" s="7">
        <f>IFERROR(_xludf.XLOOKUP(B226,MASTER_REGISTER!E:E,MASTER_REGISTER!F:F,""),"")</f>
        <v/>
      </c>
      <c r="D226" s="4">
        <f>IFERROR(_xludf.XLOOKUP(B226,MASTER_REGISTER!E:E,MASTER_REGISTER!C:C,""),"")</f>
        <v/>
      </c>
      <c r="H226" s="4" t="n"/>
    </row>
    <row r="227">
      <c r="C227" s="7">
        <f>IFERROR(_xludf.XLOOKUP(B227,MASTER_REGISTER!E:E,MASTER_REGISTER!F:F,""),"")</f>
        <v/>
      </c>
      <c r="D227" s="4">
        <f>IFERROR(_xludf.XLOOKUP(B227,MASTER_REGISTER!E:E,MASTER_REGISTER!C:C,""),"")</f>
        <v/>
      </c>
      <c r="H227" s="4" t="n"/>
    </row>
    <row r="228">
      <c r="C228" s="7">
        <f>IFERROR(_xludf.XLOOKUP(B228,MASTER_REGISTER!E:E,MASTER_REGISTER!F:F,""),"")</f>
        <v/>
      </c>
      <c r="D228" s="4">
        <f>IFERROR(_xludf.XLOOKUP(B228,MASTER_REGISTER!E:E,MASTER_REGISTER!C:C,""),"")</f>
        <v/>
      </c>
      <c r="H228" s="4" t="n"/>
    </row>
    <row r="229">
      <c r="C229" s="7">
        <f>IFERROR(_xludf.XLOOKUP(B229,MASTER_REGISTER!E:E,MASTER_REGISTER!F:F,""),"")</f>
        <v/>
      </c>
      <c r="D229" s="4">
        <f>IFERROR(_xludf.XLOOKUP(B229,MASTER_REGISTER!E:E,MASTER_REGISTER!C:C,""),"")</f>
        <v/>
      </c>
      <c r="H229" s="4" t="n"/>
    </row>
    <row r="230">
      <c r="C230" s="7">
        <f>IFERROR(_xludf.XLOOKUP(B230,MASTER_REGISTER!E:E,MASTER_REGISTER!F:F,""),"")</f>
        <v/>
      </c>
      <c r="D230" s="4">
        <f>IFERROR(_xludf.XLOOKUP(B230,MASTER_REGISTER!E:E,MASTER_REGISTER!C:C,""),"")</f>
        <v/>
      </c>
      <c r="H230" s="4" t="n"/>
    </row>
    <row r="231">
      <c r="C231" s="7">
        <f>IFERROR(_xludf.XLOOKUP(B231,MASTER_REGISTER!E:E,MASTER_REGISTER!F:F,""),"")</f>
        <v/>
      </c>
      <c r="D231" s="4">
        <f>IFERROR(_xludf.XLOOKUP(B231,MASTER_REGISTER!E:E,MASTER_REGISTER!C:C,""),"")</f>
        <v/>
      </c>
      <c r="H231" s="4" t="n"/>
    </row>
    <row r="232">
      <c r="C232" s="7">
        <f>IFERROR(_xludf.XLOOKUP(B232,MASTER_REGISTER!E:E,MASTER_REGISTER!F:F,""),"")</f>
        <v/>
      </c>
      <c r="D232" s="4">
        <f>IFERROR(_xludf.XLOOKUP(B232,MASTER_REGISTER!E:E,MASTER_REGISTER!C:C,""),"")</f>
        <v/>
      </c>
      <c r="H232" s="4" t="n"/>
    </row>
    <row r="233">
      <c r="C233" s="7">
        <f>IFERROR(_xludf.XLOOKUP(B233,MASTER_REGISTER!E:E,MASTER_REGISTER!F:F,""),"")</f>
        <v/>
      </c>
      <c r="D233" s="4">
        <f>IFERROR(_xludf.XLOOKUP(B233,MASTER_REGISTER!E:E,MASTER_REGISTER!C:C,""),"")</f>
        <v/>
      </c>
      <c r="H233" s="4" t="n"/>
    </row>
    <row r="234">
      <c r="C234" s="7">
        <f>IFERROR(_xludf.XLOOKUP(B234,MASTER_REGISTER!E:E,MASTER_REGISTER!F:F,""),"")</f>
        <v/>
      </c>
      <c r="D234" s="4">
        <f>IFERROR(_xludf.XLOOKUP(B234,MASTER_REGISTER!E:E,MASTER_REGISTER!C:C,""),"")</f>
        <v/>
      </c>
      <c r="H234" s="4" t="n"/>
    </row>
    <row r="235">
      <c r="C235" s="7">
        <f>IFERROR(_xludf.XLOOKUP(B235,MASTER_REGISTER!E:E,MASTER_REGISTER!F:F,""),"")</f>
        <v/>
      </c>
      <c r="D235" s="4">
        <f>IFERROR(_xludf.XLOOKUP(B235,MASTER_REGISTER!E:E,MASTER_REGISTER!C:C,""),"")</f>
        <v/>
      </c>
      <c r="H235" s="4" t="n"/>
    </row>
    <row r="236">
      <c r="C236" s="7">
        <f>IFERROR(_xludf.XLOOKUP(B236,MASTER_REGISTER!E:E,MASTER_REGISTER!F:F,""),"")</f>
        <v/>
      </c>
      <c r="D236" s="4">
        <f>IFERROR(_xludf.XLOOKUP(B236,MASTER_REGISTER!E:E,MASTER_REGISTER!C:C,""),"")</f>
        <v/>
      </c>
      <c r="H236" s="4" t="n"/>
    </row>
    <row r="237">
      <c r="C237" s="7">
        <f>IFERROR(_xludf.XLOOKUP(B237,MASTER_REGISTER!E:E,MASTER_REGISTER!F:F,""),"")</f>
        <v/>
      </c>
      <c r="D237" s="4">
        <f>IFERROR(_xludf.XLOOKUP(B237,MASTER_REGISTER!E:E,MASTER_REGISTER!C:C,""),"")</f>
        <v/>
      </c>
      <c r="H237" s="4" t="n"/>
    </row>
    <row r="238">
      <c r="C238" s="7">
        <f>IFERROR(_xludf.XLOOKUP(B238,MASTER_REGISTER!E:E,MASTER_REGISTER!F:F,""),"")</f>
        <v/>
      </c>
      <c r="D238" s="4">
        <f>IFERROR(_xludf.XLOOKUP(B238,MASTER_REGISTER!E:E,MASTER_REGISTER!C:C,""),"")</f>
        <v/>
      </c>
      <c r="H238" s="4" t="n"/>
    </row>
    <row r="239">
      <c r="C239" s="7">
        <f>IFERROR(_xludf.XLOOKUP(B239,MASTER_REGISTER!E:E,MASTER_REGISTER!F:F,""),"")</f>
        <v/>
      </c>
      <c r="D239" s="4">
        <f>IFERROR(_xludf.XLOOKUP(B239,MASTER_REGISTER!E:E,MASTER_REGISTER!C:C,""),"")</f>
        <v/>
      </c>
      <c r="H239" s="4" t="n"/>
    </row>
    <row r="240">
      <c r="C240" s="7">
        <f>IFERROR(_xludf.XLOOKUP(B240,MASTER_REGISTER!E:E,MASTER_REGISTER!F:F,""),"")</f>
        <v/>
      </c>
      <c r="D240" s="4">
        <f>IFERROR(_xludf.XLOOKUP(B240,MASTER_REGISTER!E:E,MASTER_REGISTER!C:C,""),"")</f>
        <v/>
      </c>
      <c r="H240" s="4" t="n"/>
    </row>
    <row r="241">
      <c r="C241" s="7">
        <f>IFERROR(_xludf.XLOOKUP(B241,MASTER_REGISTER!E:E,MASTER_REGISTER!F:F,""),"")</f>
        <v/>
      </c>
      <c r="D241" s="4">
        <f>IFERROR(_xludf.XLOOKUP(B241,MASTER_REGISTER!E:E,MASTER_REGISTER!C:C,""),"")</f>
        <v/>
      </c>
      <c r="H241" s="4" t="n"/>
    </row>
    <row r="242">
      <c r="C242" s="7">
        <f>IFERROR(_xludf.XLOOKUP(B242,MASTER_REGISTER!E:E,MASTER_REGISTER!F:F,""),"")</f>
        <v/>
      </c>
      <c r="D242" s="4">
        <f>IFERROR(_xludf.XLOOKUP(B242,MASTER_REGISTER!E:E,MASTER_REGISTER!C:C,""),"")</f>
        <v/>
      </c>
      <c r="H242" s="4" t="n"/>
    </row>
    <row r="243">
      <c r="C243" s="7">
        <f>IFERROR(_xludf.XLOOKUP(B243,MASTER_REGISTER!E:E,MASTER_REGISTER!F:F,""),"")</f>
        <v/>
      </c>
      <c r="D243" s="4">
        <f>IFERROR(_xludf.XLOOKUP(B243,MASTER_REGISTER!E:E,MASTER_REGISTER!C:C,""),"")</f>
        <v/>
      </c>
      <c r="H243" s="4" t="n"/>
    </row>
    <row r="244">
      <c r="C244" s="7">
        <f>IFERROR(_xludf.XLOOKUP(B244,MASTER_REGISTER!E:E,MASTER_REGISTER!F:F,""),"")</f>
        <v/>
      </c>
      <c r="D244" s="4">
        <f>IFERROR(_xludf.XLOOKUP(B244,MASTER_REGISTER!E:E,MASTER_REGISTER!C:C,""),"")</f>
        <v/>
      </c>
      <c r="H244" s="4" t="n"/>
    </row>
    <row r="245">
      <c r="C245" s="7">
        <f>IFERROR(_xludf.XLOOKUP(B245,MASTER_REGISTER!E:E,MASTER_REGISTER!F:F,""),"")</f>
        <v/>
      </c>
      <c r="D245" s="4">
        <f>IFERROR(_xludf.XLOOKUP(B245,MASTER_REGISTER!E:E,MASTER_REGISTER!C:C,""),"")</f>
        <v/>
      </c>
      <c r="H245" s="4" t="n"/>
    </row>
    <row r="246">
      <c r="C246" s="7">
        <f>IFERROR(_xludf.XLOOKUP(B246,MASTER_REGISTER!E:E,MASTER_REGISTER!F:F,""),"")</f>
        <v/>
      </c>
      <c r="D246" s="4">
        <f>IFERROR(_xludf.XLOOKUP(B246,MASTER_REGISTER!E:E,MASTER_REGISTER!C:C,""),"")</f>
        <v/>
      </c>
      <c r="H246" s="4" t="n"/>
    </row>
    <row r="247">
      <c r="C247" s="7">
        <f>IFERROR(_xludf.XLOOKUP(B247,MASTER_REGISTER!E:E,MASTER_REGISTER!F:F,""),"")</f>
        <v/>
      </c>
      <c r="D247" s="4">
        <f>IFERROR(_xludf.XLOOKUP(B247,MASTER_REGISTER!E:E,MASTER_REGISTER!C:C,""),"")</f>
        <v/>
      </c>
      <c r="H247" s="4" t="n"/>
    </row>
    <row r="248">
      <c r="C248" s="7">
        <f>IFERROR(_xludf.XLOOKUP(B248,MASTER_REGISTER!E:E,MASTER_REGISTER!F:F,""),"")</f>
        <v/>
      </c>
      <c r="D248" s="4">
        <f>IFERROR(_xludf.XLOOKUP(B248,MASTER_REGISTER!E:E,MASTER_REGISTER!C:C,""),"")</f>
        <v/>
      </c>
      <c r="H248" s="4" t="n"/>
    </row>
    <row r="249">
      <c r="C249" s="7">
        <f>IFERROR(_xludf.XLOOKUP(B249,MASTER_REGISTER!E:E,MASTER_REGISTER!F:F,""),"")</f>
        <v/>
      </c>
      <c r="D249" s="4">
        <f>IFERROR(_xludf.XLOOKUP(B249,MASTER_REGISTER!E:E,MASTER_REGISTER!C:C,""),"")</f>
        <v/>
      </c>
      <c r="H249" s="4" t="n"/>
    </row>
    <row r="250">
      <c r="C250" s="7">
        <f>IFERROR(_xludf.XLOOKUP(B250,MASTER_REGISTER!E:E,MASTER_REGISTER!F:F,""),"")</f>
        <v/>
      </c>
      <c r="D250" s="4">
        <f>IFERROR(_xludf.XLOOKUP(B250,MASTER_REGISTER!E:E,MASTER_REGISTER!C:C,""),"")</f>
        <v/>
      </c>
      <c r="H250" s="4" t="n"/>
    </row>
    <row r="251">
      <c r="C251" s="7">
        <f>IFERROR(_xludf.XLOOKUP(B251,MASTER_REGISTER!E:E,MASTER_REGISTER!F:F,""),"")</f>
        <v/>
      </c>
      <c r="D251" s="4">
        <f>IFERROR(_xludf.XLOOKUP(B251,MASTER_REGISTER!E:E,MASTER_REGISTER!C:C,""),"")</f>
        <v/>
      </c>
      <c r="H251" s="4" t="n"/>
    </row>
    <row r="252">
      <c r="C252" s="7">
        <f>IFERROR(_xludf.XLOOKUP(B252,MASTER_REGISTER!E:E,MASTER_REGISTER!F:F,""),"")</f>
        <v/>
      </c>
      <c r="D252" s="4">
        <f>IFERROR(_xludf.XLOOKUP(B252,MASTER_REGISTER!E:E,MASTER_REGISTER!C:C,""),"")</f>
        <v/>
      </c>
      <c r="H252" s="4" t="n"/>
    </row>
    <row r="253">
      <c r="C253" s="7">
        <f>IFERROR(_xludf.XLOOKUP(B253,MASTER_REGISTER!E:E,MASTER_REGISTER!F:F,""),"")</f>
        <v/>
      </c>
      <c r="D253" s="4">
        <f>IFERROR(_xludf.XLOOKUP(B253,MASTER_REGISTER!E:E,MASTER_REGISTER!C:C,""),"")</f>
        <v/>
      </c>
      <c r="H253" s="4" t="n"/>
    </row>
    <row r="254">
      <c r="C254" s="7">
        <f>IFERROR(_xludf.XLOOKUP(B254,MASTER_REGISTER!E:E,MASTER_REGISTER!F:F,""),"")</f>
        <v/>
      </c>
      <c r="D254" s="4">
        <f>IFERROR(_xludf.XLOOKUP(B254,MASTER_REGISTER!E:E,MASTER_REGISTER!C:C,""),"")</f>
        <v/>
      </c>
      <c r="H254" s="4" t="n"/>
    </row>
    <row r="255">
      <c r="C255" s="7">
        <f>IFERROR(_xludf.XLOOKUP(B255,MASTER_REGISTER!E:E,MASTER_REGISTER!F:F,""),"")</f>
        <v/>
      </c>
      <c r="D255" s="4">
        <f>IFERROR(_xludf.XLOOKUP(B255,MASTER_REGISTER!E:E,MASTER_REGISTER!C:C,""),"")</f>
        <v/>
      </c>
      <c r="H255" s="4" t="n"/>
    </row>
    <row r="256">
      <c r="C256" s="7">
        <f>IFERROR(_xludf.XLOOKUP(B256,MASTER_REGISTER!E:E,MASTER_REGISTER!F:F,""),"")</f>
        <v/>
      </c>
      <c r="D256" s="4">
        <f>IFERROR(_xludf.XLOOKUP(B256,MASTER_REGISTER!E:E,MASTER_REGISTER!C:C,""),"")</f>
        <v/>
      </c>
      <c r="H256" s="4" t="n"/>
    </row>
    <row r="257">
      <c r="C257" s="7">
        <f>IFERROR(_xludf.XLOOKUP(B257,MASTER_REGISTER!E:E,MASTER_REGISTER!F:F,""),"")</f>
        <v/>
      </c>
      <c r="D257" s="4">
        <f>IFERROR(_xludf.XLOOKUP(B257,MASTER_REGISTER!E:E,MASTER_REGISTER!C:C,""),"")</f>
        <v/>
      </c>
      <c r="H257" s="4" t="n"/>
    </row>
    <row r="258">
      <c r="C258" s="7">
        <f>IFERROR(_xludf.XLOOKUP(B258,MASTER_REGISTER!E:E,MASTER_REGISTER!F:F,""),"")</f>
        <v/>
      </c>
      <c r="D258" s="4">
        <f>IFERROR(_xludf.XLOOKUP(B258,MASTER_REGISTER!E:E,MASTER_REGISTER!C:C,""),"")</f>
        <v/>
      </c>
      <c r="H258" s="4" t="n"/>
    </row>
    <row r="259">
      <c r="C259" s="7">
        <f>IFERROR(_xludf.XLOOKUP(B259,MASTER_REGISTER!E:E,MASTER_REGISTER!F:F,""),"")</f>
        <v/>
      </c>
      <c r="D259" s="4">
        <f>IFERROR(_xludf.XLOOKUP(B259,MASTER_REGISTER!E:E,MASTER_REGISTER!C:C,""),"")</f>
        <v/>
      </c>
      <c r="H259" s="4" t="n"/>
    </row>
    <row r="260">
      <c r="C260" s="7">
        <f>IFERROR(_xludf.XLOOKUP(B260,MASTER_REGISTER!E:E,MASTER_REGISTER!F:F,""),"")</f>
        <v/>
      </c>
      <c r="D260" s="4">
        <f>IFERROR(_xludf.XLOOKUP(B260,MASTER_REGISTER!E:E,MASTER_REGISTER!C:C,""),"")</f>
        <v/>
      </c>
      <c r="H260" s="4" t="n"/>
    </row>
    <row r="261">
      <c r="C261" s="7">
        <f>IFERROR(_xludf.XLOOKUP(B261,MASTER_REGISTER!E:E,MASTER_REGISTER!F:F,""),"")</f>
        <v/>
      </c>
      <c r="D261" s="4">
        <f>IFERROR(_xludf.XLOOKUP(B261,MASTER_REGISTER!E:E,MASTER_REGISTER!C:C,""),"")</f>
        <v/>
      </c>
      <c r="H261" s="4" t="n"/>
    </row>
    <row r="262">
      <c r="C262" s="7">
        <f>IFERROR(_xludf.XLOOKUP(B262,MASTER_REGISTER!E:E,MASTER_REGISTER!F:F,""),"")</f>
        <v/>
      </c>
      <c r="D262" s="4">
        <f>IFERROR(_xludf.XLOOKUP(B262,MASTER_REGISTER!E:E,MASTER_REGISTER!C:C,""),"")</f>
        <v/>
      </c>
      <c r="H262" s="4" t="n"/>
    </row>
    <row r="263">
      <c r="C263" s="7">
        <f>IFERROR(_xludf.XLOOKUP(B263,MASTER_REGISTER!E:E,MASTER_REGISTER!F:F,""),"")</f>
        <v/>
      </c>
      <c r="D263" s="4">
        <f>IFERROR(_xludf.XLOOKUP(B263,MASTER_REGISTER!E:E,MASTER_REGISTER!C:C,""),"")</f>
        <v/>
      </c>
      <c r="H263" s="4" t="n"/>
    </row>
    <row r="264">
      <c r="C264" s="7">
        <f>IFERROR(_xludf.XLOOKUP(B264,MASTER_REGISTER!E:E,MASTER_REGISTER!F:F,""),"")</f>
        <v/>
      </c>
      <c r="D264" s="4">
        <f>IFERROR(_xludf.XLOOKUP(B264,MASTER_REGISTER!E:E,MASTER_REGISTER!C:C,""),"")</f>
        <v/>
      </c>
      <c r="H264" s="4" t="n"/>
    </row>
    <row r="265">
      <c r="C265" s="7">
        <f>IFERROR(_xludf.XLOOKUP(B265,MASTER_REGISTER!E:E,MASTER_REGISTER!F:F,""),"")</f>
        <v/>
      </c>
      <c r="D265" s="4">
        <f>IFERROR(_xludf.XLOOKUP(B265,MASTER_REGISTER!E:E,MASTER_REGISTER!C:C,""),"")</f>
        <v/>
      </c>
      <c r="H265" s="4" t="n"/>
    </row>
    <row r="266">
      <c r="C266" s="7">
        <f>IFERROR(_xludf.XLOOKUP(B266,MASTER_REGISTER!E:E,MASTER_REGISTER!F:F,""),"")</f>
        <v/>
      </c>
      <c r="D266" s="4">
        <f>IFERROR(_xludf.XLOOKUP(B266,MASTER_REGISTER!E:E,MASTER_REGISTER!C:C,""),"")</f>
        <v/>
      </c>
      <c r="H266" s="4" t="n"/>
    </row>
    <row r="267">
      <c r="C267" s="7">
        <f>IFERROR(_xludf.XLOOKUP(B267,MASTER_REGISTER!E:E,MASTER_REGISTER!F:F,""),"")</f>
        <v/>
      </c>
      <c r="D267" s="4">
        <f>IFERROR(_xludf.XLOOKUP(B267,MASTER_REGISTER!E:E,MASTER_REGISTER!C:C,""),"")</f>
        <v/>
      </c>
      <c r="H267" s="4" t="n"/>
    </row>
    <row r="268">
      <c r="C268" s="7">
        <f>IFERROR(_xludf.XLOOKUP(B268,MASTER_REGISTER!E:E,MASTER_REGISTER!F:F,""),"")</f>
        <v/>
      </c>
      <c r="D268" s="4">
        <f>IFERROR(_xludf.XLOOKUP(B268,MASTER_REGISTER!E:E,MASTER_REGISTER!C:C,""),"")</f>
        <v/>
      </c>
      <c r="H268" s="4" t="n"/>
    </row>
    <row r="269">
      <c r="C269" s="7">
        <f>IFERROR(_xludf.XLOOKUP(B269,MASTER_REGISTER!E:E,MASTER_REGISTER!F:F,""),"")</f>
        <v/>
      </c>
      <c r="D269" s="4">
        <f>IFERROR(_xludf.XLOOKUP(B269,MASTER_REGISTER!E:E,MASTER_REGISTER!C:C,""),"")</f>
        <v/>
      </c>
      <c r="H269" s="4" t="n"/>
    </row>
    <row r="270">
      <c r="C270" s="7">
        <f>IFERROR(_xludf.XLOOKUP(B270,MASTER_REGISTER!E:E,MASTER_REGISTER!F:F,""),"")</f>
        <v/>
      </c>
      <c r="D270" s="4">
        <f>IFERROR(_xludf.XLOOKUP(B270,MASTER_REGISTER!E:E,MASTER_REGISTER!C:C,""),"")</f>
        <v/>
      </c>
      <c r="H270" s="4" t="n"/>
    </row>
    <row r="271">
      <c r="C271" s="7">
        <f>IFERROR(_xludf.XLOOKUP(B271,MASTER_REGISTER!E:E,MASTER_REGISTER!F:F,""),"")</f>
        <v/>
      </c>
      <c r="D271" s="4">
        <f>IFERROR(_xludf.XLOOKUP(B271,MASTER_REGISTER!E:E,MASTER_REGISTER!C:C,""),"")</f>
        <v/>
      </c>
      <c r="H271" s="4" t="n"/>
    </row>
    <row r="272">
      <c r="C272" s="7">
        <f>IFERROR(_xludf.XLOOKUP(B272,MASTER_REGISTER!E:E,MASTER_REGISTER!F:F,""),"")</f>
        <v/>
      </c>
      <c r="D272" s="4">
        <f>IFERROR(_xludf.XLOOKUP(B272,MASTER_REGISTER!E:E,MASTER_REGISTER!C:C,""),"")</f>
        <v/>
      </c>
      <c r="H272" s="4" t="n"/>
    </row>
    <row r="273">
      <c r="C273" s="7">
        <f>IFERROR(_xludf.XLOOKUP(B273,MASTER_REGISTER!E:E,MASTER_REGISTER!F:F,""),"")</f>
        <v/>
      </c>
      <c r="D273" s="4">
        <f>IFERROR(_xludf.XLOOKUP(B273,MASTER_REGISTER!E:E,MASTER_REGISTER!C:C,""),"")</f>
        <v/>
      </c>
      <c r="H273" s="4" t="n"/>
    </row>
    <row r="274">
      <c r="C274" s="7">
        <f>IFERROR(_xludf.XLOOKUP(B274,MASTER_REGISTER!E:E,MASTER_REGISTER!F:F,""),"")</f>
        <v/>
      </c>
      <c r="D274" s="4">
        <f>IFERROR(_xludf.XLOOKUP(B274,MASTER_REGISTER!E:E,MASTER_REGISTER!C:C,""),"")</f>
        <v/>
      </c>
      <c r="H274" s="4" t="n"/>
    </row>
    <row r="275">
      <c r="C275" s="7">
        <f>IFERROR(_xludf.XLOOKUP(B275,MASTER_REGISTER!E:E,MASTER_REGISTER!F:F,""),"")</f>
        <v/>
      </c>
      <c r="D275" s="4">
        <f>IFERROR(_xludf.XLOOKUP(B275,MASTER_REGISTER!E:E,MASTER_REGISTER!C:C,""),"")</f>
        <v/>
      </c>
      <c r="H275" s="4" t="n"/>
    </row>
    <row r="276">
      <c r="C276" s="7">
        <f>IFERROR(_xludf.XLOOKUP(B276,MASTER_REGISTER!E:E,MASTER_REGISTER!F:F,""),"")</f>
        <v/>
      </c>
      <c r="D276" s="4">
        <f>IFERROR(_xludf.XLOOKUP(B276,MASTER_REGISTER!E:E,MASTER_REGISTER!C:C,""),"")</f>
        <v/>
      </c>
      <c r="H276" s="4" t="n"/>
    </row>
    <row r="277">
      <c r="C277" s="7">
        <f>IFERROR(_xludf.XLOOKUP(B277,MASTER_REGISTER!E:E,MASTER_REGISTER!F:F,""),"")</f>
        <v/>
      </c>
      <c r="D277" s="4">
        <f>IFERROR(_xludf.XLOOKUP(B277,MASTER_REGISTER!E:E,MASTER_REGISTER!C:C,""),"")</f>
        <v/>
      </c>
      <c r="H277" s="4" t="n"/>
    </row>
    <row r="278">
      <c r="C278" s="7">
        <f>IFERROR(_xludf.XLOOKUP(B278,MASTER_REGISTER!E:E,MASTER_REGISTER!F:F,""),"")</f>
        <v/>
      </c>
      <c r="D278" s="4">
        <f>IFERROR(_xludf.XLOOKUP(B278,MASTER_REGISTER!E:E,MASTER_REGISTER!C:C,""),"")</f>
        <v/>
      </c>
      <c r="H278" s="4" t="n"/>
    </row>
    <row r="279">
      <c r="C279" s="7">
        <f>IFERROR(_xludf.XLOOKUP(B279,MASTER_REGISTER!E:E,MASTER_REGISTER!F:F,""),"")</f>
        <v/>
      </c>
      <c r="D279" s="4">
        <f>IFERROR(_xludf.XLOOKUP(B279,MASTER_REGISTER!E:E,MASTER_REGISTER!C:C,""),"")</f>
        <v/>
      </c>
      <c r="H279" s="4" t="n"/>
    </row>
    <row r="280">
      <c r="C280" s="7">
        <f>IFERROR(_xludf.XLOOKUP(B280,MASTER_REGISTER!E:E,MASTER_REGISTER!F:F,""),"")</f>
        <v/>
      </c>
      <c r="D280" s="4">
        <f>IFERROR(_xludf.XLOOKUP(B280,MASTER_REGISTER!E:E,MASTER_REGISTER!C:C,""),"")</f>
        <v/>
      </c>
      <c r="H280" s="4" t="n"/>
    </row>
    <row r="281">
      <c r="C281" s="7">
        <f>IFERROR(_xludf.XLOOKUP(B281,MASTER_REGISTER!E:E,MASTER_REGISTER!F:F,""),"")</f>
        <v/>
      </c>
      <c r="D281" s="4">
        <f>IFERROR(_xludf.XLOOKUP(B281,MASTER_REGISTER!E:E,MASTER_REGISTER!C:C,""),"")</f>
        <v/>
      </c>
      <c r="H281" s="4" t="n"/>
    </row>
    <row r="282">
      <c r="C282" s="7">
        <f>IFERROR(_xludf.XLOOKUP(B282,MASTER_REGISTER!E:E,MASTER_REGISTER!F:F,""),"")</f>
        <v/>
      </c>
      <c r="D282" s="4">
        <f>IFERROR(_xludf.XLOOKUP(B282,MASTER_REGISTER!E:E,MASTER_REGISTER!C:C,""),"")</f>
        <v/>
      </c>
      <c r="H282" s="4" t="n"/>
    </row>
    <row r="283">
      <c r="C283" s="7">
        <f>IFERROR(_xludf.XLOOKUP(B283,MASTER_REGISTER!E:E,MASTER_REGISTER!F:F,""),"")</f>
        <v/>
      </c>
      <c r="D283" s="4">
        <f>IFERROR(_xludf.XLOOKUP(B283,MASTER_REGISTER!E:E,MASTER_REGISTER!C:C,""),"")</f>
        <v/>
      </c>
      <c r="H283" s="4" t="n"/>
    </row>
    <row r="284">
      <c r="C284" s="7">
        <f>IFERROR(_xludf.XLOOKUP(B284,MASTER_REGISTER!E:E,MASTER_REGISTER!F:F,""),"")</f>
        <v/>
      </c>
      <c r="D284" s="4">
        <f>IFERROR(_xludf.XLOOKUP(B284,MASTER_REGISTER!E:E,MASTER_REGISTER!C:C,""),"")</f>
        <v/>
      </c>
      <c r="H284" s="4" t="n"/>
    </row>
    <row r="285">
      <c r="C285" s="7">
        <f>IFERROR(_xludf.XLOOKUP(B285,MASTER_REGISTER!E:E,MASTER_REGISTER!F:F,""),"")</f>
        <v/>
      </c>
      <c r="D285" s="4">
        <f>IFERROR(_xludf.XLOOKUP(B285,MASTER_REGISTER!E:E,MASTER_REGISTER!C:C,""),"")</f>
        <v/>
      </c>
      <c r="H285" s="4" t="n"/>
    </row>
    <row r="286">
      <c r="C286" s="7">
        <f>IFERROR(_xludf.XLOOKUP(B286,MASTER_REGISTER!E:E,MASTER_REGISTER!F:F,""),"")</f>
        <v/>
      </c>
      <c r="D286" s="4">
        <f>IFERROR(_xludf.XLOOKUP(B286,MASTER_REGISTER!E:E,MASTER_REGISTER!C:C,""),"")</f>
        <v/>
      </c>
      <c r="H286" s="4" t="n"/>
    </row>
    <row r="287">
      <c r="C287" s="7">
        <f>IFERROR(_xludf.XLOOKUP(B287,MASTER_REGISTER!E:E,MASTER_REGISTER!F:F,""),"")</f>
        <v/>
      </c>
      <c r="D287" s="4">
        <f>IFERROR(_xludf.XLOOKUP(B287,MASTER_REGISTER!E:E,MASTER_REGISTER!C:C,""),"")</f>
        <v/>
      </c>
      <c r="H287" s="4" t="n"/>
    </row>
    <row r="288">
      <c r="C288" s="7">
        <f>IFERROR(_xludf.XLOOKUP(B288,MASTER_REGISTER!E:E,MASTER_REGISTER!F:F,""),"")</f>
        <v/>
      </c>
      <c r="D288" s="4">
        <f>IFERROR(_xludf.XLOOKUP(B288,MASTER_REGISTER!E:E,MASTER_REGISTER!C:C,""),"")</f>
        <v/>
      </c>
      <c r="H288" s="4" t="n"/>
    </row>
    <row r="289">
      <c r="C289" s="7">
        <f>IFERROR(_xludf.XLOOKUP(B289,MASTER_REGISTER!E:E,MASTER_REGISTER!F:F,""),"")</f>
        <v/>
      </c>
      <c r="D289" s="4">
        <f>IFERROR(_xludf.XLOOKUP(B289,MASTER_REGISTER!E:E,MASTER_REGISTER!C:C,""),"")</f>
        <v/>
      </c>
      <c r="H289" s="4" t="n"/>
    </row>
    <row r="290">
      <c r="C290" s="7">
        <f>IFERROR(_xludf.XLOOKUP(B290,MASTER_REGISTER!E:E,MASTER_REGISTER!F:F,""),"")</f>
        <v/>
      </c>
      <c r="D290" s="4">
        <f>IFERROR(_xludf.XLOOKUP(B290,MASTER_REGISTER!E:E,MASTER_REGISTER!C:C,""),"")</f>
        <v/>
      </c>
      <c r="H290" s="4" t="n"/>
    </row>
    <row r="291">
      <c r="C291" s="7">
        <f>IFERROR(_xludf.XLOOKUP(B291,MASTER_REGISTER!E:E,MASTER_REGISTER!F:F,""),"")</f>
        <v/>
      </c>
      <c r="D291" s="4">
        <f>IFERROR(_xludf.XLOOKUP(B291,MASTER_REGISTER!E:E,MASTER_REGISTER!C:C,""),"")</f>
        <v/>
      </c>
      <c r="H291" s="4" t="n"/>
    </row>
    <row r="292">
      <c r="C292" s="7">
        <f>IFERROR(_xludf.XLOOKUP(B292,MASTER_REGISTER!E:E,MASTER_REGISTER!F:F,""),"")</f>
        <v/>
      </c>
      <c r="D292" s="4">
        <f>IFERROR(_xludf.XLOOKUP(B292,MASTER_REGISTER!E:E,MASTER_REGISTER!C:C,""),"")</f>
        <v/>
      </c>
      <c r="H292" s="4" t="n"/>
    </row>
    <row r="293">
      <c r="C293" s="7">
        <f>IFERROR(_xludf.XLOOKUP(B293,MASTER_REGISTER!E:E,MASTER_REGISTER!F:F,""),"")</f>
        <v/>
      </c>
      <c r="D293" s="4">
        <f>IFERROR(_xludf.XLOOKUP(B293,MASTER_REGISTER!E:E,MASTER_REGISTER!C:C,""),"")</f>
        <v/>
      </c>
      <c r="H293" s="4" t="n"/>
    </row>
    <row r="294">
      <c r="C294" s="7">
        <f>IFERROR(_xludf.XLOOKUP(B294,MASTER_REGISTER!E:E,MASTER_REGISTER!F:F,""),"")</f>
        <v/>
      </c>
      <c r="D294" s="4">
        <f>IFERROR(_xludf.XLOOKUP(B294,MASTER_REGISTER!E:E,MASTER_REGISTER!C:C,""),"")</f>
        <v/>
      </c>
      <c r="H294" s="4" t="n"/>
    </row>
    <row r="295">
      <c r="C295" s="7">
        <f>IFERROR(_xludf.XLOOKUP(B295,MASTER_REGISTER!E:E,MASTER_REGISTER!F:F,""),"")</f>
        <v/>
      </c>
      <c r="D295" s="4">
        <f>IFERROR(_xludf.XLOOKUP(B295,MASTER_REGISTER!E:E,MASTER_REGISTER!C:C,""),"")</f>
        <v/>
      </c>
      <c r="H295" s="4" t="n"/>
    </row>
    <row r="296">
      <c r="C296" s="7">
        <f>IFERROR(_xludf.XLOOKUP(B296,MASTER_REGISTER!E:E,MASTER_REGISTER!F:F,""),"")</f>
        <v/>
      </c>
      <c r="D296" s="4">
        <f>IFERROR(_xludf.XLOOKUP(B296,MASTER_REGISTER!E:E,MASTER_REGISTER!C:C,""),"")</f>
        <v/>
      </c>
      <c r="H296" s="4" t="n"/>
    </row>
    <row r="297">
      <c r="C297" s="7">
        <f>IFERROR(_xludf.XLOOKUP(B297,MASTER_REGISTER!E:E,MASTER_REGISTER!F:F,""),"")</f>
        <v/>
      </c>
      <c r="D297" s="4">
        <f>IFERROR(_xludf.XLOOKUP(B297,MASTER_REGISTER!E:E,MASTER_REGISTER!C:C,""),"")</f>
        <v/>
      </c>
      <c r="H297" s="4" t="n"/>
    </row>
    <row r="298">
      <c r="C298" s="7">
        <f>IFERROR(_xludf.XLOOKUP(B298,MASTER_REGISTER!E:E,MASTER_REGISTER!F:F,""),"")</f>
        <v/>
      </c>
      <c r="D298" s="4">
        <f>IFERROR(_xludf.XLOOKUP(B298,MASTER_REGISTER!E:E,MASTER_REGISTER!C:C,""),"")</f>
        <v/>
      </c>
      <c r="H298" s="4" t="n"/>
    </row>
    <row r="299">
      <c r="C299" s="7">
        <f>IFERROR(_xludf.XLOOKUP(B299,MASTER_REGISTER!E:E,MASTER_REGISTER!F:F,""),"")</f>
        <v/>
      </c>
      <c r="D299" s="4">
        <f>IFERROR(_xludf.XLOOKUP(B299,MASTER_REGISTER!E:E,MASTER_REGISTER!C:C,""),"")</f>
        <v/>
      </c>
      <c r="H299" s="4" t="n"/>
    </row>
    <row r="300">
      <c r="C300" s="7">
        <f>IFERROR(_xludf.XLOOKUP(B300,MASTER_REGISTER!E:E,MASTER_REGISTER!F:F,""),"")</f>
        <v/>
      </c>
      <c r="D300" s="4">
        <f>IFERROR(_xludf.XLOOKUP(B300,MASTER_REGISTER!E:E,MASTER_REGISTER!C:C,""),"")</f>
        <v/>
      </c>
      <c r="H300" s="4" t="n"/>
    </row>
    <row r="301">
      <c r="C301" s="7">
        <f>IFERROR(_xludf.XLOOKUP(B301,MASTER_REGISTER!E:E,MASTER_REGISTER!F:F,""),"")</f>
        <v/>
      </c>
      <c r="D301" s="4">
        <f>IFERROR(_xludf.XLOOKUP(B301,MASTER_REGISTER!E:E,MASTER_REGISTER!C:C,""),"")</f>
        <v/>
      </c>
      <c r="H301" s="4" t="n"/>
    </row>
    <row r="302">
      <c r="C302" s="7">
        <f>IFERROR(_xludf.XLOOKUP(B302,MASTER_REGISTER!E:E,MASTER_REGISTER!F:F,""),"")</f>
        <v/>
      </c>
      <c r="D302" s="4">
        <f>IFERROR(_xludf.XLOOKUP(B302,MASTER_REGISTER!E:E,MASTER_REGISTER!C:C,""),"")</f>
        <v/>
      </c>
      <c r="H302" s="4" t="n"/>
    </row>
    <row r="303">
      <c r="C303" s="7">
        <f>IFERROR(_xludf.XLOOKUP(B303,MASTER_REGISTER!E:E,MASTER_REGISTER!F:F,""),"")</f>
        <v/>
      </c>
      <c r="D303" s="4">
        <f>IFERROR(_xludf.XLOOKUP(B303,MASTER_REGISTER!E:E,MASTER_REGISTER!C:C,""),"")</f>
        <v/>
      </c>
      <c r="H303" s="4" t="n"/>
    </row>
    <row r="304">
      <c r="C304" s="7">
        <f>IFERROR(_xludf.XLOOKUP(B304,MASTER_REGISTER!E:E,MASTER_REGISTER!F:F,""),"")</f>
        <v/>
      </c>
      <c r="D304" s="4">
        <f>IFERROR(_xludf.XLOOKUP(B304,MASTER_REGISTER!E:E,MASTER_REGISTER!C:C,""),"")</f>
        <v/>
      </c>
      <c r="H304" s="4" t="n"/>
    </row>
    <row r="305">
      <c r="C305" s="7">
        <f>IFERROR(_xludf.XLOOKUP(B305,MASTER_REGISTER!E:E,MASTER_REGISTER!F:F,""),"")</f>
        <v/>
      </c>
      <c r="D305" s="4">
        <f>IFERROR(_xludf.XLOOKUP(B305,MASTER_REGISTER!E:E,MASTER_REGISTER!C:C,""),"")</f>
        <v/>
      </c>
      <c r="H305" s="4" t="n"/>
    </row>
    <row r="306">
      <c r="C306" s="7">
        <f>IFERROR(_xludf.XLOOKUP(B306,MASTER_REGISTER!E:E,MASTER_REGISTER!F:F,""),"")</f>
        <v/>
      </c>
      <c r="D306" s="4">
        <f>IFERROR(_xludf.XLOOKUP(B306,MASTER_REGISTER!E:E,MASTER_REGISTER!C:C,""),"")</f>
        <v/>
      </c>
      <c r="H306" s="4" t="n"/>
    </row>
    <row r="307">
      <c r="C307" s="7">
        <f>IFERROR(_xludf.XLOOKUP(B307,MASTER_REGISTER!E:E,MASTER_REGISTER!F:F,""),"")</f>
        <v/>
      </c>
      <c r="D307" s="4">
        <f>IFERROR(_xludf.XLOOKUP(B307,MASTER_REGISTER!E:E,MASTER_REGISTER!C:C,""),"")</f>
        <v/>
      </c>
      <c r="H307" s="4" t="n"/>
    </row>
    <row r="308">
      <c r="C308" s="7">
        <f>IFERROR(_xludf.XLOOKUP(B308,MASTER_REGISTER!E:E,MASTER_REGISTER!F:F,""),"")</f>
        <v/>
      </c>
      <c r="D308" s="4">
        <f>IFERROR(_xludf.XLOOKUP(B308,MASTER_REGISTER!E:E,MASTER_REGISTER!C:C,""),"")</f>
        <v/>
      </c>
      <c r="H308" s="4" t="n"/>
    </row>
    <row r="309">
      <c r="C309" s="7">
        <f>IFERROR(_xludf.XLOOKUP(B309,MASTER_REGISTER!E:E,MASTER_REGISTER!F:F,""),"")</f>
        <v/>
      </c>
      <c r="D309" s="4">
        <f>IFERROR(_xludf.XLOOKUP(B309,MASTER_REGISTER!E:E,MASTER_REGISTER!C:C,""),"")</f>
        <v/>
      </c>
      <c r="H309" s="4" t="n"/>
    </row>
    <row r="310">
      <c r="C310" s="7">
        <f>IFERROR(_xludf.XLOOKUP(B310,MASTER_REGISTER!E:E,MASTER_REGISTER!F:F,""),"")</f>
        <v/>
      </c>
      <c r="D310" s="4">
        <f>IFERROR(_xludf.XLOOKUP(B310,MASTER_REGISTER!E:E,MASTER_REGISTER!C:C,""),"")</f>
        <v/>
      </c>
      <c r="H310" s="4" t="n"/>
    </row>
    <row r="311">
      <c r="C311" s="7">
        <f>IFERROR(_xludf.XLOOKUP(B311,MASTER_REGISTER!E:E,MASTER_REGISTER!F:F,""),"")</f>
        <v/>
      </c>
      <c r="D311" s="4">
        <f>IFERROR(_xludf.XLOOKUP(B311,MASTER_REGISTER!E:E,MASTER_REGISTER!C:C,""),"")</f>
        <v/>
      </c>
      <c r="H311" s="4" t="n"/>
    </row>
    <row r="312">
      <c r="C312" s="7">
        <f>IFERROR(_xludf.XLOOKUP(B312,MASTER_REGISTER!E:E,MASTER_REGISTER!F:F,""),"")</f>
        <v/>
      </c>
      <c r="D312" s="4">
        <f>IFERROR(_xludf.XLOOKUP(B312,MASTER_REGISTER!E:E,MASTER_REGISTER!C:C,""),"")</f>
        <v/>
      </c>
      <c r="H312" s="4" t="n"/>
    </row>
    <row r="313">
      <c r="C313" s="7">
        <f>IFERROR(_xludf.XLOOKUP(B313,MASTER_REGISTER!E:E,MASTER_REGISTER!F:F,""),"")</f>
        <v/>
      </c>
      <c r="D313" s="4">
        <f>IFERROR(_xludf.XLOOKUP(B313,MASTER_REGISTER!E:E,MASTER_REGISTER!C:C,""),"")</f>
        <v/>
      </c>
      <c r="H313" s="4" t="n"/>
    </row>
    <row r="314">
      <c r="C314" s="7">
        <f>IFERROR(_xludf.XLOOKUP(B314,MASTER_REGISTER!E:E,MASTER_REGISTER!F:F,""),"")</f>
        <v/>
      </c>
      <c r="D314" s="4">
        <f>IFERROR(_xludf.XLOOKUP(B314,MASTER_REGISTER!E:E,MASTER_REGISTER!C:C,""),"")</f>
        <v/>
      </c>
      <c r="H314" s="4" t="n"/>
    </row>
    <row r="315">
      <c r="C315" s="7">
        <f>IFERROR(_xludf.XLOOKUP(B315,MASTER_REGISTER!E:E,MASTER_REGISTER!F:F,""),"")</f>
        <v/>
      </c>
      <c r="D315" s="4">
        <f>IFERROR(_xludf.XLOOKUP(B315,MASTER_REGISTER!E:E,MASTER_REGISTER!C:C,""),"")</f>
        <v/>
      </c>
      <c r="H315" s="4" t="n"/>
    </row>
    <row r="316">
      <c r="C316" s="7">
        <f>IFERROR(_xludf.XLOOKUP(B316,MASTER_REGISTER!E:E,MASTER_REGISTER!F:F,""),"")</f>
        <v/>
      </c>
      <c r="D316" s="4">
        <f>IFERROR(_xludf.XLOOKUP(B316,MASTER_REGISTER!E:E,MASTER_REGISTER!C:C,""),"")</f>
        <v/>
      </c>
      <c r="H316" s="4" t="n"/>
    </row>
    <row r="317">
      <c r="C317" s="7">
        <f>IFERROR(_xludf.XLOOKUP(B317,MASTER_REGISTER!E:E,MASTER_REGISTER!F:F,""),"")</f>
        <v/>
      </c>
      <c r="D317" s="4">
        <f>IFERROR(_xludf.XLOOKUP(B317,MASTER_REGISTER!E:E,MASTER_REGISTER!C:C,""),"")</f>
        <v/>
      </c>
      <c r="H317" s="4" t="n"/>
    </row>
    <row r="318">
      <c r="C318" s="7">
        <f>IFERROR(_xludf.XLOOKUP(B318,MASTER_REGISTER!E:E,MASTER_REGISTER!F:F,""),"")</f>
        <v/>
      </c>
      <c r="D318" s="4">
        <f>IFERROR(_xludf.XLOOKUP(B318,MASTER_REGISTER!E:E,MASTER_REGISTER!C:C,""),"")</f>
        <v/>
      </c>
      <c r="H318" s="4" t="n"/>
    </row>
    <row r="319">
      <c r="C319" s="7">
        <f>IFERROR(_xludf.XLOOKUP(B319,MASTER_REGISTER!E:E,MASTER_REGISTER!F:F,""),"")</f>
        <v/>
      </c>
      <c r="D319" s="4">
        <f>IFERROR(_xludf.XLOOKUP(B319,MASTER_REGISTER!E:E,MASTER_REGISTER!C:C,""),"")</f>
        <v/>
      </c>
      <c r="H319" s="4" t="n"/>
    </row>
    <row r="320">
      <c r="C320" s="7">
        <f>IFERROR(_xludf.XLOOKUP(B320,MASTER_REGISTER!E:E,MASTER_REGISTER!F:F,""),"")</f>
        <v/>
      </c>
      <c r="D320" s="4">
        <f>IFERROR(_xludf.XLOOKUP(B320,MASTER_REGISTER!E:E,MASTER_REGISTER!C:C,""),"")</f>
        <v/>
      </c>
      <c r="H320" s="4" t="n"/>
    </row>
    <row r="321">
      <c r="C321" s="7">
        <f>IFERROR(_xludf.XLOOKUP(B321,MASTER_REGISTER!E:E,MASTER_REGISTER!F:F,""),"")</f>
        <v/>
      </c>
      <c r="D321" s="4">
        <f>IFERROR(_xludf.XLOOKUP(B321,MASTER_REGISTER!E:E,MASTER_REGISTER!C:C,""),"")</f>
        <v/>
      </c>
      <c r="H321" s="4" t="n"/>
    </row>
    <row r="322">
      <c r="C322" s="7">
        <f>IFERROR(_xludf.XLOOKUP(B322,MASTER_REGISTER!E:E,MASTER_REGISTER!F:F,""),"")</f>
        <v/>
      </c>
      <c r="D322" s="4">
        <f>IFERROR(_xludf.XLOOKUP(B322,MASTER_REGISTER!E:E,MASTER_REGISTER!C:C,""),"")</f>
        <v/>
      </c>
      <c r="H322" s="4" t="n"/>
    </row>
    <row r="323">
      <c r="C323" s="7">
        <f>IFERROR(_xludf.XLOOKUP(B323,MASTER_REGISTER!E:E,MASTER_REGISTER!F:F,""),"")</f>
        <v/>
      </c>
      <c r="D323" s="4">
        <f>IFERROR(_xludf.XLOOKUP(B323,MASTER_REGISTER!E:E,MASTER_REGISTER!C:C,""),"")</f>
        <v/>
      </c>
      <c r="H323" s="4" t="n"/>
    </row>
    <row r="324">
      <c r="C324" s="7">
        <f>IFERROR(_xludf.XLOOKUP(B324,MASTER_REGISTER!E:E,MASTER_REGISTER!F:F,""),"")</f>
        <v/>
      </c>
      <c r="D324" s="4">
        <f>IFERROR(_xludf.XLOOKUP(B324,MASTER_REGISTER!E:E,MASTER_REGISTER!C:C,""),"")</f>
        <v/>
      </c>
      <c r="H324" s="4" t="n"/>
    </row>
    <row r="325">
      <c r="C325" s="7">
        <f>IFERROR(_xludf.XLOOKUP(B325,MASTER_REGISTER!E:E,MASTER_REGISTER!F:F,""),"")</f>
        <v/>
      </c>
      <c r="D325" s="4">
        <f>IFERROR(_xludf.XLOOKUP(B325,MASTER_REGISTER!E:E,MASTER_REGISTER!C:C,""),"")</f>
        <v/>
      </c>
      <c r="H325" s="4" t="n"/>
    </row>
    <row r="326">
      <c r="C326" s="7">
        <f>IFERROR(_xludf.XLOOKUP(B326,MASTER_REGISTER!E:E,MASTER_REGISTER!F:F,""),"")</f>
        <v/>
      </c>
      <c r="D326" s="4">
        <f>IFERROR(_xludf.XLOOKUP(B326,MASTER_REGISTER!E:E,MASTER_REGISTER!C:C,""),"")</f>
        <v/>
      </c>
      <c r="H326" s="4" t="n"/>
    </row>
    <row r="327">
      <c r="C327" s="7">
        <f>IFERROR(_xludf.XLOOKUP(B327,MASTER_REGISTER!E:E,MASTER_REGISTER!F:F,""),"")</f>
        <v/>
      </c>
      <c r="D327" s="4">
        <f>IFERROR(_xludf.XLOOKUP(B327,MASTER_REGISTER!E:E,MASTER_REGISTER!C:C,""),"")</f>
        <v/>
      </c>
      <c r="H327" s="4" t="n"/>
    </row>
    <row r="328">
      <c r="C328" s="7">
        <f>IFERROR(_xludf.XLOOKUP(B328,MASTER_REGISTER!E:E,MASTER_REGISTER!F:F,""),"")</f>
        <v/>
      </c>
      <c r="D328" s="4">
        <f>IFERROR(_xludf.XLOOKUP(B328,MASTER_REGISTER!E:E,MASTER_REGISTER!C:C,""),"")</f>
        <v/>
      </c>
      <c r="H328" s="4" t="n"/>
    </row>
    <row r="329">
      <c r="C329" s="7">
        <f>IFERROR(_xludf.XLOOKUP(B329,MASTER_REGISTER!E:E,MASTER_REGISTER!F:F,""),"")</f>
        <v/>
      </c>
      <c r="D329" s="4">
        <f>IFERROR(_xludf.XLOOKUP(B329,MASTER_REGISTER!E:E,MASTER_REGISTER!C:C,""),"")</f>
        <v/>
      </c>
      <c r="H329" s="4" t="n"/>
    </row>
    <row r="330">
      <c r="C330" s="7">
        <f>IFERROR(_xludf.XLOOKUP(B330,MASTER_REGISTER!E:E,MASTER_REGISTER!F:F,""),"")</f>
        <v/>
      </c>
      <c r="D330" s="4">
        <f>IFERROR(_xludf.XLOOKUP(B330,MASTER_REGISTER!E:E,MASTER_REGISTER!C:C,""),"")</f>
        <v/>
      </c>
      <c r="H330" s="4" t="n"/>
    </row>
    <row r="331">
      <c r="C331" s="7">
        <f>IFERROR(_xludf.XLOOKUP(B331,MASTER_REGISTER!E:E,MASTER_REGISTER!F:F,""),"")</f>
        <v/>
      </c>
      <c r="D331" s="4">
        <f>IFERROR(_xludf.XLOOKUP(B331,MASTER_REGISTER!E:E,MASTER_REGISTER!C:C,""),"")</f>
        <v/>
      </c>
      <c r="H331" s="4" t="n"/>
    </row>
    <row r="332">
      <c r="C332" s="7">
        <f>IFERROR(_xludf.XLOOKUP(B332,MASTER_REGISTER!E:E,MASTER_REGISTER!F:F,""),"")</f>
        <v/>
      </c>
      <c r="D332" s="4">
        <f>IFERROR(_xludf.XLOOKUP(B332,MASTER_REGISTER!E:E,MASTER_REGISTER!C:C,""),"")</f>
        <v/>
      </c>
      <c r="H332" s="4" t="n"/>
    </row>
    <row r="333">
      <c r="C333" s="7">
        <f>IFERROR(_xludf.XLOOKUP(B333,MASTER_REGISTER!E:E,MASTER_REGISTER!F:F,""),"")</f>
        <v/>
      </c>
      <c r="D333" s="4">
        <f>IFERROR(_xludf.XLOOKUP(B333,MASTER_REGISTER!E:E,MASTER_REGISTER!C:C,""),"")</f>
        <v/>
      </c>
      <c r="H333" s="4" t="n"/>
    </row>
    <row r="334">
      <c r="C334" s="7">
        <f>IFERROR(_xludf.XLOOKUP(B334,MASTER_REGISTER!E:E,MASTER_REGISTER!F:F,""),"")</f>
        <v/>
      </c>
      <c r="D334" s="4">
        <f>IFERROR(_xludf.XLOOKUP(B334,MASTER_REGISTER!E:E,MASTER_REGISTER!C:C,""),"")</f>
        <v/>
      </c>
      <c r="H334" s="4" t="n"/>
    </row>
    <row r="335">
      <c r="C335" s="7">
        <f>IFERROR(_xludf.XLOOKUP(B335,MASTER_REGISTER!E:E,MASTER_REGISTER!F:F,""),"")</f>
        <v/>
      </c>
      <c r="D335" s="4">
        <f>IFERROR(_xludf.XLOOKUP(B335,MASTER_REGISTER!E:E,MASTER_REGISTER!C:C,""),"")</f>
        <v/>
      </c>
      <c r="H335" s="4" t="n"/>
    </row>
    <row r="336">
      <c r="C336" s="7">
        <f>IFERROR(_xludf.XLOOKUP(B336,MASTER_REGISTER!E:E,MASTER_REGISTER!F:F,""),"")</f>
        <v/>
      </c>
      <c r="D336" s="4">
        <f>IFERROR(_xludf.XLOOKUP(B336,MASTER_REGISTER!E:E,MASTER_REGISTER!C:C,""),"")</f>
        <v/>
      </c>
      <c r="H336" s="4" t="n"/>
    </row>
    <row r="337">
      <c r="C337" s="7">
        <f>IFERROR(_xludf.XLOOKUP(B337,MASTER_REGISTER!E:E,MASTER_REGISTER!F:F,""),"")</f>
        <v/>
      </c>
      <c r="D337" s="4">
        <f>IFERROR(_xludf.XLOOKUP(B337,MASTER_REGISTER!E:E,MASTER_REGISTER!C:C,""),"")</f>
        <v/>
      </c>
      <c r="H337" s="4" t="n"/>
    </row>
    <row r="338">
      <c r="C338" s="7">
        <f>IFERROR(_xludf.XLOOKUP(B338,MASTER_REGISTER!E:E,MASTER_REGISTER!F:F,""),"")</f>
        <v/>
      </c>
      <c r="D338" s="4">
        <f>IFERROR(_xludf.XLOOKUP(B338,MASTER_REGISTER!E:E,MASTER_REGISTER!C:C,""),"")</f>
        <v/>
      </c>
      <c r="H338" s="4" t="n"/>
    </row>
    <row r="339">
      <c r="C339" s="7">
        <f>IFERROR(_xludf.XLOOKUP(B339,MASTER_REGISTER!E:E,MASTER_REGISTER!F:F,""),"")</f>
        <v/>
      </c>
      <c r="D339" s="4">
        <f>IFERROR(_xludf.XLOOKUP(B339,MASTER_REGISTER!E:E,MASTER_REGISTER!C:C,""),"")</f>
        <v/>
      </c>
      <c r="H339" s="4" t="n"/>
    </row>
    <row r="340">
      <c r="C340" s="7">
        <f>IFERROR(_xludf.XLOOKUP(B340,MASTER_REGISTER!E:E,MASTER_REGISTER!F:F,""),"")</f>
        <v/>
      </c>
      <c r="D340" s="4">
        <f>IFERROR(_xludf.XLOOKUP(B340,MASTER_REGISTER!E:E,MASTER_REGISTER!C:C,""),"")</f>
        <v/>
      </c>
      <c r="H340" s="4" t="n"/>
    </row>
    <row r="341">
      <c r="C341" s="7">
        <f>IFERROR(_xludf.XLOOKUP(B341,MASTER_REGISTER!E:E,MASTER_REGISTER!F:F,""),"")</f>
        <v/>
      </c>
      <c r="D341" s="4">
        <f>IFERROR(_xludf.XLOOKUP(B341,MASTER_REGISTER!E:E,MASTER_REGISTER!C:C,""),"")</f>
        <v/>
      </c>
      <c r="H341" s="4" t="n"/>
    </row>
    <row r="342">
      <c r="C342" s="7">
        <f>IFERROR(_xludf.XLOOKUP(B342,MASTER_REGISTER!E:E,MASTER_REGISTER!F:F,""),"")</f>
        <v/>
      </c>
      <c r="D342" s="4">
        <f>IFERROR(_xludf.XLOOKUP(B342,MASTER_REGISTER!E:E,MASTER_REGISTER!C:C,""),"")</f>
        <v/>
      </c>
      <c r="H342" s="4" t="n"/>
    </row>
    <row r="343">
      <c r="C343" s="7">
        <f>IFERROR(_xludf.XLOOKUP(B343,MASTER_REGISTER!E:E,MASTER_REGISTER!F:F,""),"")</f>
        <v/>
      </c>
      <c r="D343" s="4">
        <f>IFERROR(_xludf.XLOOKUP(B343,MASTER_REGISTER!E:E,MASTER_REGISTER!C:C,""),"")</f>
        <v/>
      </c>
      <c r="H343" s="4" t="n"/>
    </row>
    <row r="344">
      <c r="C344" s="7">
        <f>IFERROR(_xludf.XLOOKUP(B344,MASTER_REGISTER!E:E,MASTER_REGISTER!F:F,""),"")</f>
        <v/>
      </c>
      <c r="D344" s="4">
        <f>IFERROR(_xludf.XLOOKUP(B344,MASTER_REGISTER!E:E,MASTER_REGISTER!C:C,""),"")</f>
        <v/>
      </c>
      <c r="H344" s="4" t="n"/>
    </row>
    <row r="345">
      <c r="C345" s="7">
        <f>IFERROR(_xludf.XLOOKUP(B345,MASTER_REGISTER!E:E,MASTER_REGISTER!F:F,""),"")</f>
        <v/>
      </c>
      <c r="D345" s="4">
        <f>IFERROR(_xludf.XLOOKUP(B345,MASTER_REGISTER!E:E,MASTER_REGISTER!C:C,""),"")</f>
        <v/>
      </c>
      <c r="H345" s="4" t="n"/>
    </row>
    <row r="346">
      <c r="C346" s="7">
        <f>IFERROR(_xludf.XLOOKUP(B346,MASTER_REGISTER!E:E,MASTER_REGISTER!F:F,""),"")</f>
        <v/>
      </c>
      <c r="D346" s="4">
        <f>IFERROR(_xludf.XLOOKUP(B346,MASTER_REGISTER!E:E,MASTER_REGISTER!C:C,""),"")</f>
        <v/>
      </c>
      <c r="H346" s="4" t="n"/>
    </row>
    <row r="347">
      <c r="C347" s="7">
        <f>IFERROR(_xludf.XLOOKUP(B347,MASTER_REGISTER!E:E,MASTER_REGISTER!F:F,""),"")</f>
        <v/>
      </c>
      <c r="D347" s="4">
        <f>IFERROR(_xludf.XLOOKUP(B347,MASTER_REGISTER!E:E,MASTER_REGISTER!C:C,""),"")</f>
        <v/>
      </c>
      <c r="H347" s="4" t="n"/>
    </row>
    <row r="348">
      <c r="C348" s="7">
        <f>IFERROR(_xludf.XLOOKUP(B348,MASTER_REGISTER!E:E,MASTER_REGISTER!F:F,""),"")</f>
        <v/>
      </c>
      <c r="D348" s="4">
        <f>IFERROR(_xludf.XLOOKUP(B348,MASTER_REGISTER!E:E,MASTER_REGISTER!C:C,""),"")</f>
        <v/>
      </c>
      <c r="H348" s="4" t="n"/>
    </row>
    <row r="349">
      <c r="C349" s="7">
        <f>IFERROR(_xludf.XLOOKUP(B349,MASTER_REGISTER!E:E,MASTER_REGISTER!F:F,""),"")</f>
        <v/>
      </c>
      <c r="D349" s="4">
        <f>IFERROR(_xludf.XLOOKUP(B349,MASTER_REGISTER!E:E,MASTER_REGISTER!C:C,""),"")</f>
        <v/>
      </c>
      <c r="H349" s="4" t="n"/>
    </row>
    <row r="350">
      <c r="C350" s="7">
        <f>IFERROR(_xludf.XLOOKUP(B350,MASTER_REGISTER!E:E,MASTER_REGISTER!F:F,""),"")</f>
        <v/>
      </c>
      <c r="D350" s="4">
        <f>IFERROR(_xludf.XLOOKUP(B350,MASTER_REGISTER!E:E,MASTER_REGISTER!C:C,""),"")</f>
        <v/>
      </c>
      <c r="H350" s="4" t="n"/>
    </row>
    <row r="351">
      <c r="C351" s="7">
        <f>IFERROR(_xludf.XLOOKUP(B351,MASTER_REGISTER!E:E,MASTER_REGISTER!F:F,""),"")</f>
        <v/>
      </c>
      <c r="D351" s="4">
        <f>IFERROR(_xludf.XLOOKUP(B351,MASTER_REGISTER!E:E,MASTER_REGISTER!C:C,""),"")</f>
        <v/>
      </c>
      <c r="H351" s="4" t="n"/>
    </row>
    <row r="352">
      <c r="C352" s="7">
        <f>IFERROR(_xludf.XLOOKUP(B352,MASTER_REGISTER!E:E,MASTER_REGISTER!F:F,""),"")</f>
        <v/>
      </c>
      <c r="D352" s="4">
        <f>IFERROR(_xludf.XLOOKUP(B352,MASTER_REGISTER!E:E,MASTER_REGISTER!C:C,""),"")</f>
        <v/>
      </c>
      <c r="H352" s="4" t="n"/>
    </row>
    <row r="353">
      <c r="C353" s="7">
        <f>IFERROR(_xludf.XLOOKUP(B353,MASTER_REGISTER!E:E,MASTER_REGISTER!F:F,""),"")</f>
        <v/>
      </c>
      <c r="D353" s="4">
        <f>IFERROR(_xludf.XLOOKUP(B353,MASTER_REGISTER!E:E,MASTER_REGISTER!C:C,""),"")</f>
        <v/>
      </c>
      <c r="H353" s="4" t="n"/>
    </row>
    <row r="354">
      <c r="C354" s="7">
        <f>IFERROR(_xludf.XLOOKUP(B354,MASTER_REGISTER!E:E,MASTER_REGISTER!F:F,""),"")</f>
        <v/>
      </c>
      <c r="D354" s="4">
        <f>IFERROR(_xludf.XLOOKUP(B354,MASTER_REGISTER!E:E,MASTER_REGISTER!C:C,""),"")</f>
        <v/>
      </c>
      <c r="H354" s="4" t="n"/>
    </row>
    <row r="355">
      <c r="C355" s="7">
        <f>IFERROR(_xludf.XLOOKUP(B355,MASTER_REGISTER!E:E,MASTER_REGISTER!F:F,""),"")</f>
        <v/>
      </c>
      <c r="D355" s="4">
        <f>IFERROR(_xludf.XLOOKUP(B355,MASTER_REGISTER!E:E,MASTER_REGISTER!C:C,""),"")</f>
        <v/>
      </c>
      <c r="H355" s="4" t="n"/>
    </row>
    <row r="356">
      <c r="C356" s="7">
        <f>IFERROR(_xludf.XLOOKUP(B356,MASTER_REGISTER!E:E,MASTER_REGISTER!F:F,""),"")</f>
        <v/>
      </c>
      <c r="D356" s="4">
        <f>IFERROR(_xludf.XLOOKUP(B356,MASTER_REGISTER!E:E,MASTER_REGISTER!C:C,""),"")</f>
        <v/>
      </c>
      <c r="H356" s="4" t="n"/>
    </row>
    <row r="357">
      <c r="C357" s="7">
        <f>IFERROR(_xludf.XLOOKUP(B357,MASTER_REGISTER!E:E,MASTER_REGISTER!F:F,""),"")</f>
        <v/>
      </c>
      <c r="D357" s="4">
        <f>IFERROR(_xludf.XLOOKUP(B357,MASTER_REGISTER!E:E,MASTER_REGISTER!C:C,""),"")</f>
        <v/>
      </c>
      <c r="H357" s="4" t="n"/>
    </row>
    <row r="358">
      <c r="C358" s="7">
        <f>IFERROR(_xludf.XLOOKUP(B358,MASTER_REGISTER!E:E,MASTER_REGISTER!F:F,""),"")</f>
        <v/>
      </c>
      <c r="D358" s="4">
        <f>IFERROR(_xludf.XLOOKUP(B358,MASTER_REGISTER!E:E,MASTER_REGISTER!C:C,""),"")</f>
        <v/>
      </c>
      <c r="H358" s="4" t="n"/>
    </row>
    <row r="359">
      <c r="C359" s="7">
        <f>IFERROR(_xludf.XLOOKUP(B359,MASTER_REGISTER!E:E,MASTER_REGISTER!F:F,""),"")</f>
        <v/>
      </c>
      <c r="D359" s="4">
        <f>IFERROR(_xludf.XLOOKUP(B359,MASTER_REGISTER!E:E,MASTER_REGISTER!C:C,""),"")</f>
        <v/>
      </c>
      <c r="H359" s="4" t="n"/>
    </row>
    <row r="360">
      <c r="C360" s="7">
        <f>IFERROR(_xludf.XLOOKUP(B360,MASTER_REGISTER!E:E,MASTER_REGISTER!F:F,""),"")</f>
        <v/>
      </c>
      <c r="D360" s="4">
        <f>IFERROR(_xludf.XLOOKUP(B360,MASTER_REGISTER!E:E,MASTER_REGISTER!C:C,""),"")</f>
        <v/>
      </c>
      <c r="H360" s="4" t="n"/>
    </row>
    <row r="361">
      <c r="C361" s="7">
        <f>IFERROR(_xludf.XLOOKUP(B361,MASTER_REGISTER!E:E,MASTER_REGISTER!F:F,""),"")</f>
        <v/>
      </c>
      <c r="D361" s="4">
        <f>IFERROR(_xludf.XLOOKUP(B361,MASTER_REGISTER!E:E,MASTER_REGISTER!C:C,""),"")</f>
        <v/>
      </c>
      <c r="H361" s="4" t="n"/>
    </row>
    <row r="362">
      <c r="C362" s="7">
        <f>IFERROR(_xludf.XLOOKUP(B362,MASTER_REGISTER!E:E,MASTER_REGISTER!F:F,""),"")</f>
        <v/>
      </c>
      <c r="D362" s="4">
        <f>IFERROR(_xludf.XLOOKUP(B362,MASTER_REGISTER!E:E,MASTER_REGISTER!C:C,""),"")</f>
        <v/>
      </c>
      <c r="H362" s="4" t="n"/>
    </row>
    <row r="363">
      <c r="C363" s="7">
        <f>IFERROR(_xludf.XLOOKUP(B363,MASTER_REGISTER!E:E,MASTER_REGISTER!F:F,""),"")</f>
        <v/>
      </c>
      <c r="D363" s="4">
        <f>IFERROR(_xludf.XLOOKUP(B363,MASTER_REGISTER!E:E,MASTER_REGISTER!C:C,""),"")</f>
        <v/>
      </c>
      <c r="H363" s="4" t="n"/>
    </row>
    <row r="364">
      <c r="C364" s="7">
        <f>IFERROR(_xludf.XLOOKUP(B364,MASTER_REGISTER!E:E,MASTER_REGISTER!F:F,""),"")</f>
        <v/>
      </c>
      <c r="D364" s="4">
        <f>IFERROR(_xludf.XLOOKUP(B364,MASTER_REGISTER!E:E,MASTER_REGISTER!C:C,""),"")</f>
        <v/>
      </c>
      <c r="H364" s="4" t="n"/>
    </row>
    <row r="365">
      <c r="C365" s="7">
        <f>IFERROR(_xludf.XLOOKUP(B365,MASTER_REGISTER!E:E,MASTER_REGISTER!F:F,""),"")</f>
        <v/>
      </c>
      <c r="D365" s="4">
        <f>IFERROR(_xludf.XLOOKUP(B365,MASTER_REGISTER!E:E,MASTER_REGISTER!C:C,""),"")</f>
        <v/>
      </c>
      <c r="H365" s="4" t="n"/>
    </row>
    <row r="366">
      <c r="C366" s="7">
        <f>IFERROR(_xludf.XLOOKUP(B366,MASTER_REGISTER!E:E,MASTER_REGISTER!F:F,""),"")</f>
        <v/>
      </c>
      <c r="D366" s="4">
        <f>IFERROR(_xludf.XLOOKUP(B366,MASTER_REGISTER!E:E,MASTER_REGISTER!C:C,""),"")</f>
        <v/>
      </c>
      <c r="H366" s="4" t="n"/>
    </row>
    <row r="367">
      <c r="C367" s="7">
        <f>IFERROR(_xludf.XLOOKUP(B367,MASTER_REGISTER!E:E,MASTER_REGISTER!F:F,""),"")</f>
        <v/>
      </c>
      <c r="D367" s="4">
        <f>IFERROR(_xludf.XLOOKUP(B367,MASTER_REGISTER!E:E,MASTER_REGISTER!C:C,""),"")</f>
        <v/>
      </c>
      <c r="H367" s="4" t="n"/>
    </row>
    <row r="368">
      <c r="C368" s="7">
        <f>IFERROR(_xludf.XLOOKUP(B368,MASTER_REGISTER!E:E,MASTER_REGISTER!F:F,""),"")</f>
        <v/>
      </c>
      <c r="D368" s="4">
        <f>IFERROR(_xludf.XLOOKUP(B368,MASTER_REGISTER!E:E,MASTER_REGISTER!C:C,""),"")</f>
        <v/>
      </c>
      <c r="H368" s="4" t="n"/>
    </row>
    <row r="369">
      <c r="C369" s="7">
        <f>IFERROR(_xludf.XLOOKUP(B369,MASTER_REGISTER!E:E,MASTER_REGISTER!F:F,""),"")</f>
        <v/>
      </c>
      <c r="D369" s="4">
        <f>IFERROR(_xludf.XLOOKUP(B369,MASTER_REGISTER!E:E,MASTER_REGISTER!C:C,""),"")</f>
        <v/>
      </c>
      <c r="H369" s="4" t="n"/>
    </row>
    <row r="370">
      <c r="C370" s="7">
        <f>IFERROR(_xludf.XLOOKUP(B370,MASTER_REGISTER!E:E,MASTER_REGISTER!F:F,""),"")</f>
        <v/>
      </c>
      <c r="D370" s="4">
        <f>IFERROR(_xludf.XLOOKUP(B370,MASTER_REGISTER!E:E,MASTER_REGISTER!C:C,""),"")</f>
        <v/>
      </c>
      <c r="H370" s="4" t="n"/>
    </row>
    <row r="371">
      <c r="C371" s="7">
        <f>IFERROR(_xludf.XLOOKUP(B371,MASTER_REGISTER!E:E,MASTER_REGISTER!F:F,""),"")</f>
        <v/>
      </c>
      <c r="D371" s="4">
        <f>IFERROR(_xludf.XLOOKUP(B371,MASTER_REGISTER!E:E,MASTER_REGISTER!C:C,""),"")</f>
        <v/>
      </c>
      <c r="H371" s="4" t="n"/>
    </row>
    <row r="372">
      <c r="C372" s="7">
        <f>IFERROR(_xludf.XLOOKUP(B372,MASTER_REGISTER!E:E,MASTER_REGISTER!F:F,""),"")</f>
        <v/>
      </c>
      <c r="D372" s="4">
        <f>IFERROR(_xludf.XLOOKUP(B372,MASTER_REGISTER!E:E,MASTER_REGISTER!C:C,""),"")</f>
        <v/>
      </c>
      <c r="H372" s="4" t="n"/>
    </row>
    <row r="373">
      <c r="C373" s="7">
        <f>IFERROR(_xludf.XLOOKUP(B373,MASTER_REGISTER!E:E,MASTER_REGISTER!F:F,""),"")</f>
        <v/>
      </c>
      <c r="D373" s="4">
        <f>IFERROR(_xludf.XLOOKUP(B373,MASTER_REGISTER!E:E,MASTER_REGISTER!C:C,""),"")</f>
        <v/>
      </c>
      <c r="H373" s="4" t="n"/>
    </row>
    <row r="374">
      <c r="C374" s="7">
        <f>IFERROR(_xludf.XLOOKUP(B374,MASTER_REGISTER!E:E,MASTER_REGISTER!F:F,""),"")</f>
        <v/>
      </c>
      <c r="D374" s="4">
        <f>IFERROR(_xludf.XLOOKUP(B374,MASTER_REGISTER!E:E,MASTER_REGISTER!C:C,""),"")</f>
        <v/>
      </c>
      <c r="H374" s="4" t="n"/>
    </row>
    <row r="375">
      <c r="C375" s="7">
        <f>IFERROR(_xludf.XLOOKUP(B375,MASTER_REGISTER!E:E,MASTER_REGISTER!F:F,""),"")</f>
        <v/>
      </c>
      <c r="D375" s="4">
        <f>IFERROR(_xludf.XLOOKUP(B375,MASTER_REGISTER!E:E,MASTER_REGISTER!C:C,""),"")</f>
        <v/>
      </c>
      <c r="H375" s="4" t="n"/>
    </row>
    <row r="376">
      <c r="C376" s="7">
        <f>IFERROR(_xludf.XLOOKUP(B376,MASTER_REGISTER!E:E,MASTER_REGISTER!F:F,""),"")</f>
        <v/>
      </c>
      <c r="D376" s="4">
        <f>IFERROR(_xludf.XLOOKUP(B376,MASTER_REGISTER!E:E,MASTER_REGISTER!C:C,""),"")</f>
        <v/>
      </c>
      <c r="H376" s="4" t="n"/>
    </row>
    <row r="377">
      <c r="C377" s="7">
        <f>IFERROR(_xludf.XLOOKUP(B377,MASTER_REGISTER!E:E,MASTER_REGISTER!F:F,""),"")</f>
        <v/>
      </c>
      <c r="D377" s="4">
        <f>IFERROR(_xludf.XLOOKUP(B377,MASTER_REGISTER!E:E,MASTER_REGISTER!C:C,""),"")</f>
        <v/>
      </c>
      <c r="H377" s="4" t="n"/>
    </row>
    <row r="378">
      <c r="C378" s="7">
        <f>IFERROR(_xludf.XLOOKUP(B378,MASTER_REGISTER!E:E,MASTER_REGISTER!F:F,""),"")</f>
        <v/>
      </c>
      <c r="D378" s="4">
        <f>IFERROR(_xludf.XLOOKUP(B378,MASTER_REGISTER!E:E,MASTER_REGISTER!C:C,""),"")</f>
        <v/>
      </c>
      <c r="H378" s="4" t="n"/>
    </row>
    <row r="379">
      <c r="C379" s="7">
        <f>IFERROR(_xludf.XLOOKUP(B379,MASTER_REGISTER!E:E,MASTER_REGISTER!F:F,""),"")</f>
        <v/>
      </c>
      <c r="D379" s="4">
        <f>IFERROR(_xludf.XLOOKUP(B379,MASTER_REGISTER!E:E,MASTER_REGISTER!C:C,""),"")</f>
        <v/>
      </c>
      <c r="H379" s="4" t="n"/>
    </row>
    <row r="380">
      <c r="C380" s="7">
        <f>IFERROR(_xludf.XLOOKUP(B380,MASTER_REGISTER!E:E,MASTER_REGISTER!F:F,""),"")</f>
        <v/>
      </c>
      <c r="D380" s="4">
        <f>IFERROR(_xludf.XLOOKUP(B380,MASTER_REGISTER!E:E,MASTER_REGISTER!C:C,""),"")</f>
        <v/>
      </c>
      <c r="H380" s="4" t="n"/>
    </row>
    <row r="381">
      <c r="C381" s="7">
        <f>IFERROR(_xludf.XLOOKUP(B381,MASTER_REGISTER!E:E,MASTER_REGISTER!F:F,""),"")</f>
        <v/>
      </c>
      <c r="D381" s="4">
        <f>IFERROR(_xludf.XLOOKUP(B381,MASTER_REGISTER!E:E,MASTER_REGISTER!C:C,""),"")</f>
        <v/>
      </c>
      <c r="H381" s="4" t="n"/>
    </row>
    <row r="382">
      <c r="C382" s="7">
        <f>IFERROR(_xludf.XLOOKUP(B382,MASTER_REGISTER!E:E,MASTER_REGISTER!F:F,""),"")</f>
        <v/>
      </c>
      <c r="D382" s="4">
        <f>IFERROR(_xludf.XLOOKUP(B382,MASTER_REGISTER!E:E,MASTER_REGISTER!C:C,""),"")</f>
        <v/>
      </c>
      <c r="H382" s="4" t="n"/>
    </row>
    <row r="383">
      <c r="C383" s="7">
        <f>IFERROR(_xludf.XLOOKUP(B383,MASTER_REGISTER!E:E,MASTER_REGISTER!F:F,""),"")</f>
        <v/>
      </c>
      <c r="D383" s="4">
        <f>IFERROR(_xludf.XLOOKUP(B383,MASTER_REGISTER!E:E,MASTER_REGISTER!C:C,""),"")</f>
        <v/>
      </c>
      <c r="H383" s="4" t="n"/>
    </row>
    <row r="384">
      <c r="C384" s="7">
        <f>IFERROR(_xludf.XLOOKUP(B384,MASTER_REGISTER!E:E,MASTER_REGISTER!F:F,""),"")</f>
        <v/>
      </c>
      <c r="D384" s="4">
        <f>IFERROR(_xludf.XLOOKUP(B384,MASTER_REGISTER!E:E,MASTER_REGISTER!C:C,""),"")</f>
        <v/>
      </c>
      <c r="H384" s="4" t="n"/>
    </row>
    <row r="385">
      <c r="C385" s="7">
        <f>IFERROR(_xludf.XLOOKUP(B385,MASTER_REGISTER!E:E,MASTER_REGISTER!F:F,""),"")</f>
        <v/>
      </c>
      <c r="D385" s="4">
        <f>IFERROR(_xludf.XLOOKUP(B385,MASTER_REGISTER!E:E,MASTER_REGISTER!C:C,""),"")</f>
        <v/>
      </c>
      <c r="H385" s="4" t="n"/>
    </row>
    <row r="386">
      <c r="C386" s="7">
        <f>IFERROR(_xludf.XLOOKUP(B386,MASTER_REGISTER!E:E,MASTER_REGISTER!F:F,""),"")</f>
        <v/>
      </c>
      <c r="D386" s="4">
        <f>IFERROR(_xludf.XLOOKUP(B386,MASTER_REGISTER!E:E,MASTER_REGISTER!C:C,""),"")</f>
        <v/>
      </c>
      <c r="H386" s="4" t="n"/>
    </row>
    <row r="387">
      <c r="C387" s="7">
        <f>IFERROR(_xludf.XLOOKUP(B387,MASTER_REGISTER!E:E,MASTER_REGISTER!F:F,""),"")</f>
        <v/>
      </c>
      <c r="D387" s="4">
        <f>IFERROR(_xludf.XLOOKUP(B387,MASTER_REGISTER!E:E,MASTER_REGISTER!C:C,""),"")</f>
        <v/>
      </c>
      <c r="H387" s="4" t="n"/>
    </row>
    <row r="388">
      <c r="C388" s="7">
        <f>IFERROR(_xludf.XLOOKUP(B388,MASTER_REGISTER!E:E,MASTER_REGISTER!F:F,""),"")</f>
        <v/>
      </c>
      <c r="D388" s="4">
        <f>IFERROR(_xludf.XLOOKUP(B388,MASTER_REGISTER!E:E,MASTER_REGISTER!C:C,""),"")</f>
        <v/>
      </c>
      <c r="H388" s="4" t="n"/>
    </row>
    <row r="389">
      <c r="C389" s="7">
        <f>IFERROR(_xludf.XLOOKUP(B389,MASTER_REGISTER!E:E,MASTER_REGISTER!F:F,""),"")</f>
        <v/>
      </c>
      <c r="D389" s="4">
        <f>IFERROR(_xludf.XLOOKUP(B389,MASTER_REGISTER!E:E,MASTER_REGISTER!C:C,""),"")</f>
        <v/>
      </c>
      <c r="H389" s="4" t="n"/>
    </row>
    <row r="390">
      <c r="C390" s="7">
        <f>IFERROR(_xludf.XLOOKUP(B390,MASTER_REGISTER!E:E,MASTER_REGISTER!F:F,""),"")</f>
        <v/>
      </c>
      <c r="D390" s="4">
        <f>IFERROR(_xludf.XLOOKUP(B390,MASTER_REGISTER!E:E,MASTER_REGISTER!C:C,""),"")</f>
        <v/>
      </c>
      <c r="H390" s="4" t="n"/>
    </row>
    <row r="391">
      <c r="C391" s="7">
        <f>IFERROR(_xludf.XLOOKUP(B391,MASTER_REGISTER!E:E,MASTER_REGISTER!F:F,""),"")</f>
        <v/>
      </c>
      <c r="D391" s="4">
        <f>IFERROR(_xludf.XLOOKUP(B391,MASTER_REGISTER!E:E,MASTER_REGISTER!C:C,""),"")</f>
        <v/>
      </c>
      <c r="H391" s="4" t="n"/>
    </row>
    <row r="392">
      <c r="C392" s="7">
        <f>IFERROR(_xludf.XLOOKUP(B392,MASTER_REGISTER!E:E,MASTER_REGISTER!F:F,""),"")</f>
        <v/>
      </c>
      <c r="D392" s="4">
        <f>IFERROR(_xludf.XLOOKUP(B392,MASTER_REGISTER!E:E,MASTER_REGISTER!C:C,""),"")</f>
        <v/>
      </c>
      <c r="H392" s="4" t="n"/>
    </row>
    <row r="393">
      <c r="C393" s="7">
        <f>IFERROR(_xludf.XLOOKUP(B393,MASTER_REGISTER!E:E,MASTER_REGISTER!F:F,""),"")</f>
        <v/>
      </c>
      <c r="D393" s="4">
        <f>IFERROR(_xludf.XLOOKUP(B393,MASTER_REGISTER!E:E,MASTER_REGISTER!C:C,""),"")</f>
        <v/>
      </c>
      <c r="H393" s="4" t="n"/>
    </row>
    <row r="394">
      <c r="C394" s="7">
        <f>IFERROR(_xludf.XLOOKUP(B394,MASTER_REGISTER!E:E,MASTER_REGISTER!F:F,""),"")</f>
        <v/>
      </c>
      <c r="D394" s="4">
        <f>IFERROR(_xludf.XLOOKUP(B394,MASTER_REGISTER!E:E,MASTER_REGISTER!C:C,""),"")</f>
        <v/>
      </c>
      <c r="H394" s="4" t="n"/>
    </row>
    <row r="395">
      <c r="C395" s="7">
        <f>IFERROR(_xludf.XLOOKUP(B395,MASTER_REGISTER!E:E,MASTER_REGISTER!F:F,""),"")</f>
        <v/>
      </c>
      <c r="D395" s="4">
        <f>IFERROR(_xludf.XLOOKUP(B395,MASTER_REGISTER!E:E,MASTER_REGISTER!C:C,""),"")</f>
        <v/>
      </c>
      <c r="H395" s="4" t="n"/>
    </row>
    <row r="396">
      <c r="C396" s="7">
        <f>IFERROR(_xludf.XLOOKUP(B396,MASTER_REGISTER!E:E,MASTER_REGISTER!F:F,""),"")</f>
        <v/>
      </c>
      <c r="D396" s="4">
        <f>IFERROR(_xludf.XLOOKUP(B396,MASTER_REGISTER!E:E,MASTER_REGISTER!C:C,""),"")</f>
        <v/>
      </c>
      <c r="H396" s="4" t="n"/>
    </row>
    <row r="397">
      <c r="C397" s="7">
        <f>IFERROR(_xludf.XLOOKUP(B397,MASTER_REGISTER!E:E,MASTER_REGISTER!F:F,""),"")</f>
        <v/>
      </c>
      <c r="D397" s="4">
        <f>IFERROR(_xludf.XLOOKUP(B397,MASTER_REGISTER!E:E,MASTER_REGISTER!C:C,""),"")</f>
        <v/>
      </c>
      <c r="H397" s="4" t="n"/>
    </row>
    <row r="398">
      <c r="C398" s="7">
        <f>IFERROR(_xludf.XLOOKUP(B398,MASTER_REGISTER!E:E,MASTER_REGISTER!F:F,""),"")</f>
        <v/>
      </c>
      <c r="D398" s="4">
        <f>IFERROR(_xludf.XLOOKUP(B398,MASTER_REGISTER!E:E,MASTER_REGISTER!C:C,""),"")</f>
        <v/>
      </c>
      <c r="H398" s="4" t="n"/>
    </row>
    <row r="399">
      <c r="C399" s="7">
        <f>IFERROR(_xludf.XLOOKUP(B399,MASTER_REGISTER!E:E,MASTER_REGISTER!F:F,""),"")</f>
        <v/>
      </c>
      <c r="D399" s="4">
        <f>IFERROR(_xludf.XLOOKUP(B399,MASTER_REGISTER!E:E,MASTER_REGISTER!C:C,""),"")</f>
        <v/>
      </c>
      <c r="H399" s="4" t="n"/>
    </row>
    <row r="400">
      <c r="C400" s="7">
        <f>IFERROR(_xludf.XLOOKUP(B400,MASTER_REGISTER!E:E,MASTER_REGISTER!F:F,""),"")</f>
        <v/>
      </c>
      <c r="D400" s="4">
        <f>IFERROR(_xludf.XLOOKUP(B400,MASTER_REGISTER!E:E,MASTER_REGISTER!C:C,""),"")</f>
        <v/>
      </c>
      <c r="H400" s="4" t="n"/>
    </row>
    <row r="401">
      <c r="C401" s="7">
        <f>IFERROR(_xludf.XLOOKUP(B401,MASTER_REGISTER!E:E,MASTER_REGISTER!F:F,""),"")</f>
        <v/>
      </c>
      <c r="D401" s="4">
        <f>IFERROR(_xludf.XLOOKUP(B401,MASTER_REGISTER!E:E,MASTER_REGISTER!C:C,""),"")</f>
        <v/>
      </c>
      <c r="H401" s="4" t="n"/>
    </row>
    <row r="402">
      <c r="C402" s="7">
        <f>IFERROR(_xludf.XLOOKUP(B402,MASTER_REGISTER!E:E,MASTER_REGISTER!F:F,""),"")</f>
        <v/>
      </c>
      <c r="D402" s="4">
        <f>IFERROR(_xludf.XLOOKUP(B402,MASTER_REGISTER!E:E,MASTER_REGISTER!C:C,""),"")</f>
        <v/>
      </c>
      <c r="H402" s="4" t="n"/>
    </row>
    <row r="403">
      <c r="C403" s="7">
        <f>IFERROR(_xludf.XLOOKUP(B403,MASTER_REGISTER!E:E,MASTER_REGISTER!F:F,""),"")</f>
        <v/>
      </c>
      <c r="D403" s="4">
        <f>IFERROR(_xludf.XLOOKUP(B403,MASTER_REGISTER!E:E,MASTER_REGISTER!C:C,""),"")</f>
        <v/>
      </c>
      <c r="H403" s="4" t="n"/>
    </row>
    <row r="404">
      <c r="C404" s="7">
        <f>IFERROR(_xludf.XLOOKUP(B404,MASTER_REGISTER!E:E,MASTER_REGISTER!F:F,""),"")</f>
        <v/>
      </c>
      <c r="D404" s="4">
        <f>IFERROR(_xludf.XLOOKUP(B404,MASTER_REGISTER!E:E,MASTER_REGISTER!C:C,""),"")</f>
        <v/>
      </c>
      <c r="H404" s="4" t="n"/>
    </row>
    <row r="405">
      <c r="C405" s="7">
        <f>IFERROR(_xludf.XLOOKUP(B405,MASTER_REGISTER!E:E,MASTER_REGISTER!F:F,""),"")</f>
        <v/>
      </c>
      <c r="D405" s="4">
        <f>IFERROR(_xludf.XLOOKUP(B405,MASTER_REGISTER!E:E,MASTER_REGISTER!C:C,""),"")</f>
        <v/>
      </c>
      <c r="H405" s="4" t="n"/>
    </row>
    <row r="406">
      <c r="C406" s="7">
        <f>IFERROR(_xludf.XLOOKUP(B406,MASTER_REGISTER!E:E,MASTER_REGISTER!F:F,""),"")</f>
        <v/>
      </c>
      <c r="D406" s="4">
        <f>IFERROR(_xludf.XLOOKUP(B406,MASTER_REGISTER!E:E,MASTER_REGISTER!C:C,""),"")</f>
        <v/>
      </c>
      <c r="H406" s="4" t="n"/>
    </row>
    <row r="407">
      <c r="C407" s="7">
        <f>IFERROR(_xludf.XLOOKUP(B407,MASTER_REGISTER!E:E,MASTER_REGISTER!F:F,""),"")</f>
        <v/>
      </c>
      <c r="D407" s="4">
        <f>IFERROR(_xludf.XLOOKUP(B407,MASTER_REGISTER!E:E,MASTER_REGISTER!C:C,""),"")</f>
        <v/>
      </c>
      <c r="H407" s="4" t="n"/>
    </row>
    <row r="408">
      <c r="C408" s="7">
        <f>IFERROR(_xludf.XLOOKUP(B408,MASTER_REGISTER!E:E,MASTER_REGISTER!F:F,""),"")</f>
        <v/>
      </c>
      <c r="D408" s="4">
        <f>IFERROR(_xludf.XLOOKUP(B408,MASTER_REGISTER!E:E,MASTER_REGISTER!C:C,""),"")</f>
        <v/>
      </c>
      <c r="H408" s="4" t="n"/>
    </row>
    <row r="409">
      <c r="C409" s="7">
        <f>IFERROR(_xludf.XLOOKUP(B409,MASTER_REGISTER!E:E,MASTER_REGISTER!F:F,""),"")</f>
        <v/>
      </c>
      <c r="D409" s="4">
        <f>IFERROR(_xludf.XLOOKUP(B409,MASTER_REGISTER!E:E,MASTER_REGISTER!C:C,""),"")</f>
        <v/>
      </c>
      <c r="H409" s="4" t="n"/>
    </row>
    <row r="410">
      <c r="C410" s="7">
        <f>IFERROR(_xludf.XLOOKUP(B410,MASTER_REGISTER!E:E,MASTER_REGISTER!F:F,""),"")</f>
        <v/>
      </c>
      <c r="D410" s="4">
        <f>IFERROR(_xludf.XLOOKUP(B410,MASTER_REGISTER!E:E,MASTER_REGISTER!C:C,""),"")</f>
        <v/>
      </c>
      <c r="H410" s="4" t="n"/>
    </row>
    <row r="411">
      <c r="C411" s="7">
        <f>IFERROR(_xludf.XLOOKUP(B411,MASTER_REGISTER!E:E,MASTER_REGISTER!F:F,""),"")</f>
        <v/>
      </c>
      <c r="D411" s="4">
        <f>IFERROR(_xludf.XLOOKUP(B411,MASTER_REGISTER!E:E,MASTER_REGISTER!C:C,""),"")</f>
        <v/>
      </c>
      <c r="H411" s="4" t="n"/>
    </row>
    <row r="412">
      <c r="C412" s="7">
        <f>IFERROR(_xludf.XLOOKUP(B412,MASTER_REGISTER!E:E,MASTER_REGISTER!F:F,""),"")</f>
        <v/>
      </c>
      <c r="D412" s="4">
        <f>IFERROR(_xludf.XLOOKUP(B412,MASTER_REGISTER!E:E,MASTER_REGISTER!C:C,""),"")</f>
        <v/>
      </c>
      <c r="H412" s="4" t="n"/>
    </row>
    <row r="413">
      <c r="C413" s="7">
        <f>IFERROR(_xludf.XLOOKUP(B413,MASTER_REGISTER!E:E,MASTER_REGISTER!F:F,""),"")</f>
        <v/>
      </c>
      <c r="D413" s="4">
        <f>IFERROR(_xludf.XLOOKUP(B413,MASTER_REGISTER!E:E,MASTER_REGISTER!C:C,""),"")</f>
        <v/>
      </c>
      <c r="H413" s="4" t="n"/>
    </row>
    <row r="414">
      <c r="C414" s="7">
        <f>IFERROR(_xludf.XLOOKUP(B414,MASTER_REGISTER!E:E,MASTER_REGISTER!F:F,""),"")</f>
        <v/>
      </c>
      <c r="D414" s="4">
        <f>IFERROR(_xludf.XLOOKUP(B414,MASTER_REGISTER!E:E,MASTER_REGISTER!C:C,""),"")</f>
        <v/>
      </c>
      <c r="H414" s="4" t="n"/>
    </row>
    <row r="415">
      <c r="C415" s="7">
        <f>IFERROR(_xludf.XLOOKUP(B415,MASTER_REGISTER!E:E,MASTER_REGISTER!F:F,""),"")</f>
        <v/>
      </c>
      <c r="D415" s="4">
        <f>IFERROR(_xludf.XLOOKUP(B415,MASTER_REGISTER!E:E,MASTER_REGISTER!C:C,""),"")</f>
        <v/>
      </c>
      <c r="H415" s="4" t="n"/>
    </row>
    <row r="416">
      <c r="C416" s="7">
        <f>IFERROR(_xludf.XLOOKUP(B416,MASTER_REGISTER!E:E,MASTER_REGISTER!F:F,""),"")</f>
        <v/>
      </c>
      <c r="D416" s="4">
        <f>IFERROR(_xludf.XLOOKUP(B416,MASTER_REGISTER!E:E,MASTER_REGISTER!C:C,""),"")</f>
        <v/>
      </c>
      <c r="H416" s="4" t="n"/>
    </row>
    <row r="417">
      <c r="C417" s="7">
        <f>IFERROR(_xludf.XLOOKUP(B417,MASTER_REGISTER!E:E,MASTER_REGISTER!F:F,""),"")</f>
        <v/>
      </c>
      <c r="D417" s="4">
        <f>IFERROR(_xludf.XLOOKUP(B417,MASTER_REGISTER!E:E,MASTER_REGISTER!C:C,""),"")</f>
        <v/>
      </c>
      <c r="H417" s="4" t="n"/>
    </row>
    <row r="418">
      <c r="C418" s="7">
        <f>IFERROR(_xludf.XLOOKUP(B418,MASTER_REGISTER!E:E,MASTER_REGISTER!F:F,""),"")</f>
        <v/>
      </c>
      <c r="D418" s="4">
        <f>IFERROR(_xludf.XLOOKUP(B418,MASTER_REGISTER!E:E,MASTER_REGISTER!C:C,""),"")</f>
        <v/>
      </c>
      <c r="H418" s="4" t="n"/>
    </row>
    <row r="419">
      <c r="C419" s="7">
        <f>IFERROR(_xludf.XLOOKUP(B419,MASTER_REGISTER!E:E,MASTER_REGISTER!F:F,""),"")</f>
        <v/>
      </c>
      <c r="D419" s="4">
        <f>IFERROR(_xludf.XLOOKUP(B419,MASTER_REGISTER!E:E,MASTER_REGISTER!C:C,""),"")</f>
        <v/>
      </c>
      <c r="H419" s="4" t="n"/>
    </row>
    <row r="420">
      <c r="C420" s="7">
        <f>IFERROR(_xludf.XLOOKUP(B420,MASTER_REGISTER!E:E,MASTER_REGISTER!F:F,""),"")</f>
        <v/>
      </c>
      <c r="D420" s="4">
        <f>IFERROR(_xludf.XLOOKUP(B420,MASTER_REGISTER!E:E,MASTER_REGISTER!C:C,""),"")</f>
        <v/>
      </c>
      <c r="H420" s="4" t="n"/>
    </row>
    <row r="421">
      <c r="C421" s="7">
        <f>IFERROR(_xludf.XLOOKUP(B421,MASTER_REGISTER!E:E,MASTER_REGISTER!F:F,""),"")</f>
        <v/>
      </c>
      <c r="D421" s="4">
        <f>IFERROR(_xludf.XLOOKUP(B421,MASTER_REGISTER!E:E,MASTER_REGISTER!C:C,""),"")</f>
        <v/>
      </c>
      <c r="H421" s="4" t="n"/>
    </row>
    <row r="422">
      <c r="C422" s="7">
        <f>IFERROR(_xludf.XLOOKUP(B422,MASTER_REGISTER!E:E,MASTER_REGISTER!F:F,""),"")</f>
        <v/>
      </c>
      <c r="D422" s="4">
        <f>IFERROR(_xludf.XLOOKUP(B422,MASTER_REGISTER!E:E,MASTER_REGISTER!C:C,""),"")</f>
        <v/>
      </c>
      <c r="H422" s="4" t="n"/>
    </row>
    <row r="423">
      <c r="C423" s="7">
        <f>IFERROR(_xludf.XLOOKUP(B423,MASTER_REGISTER!E:E,MASTER_REGISTER!F:F,""),"")</f>
        <v/>
      </c>
      <c r="D423" s="4">
        <f>IFERROR(_xludf.XLOOKUP(B423,MASTER_REGISTER!E:E,MASTER_REGISTER!C:C,""),"")</f>
        <v/>
      </c>
      <c r="H423" s="4" t="n"/>
    </row>
    <row r="424">
      <c r="C424" s="7">
        <f>IFERROR(_xludf.XLOOKUP(B424,MASTER_REGISTER!E:E,MASTER_REGISTER!F:F,""),"")</f>
        <v/>
      </c>
      <c r="D424" s="4">
        <f>IFERROR(_xludf.XLOOKUP(B424,MASTER_REGISTER!E:E,MASTER_REGISTER!C:C,""),"")</f>
        <v/>
      </c>
      <c r="H424" s="4" t="n"/>
    </row>
    <row r="425">
      <c r="C425" s="7">
        <f>IFERROR(_xludf.XLOOKUP(B425,MASTER_REGISTER!E:E,MASTER_REGISTER!F:F,""),"")</f>
        <v/>
      </c>
      <c r="D425" s="4">
        <f>IFERROR(_xludf.XLOOKUP(B425,MASTER_REGISTER!E:E,MASTER_REGISTER!C:C,""),"")</f>
        <v/>
      </c>
      <c r="H425" s="4" t="n"/>
    </row>
    <row r="426">
      <c r="C426" s="7">
        <f>IFERROR(_xludf.XLOOKUP(B426,MASTER_REGISTER!E:E,MASTER_REGISTER!F:F,""),"")</f>
        <v/>
      </c>
      <c r="D426" s="4">
        <f>IFERROR(_xludf.XLOOKUP(B426,MASTER_REGISTER!E:E,MASTER_REGISTER!C:C,""),"")</f>
        <v/>
      </c>
      <c r="H426" s="4" t="n"/>
    </row>
    <row r="427">
      <c r="C427" s="7">
        <f>IFERROR(_xludf.XLOOKUP(B427,MASTER_REGISTER!E:E,MASTER_REGISTER!F:F,""),"")</f>
        <v/>
      </c>
      <c r="D427" s="4">
        <f>IFERROR(_xludf.XLOOKUP(B427,MASTER_REGISTER!E:E,MASTER_REGISTER!C:C,""),"")</f>
        <v/>
      </c>
      <c r="H427" s="4" t="n"/>
    </row>
    <row r="428">
      <c r="C428" s="7">
        <f>IFERROR(_xludf.XLOOKUP(B428,MASTER_REGISTER!E:E,MASTER_REGISTER!F:F,""),"")</f>
        <v/>
      </c>
      <c r="D428" s="4">
        <f>IFERROR(_xludf.XLOOKUP(B428,MASTER_REGISTER!E:E,MASTER_REGISTER!C:C,""),"")</f>
        <v/>
      </c>
      <c r="H428" s="4" t="n"/>
    </row>
    <row r="429">
      <c r="C429" s="7">
        <f>IFERROR(_xludf.XLOOKUP(B429,MASTER_REGISTER!E:E,MASTER_REGISTER!F:F,""),"")</f>
        <v/>
      </c>
      <c r="D429" s="4">
        <f>IFERROR(_xludf.XLOOKUP(B429,MASTER_REGISTER!E:E,MASTER_REGISTER!C:C,""),"")</f>
        <v/>
      </c>
      <c r="H429" s="4" t="n"/>
    </row>
    <row r="430">
      <c r="C430" s="7">
        <f>IFERROR(_xludf.XLOOKUP(B430,MASTER_REGISTER!E:E,MASTER_REGISTER!F:F,""),"")</f>
        <v/>
      </c>
      <c r="D430" s="4">
        <f>IFERROR(_xludf.XLOOKUP(B430,MASTER_REGISTER!E:E,MASTER_REGISTER!C:C,""),"")</f>
        <v/>
      </c>
      <c r="H430" s="4" t="n"/>
    </row>
    <row r="431">
      <c r="C431" s="7">
        <f>IFERROR(_xludf.XLOOKUP(B431,MASTER_REGISTER!E:E,MASTER_REGISTER!F:F,""),"")</f>
        <v/>
      </c>
      <c r="D431" s="4">
        <f>IFERROR(_xludf.XLOOKUP(B431,MASTER_REGISTER!E:E,MASTER_REGISTER!C:C,""),"")</f>
        <v/>
      </c>
      <c r="H431" s="4" t="n"/>
    </row>
    <row r="432">
      <c r="C432" s="7">
        <f>IFERROR(_xludf.XLOOKUP(B432,MASTER_REGISTER!E:E,MASTER_REGISTER!F:F,""),"")</f>
        <v/>
      </c>
      <c r="D432" s="4">
        <f>IFERROR(_xludf.XLOOKUP(B432,MASTER_REGISTER!E:E,MASTER_REGISTER!C:C,""),"")</f>
        <v/>
      </c>
      <c r="H432" s="4" t="n"/>
    </row>
    <row r="433">
      <c r="C433" s="7">
        <f>IFERROR(_xludf.XLOOKUP(B433,MASTER_REGISTER!E:E,MASTER_REGISTER!F:F,""),"")</f>
        <v/>
      </c>
      <c r="D433" s="4">
        <f>IFERROR(_xludf.XLOOKUP(B433,MASTER_REGISTER!E:E,MASTER_REGISTER!C:C,""),"")</f>
        <v/>
      </c>
      <c r="H433" s="4" t="n"/>
    </row>
    <row r="434">
      <c r="C434" s="7">
        <f>IFERROR(_xludf.XLOOKUP(B434,MASTER_REGISTER!E:E,MASTER_REGISTER!F:F,""),"")</f>
        <v/>
      </c>
      <c r="D434" s="4">
        <f>IFERROR(_xludf.XLOOKUP(B434,MASTER_REGISTER!E:E,MASTER_REGISTER!C:C,""),"")</f>
        <v/>
      </c>
      <c r="H434" s="4" t="n"/>
    </row>
    <row r="435">
      <c r="C435" s="7">
        <f>IFERROR(_xludf.XLOOKUP(B435,MASTER_REGISTER!E:E,MASTER_REGISTER!F:F,""),"")</f>
        <v/>
      </c>
      <c r="D435" s="4">
        <f>IFERROR(_xludf.XLOOKUP(B435,MASTER_REGISTER!E:E,MASTER_REGISTER!C:C,""),"")</f>
        <v/>
      </c>
      <c r="H435" s="4" t="n"/>
    </row>
    <row r="436">
      <c r="C436" s="7">
        <f>IFERROR(_xludf.XLOOKUP(B436,MASTER_REGISTER!E:E,MASTER_REGISTER!F:F,""),"")</f>
        <v/>
      </c>
      <c r="D436" s="4">
        <f>IFERROR(_xludf.XLOOKUP(B436,MASTER_REGISTER!E:E,MASTER_REGISTER!C:C,""),"")</f>
        <v/>
      </c>
      <c r="H436" s="4" t="n"/>
    </row>
    <row r="437">
      <c r="C437" s="7">
        <f>IFERROR(_xludf.XLOOKUP(B437,MASTER_REGISTER!E:E,MASTER_REGISTER!F:F,""),"")</f>
        <v/>
      </c>
      <c r="D437" s="4">
        <f>IFERROR(_xludf.XLOOKUP(B437,MASTER_REGISTER!E:E,MASTER_REGISTER!C:C,""),"")</f>
        <v/>
      </c>
      <c r="H437" s="4" t="n"/>
    </row>
    <row r="438">
      <c r="C438" s="7">
        <f>IFERROR(_xludf.XLOOKUP(B438,MASTER_REGISTER!E:E,MASTER_REGISTER!F:F,""),"")</f>
        <v/>
      </c>
      <c r="D438" s="4">
        <f>IFERROR(_xludf.XLOOKUP(B438,MASTER_REGISTER!E:E,MASTER_REGISTER!C:C,""),"")</f>
        <v/>
      </c>
      <c r="H438" s="4" t="n"/>
    </row>
    <row r="439">
      <c r="C439" s="7">
        <f>IFERROR(_xludf.XLOOKUP(B439,MASTER_REGISTER!E:E,MASTER_REGISTER!F:F,""),"")</f>
        <v/>
      </c>
      <c r="D439" s="4">
        <f>IFERROR(_xludf.XLOOKUP(B439,MASTER_REGISTER!E:E,MASTER_REGISTER!C:C,""),"")</f>
        <v/>
      </c>
      <c r="H439" s="4" t="n"/>
    </row>
    <row r="440">
      <c r="C440" s="7">
        <f>IFERROR(_xludf.XLOOKUP(B440,MASTER_REGISTER!E:E,MASTER_REGISTER!F:F,""),"")</f>
        <v/>
      </c>
      <c r="D440" s="4">
        <f>IFERROR(_xludf.XLOOKUP(B440,MASTER_REGISTER!E:E,MASTER_REGISTER!C:C,""),"")</f>
        <v/>
      </c>
      <c r="H440" s="4" t="n"/>
    </row>
    <row r="441">
      <c r="C441" s="7">
        <f>IFERROR(_xludf.XLOOKUP(B441,MASTER_REGISTER!E:E,MASTER_REGISTER!F:F,""),"")</f>
        <v/>
      </c>
      <c r="D441" s="4">
        <f>IFERROR(_xludf.XLOOKUP(B441,MASTER_REGISTER!E:E,MASTER_REGISTER!C:C,""),"")</f>
        <v/>
      </c>
      <c r="H441" s="4" t="n"/>
    </row>
    <row r="442">
      <c r="C442" s="7">
        <f>IFERROR(_xludf.XLOOKUP(B442,MASTER_REGISTER!E:E,MASTER_REGISTER!F:F,""),"")</f>
        <v/>
      </c>
      <c r="D442" s="4">
        <f>IFERROR(_xludf.XLOOKUP(B442,MASTER_REGISTER!E:E,MASTER_REGISTER!C:C,""),"")</f>
        <v/>
      </c>
      <c r="H442" s="4" t="n"/>
    </row>
    <row r="443">
      <c r="C443" s="7">
        <f>IFERROR(_xludf.XLOOKUP(B443,MASTER_REGISTER!E:E,MASTER_REGISTER!F:F,""),"")</f>
        <v/>
      </c>
      <c r="D443" s="4">
        <f>IFERROR(_xludf.XLOOKUP(B443,MASTER_REGISTER!E:E,MASTER_REGISTER!C:C,""),"")</f>
        <v/>
      </c>
      <c r="H443" s="4" t="n"/>
    </row>
    <row r="444">
      <c r="C444" s="7">
        <f>IFERROR(_xludf.XLOOKUP(B444,MASTER_REGISTER!E:E,MASTER_REGISTER!F:F,""),"")</f>
        <v/>
      </c>
      <c r="D444" s="4">
        <f>IFERROR(_xludf.XLOOKUP(B444,MASTER_REGISTER!E:E,MASTER_REGISTER!C:C,""),"")</f>
        <v/>
      </c>
      <c r="H444" s="4" t="n"/>
    </row>
    <row r="445">
      <c r="C445" s="7">
        <f>IFERROR(_xludf.XLOOKUP(B445,MASTER_REGISTER!E:E,MASTER_REGISTER!F:F,""),"")</f>
        <v/>
      </c>
      <c r="D445" s="4">
        <f>IFERROR(_xludf.XLOOKUP(B445,MASTER_REGISTER!E:E,MASTER_REGISTER!C:C,""),"")</f>
        <v/>
      </c>
      <c r="H445" s="4" t="n"/>
    </row>
    <row r="446">
      <c r="C446" s="7">
        <f>IFERROR(_xludf.XLOOKUP(B446,MASTER_REGISTER!E:E,MASTER_REGISTER!F:F,""),"")</f>
        <v/>
      </c>
      <c r="D446" s="4">
        <f>IFERROR(_xludf.XLOOKUP(B446,MASTER_REGISTER!E:E,MASTER_REGISTER!C:C,""),"")</f>
        <v/>
      </c>
      <c r="H446" s="4" t="n"/>
    </row>
    <row r="447">
      <c r="C447" s="7">
        <f>IFERROR(_xludf.XLOOKUP(B447,MASTER_REGISTER!E:E,MASTER_REGISTER!F:F,""),"")</f>
        <v/>
      </c>
      <c r="D447" s="4">
        <f>IFERROR(_xludf.XLOOKUP(B447,MASTER_REGISTER!E:E,MASTER_REGISTER!C:C,""),"")</f>
        <v/>
      </c>
      <c r="H447" s="4" t="n"/>
    </row>
    <row r="448">
      <c r="C448" s="7">
        <f>IFERROR(_xludf.XLOOKUP(B448,MASTER_REGISTER!E:E,MASTER_REGISTER!F:F,""),"")</f>
        <v/>
      </c>
      <c r="D448" s="4">
        <f>IFERROR(_xludf.XLOOKUP(B448,MASTER_REGISTER!E:E,MASTER_REGISTER!C:C,""),"")</f>
        <v/>
      </c>
      <c r="H448" s="4" t="n"/>
    </row>
    <row r="449">
      <c r="C449" s="7">
        <f>IFERROR(_xludf.XLOOKUP(B449,MASTER_REGISTER!E:E,MASTER_REGISTER!F:F,""),"")</f>
        <v/>
      </c>
      <c r="D449" s="4">
        <f>IFERROR(_xludf.XLOOKUP(B449,MASTER_REGISTER!E:E,MASTER_REGISTER!C:C,""),"")</f>
        <v/>
      </c>
      <c r="H449" s="4" t="n"/>
    </row>
    <row r="450">
      <c r="C450" s="7">
        <f>IFERROR(_xludf.XLOOKUP(B450,MASTER_REGISTER!E:E,MASTER_REGISTER!F:F,""),"")</f>
        <v/>
      </c>
      <c r="D450" s="4">
        <f>IFERROR(_xludf.XLOOKUP(B450,MASTER_REGISTER!E:E,MASTER_REGISTER!C:C,""),"")</f>
        <v/>
      </c>
      <c r="H450" s="4" t="n"/>
    </row>
    <row r="451">
      <c r="C451" s="7">
        <f>IFERROR(_xludf.XLOOKUP(B451,MASTER_REGISTER!E:E,MASTER_REGISTER!F:F,""),"")</f>
        <v/>
      </c>
      <c r="D451" s="4">
        <f>IFERROR(_xludf.XLOOKUP(B451,MASTER_REGISTER!E:E,MASTER_REGISTER!C:C,""),"")</f>
        <v/>
      </c>
      <c r="H451" s="4" t="n"/>
    </row>
    <row r="452">
      <c r="C452" s="7">
        <f>IFERROR(_xludf.XLOOKUP(B452,MASTER_REGISTER!E:E,MASTER_REGISTER!F:F,""),"")</f>
        <v/>
      </c>
      <c r="D452" s="4">
        <f>IFERROR(_xludf.XLOOKUP(B452,MASTER_REGISTER!E:E,MASTER_REGISTER!C:C,""),"")</f>
        <v/>
      </c>
      <c r="H452" s="4" t="n"/>
    </row>
    <row r="453">
      <c r="C453" s="7">
        <f>IFERROR(_xludf.XLOOKUP(B453,MASTER_REGISTER!E:E,MASTER_REGISTER!F:F,""),"")</f>
        <v/>
      </c>
      <c r="D453" s="4">
        <f>IFERROR(_xludf.XLOOKUP(B453,MASTER_REGISTER!E:E,MASTER_REGISTER!C:C,""),"")</f>
        <v/>
      </c>
      <c r="H453" s="4" t="n"/>
    </row>
    <row r="454">
      <c r="C454" s="7">
        <f>IFERROR(_xludf.XLOOKUP(B454,MASTER_REGISTER!E:E,MASTER_REGISTER!F:F,""),"")</f>
        <v/>
      </c>
      <c r="D454" s="4">
        <f>IFERROR(_xludf.XLOOKUP(B454,MASTER_REGISTER!E:E,MASTER_REGISTER!C:C,""),"")</f>
        <v/>
      </c>
      <c r="H454" s="4" t="n"/>
    </row>
    <row r="455">
      <c r="C455" s="7">
        <f>IFERROR(_xludf.XLOOKUP(B455,MASTER_REGISTER!E:E,MASTER_REGISTER!F:F,""),"")</f>
        <v/>
      </c>
      <c r="D455" s="4">
        <f>IFERROR(_xludf.XLOOKUP(B455,MASTER_REGISTER!E:E,MASTER_REGISTER!C:C,""),"")</f>
        <v/>
      </c>
      <c r="H455" s="4" t="n"/>
    </row>
    <row r="456">
      <c r="C456" s="7">
        <f>IFERROR(_xludf.XLOOKUP(B456,MASTER_REGISTER!E:E,MASTER_REGISTER!F:F,""),"")</f>
        <v/>
      </c>
      <c r="D456" s="4">
        <f>IFERROR(_xludf.XLOOKUP(B456,MASTER_REGISTER!E:E,MASTER_REGISTER!C:C,""),"")</f>
        <v/>
      </c>
      <c r="H456" s="4" t="n"/>
    </row>
    <row r="457">
      <c r="C457" s="7">
        <f>IFERROR(_xludf.XLOOKUP(B457,MASTER_REGISTER!E:E,MASTER_REGISTER!F:F,""),"")</f>
        <v/>
      </c>
      <c r="D457" s="4">
        <f>IFERROR(_xludf.XLOOKUP(B457,MASTER_REGISTER!E:E,MASTER_REGISTER!C:C,""),"")</f>
        <v/>
      </c>
      <c r="H457" s="4" t="n"/>
    </row>
    <row r="458">
      <c r="C458" s="7">
        <f>IFERROR(_xludf.XLOOKUP(B458,MASTER_REGISTER!E:E,MASTER_REGISTER!F:F,""),"")</f>
        <v/>
      </c>
      <c r="D458" s="4">
        <f>IFERROR(_xludf.XLOOKUP(B458,MASTER_REGISTER!E:E,MASTER_REGISTER!C:C,""),"")</f>
        <v/>
      </c>
      <c r="H458" s="4" t="n"/>
    </row>
    <row r="459">
      <c r="C459" s="7">
        <f>IFERROR(_xludf.XLOOKUP(B459,MASTER_REGISTER!E:E,MASTER_REGISTER!F:F,""),"")</f>
        <v/>
      </c>
      <c r="D459" s="4">
        <f>IFERROR(_xludf.XLOOKUP(B459,MASTER_REGISTER!E:E,MASTER_REGISTER!C:C,""),"")</f>
        <v/>
      </c>
      <c r="H459" s="4" t="n"/>
    </row>
    <row r="460">
      <c r="C460" s="7">
        <f>IFERROR(_xludf.XLOOKUP(B460,MASTER_REGISTER!E:E,MASTER_REGISTER!F:F,""),"")</f>
        <v/>
      </c>
      <c r="D460" s="4">
        <f>IFERROR(_xludf.XLOOKUP(B460,MASTER_REGISTER!E:E,MASTER_REGISTER!C:C,""),"")</f>
        <v/>
      </c>
      <c r="H460" s="4" t="n"/>
    </row>
    <row r="461">
      <c r="C461" s="7">
        <f>IFERROR(_xludf.XLOOKUP(B461,MASTER_REGISTER!E:E,MASTER_REGISTER!F:F,""),"")</f>
        <v/>
      </c>
      <c r="D461" s="4">
        <f>IFERROR(_xludf.XLOOKUP(B461,MASTER_REGISTER!E:E,MASTER_REGISTER!C:C,""),"")</f>
        <v/>
      </c>
      <c r="H461" s="4" t="n"/>
    </row>
    <row r="462">
      <c r="C462" s="7">
        <f>IFERROR(_xludf.XLOOKUP(B462,MASTER_REGISTER!E:E,MASTER_REGISTER!F:F,""),"")</f>
        <v/>
      </c>
      <c r="D462" s="4">
        <f>IFERROR(_xludf.XLOOKUP(B462,MASTER_REGISTER!E:E,MASTER_REGISTER!C:C,""),"")</f>
        <v/>
      </c>
      <c r="H462" s="4" t="n"/>
    </row>
    <row r="463">
      <c r="C463" s="7">
        <f>IFERROR(_xludf.XLOOKUP(B463,MASTER_REGISTER!E:E,MASTER_REGISTER!F:F,""),"")</f>
        <v/>
      </c>
      <c r="D463" s="4">
        <f>IFERROR(_xludf.XLOOKUP(B463,MASTER_REGISTER!E:E,MASTER_REGISTER!C:C,""),"")</f>
        <v/>
      </c>
      <c r="H463" s="4" t="n"/>
    </row>
    <row r="464">
      <c r="C464" s="7">
        <f>IFERROR(_xludf.XLOOKUP(B464,MASTER_REGISTER!E:E,MASTER_REGISTER!F:F,""),"")</f>
        <v/>
      </c>
      <c r="D464" s="4">
        <f>IFERROR(_xludf.XLOOKUP(B464,MASTER_REGISTER!E:E,MASTER_REGISTER!C:C,""),"")</f>
        <v/>
      </c>
      <c r="H464" s="4" t="n"/>
    </row>
    <row r="465">
      <c r="C465" s="7">
        <f>IFERROR(_xludf.XLOOKUP(B465,MASTER_REGISTER!E:E,MASTER_REGISTER!F:F,""),"")</f>
        <v/>
      </c>
      <c r="D465" s="4">
        <f>IFERROR(_xludf.XLOOKUP(B465,MASTER_REGISTER!E:E,MASTER_REGISTER!C:C,""),"")</f>
        <v/>
      </c>
      <c r="H465" s="4" t="n"/>
    </row>
    <row r="466">
      <c r="C466" s="7">
        <f>IFERROR(_xludf.XLOOKUP(B466,MASTER_REGISTER!E:E,MASTER_REGISTER!F:F,""),"")</f>
        <v/>
      </c>
      <c r="D466" s="4">
        <f>IFERROR(_xludf.XLOOKUP(B466,MASTER_REGISTER!E:E,MASTER_REGISTER!C:C,""),"")</f>
        <v/>
      </c>
      <c r="H466" s="4" t="n"/>
    </row>
    <row r="467">
      <c r="C467" s="7">
        <f>IFERROR(_xludf.XLOOKUP(B467,MASTER_REGISTER!E:E,MASTER_REGISTER!F:F,""),"")</f>
        <v/>
      </c>
      <c r="D467" s="4">
        <f>IFERROR(_xludf.XLOOKUP(B467,MASTER_REGISTER!E:E,MASTER_REGISTER!C:C,""),"")</f>
        <v/>
      </c>
      <c r="H467" s="4" t="n"/>
    </row>
    <row r="468">
      <c r="C468" s="7">
        <f>IFERROR(_xludf.XLOOKUP(B468,MASTER_REGISTER!E:E,MASTER_REGISTER!F:F,""),"")</f>
        <v/>
      </c>
      <c r="D468" s="4">
        <f>IFERROR(_xludf.XLOOKUP(B468,MASTER_REGISTER!E:E,MASTER_REGISTER!C:C,""),"")</f>
        <v/>
      </c>
      <c r="H468" s="4" t="n"/>
    </row>
    <row r="469">
      <c r="C469" s="7">
        <f>IFERROR(_xludf.XLOOKUP(B469,MASTER_REGISTER!E:E,MASTER_REGISTER!F:F,""),"")</f>
        <v/>
      </c>
      <c r="D469" s="4">
        <f>IFERROR(_xludf.XLOOKUP(B469,MASTER_REGISTER!E:E,MASTER_REGISTER!C:C,""),"")</f>
        <v/>
      </c>
      <c r="H469" s="4" t="n"/>
    </row>
    <row r="470">
      <c r="C470" s="7">
        <f>IFERROR(_xludf.XLOOKUP(B470,MASTER_REGISTER!E:E,MASTER_REGISTER!F:F,""),"")</f>
        <v/>
      </c>
      <c r="D470" s="4">
        <f>IFERROR(_xludf.XLOOKUP(B470,MASTER_REGISTER!E:E,MASTER_REGISTER!C:C,""),"")</f>
        <v/>
      </c>
      <c r="H470" s="4" t="n"/>
    </row>
    <row r="471">
      <c r="C471" s="7">
        <f>IFERROR(_xludf.XLOOKUP(B471,MASTER_REGISTER!E:E,MASTER_REGISTER!F:F,""),"")</f>
        <v/>
      </c>
      <c r="D471" s="4">
        <f>IFERROR(_xludf.XLOOKUP(B471,MASTER_REGISTER!E:E,MASTER_REGISTER!C:C,""),"")</f>
        <v/>
      </c>
      <c r="H471" s="4" t="n"/>
    </row>
    <row r="472">
      <c r="C472" s="7">
        <f>IFERROR(_xludf.XLOOKUP(B472,MASTER_REGISTER!E:E,MASTER_REGISTER!F:F,""),"")</f>
        <v/>
      </c>
      <c r="D472" s="4">
        <f>IFERROR(_xludf.XLOOKUP(B472,MASTER_REGISTER!E:E,MASTER_REGISTER!C:C,""),"")</f>
        <v/>
      </c>
      <c r="H472" s="4" t="n"/>
    </row>
    <row r="473">
      <c r="C473" s="7">
        <f>IFERROR(_xludf.XLOOKUP(B473,MASTER_REGISTER!E:E,MASTER_REGISTER!F:F,""),"")</f>
        <v/>
      </c>
      <c r="D473" s="4">
        <f>IFERROR(_xludf.XLOOKUP(B473,MASTER_REGISTER!E:E,MASTER_REGISTER!C:C,""),"")</f>
        <v/>
      </c>
      <c r="H473" s="4" t="n"/>
    </row>
    <row r="474">
      <c r="C474" s="7">
        <f>IFERROR(_xludf.XLOOKUP(B474,MASTER_REGISTER!E:E,MASTER_REGISTER!F:F,""),"")</f>
        <v/>
      </c>
      <c r="D474" s="4">
        <f>IFERROR(_xludf.XLOOKUP(B474,MASTER_REGISTER!E:E,MASTER_REGISTER!C:C,""),"")</f>
        <v/>
      </c>
      <c r="H474" s="4" t="n"/>
    </row>
    <row r="475">
      <c r="C475" s="7">
        <f>IFERROR(_xludf.XLOOKUP(B475,MASTER_REGISTER!E:E,MASTER_REGISTER!F:F,""),"")</f>
        <v/>
      </c>
      <c r="D475" s="4">
        <f>IFERROR(_xludf.XLOOKUP(B475,MASTER_REGISTER!E:E,MASTER_REGISTER!C:C,""),"")</f>
        <v/>
      </c>
      <c r="H475" s="4" t="n"/>
    </row>
    <row r="476">
      <c r="C476" s="7">
        <f>IFERROR(_xludf.XLOOKUP(B476,MASTER_REGISTER!E:E,MASTER_REGISTER!F:F,""),"")</f>
        <v/>
      </c>
      <c r="D476" s="4">
        <f>IFERROR(_xludf.XLOOKUP(B476,MASTER_REGISTER!E:E,MASTER_REGISTER!C:C,""),"")</f>
        <v/>
      </c>
      <c r="H476" s="4" t="n"/>
    </row>
    <row r="477">
      <c r="C477" s="7">
        <f>IFERROR(_xludf.XLOOKUP(B477,MASTER_REGISTER!E:E,MASTER_REGISTER!F:F,""),"")</f>
        <v/>
      </c>
      <c r="D477" s="4">
        <f>IFERROR(_xludf.XLOOKUP(B477,MASTER_REGISTER!E:E,MASTER_REGISTER!C:C,""),"")</f>
        <v/>
      </c>
      <c r="H477" s="4" t="n"/>
    </row>
    <row r="478">
      <c r="C478" s="7">
        <f>IFERROR(_xludf.XLOOKUP(B478,MASTER_REGISTER!E:E,MASTER_REGISTER!F:F,""),"")</f>
        <v/>
      </c>
      <c r="D478" s="4">
        <f>IFERROR(_xludf.XLOOKUP(B478,MASTER_REGISTER!E:E,MASTER_REGISTER!C:C,""),"")</f>
        <v/>
      </c>
      <c r="H478" s="4" t="n"/>
    </row>
    <row r="479">
      <c r="C479" s="7">
        <f>IFERROR(_xludf.XLOOKUP(B479,MASTER_REGISTER!E:E,MASTER_REGISTER!F:F,""),"")</f>
        <v/>
      </c>
      <c r="D479" s="4">
        <f>IFERROR(_xludf.XLOOKUP(B479,MASTER_REGISTER!E:E,MASTER_REGISTER!C:C,""),"")</f>
        <v/>
      </c>
      <c r="H479" s="4" t="n"/>
    </row>
    <row r="480">
      <c r="C480" s="7">
        <f>IFERROR(_xludf.XLOOKUP(B480,MASTER_REGISTER!E:E,MASTER_REGISTER!F:F,""),"")</f>
        <v/>
      </c>
      <c r="D480" s="4">
        <f>IFERROR(_xludf.XLOOKUP(B480,MASTER_REGISTER!E:E,MASTER_REGISTER!C:C,""),"")</f>
        <v/>
      </c>
      <c r="H480" s="4" t="n"/>
    </row>
    <row r="481">
      <c r="C481" s="7">
        <f>IFERROR(_xludf.XLOOKUP(B481,MASTER_REGISTER!E:E,MASTER_REGISTER!F:F,""),"")</f>
        <v/>
      </c>
      <c r="D481" s="4">
        <f>IFERROR(_xludf.XLOOKUP(B481,MASTER_REGISTER!E:E,MASTER_REGISTER!C:C,""),"")</f>
        <v/>
      </c>
      <c r="H481" s="4" t="n"/>
    </row>
    <row r="482">
      <c r="C482" s="7">
        <f>IFERROR(_xludf.XLOOKUP(B482,MASTER_REGISTER!E:E,MASTER_REGISTER!F:F,""),"")</f>
        <v/>
      </c>
      <c r="D482" s="4">
        <f>IFERROR(_xludf.XLOOKUP(B482,MASTER_REGISTER!E:E,MASTER_REGISTER!C:C,""),"")</f>
        <v/>
      </c>
      <c r="H482" s="4" t="n"/>
    </row>
    <row r="483">
      <c r="C483" s="7">
        <f>IFERROR(_xludf.XLOOKUP(B483,MASTER_REGISTER!E:E,MASTER_REGISTER!F:F,""),"")</f>
        <v/>
      </c>
      <c r="D483" s="4">
        <f>IFERROR(_xludf.XLOOKUP(B483,MASTER_REGISTER!E:E,MASTER_REGISTER!C:C,""),"")</f>
        <v/>
      </c>
      <c r="H483" s="4" t="n"/>
    </row>
    <row r="484">
      <c r="C484" s="7">
        <f>IFERROR(_xludf.XLOOKUP(B484,MASTER_REGISTER!E:E,MASTER_REGISTER!F:F,""),"")</f>
        <v/>
      </c>
      <c r="D484" s="4">
        <f>IFERROR(_xludf.XLOOKUP(B484,MASTER_REGISTER!E:E,MASTER_REGISTER!C:C,""),"")</f>
        <v/>
      </c>
      <c r="H484" s="4" t="n"/>
    </row>
    <row r="485">
      <c r="C485" s="7">
        <f>IFERROR(_xludf.XLOOKUP(B485,MASTER_REGISTER!E:E,MASTER_REGISTER!F:F,""),"")</f>
        <v/>
      </c>
      <c r="D485" s="4">
        <f>IFERROR(_xludf.XLOOKUP(B485,MASTER_REGISTER!E:E,MASTER_REGISTER!C:C,""),"")</f>
        <v/>
      </c>
      <c r="H485" s="4" t="n"/>
    </row>
    <row r="486">
      <c r="C486" s="7">
        <f>IFERROR(_xludf.XLOOKUP(B486,MASTER_REGISTER!E:E,MASTER_REGISTER!F:F,""),"")</f>
        <v/>
      </c>
      <c r="D486" s="4">
        <f>IFERROR(_xludf.XLOOKUP(B486,MASTER_REGISTER!E:E,MASTER_REGISTER!C:C,""),"")</f>
        <v/>
      </c>
      <c r="H486" s="4" t="n"/>
    </row>
    <row r="487">
      <c r="C487" s="7">
        <f>IFERROR(_xludf.XLOOKUP(B487,MASTER_REGISTER!E:E,MASTER_REGISTER!F:F,""),"")</f>
        <v/>
      </c>
      <c r="D487" s="4">
        <f>IFERROR(_xludf.XLOOKUP(B487,MASTER_REGISTER!E:E,MASTER_REGISTER!C:C,""),"")</f>
        <v/>
      </c>
      <c r="H487" s="4" t="n"/>
    </row>
    <row r="488">
      <c r="C488" s="7">
        <f>IFERROR(_xludf.XLOOKUP(B488,MASTER_REGISTER!E:E,MASTER_REGISTER!F:F,""),"")</f>
        <v/>
      </c>
      <c r="D488" s="4">
        <f>IFERROR(_xludf.XLOOKUP(B488,MASTER_REGISTER!E:E,MASTER_REGISTER!C:C,""),"")</f>
        <v/>
      </c>
      <c r="H488" s="4" t="n"/>
    </row>
    <row r="489">
      <c r="C489" s="7">
        <f>IFERROR(_xludf.XLOOKUP(B489,MASTER_REGISTER!E:E,MASTER_REGISTER!F:F,""),"")</f>
        <v/>
      </c>
      <c r="D489" s="4">
        <f>IFERROR(_xludf.XLOOKUP(B489,MASTER_REGISTER!E:E,MASTER_REGISTER!C:C,""),"")</f>
        <v/>
      </c>
      <c r="H489" s="4" t="n"/>
    </row>
    <row r="490">
      <c r="C490" s="7">
        <f>IFERROR(_xludf.XLOOKUP(B490,MASTER_REGISTER!E:E,MASTER_REGISTER!F:F,""),"")</f>
        <v/>
      </c>
      <c r="D490" s="4">
        <f>IFERROR(_xludf.XLOOKUP(B490,MASTER_REGISTER!E:E,MASTER_REGISTER!C:C,""),"")</f>
        <v/>
      </c>
      <c r="H490" s="4" t="n"/>
    </row>
    <row r="491">
      <c r="C491" s="7">
        <f>IFERROR(_xludf.XLOOKUP(B491,MASTER_REGISTER!E:E,MASTER_REGISTER!F:F,""),"")</f>
        <v/>
      </c>
      <c r="D491" s="4">
        <f>IFERROR(_xludf.XLOOKUP(B491,MASTER_REGISTER!E:E,MASTER_REGISTER!C:C,""),"")</f>
        <v/>
      </c>
      <c r="H491" s="4" t="n"/>
    </row>
    <row r="492">
      <c r="C492" s="7">
        <f>IFERROR(_xludf.XLOOKUP(B492,MASTER_REGISTER!E:E,MASTER_REGISTER!F:F,""),"")</f>
        <v/>
      </c>
      <c r="D492" s="4">
        <f>IFERROR(_xludf.XLOOKUP(B492,MASTER_REGISTER!E:E,MASTER_REGISTER!C:C,""),"")</f>
        <v/>
      </c>
      <c r="H492" s="4" t="n"/>
    </row>
    <row r="493">
      <c r="C493" s="7">
        <f>IFERROR(_xludf.XLOOKUP(B493,MASTER_REGISTER!E:E,MASTER_REGISTER!F:F,""),"")</f>
        <v/>
      </c>
      <c r="D493" s="4">
        <f>IFERROR(_xludf.XLOOKUP(B493,MASTER_REGISTER!E:E,MASTER_REGISTER!C:C,""),"")</f>
        <v/>
      </c>
      <c r="H493" s="4" t="n"/>
    </row>
    <row r="494">
      <c r="C494" s="7">
        <f>IFERROR(_xludf.XLOOKUP(B494,MASTER_REGISTER!E:E,MASTER_REGISTER!F:F,""),"")</f>
        <v/>
      </c>
      <c r="D494" s="4">
        <f>IFERROR(_xludf.XLOOKUP(B494,MASTER_REGISTER!E:E,MASTER_REGISTER!C:C,""),"")</f>
        <v/>
      </c>
      <c r="H494" s="4" t="n"/>
    </row>
    <row r="495">
      <c r="C495" s="7">
        <f>IFERROR(_xludf.XLOOKUP(B495,MASTER_REGISTER!E:E,MASTER_REGISTER!F:F,""),"")</f>
        <v/>
      </c>
      <c r="D495" s="4">
        <f>IFERROR(_xludf.XLOOKUP(B495,MASTER_REGISTER!E:E,MASTER_REGISTER!C:C,""),"")</f>
        <v/>
      </c>
      <c r="H495" s="4" t="n"/>
    </row>
    <row r="496">
      <c r="C496" s="7">
        <f>IFERROR(_xludf.XLOOKUP(B496,MASTER_REGISTER!E:E,MASTER_REGISTER!F:F,""),"")</f>
        <v/>
      </c>
      <c r="D496" s="4">
        <f>IFERROR(_xludf.XLOOKUP(B496,MASTER_REGISTER!E:E,MASTER_REGISTER!C:C,""),"")</f>
        <v/>
      </c>
      <c r="H496" s="4" t="n"/>
    </row>
    <row r="497">
      <c r="C497" s="7">
        <f>IFERROR(_xludf.XLOOKUP(B497,MASTER_REGISTER!E:E,MASTER_REGISTER!F:F,""),"")</f>
        <v/>
      </c>
      <c r="D497" s="4">
        <f>IFERROR(_xludf.XLOOKUP(B497,MASTER_REGISTER!E:E,MASTER_REGISTER!C:C,""),"")</f>
        <v/>
      </c>
      <c r="H497" s="4" t="n"/>
    </row>
    <row r="498">
      <c r="C498" s="7">
        <f>IFERROR(_xludf.XLOOKUP(B498,MASTER_REGISTER!E:E,MASTER_REGISTER!F:F,""),"")</f>
        <v/>
      </c>
      <c r="D498" s="4">
        <f>IFERROR(_xludf.XLOOKUP(B498,MASTER_REGISTER!E:E,MASTER_REGISTER!C:C,""),"")</f>
        <v/>
      </c>
      <c r="H498" s="4" t="n"/>
    </row>
    <row r="499">
      <c r="C499" s="7">
        <f>IFERROR(_xludf.XLOOKUP(B499,MASTER_REGISTER!E:E,MASTER_REGISTER!F:F,""),"")</f>
        <v/>
      </c>
      <c r="D499" s="4">
        <f>IFERROR(_xludf.XLOOKUP(B499,MASTER_REGISTER!E:E,MASTER_REGISTER!C:C,""),"")</f>
        <v/>
      </c>
      <c r="H499" s="4" t="n"/>
    </row>
    <row r="500">
      <c r="C500" s="7">
        <f>IFERROR(_xludf.XLOOKUP(B500,MASTER_REGISTER!E:E,MASTER_REGISTER!F:F,""),"")</f>
        <v/>
      </c>
      <c r="D500" s="4">
        <f>IFERROR(_xludf.XLOOKUP(B500,MASTER_REGISTER!E:E,MASTER_REGISTER!C:C,""),"")</f>
        <v/>
      </c>
      <c r="H500" s="4" t="n"/>
    </row>
    <row r="501">
      <c r="C501" s="7">
        <f>IFERROR(_xludf.XLOOKUP(B501,MASTER_REGISTER!E:E,MASTER_REGISTER!F:F,""),"")</f>
        <v/>
      </c>
      <c r="D501" s="4">
        <f>IFERROR(_xludf.XLOOKUP(B501,MASTER_REGISTER!E:E,MASTER_REGISTER!C:C,""),"")</f>
        <v/>
      </c>
      <c r="H501" s="4" t="n"/>
    </row>
  </sheetData>
  <dataValidations count="3">
    <dataValidation sqref="E2:E5000" showDropDown="0" showInputMessage="0" showErrorMessage="0" allowBlank="0" type="list">
      <formula1>"Mathematics,Mathematical Literacy,Physical Sciences,Geography,Accounting,Natural Sciences &amp; Technology,EMS,English"</formula1>
    </dataValidation>
    <dataValidation sqref="F2:F5000" showDropDown="0" showInputMessage="0" showErrorMessage="0" allowBlank="0" type="list">
      <formula1>"Class Test,Homework,Quiz,Assignment,Exam Prep,Diagnostic,Other"</formula1>
    </dataValidation>
    <dataValidation sqref="H2:H5000" showDropDown="0" showInputMessage="0" showErrorMessage="0" allowBlank="0" type="decimal">
      <formula1>0</formula1>
      <formula2>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style="10" min="1" max="1"/>
    <col width="26" customWidth="1" style="10" min="2" max="2"/>
    <col width="10" customWidth="1" style="10" min="3" max="3"/>
    <col width="18" customWidth="1" style="10" min="4" max="4"/>
    <col width="16" customWidth="1" style="10" min="5" max="5"/>
    <col width="12" customWidth="1" style="10" min="6" max="7"/>
    <col width="18" customWidth="1" style="10" min="8" max="8"/>
    <col width="14" customWidth="1" style="10" min="9" max="10"/>
    <col width="12" customWidth="1" style="10" min="11" max="11"/>
    <col width="16" customWidth="1" style="10" min="12" max="13"/>
  </cols>
  <sheetData>
    <row r="1" ht="28.8" customHeight="1" s="10">
      <c r="A1" s="12" t="inlineStr">
        <is>
          <t>Student Number</t>
        </is>
      </c>
      <c r="B1" s="12" t="inlineStr">
        <is>
          <t>Learner Name</t>
        </is>
      </c>
      <c r="C1" s="12" t="inlineStr">
        <is>
          <t>Grade</t>
        </is>
      </c>
      <c r="D1" s="12" t="inlineStr">
        <is>
          <t>Assessments Logged</t>
        </is>
      </c>
      <c r="E1" s="12" t="inlineStr">
        <is>
          <t>Average Score (%)</t>
        </is>
      </c>
      <c r="F1" s="12" t="inlineStr">
        <is>
          <t>Math Avg</t>
        </is>
      </c>
      <c r="G1" s="12" t="inlineStr">
        <is>
          <t>Math Lit Avg</t>
        </is>
      </c>
      <c r="H1" s="12" t="inlineStr">
        <is>
          <t>Physical Sciences Avg</t>
        </is>
      </c>
      <c r="I1" s="12" t="inlineStr">
        <is>
          <t>Geography Avg</t>
        </is>
      </c>
      <c r="J1" s="12" t="inlineStr">
        <is>
          <t>Accounting Avg</t>
        </is>
      </c>
      <c r="K1" s="12" t="inlineStr">
        <is>
          <t>English Avg</t>
        </is>
      </c>
      <c r="L1" s="12" t="inlineStr">
        <is>
          <t>Attendance % (auto)</t>
        </is>
      </c>
      <c r="M1" s="12" t="inlineStr">
        <is>
          <t>Progress Flag</t>
        </is>
      </c>
    </row>
    <row r="2">
      <c r="A2">
        <f>IF(MASTER_REGISTER!E2="","",MASTER_REGISTER!E2)</f>
        <v/>
      </c>
      <c r="B2">
        <f>IF(A2="","",MASTER_REGISTER!F2)</f>
        <v/>
      </c>
      <c r="C2">
        <f>IF(A2="","",MASTER_REGISTER!C2)</f>
        <v/>
      </c>
      <c r="D2">
        <f>IF(A2="","",COUNTIF(ASSESSMENTS!B:B,A2))</f>
        <v/>
      </c>
      <c r="E2" s="4">
        <f>IF(D2=0,"",ROUND(AVERAGEIF(ASSESSMENTS!B:B,A2,ASSESSMENTS!H:H),1))</f>
        <v/>
      </c>
      <c r="F2" s="4">
        <f>IF(A2="","",IFERROR(ROUND(AVERAGEIFS(ASSESSMENTS!H:H,ASSESSMENTS!B:B,A2,ASSESSMENTS!E:E,"Mathematics"),1),""))</f>
        <v/>
      </c>
      <c r="G2" s="4">
        <f>IF(A2="","",IFERROR(ROUND(AVERAGEIFS(ASSESSMENTS!H:H,ASSESSMENTS!B:B,A2,ASSESSMENTS!E:E,"Mathematical Literacy"),1),""))</f>
        <v/>
      </c>
      <c r="H2" s="4">
        <f>IF(A2="","",IFERROR(ROUND(AVERAGEIFS(ASSESSMENTS!H:H,ASSESSMENTS!B:B,A2,ASSESSMENTS!E:E,"Physical Sciences"),1),""))</f>
        <v/>
      </c>
      <c r="I2" s="4">
        <f>IF(A2="","",IFERROR(ROUND(AVERAGEIFS(ASSESSMENTS!H:H,ASSESSMENTS!B:B,A2,ASSESSMENTS!E:E,"Geography"),1),""))</f>
        <v/>
      </c>
      <c r="J2" s="4">
        <f>IF(A2="","",IFERROR(ROUND(AVERAGEIFS(ASSESSMENTS!H:H,ASSESSMENTS!B:B,A2,ASSESSMENTS!E:E,"Accounting"),1),""))</f>
        <v/>
      </c>
      <c r="K2" s="4">
        <f>IF(A2="","",IFERROR(ROUND(AVERAGEIFS(ASSESSMENTS!H:H,ASSESSMENTS!B:B,A2,ASSESSMENTS!E:E,"English"),1),""))</f>
        <v/>
      </c>
      <c r="L2" s="5">
        <f>IF(A2="","",IFERROR(_xludf.XLOOKUP(A2,ATTENDANCE_SUMMARY!A:A,ATTENDANCE_SUMMARY!G:G,""),""))</f>
        <v/>
      </c>
      <c r="M2" s="4">
        <f>IF(A2="","",IF(OR(E2&lt;50,AND(L2&lt;0.75,L2&lt;&gt;"" )),"At Risk","On Track"))</f>
        <v/>
      </c>
    </row>
    <row r="3">
      <c r="A3">
        <f>IF(MASTER_REGISTER!E3="","",MASTER_REGISTER!E3)</f>
        <v/>
      </c>
      <c r="B3">
        <f>IF(A3="","",MASTER_REGISTER!F3)</f>
        <v/>
      </c>
      <c r="C3">
        <f>IF(A3="","",MASTER_REGISTER!C3)</f>
        <v/>
      </c>
      <c r="D3">
        <f>IF(A3="","",COUNTIF(ASSESSMENTS!B:B,A3))</f>
        <v/>
      </c>
      <c r="E3" s="4">
        <f>IF(D3=0,"",ROUND(AVERAGEIF(ASSESSMENTS!B:B,A3,ASSESSMENTS!H:H),1))</f>
        <v/>
      </c>
      <c r="F3" s="4">
        <f>IF(A3="","",IFERROR(ROUND(AVERAGEIFS(ASSESSMENTS!H:H,ASSESSMENTS!B:B,A3,ASSESSMENTS!E:E,"Mathematics"),1),""))</f>
        <v/>
      </c>
      <c r="G3" s="4">
        <f>IF(A3="","",IFERROR(ROUND(AVERAGEIFS(ASSESSMENTS!H:H,ASSESSMENTS!B:B,A3,ASSESSMENTS!E:E,"Mathematical Literacy"),1),""))</f>
        <v/>
      </c>
      <c r="H3" s="4">
        <f>IF(A3="","",IFERROR(ROUND(AVERAGEIFS(ASSESSMENTS!H:H,ASSESSMENTS!B:B,A3,ASSESSMENTS!E:E,"Physical Sciences"),1),""))</f>
        <v/>
      </c>
      <c r="I3" s="4">
        <f>IF(A3="","",IFERROR(ROUND(AVERAGEIFS(ASSESSMENTS!H:H,ASSESSMENTS!B:B,A3,ASSESSMENTS!E:E,"Geography"),1),""))</f>
        <v/>
      </c>
      <c r="J3" s="4">
        <f>IF(A3="","",IFERROR(ROUND(AVERAGEIFS(ASSESSMENTS!H:H,ASSESSMENTS!B:B,A3,ASSESSMENTS!E:E,"Accounting"),1),""))</f>
        <v/>
      </c>
      <c r="K3" s="4">
        <f>IF(A3="","",IFERROR(ROUND(AVERAGEIFS(ASSESSMENTS!H:H,ASSESSMENTS!B:B,A3,ASSESSMENTS!E:E,"English"),1),""))</f>
        <v/>
      </c>
      <c r="L3" s="5">
        <f>IF(A3="","",IFERROR(_xludf.XLOOKUP(A3,ATTENDANCE_SUMMARY!A:A,ATTENDANCE_SUMMARY!G:G,""),""))</f>
        <v/>
      </c>
      <c r="M3" s="4">
        <f>IF(A3="","",IF(OR(E3&lt;50,AND(L3&lt;0.75,L3&lt;&gt;"" )),"At Risk","On Track"))</f>
        <v/>
      </c>
    </row>
    <row r="4">
      <c r="A4">
        <f>IF(MASTER_REGISTER!E4="","",MASTER_REGISTER!E4)</f>
        <v/>
      </c>
      <c r="B4">
        <f>IF(A4="","",MASTER_REGISTER!F4)</f>
        <v/>
      </c>
      <c r="C4">
        <f>IF(A4="","",MASTER_REGISTER!C4)</f>
        <v/>
      </c>
      <c r="D4">
        <f>IF(A4="","",COUNTIF(ASSESSMENTS!B:B,A4))</f>
        <v/>
      </c>
      <c r="E4" s="4">
        <f>IF(D4=0,"",ROUND(AVERAGEIF(ASSESSMENTS!B:B,A4,ASSESSMENTS!H:H),1))</f>
        <v/>
      </c>
      <c r="F4" s="4">
        <f>IF(A4="","",IFERROR(ROUND(AVERAGEIFS(ASSESSMENTS!H:H,ASSESSMENTS!B:B,A4,ASSESSMENTS!E:E,"Mathematics"),1),""))</f>
        <v/>
      </c>
      <c r="G4" s="4">
        <f>IF(A4="","",IFERROR(ROUND(AVERAGEIFS(ASSESSMENTS!H:H,ASSESSMENTS!B:B,A4,ASSESSMENTS!E:E,"Mathematical Literacy"),1),""))</f>
        <v/>
      </c>
      <c r="H4" s="4">
        <f>IF(A4="","",IFERROR(ROUND(AVERAGEIFS(ASSESSMENTS!H:H,ASSESSMENTS!B:B,A4,ASSESSMENTS!E:E,"Physical Sciences"),1),""))</f>
        <v/>
      </c>
      <c r="I4" s="4">
        <f>IF(A4="","",IFERROR(ROUND(AVERAGEIFS(ASSESSMENTS!H:H,ASSESSMENTS!B:B,A4,ASSESSMENTS!E:E,"Geography"),1),""))</f>
        <v/>
      </c>
      <c r="J4" s="4">
        <f>IF(A4="","",IFERROR(ROUND(AVERAGEIFS(ASSESSMENTS!H:H,ASSESSMENTS!B:B,A4,ASSESSMENTS!E:E,"Accounting"),1),""))</f>
        <v/>
      </c>
      <c r="K4" s="4">
        <f>IF(A4="","",IFERROR(ROUND(AVERAGEIFS(ASSESSMENTS!H:H,ASSESSMENTS!B:B,A4,ASSESSMENTS!E:E,"English"),1),""))</f>
        <v/>
      </c>
      <c r="L4" s="5">
        <f>IF(A4="","",IFERROR(_xludf.XLOOKUP(A4,ATTENDANCE_SUMMARY!A:A,ATTENDANCE_SUMMARY!G:G,""),""))</f>
        <v/>
      </c>
      <c r="M4" s="4">
        <f>IF(A4="","",IF(OR(E4&lt;50,AND(L4&lt;0.75,L4&lt;&gt;"" )),"At Risk","On Track"))</f>
        <v/>
      </c>
    </row>
    <row r="5">
      <c r="A5">
        <f>IF(MASTER_REGISTER!E5="","",MASTER_REGISTER!E5)</f>
        <v/>
      </c>
      <c r="B5">
        <f>IF(A5="","",MASTER_REGISTER!F5)</f>
        <v/>
      </c>
      <c r="C5">
        <f>IF(A5="","",MASTER_REGISTER!C5)</f>
        <v/>
      </c>
      <c r="D5">
        <f>IF(A5="","",COUNTIF(ASSESSMENTS!B:B,A5))</f>
        <v/>
      </c>
      <c r="E5" s="4">
        <f>IF(D5=0,"",ROUND(AVERAGEIF(ASSESSMENTS!B:B,A5,ASSESSMENTS!H:H),1))</f>
        <v/>
      </c>
      <c r="F5" s="4">
        <f>IF(A5="","",IFERROR(ROUND(AVERAGEIFS(ASSESSMENTS!H:H,ASSESSMENTS!B:B,A5,ASSESSMENTS!E:E,"Mathematics"),1),""))</f>
        <v/>
      </c>
      <c r="G5" s="4">
        <f>IF(A5="","",IFERROR(ROUND(AVERAGEIFS(ASSESSMENTS!H:H,ASSESSMENTS!B:B,A5,ASSESSMENTS!E:E,"Mathematical Literacy"),1),""))</f>
        <v/>
      </c>
      <c r="H5" s="4">
        <f>IF(A5="","",IFERROR(ROUND(AVERAGEIFS(ASSESSMENTS!H:H,ASSESSMENTS!B:B,A5,ASSESSMENTS!E:E,"Physical Sciences"),1),""))</f>
        <v/>
      </c>
      <c r="I5" s="4">
        <f>IF(A5="","",IFERROR(ROUND(AVERAGEIFS(ASSESSMENTS!H:H,ASSESSMENTS!B:B,A5,ASSESSMENTS!E:E,"Geography"),1),""))</f>
        <v/>
      </c>
      <c r="J5" s="4">
        <f>IF(A5="","",IFERROR(ROUND(AVERAGEIFS(ASSESSMENTS!H:H,ASSESSMENTS!B:B,A5,ASSESSMENTS!E:E,"Accounting"),1),""))</f>
        <v/>
      </c>
      <c r="K5" s="4">
        <f>IF(A5="","",IFERROR(ROUND(AVERAGEIFS(ASSESSMENTS!H:H,ASSESSMENTS!B:B,A5,ASSESSMENTS!E:E,"English"),1),""))</f>
        <v/>
      </c>
      <c r="L5" s="5">
        <f>IF(A5="","",IFERROR(_xludf.XLOOKUP(A5,ATTENDANCE_SUMMARY!A:A,ATTENDANCE_SUMMARY!G:G,""),""))</f>
        <v/>
      </c>
      <c r="M5" s="4">
        <f>IF(A5="","",IF(OR(E5&lt;50,AND(L5&lt;0.75,L5&lt;&gt;"" )),"At Risk","On Track"))</f>
        <v/>
      </c>
    </row>
    <row r="6">
      <c r="A6">
        <f>IF(MASTER_REGISTER!E6="","",MASTER_REGISTER!E6)</f>
        <v/>
      </c>
      <c r="B6">
        <f>IF(A6="","",MASTER_REGISTER!F6)</f>
        <v/>
      </c>
      <c r="C6">
        <f>IF(A6="","",MASTER_REGISTER!C6)</f>
        <v/>
      </c>
      <c r="D6">
        <f>IF(A6="","",COUNTIF(ASSESSMENTS!B:B,A6))</f>
        <v/>
      </c>
      <c r="E6" s="4">
        <f>IF(D6=0,"",ROUND(AVERAGEIF(ASSESSMENTS!B:B,A6,ASSESSMENTS!H:H),1))</f>
        <v/>
      </c>
      <c r="F6" s="4">
        <f>IF(A6="","",IFERROR(ROUND(AVERAGEIFS(ASSESSMENTS!H:H,ASSESSMENTS!B:B,A6,ASSESSMENTS!E:E,"Mathematics"),1),""))</f>
        <v/>
      </c>
      <c r="G6" s="4">
        <f>IF(A6="","",IFERROR(ROUND(AVERAGEIFS(ASSESSMENTS!H:H,ASSESSMENTS!B:B,A6,ASSESSMENTS!E:E,"Mathematical Literacy"),1),""))</f>
        <v/>
      </c>
      <c r="H6" s="4">
        <f>IF(A6="","",IFERROR(ROUND(AVERAGEIFS(ASSESSMENTS!H:H,ASSESSMENTS!B:B,A6,ASSESSMENTS!E:E,"Physical Sciences"),1),""))</f>
        <v/>
      </c>
      <c r="I6" s="4">
        <f>IF(A6="","",IFERROR(ROUND(AVERAGEIFS(ASSESSMENTS!H:H,ASSESSMENTS!B:B,A6,ASSESSMENTS!E:E,"Geography"),1),""))</f>
        <v/>
      </c>
      <c r="J6" s="4">
        <f>IF(A6="","",IFERROR(ROUND(AVERAGEIFS(ASSESSMENTS!H:H,ASSESSMENTS!B:B,A6,ASSESSMENTS!E:E,"Accounting"),1),""))</f>
        <v/>
      </c>
      <c r="K6" s="4">
        <f>IF(A6="","",IFERROR(ROUND(AVERAGEIFS(ASSESSMENTS!H:H,ASSESSMENTS!B:B,A6,ASSESSMENTS!E:E,"English"),1),""))</f>
        <v/>
      </c>
      <c r="L6" s="5">
        <f>IF(A6="","",IFERROR(_xludf.XLOOKUP(A6,ATTENDANCE_SUMMARY!A:A,ATTENDANCE_SUMMARY!G:G,""),""))</f>
        <v/>
      </c>
      <c r="M6" s="4">
        <f>IF(A6="","",IF(OR(E6&lt;50,AND(L6&lt;0.75,L6&lt;&gt;"" )),"At Risk","On Track"))</f>
        <v/>
      </c>
    </row>
    <row r="7">
      <c r="A7">
        <f>IF(MASTER_REGISTER!E7="","",MASTER_REGISTER!E7)</f>
        <v/>
      </c>
      <c r="B7">
        <f>IF(A7="","",MASTER_REGISTER!F7)</f>
        <v/>
      </c>
      <c r="C7">
        <f>IF(A7="","",MASTER_REGISTER!C7)</f>
        <v/>
      </c>
      <c r="D7">
        <f>IF(A7="","",COUNTIF(ASSESSMENTS!B:B,A7))</f>
        <v/>
      </c>
      <c r="E7" s="4">
        <f>IF(D7=0,"",ROUND(AVERAGEIF(ASSESSMENTS!B:B,A7,ASSESSMENTS!H:H),1))</f>
        <v/>
      </c>
      <c r="F7" s="4">
        <f>IF(A7="","",IFERROR(ROUND(AVERAGEIFS(ASSESSMENTS!H:H,ASSESSMENTS!B:B,A7,ASSESSMENTS!E:E,"Mathematics"),1),""))</f>
        <v/>
      </c>
      <c r="G7" s="4">
        <f>IF(A7="","",IFERROR(ROUND(AVERAGEIFS(ASSESSMENTS!H:H,ASSESSMENTS!B:B,A7,ASSESSMENTS!E:E,"Mathematical Literacy"),1),""))</f>
        <v/>
      </c>
      <c r="H7" s="4">
        <f>IF(A7="","",IFERROR(ROUND(AVERAGEIFS(ASSESSMENTS!H:H,ASSESSMENTS!B:B,A7,ASSESSMENTS!E:E,"Physical Sciences"),1),""))</f>
        <v/>
      </c>
      <c r="I7" s="4">
        <f>IF(A7="","",IFERROR(ROUND(AVERAGEIFS(ASSESSMENTS!H:H,ASSESSMENTS!B:B,A7,ASSESSMENTS!E:E,"Geography"),1),""))</f>
        <v/>
      </c>
      <c r="J7" s="4">
        <f>IF(A7="","",IFERROR(ROUND(AVERAGEIFS(ASSESSMENTS!H:H,ASSESSMENTS!B:B,A7,ASSESSMENTS!E:E,"Accounting"),1),""))</f>
        <v/>
      </c>
      <c r="K7" s="4">
        <f>IF(A7="","",IFERROR(ROUND(AVERAGEIFS(ASSESSMENTS!H:H,ASSESSMENTS!B:B,A7,ASSESSMENTS!E:E,"English"),1),""))</f>
        <v/>
      </c>
      <c r="L7" s="5">
        <f>IF(A7="","",IFERROR(_xludf.XLOOKUP(A7,ATTENDANCE_SUMMARY!A:A,ATTENDANCE_SUMMARY!G:G,""),""))</f>
        <v/>
      </c>
      <c r="M7" s="4">
        <f>IF(A7="","",IF(OR(E7&lt;50,AND(L7&lt;0.75,L7&lt;&gt;"" )),"At Risk","On Track"))</f>
        <v/>
      </c>
    </row>
    <row r="8">
      <c r="A8">
        <f>IF(MASTER_REGISTER!E8="","",MASTER_REGISTER!E8)</f>
        <v/>
      </c>
      <c r="B8">
        <f>IF(A8="","",MASTER_REGISTER!F8)</f>
        <v/>
      </c>
      <c r="C8">
        <f>IF(A8="","",MASTER_REGISTER!C8)</f>
        <v/>
      </c>
      <c r="D8">
        <f>IF(A8="","",COUNTIF(ASSESSMENTS!B:B,A8))</f>
        <v/>
      </c>
      <c r="E8" s="4">
        <f>IF(D8=0,"",ROUND(AVERAGEIF(ASSESSMENTS!B:B,A8,ASSESSMENTS!H:H),1))</f>
        <v/>
      </c>
      <c r="F8" s="4">
        <f>IF(A8="","",IFERROR(ROUND(AVERAGEIFS(ASSESSMENTS!H:H,ASSESSMENTS!B:B,A8,ASSESSMENTS!E:E,"Mathematics"),1),""))</f>
        <v/>
      </c>
      <c r="G8" s="4">
        <f>IF(A8="","",IFERROR(ROUND(AVERAGEIFS(ASSESSMENTS!H:H,ASSESSMENTS!B:B,A8,ASSESSMENTS!E:E,"Mathematical Literacy"),1),""))</f>
        <v/>
      </c>
      <c r="H8" s="4">
        <f>IF(A8="","",IFERROR(ROUND(AVERAGEIFS(ASSESSMENTS!H:H,ASSESSMENTS!B:B,A8,ASSESSMENTS!E:E,"Physical Sciences"),1),""))</f>
        <v/>
      </c>
      <c r="I8" s="4">
        <f>IF(A8="","",IFERROR(ROUND(AVERAGEIFS(ASSESSMENTS!H:H,ASSESSMENTS!B:B,A8,ASSESSMENTS!E:E,"Geography"),1),""))</f>
        <v/>
      </c>
      <c r="J8" s="4">
        <f>IF(A8="","",IFERROR(ROUND(AVERAGEIFS(ASSESSMENTS!H:H,ASSESSMENTS!B:B,A8,ASSESSMENTS!E:E,"Accounting"),1),""))</f>
        <v/>
      </c>
      <c r="K8" s="4">
        <f>IF(A8="","",IFERROR(ROUND(AVERAGEIFS(ASSESSMENTS!H:H,ASSESSMENTS!B:B,A8,ASSESSMENTS!E:E,"English"),1),""))</f>
        <v/>
      </c>
      <c r="L8" s="5">
        <f>IF(A8="","",IFERROR(_xludf.XLOOKUP(A8,ATTENDANCE_SUMMARY!A:A,ATTENDANCE_SUMMARY!G:G,""),""))</f>
        <v/>
      </c>
      <c r="M8" s="4">
        <f>IF(A8="","",IF(OR(E8&lt;50,AND(L8&lt;0.75,L8&lt;&gt;"" )),"At Risk","On Track"))</f>
        <v/>
      </c>
    </row>
    <row r="9">
      <c r="A9">
        <f>IF(MASTER_REGISTER!E9="","",MASTER_REGISTER!E9)</f>
        <v/>
      </c>
      <c r="B9">
        <f>IF(A9="","",MASTER_REGISTER!F9)</f>
        <v/>
      </c>
      <c r="C9">
        <f>IF(A9="","",MASTER_REGISTER!C9)</f>
        <v/>
      </c>
      <c r="D9">
        <f>IF(A9="","",COUNTIF(ASSESSMENTS!B:B,A9))</f>
        <v/>
      </c>
      <c r="E9" s="4">
        <f>IF(D9=0,"",ROUND(AVERAGEIF(ASSESSMENTS!B:B,A9,ASSESSMENTS!H:H),1))</f>
        <v/>
      </c>
      <c r="F9" s="4">
        <f>IF(A9="","",IFERROR(ROUND(AVERAGEIFS(ASSESSMENTS!H:H,ASSESSMENTS!B:B,A9,ASSESSMENTS!E:E,"Mathematics"),1),""))</f>
        <v/>
      </c>
      <c r="G9" s="4">
        <f>IF(A9="","",IFERROR(ROUND(AVERAGEIFS(ASSESSMENTS!H:H,ASSESSMENTS!B:B,A9,ASSESSMENTS!E:E,"Mathematical Literacy"),1),""))</f>
        <v/>
      </c>
      <c r="H9" s="4">
        <f>IF(A9="","",IFERROR(ROUND(AVERAGEIFS(ASSESSMENTS!H:H,ASSESSMENTS!B:B,A9,ASSESSMENTS!E:E,"Physical Sciences"),1),""))</f>
        <v/>
      </c>
      <c r="I9" s="4">
        <f>IF(A9="","",IFERROR(ROUND(AVERAGEIFS(ASSESSMENTS!H:H,ASSESSMENTS!B:B,A9,ASSESSMENTS!E:E,"Geography"),1),""))</f>
        <v/>
      </c>
      <c r="J9" s="4">
        <f>IF(A9="","",IFERROR(ROUND(AVERAGEIFS(ASSESSMENTS!H:H,ASSESSMENTS!B:B,A9,ASSESSMENTS!E:E,"Accounting"),1),""))</f>
        <v/>
      </c>
      <c r="K9" s="4">
        <f>IF(A9="","",IFERROR(ROUND(AVERAGEIFS(ASSESSMENTS!H:H,ASSESSMENTS!B:B,A9,ASSESSMENTS!E:E,"English"),1),""))</f>
        <v/>
      </c>
      <c r="L9" s="5">
        <f>IF(A9="","",IFERROR(_xludf.XLOOKUP(A9,ATTENDANCE_SUMMARY!A:A,ATTENDANCE_SUMMARY!G:G,""),""))</f>
        <v/>
      </c>
      <c r="M9" s="4">
        <f>IF(A9="","",IF(OR(E9&lt;50,AND(L9&lt;0.75,L9&lt;&gt;"" )),"At Risk","On Track"))</f>
        <v/>
      </c>
    </row>
    <row r="10">
      <c r="A10">
        <f>IF(MASTER_REGISTER!E10="","",MASTER_REGISTER!E10)</f>
        <v/>
      </c>
      <c r="B10">
        <f>IF(A10="","",MASTER_REGISTER!F10)</f>
        <v/>
      </c>
      <c r="C10">
        <f>IF(A10="","",MASTER_REGISTER!C10)</f>
        <v/>
      </c>
      <c r="D10">
        <f>IF(A10="","",COUNTIF(ASSESSMENTS!B:B,A10))</f>
        <v/>
      </c>
      <c r="E10" s="4">
        <f>IF(D10=0,"",ROUND(AVERAGEIF(ASSESSMENTS!B:B,A10,ASSESSMENTS!H:H),1))</f>
        <v/>
      </c>
      <c r="F10" s="4">
        <f>IF(A10="","",IFERROR(ROUND(AVERAGEIFS(ASSESSMENTS!H:H,ASSESSMENTS!B:B,A10,ASSESSMENTS!E:E,"Mathematics"),1),""))</f>
        <v/>
      </c>
      <c r="G10" s="4">
        <f>IF(A10="","",IFERROR(ROUND(AVERAGEIFS(ASSESSMENTS!H:H,ASSESSMENTS!B:B,A10,ASSESSMENTS!E:E,"Mathematical Literacy"),1),""))</f>
        <v/>
      </c>
      <c r="H10" s="4">
        <f>IF(A10="","",IFERROR(ROUND(AVERAGEIFS(ASSESSMENTS!H:H,ASSESSMENTS!B:B,A10,ASSESSMENTS!E:E,"Physical Sciences"),1),""))</f>
        <v/>
      </c>
      <c r="I10" s="4">
        <f>IF(A10="","",IFERROR(ROUND(AVERAGEIFS(ASSESSMENTS!H:H,ASSESSMENTS!B:B,A10,ASSESSMENTS!E:E,"Geography"),1),""))</f>
        <v/>
      </c>
      <c r="J10" s="4">
        <f>IF(A10="","",IFERROR(ROUND(AVERAGEIFS(ASSESSMENTS!H:H,ASSESSMENTS!B:B,A10,ASSESSMENTS!E:E,"Accounting"),1),""))</f>
        <v/>
      </c>
      <c r="K10" s="4">
        <f>IF(A10="","",IFERROR(ROUND(AVERAGEIFS(ASSESSMENTS!H:H,ASSESSMENTS!B:B,A10,ASSESSMENTS!E:E,"English"),1),""))</f>
        <v/>
      </c>
      <c r="L10" s="5">
        <f>IF(A10="","",IFERROR(_xludf.XLOOKUP(A10,ATTENDANCE_SUMMARY!A:A,ATTENDANCE_SUMMARY!G:G,""),""))</f>
        <v/>
      </c>
      <c r="M10" s="4">
        <f>IF(A10="","",IF(OR(E10&lt;50,AND(L10&lt;0.75,L10&lt;&gt;"" )),"At Risk","On Track"))</f>
        <v/>
      </c>
    </row>
    <row r="11">
      <c r="A11">
        <f>IF(MASTER_REGISTER!E11="","",MASTER_REGISTER!E11)</f>
        <v/>
      </c>
      <c r="B11">
        <f>IF(A11="","",MASTER_REGISTER!F11)</f>
        <v/>
      </c>
      <c r="C11">
        <f>IF(A11="","",MASTER_REGISTER!C11)</f>
        <v/>
      </c>
      <c r="D11">
        <f>IF(A11="","",COUNTIF(ASSESSMENTS!B:B,A11))</f>
        <v/>
      </c>
      <c r="E11" s="4">
        <f>IF(D11=0,"",ROUND(AVERAGEIF(ASSESSMENTS!B:B,A11,ASSESSMENTS!H:H),1))</f>
        <v/>
      </c>
      <c r="F11" s="4">
        <f>IF(A11="","",IFERROR(ROUND(AVERAGEIFS(ASSESSMENTS!H:H,ASSESSMENTS!B:B,A11,ASSESSMENTS!E:E,"Mathematics"),1),""))</f>
        <v/>
      </c>
      <c r="G11" s="4">
        <f>IF(A11="","",IFERROR(ROUND(AVERAGEIFS(ASSESSMENTS!H:H,ASSESSMENTS!B:B,A11,ASSESSMENTS!E:E,"Mathematical Literacy"),1),""))</f>
        <v/>
      </c>
      <c r="H11" s="4">
        <f>IF(A11="","",IFERROR(ROUND(AVERAGEIFS(ASSESSMENTS!H:H,ASSESSMENTS!B:B,A11,ASSESSMENTS!E:E,"Physical Sciences"),1),""))</f>
        <v/>
      </c>
      <c r="I11" s="4">
        <f>IF(A11="","",IFERROR(ROUND(AVERAGEIFS(ASSESSMENTS!H:H,ASSESSMENTS!B:B,A11,ASSESSMENTS!E:E,"Geography"),1),""))</f>
        <v/>
      </c>
      <c r="J11" s="4">
        <f>IF(A11="","",IFERROR(ROUND(AVERAGEIFS(ASSESSMENTS!H:H,ASSESSMENTS!B:B,A11,ASSESSMENTS!E:E,"Accounting"),1),""))</f>
        <v/>
      </c>
      <c r="K11" s="4">
        <f>IF(A11="","",IFERROR(ROUND(AVERAGEIFS(ASSESSMENTS!H:H,ASSESSMENTS!B:B,A11,ASSESSMENTS!E:E,"English"),1),""))</f>
        <v/>
      </c>
      <c r="L11" s="5">
        <f>IF(A11="","",IFERROR(_xludf.XLOOKUP(A11,ATTENDANCE_SUMMARY!A:A,ATTENDANCE_SUMMARY!G:G,""),""))</f>
        <v/>
      </c>
      <c r="M11" s="4">
        <f>IF(A11="","",IF(OR(E11&lt;50,AND(L11&lt;0.75,L11&lt;&gt;"" )),"At Risk","On Track"))</f>
        <v/>
      </c>
    </row>
    <row r="12">
      <c r="A12">
        <f>IF(MASTER_REGISTER!E12="","",MASTER_REGISTER!E12)</f>
        <v/>
      </c>
      <c r="B12">
        <f>IF(A12="","",MASTER_REGISTER!F12)</f>
        <v/>
      </c>
      <c r="C12">
        <f>IF(A12="","",MASTER_REGISTER!C12)</f>
        <v/>
      </c>
      <c r="D12">
        <f>IF(A12="","",COUNTIF(ASSESSMENTS!B:B,A12))</f>
        <v/>
      </c>
      <c r="E12" s="4">
        <f>IF(D12=0,"",ROUND(AVERAGEIF(ASSESSMENTS!B:B,A12,ASSESSMENTS!H:H),1))</f>
        <v/>
      </c>
      <c r="F12" s="4">
        <f>IF(A12="","",IFERROR(ROUND(AVERAGEIFS(ASSESSMENTS!H:H,ASSESSMENTS!B:B,A12,ASSESSMENTS!E:E,"Mathematics"),1),""))</f>
        <v/>
      </c>
      <c r="G12" s="4">
        <f>IF(A12="","",IFERROR(ROUND(AVERAGEIFS(ASSESSMENTS!H:H,ASSESSMENTS!B:B,A12,ASSESSMENTS!E:E,"Mathematical Literacy"),1),""))</f>
        <v/>
      </c>
      <c r="H12" s="4">
        <f>IF(A12="","",IFERROR(ROUND(AVERAGEIFS(ASSESSMENTS!H:H,ASSESSMENTS!B:B,A12,ASSESSMENTS!E:E,"Physical Sciences"),1),""))</f>
        <v/>
      </c>
      <c r="I12" s="4">
        <f>IF(A12="","",IFERROR(ROUND(AVERAGEIFS(ASSESSMENTS!H:H,ASSESSMENTS!B:B,A12,ASSESSMENTS!E:E,"Geography"),1),""))</f>
        <v/>
      </c>
      <c r="J12" s="4">
        <f>IF(A12="","",IFERROR(ROUND(AVERAGEIFS(ASSESSMENTS!H:H,ASSESSMENTS!B:B,A12,ASSESSMENTS!E:E,"Accounting"),1),""))</f>
        <v/>
      </c>
      <c r="K12" s="4">
        <f>IF(A12="","",IFERROR(ROUND(AVERAGEIFS(ASSESSMENTS!H:H,ASSESSMENTS!B:B,A12,ASSESSMENTS!E:E,"English"),1),""))</f>
        <v/>
      </c>
      <c r="L12" s="5">
        <f>IF(A12="","",IFERROR(_xludf.XLOOKUP(A12,ATTENDANCE_SUMMARY!A:A,ATTENDANCE_SUMMARY!G:G,""),""))</f>
        <v/>
      </c>
      <c r="M12" s="4">
        <f>IF(A12="","",IF(OR(E12&lt;50,AND(L12&lt;0.75,L12&lt;&gt;"" )),"At Risk","On Track"))</f>
        <v/>
      </c>
    </row>
    <row r="13">
      <c r="A13">
        <f>IF(MASTER_REGISTER!E13="","",MASTER_REGISTER!E13)</f>
        <v/>
      </c>
      <c r="B13">
        <f>IF(A13="","",MASTER_REGISTER!F13)</f>
        <v/>
      </c>
      <c r="C13">
        <f>IF(A13="","",MASTER_REGISTER!C13)</f>
        <v/>
      </c>
      <c r="D13">
        <f>IF(A13="","",COUNTIF(ASSESSMENTS!B:B,A13))</f>
        <v/>
      </c>
      <c r="E13" s="4">
        <f>IF(D13=0,"",ROUND(AVERAGEIF(ASSESSMENTS!B:B,A13,ASSESSMENTS!H:H),1))</f>
        <v/>
      </c>
      <c r="F13" s="4">
        <f>IF(A13="","",IFERROR(ROUND(AVERAGEIFS(ASSESSMENTS!H:H,ASSESSMENTS!B:B,A13,ASSESSMENTS!E:E,"Mathematics"),1),""))</f>
        <v/>
      </c>
      <c r="G13" s="4">
        <f>IF(A13="","",IFERROR(ROUND(AVERAGEIFS(ASSESSMENTS!H:H,ASSESSMENTS!B:B,A13,ASSESSMENTS!E:E,"Mathematical Literacy"),1),""))</f>
        <v/>
      </c>
      <c r="H13" s="4">
        <f>IF(A13="","",IFERROR(ROUND(AVERAGEIFS(ASSESSMENTS!H:H,ASSESSMENTS!B:B,A13,ASSESSMENTS!E:E,"Physical Sciences"),1),""))</f>
        <v/>
      </c>
      <c r="I13" s="4">
        <f>IF(A13="","",IFERROR(ROUND(AVERAGEIFS(ASSESSMENTS!H:H,ASSESSMENTS!B:B,A13,ASSESSMENTS!E:E,"Geography"),1),""))</f>
        <v/>
      </c>
      <c r="J13" s="4">
        <f>IF(A13="","",IFERROR(ROUND(AVERAGEIFS(ASSESSMENTS!H:H,ASSESSMENTS!B:B,A13,ASSESSMENTS!E:E,"Accounting"),1),""))</f>
        <v/>
      </c>
      <c r="K13" s="4">
        <f>IF(A13="","",IFERROR(ROUND(AVERAGEIFS(ASSESSMENTS!H:H,ASSESSMENTS!B:B,A13,ASSESSMENTS!E:E,"English"),1),""))</f>
        <v/>
      </c>
      <c r="L13" s="5">
        <f>IF(A13="","",IFERROR(_xludf.XLOOKUP(A13,ATTENDANCE_SUMMARY!A:A,ATTENDANCE_SUMMARY!G:G,""),""))</f>
        <v/>
      </c>
      <c r="M13" s="4">
        <f>IF(A13="","",IF(OR(E13&lt;50,AND(L13&lt;0.75,L13&lt;&gt;"" )),"At Risk","On Track"))</f>
        <v/>
      </c>
    </row>
    <row r="14">
      <c r="A14">
        <f>IF(MASTER_REGISTER!E14="","",MASTER_REGISTER!E14)</f>
        <v/>
      </c>
      <c r="B14">
        <f>IF(A14="","",MASTER_REGISTER!F14)</f>
        <v/>
      </c>
      <c r="C14">
        <f>IF(A14="","",MASTER_REGISTER!C14)</f>
        <v/>
      </c>
      <c r="D14">
        <f>IF(A14="","",COUNTIF(ASSESSMENTS!B:B,A14))</f>
        <v/>
      </c>
      <c r="E14" s="4">
        <f>IF(D14=0,"",ROUND(AVERAGEIF(ASSESSMENTS!B:B,A14,ASSESSMENTS!H:H),1))</f>
        <v/>
      </c>
      <c r="F14" s="4">
        <f>IF(A14="","",IFERROR(ROUND(AVERAGEIFS(ASSESSMENTS!H:H,ASSESSMENTS!B:B,A14,ASSESSMENTS!E:E,"Mathematics"),1),""))</f>
        <v/>
      </c>
      <c r="G14" s="4">
        <f>IF(A14="","",IFERROR(ROUND(AVERAGEIFS(ASSESSMENTS!H:H,ASSESSMENTS!B:B,A14,ASSESSMENTS!E:E,"Mathematical Literacy"),1),""))</f>
        <v/>
      </c>
      <c r="H14" s="4">
        <f>IF(A14="","",IFERROR(ROUND(AVERAGEIFS(ASSESSMENTS!H:H,ASSESSMENTS!B:B,A14,ASSESSMENTS!E:E,"Physical Sciences"),1),""))</f>
        <v/>
      </c>
      <c r="I14" s="4">
        <f>IF(A14="","",IFERROR(ROUND(AVERAGEIFS(ASSESSMENTS!H:H,ASSESSMENTS!B:B,A14,ASSESSMENTS!E:E,"Geography"),1),""))</f>
        <v/>
      </c>
      <c r="J14" s="4">
        <f>IF(A14="","",IFERROR(ROUND(AVERAGEIFS(ASSESSMENTS!H:H,ASSESSMENTS!B:B,A14,ASSESSMENTS!E:E,"Accounting"),1),""))</f>
        <v/>
      </c>
      <c r="K14" s="4">
        <f>IF(A14="","",IFERROR(ROUND(AVERAGEIFS(ASSESSMENTS!H:H,ASSESSMENTS!B:B,A14,ASSESSMENTS!E:E,"English"),1),""))</f>
        <v/>
      </c>
      <c r="L14" s="5">
        <f>IF(A14="","",IFERROR(_xludf.XLOOKUP(A14,ATTENDANCE_SUMMARY!A:A,ATTENDANCE_SUMMARY!G:G,""),""))</f>
        <v/>
      </c>
      <c r="M14" s="4">
        <f>IF(A14="","",IF(OR(E14&lt;50,AND(L14&lt;0.75,L14&lt;&gt;"" )),"At Risk","On Track"))</f>
        <v/>
      </c>
    </row>
    <row r="15">
      <c r="A15">
        <f>IF(MASTER_REGISTER!E15="","",MASTER_REGISTER!E15)</f>
        <v/>
      </c>
      <c r="B15">
        <f>IF(A15="","",MASTER_REGISTER!F15)</f>
        <v/>
      </c>
      <c r="C15">
        <f>IF(A15="","",MASTER_REGISTER!C15)</f>
        <v/>
      </c>
      <c r="D15">
        <f>IF(A15="","",COUNTIF(ASSESSMENTS!B:B,A15))</f>
        <v/>
      </c>
      <c r="E15" s="4">
        <f>IF(D15=0,"",ROUND(AVERAGEIF(ASSESSMENTS!B:B,A15,ASSESSMENTS!H:H),1))</f>
        <v/>
      </c>
      <c r="F15" s="4">
        <f>IF(A15="","",IFERROR(ROUND(AVERAGEIFS(ASSESSMENTS!H:H,ASSESSMENTS!B:B,A15,ASSESSMENTS!E:E,"Mathematics"),1),""))</f>
        <v/>
      </c>
      <c r="G15" s="4">
        <f>IF(A15="","",IFERROR(ROUND(AVERAGEIFS(ASSESSMENTS!H:H,ASSESSMENTS!B:B,A15,ASSESSMENTS!E:E,"Mathematical Literacy"),1),""))</f>
        <v/>
      </c>
      <c r="H15" s="4">
        <f>IF(A15="","",IFERROR(ROUND(AVERAGEIFS(ASSESSMENTS!H:H,ASSESSMENTS!B:B,A15,ASSESSMENTS!E:E,"Physical Sciences"),1),""))</f>
        <v/>
      </c>
      <c r="I15" s="4">
        <f>IF(A15="","",IFERROR(ROUND(AVERAGEIFS(ASSESSMENTS!H:H,ASSESSMENTS!B:B,A15,ASSESSMENTS!E:E,"Geography"),1),""))</f>
        <v/>
      </c>
      <c r="J15" s="4">
        <f>IF(A15="","",IFERROR(ROUND(AVERAGEIFS(ASSESSMENTS!H:H,ASSESSMENTS!B:B,A15,ASSESSMENTS!E:E,"Accounting"),1),""))</f>
        <v/>
      </c>
      <c r="K15" s="4">
        <f>IF(A15="","",IFERROR(ROUND(AVERAGEIFS(ASSESSMENTS!H:H,ASSESSMENTS!B:B,A15,ASSESSMENTS!E:E,"English"),1),""))</f>
        <v/>
      </c>
      <c r="L15" s="5">
        <f>IF(A15="","",IFERROR(_xludf.XLOOKUP(A15,ATTENDANCE_SUMMARY!A:A,ATTENDANCE_SUMMARY!G:G,""),""))</f>
        <v/>
      </c>
      <c r="M15" s="4">
        <f>IF(A15="","",IF(OR(E15&lt;50,AND(L15&lt;0.75,L15&lt;&gt;"" )),"At Risk","On Track"))</f>
        <v/>
      </c>
    </row>
    <row r="16">
      <c r="A16">
        <f>IF(MASTER_REGISTER!E16="","",MASTER_REGISTER!E16)</f>
        <v/>
      </c>
      <c r="B16">
        <f>IF(A16="","",MASTER_REGISTER!F16)</f>
        <v/>
      </c>
      <c r="C16">
        <f>IF(A16="","",MASTER_REGISTER!C16)</f>
        <v/>
      </c>
      <c r="D16">
        <f>IF(A16="","",COUNTIF(ASSESSMENTS!B:B,A16))</f>
        <v/>
      </c>
      <c r="E16" s="4">
        <f>IF(D16=0,"",ROUND(AVERAGEIF(ASSESSMENTS!B:B,A16,ASSESSMENTS!H:H),1))</f>
        <v/>
      </c>
      <c r="F16" s="4">
        <f>IF(A16="","",IFERROR(ROUND(AVERAGEIFS(ASSESSMENTS!H:H,ASSESSMENTS!B:B,A16,ASSESSMENTS!E:E,"Mathematics"),1),""))</f>
        <v/>
      </c>
      <c r="G16" s="4">
        <f>IF(A16="","",IFERROR(ROUND(AVERAGEIFS(ASSESSMENTS!H:H,ASSESSMENTS!B:B,A16,ASSESSMENTS!E:E,"Mathematical Literacy"),1),""))</f>
        <v/>
      </c>
      <c r="H16" s="4">
        <f>IF(A16="","",IFERROR(ROUND(AVERAGEIFS(ASSESSMENTS!H:H,ASSESSMENTS!B:B,A16,ASSESSMENTS!E:E,"Physical Sciences"),1),""))</f>
        <v/>
      </c>
      <c r="I16" s="4">
        <f>IF(A16="","",IFERROR(ROUND(AVERAGEIFS(ASSESSMENTS!H:H,ASSESSMENTS!B:B,A16,ASSESSMENTS!E:E,"Geography"),1),""))</f>
        <v/>
      </c>
      <c r="J16" s="4">
        <f>IF(A16="","",IFERROR(ROUND(AVERAGEIFS(ASSESSMENTS!H:H,ASSESSMENTS!B:B,A16,ASSESSMENTS!E:E,"Accounting"),1),""))</f>
        <v/>
      </c>
      <c r="K16" s="4">
        <f>IF(A16="","",IFERROR(ROUND(AVERAGEIFS(ASSESSMENTS!H:H,ASSESSMENTS!B:B,A16,ASSESSMENTS!E:E,"English"),1),""))</f>
        <v/>
      </c>
      <c r="L16" s="5">
        <f>IF(A16="","",IFERROR(_xludf.XLOOKUP(A16,ATTENDANCE_SUMMARY!A:A,ATTENDANCE_SUMMARY!G:G,""),""))</f>
        <v/>
      </c>
      <c r="M16" s="4">
        <f>IF(A16="","",IF(OR(E16&lt;50,AND(L16&lt;0.75,L16&lt;&gt;"" )),"At Risk","On Track"))</f>
        <v/>
      </c>
    </row>
    <row r="17">
      <c r="A17">
        <f>IF(MASTER_REGISTER!E17="","",MASTER_REGISTER!E17)</f>
        <v/>
      </c>
      <c r="B17">
        <f>IF(A17="","",MASTER_REGISTER!F17)</f>
        <v/>
      </c>
      <c r="C17">
        <f>IF(A17="","",MASTER_REGISTER!C17)</f>
        <v/>
      </c>
      <c r="D17">
        <f>IF(A17="","",COUNTIF(ASSESSMENTS!B:B,A17))</f>
        <v/>
      </c>
      <c r="E17" s="4">
        <f>IF(D17=0,"",ROUND(AVERAGEIF(ASSESSMENTS!B:B,A17,ASSESSMENTS!H:H),1))</f>
        <v/>
      </c>
      <c r="F17" s="4">
        <f>IF(A17="","",IFERROR(ROUND(AVERAGEIFS(ASSESSMENTS!H:H,ASSESSMENTS!B:B,A17,ASSESSMENTS!E:E,"Mathematics"),1),""))</f>
        <v/>
      </c>
      <c r="G17" s="4">
        <f>IF(A17="","",IFERROR(ROUND(AVERAGEIFS(ASSESSMENTS!H:H,ASSESSMENTS!B:B,A17,ASSESSMENTS!E:E,"Mathematical Literacy"),1),""))</f>
        <v/>
      </c>
      <c r="H17" s="4">
        <f>IF(A17="","",IFERROR(ROUND(AVERAGEIFS(ASSESSMENTS!H:H,ASSESSMENTS!B:B,A17,ASSESSMENTS!E:E,"Physical Sciences"),1),""))</f>
        <v/>
      </c>
      <c r="I17" s="4">
        <f>IF(A17="","",IFERROR(ROUND(AVERAGEIFS(ASSESSMENTS!H:H,ASSESSMENTS!B:B,A17,ASSESSMENTS!E:E,"Geography"),1),""))</f>
        <v/>
      </c>
      <c r="J17" s="4">
        <f>IF(A17="","",IFERROR(ROUND(AVERAGEIFS(ASSESSMENTS!H:H,ASSESSMENTS!B:B,A17,ASSESSMENTS!E:E,"Accounting"),1),""))</f>
        <v/>
      </c>
      <c r="K17" s="4">
        <f>IF(A17="","",IFERROR(ROUND(AVERAGEIFS(ASSESSMENTS!H:H,ASSESSMENTS!B:B,A17,ASSESSMENTS!E:E,"English"),1),""))</f>
        <v/>
      </c>
      <c r="L17" s="5">
        <f>IF(A17="","",IFERROR(_xludf.XLOOKUP(A17,ATTENDANCE_SUMMARY!A:A,ATTENDANCE_SUMMARY!G:G,""),""))</f>
        <v/>
      </c>
      <c r="M17" s="4">
        <f>IF(A17="","",IF(OR(E17&lt;50,AND(L17&lt;0.75,L17&lt;&gt;"" )),"At Risk","On Track"))</f>
        <v/>
      </c>
    </row>
    <row r="18">
      <c r="A18">
        <f>IF(MASTER_REGISTER!E18="","",MASTER_REGISTER!E18)</f>
        <v/>
      </c>
      <c r="B18">
        <f>IF(A18="","",MASTER_REGISTER!F18)</f>
        <v/>
      </c>
      <c r="C18">
        <f>IF(A18="","",MASTER_REGISTER!C18)</f>
        <v/>
      </c>
      <c r="D18">
        <f>IF(A18="","",COUNTIF(ASSESSMENTS!B:B,A18))</f>
        <v/>
      </c>
      <c r="E18" s="4">
        <f>IF(D18=0,"",ROUND(AVERAGEIF(ASSESSMENTS!B:B,A18,ASSESSMENTS!H:H),1))</f>
        <v/>
      </c>
      <c r="F18" s="4">
        <f>IF(A18="","",IFERROR(ROUND(AVERAGEIFS(ASSESSMENTS!H:H,ASSESSMENTS!B:B,A18,ASSESSMENTS!E:E,"Mathematics"),1),""))</f>
        <v/>
      </c>
      <c r="G18" s="4">
        <f>IF(A18="","",IFERROR(ROUND(AVERAGEIFS(ASSESSMENTS!H:H,ASSESSMENTS!B:B,A18,ASSESSMENTS!E:E,"Mathematical Literacy"),1),""))</f>
        <v/>
      </c>
      <c r="H18" s="4">
        <f>IF(A18="","",IFERROR(ROUND(AVERAGEIFS(ASSESSMENTS!H:H,ASSESSMENTS!B:B,A18,ASSESSMENTS!E:E,"Physical Sciences"),1),""))</f>
        <v/>
      </c>
      <c r="I18" s="4">
        <f>IF(A18="","",IFERROR(ROUND(AVERAGEIFS(ASSESSMENTS!H:H,ASSESSMENTS!B:B,A18,ASSESSMENTS!E:E,"Geography"),1),""))</f>
        <v/>
      </c>
      <c r="J18" s="4">
        <f>IF(A18="","",IFERROR(ROUND(AVERAGEIFS(ASSESSMENTS!H:H,ASSESSMENTS!B:B,A18,ASSESSMENTS!E:E,"Accounting"),1),""))</f>
        <v/>
      </c>
      <c r="K18" s="4">
        <f>IF(A18="","",IFERROR(ROUND(AVERAGEIFS(ASSESSMENTS!H:H,ASSESSMENTS!B:B,A18,ASSESSMENTS!E:E,"English"),1),""))</f>
        <v/>
      </c>
      <c r="L18" s="5">
        <f>IF(A18="","",IFERROR(_xludf.XLOOKUP(A18,ATTENDANCE_SUMMARY!A:A,ATTENDANCE_SUMMARY!G:G,""),""))</f>
        <v/>
      </c>
      <c r="M18" s="4">
        <f>IF(A18="","",IF(OR(E18&lt;50,AND(L18&lt;0.75,L18&lt;&gt;"" )),"At Risk","On Track"))</f>
        <v/>
      </c>
    </row>
    <row r="19">
      <c r="A19">
        <f>IF(MASTER_REGISTER!E19="","",MASTER_REGISTER!E19)</f>
        <v/>
      </c>
      <c r="B19">
        <f>IF(A19="","",MASTER_REGISTER!F19)</f>
        <v/>
      </c>
      <c r="C19">
        <f>IF(A19="","",MASTER_REGISTER!C19)</f>
        <v/>
      </c>
      <c r="D19">
        <f>IF(A19="","",COUNTIF(ASSESSMENTS!B:B,A19))</f>
        <v/>
      </c>
      <c r="E19" s="4">
        <f>IF(D19=0,"",ROUND(AVERAGEIF(ASSESSMENTS!B:B,A19,ASSESSMENTS!H:H),1))</f>
        <v/>
      </c>
      <c r="F19" s="4">
        <f>IF(A19="","",IFERROR(ROUND(AVERAGEIFS(ASSESSMENTS!H:H,ASSESSMENTS!B:B,A19,ASSESSMENTS!E:E,"Mathematics"),1),""))</f>
        <v/>
      </c>
      <c r="G19" s="4">
        <f>IF(A19="","",IFERROR(ROUND(AVERAGEIFS(ASSESSMENTS!H:H,ASSESSMENTS!B:B,A19,ASSESSMENTS!E:E,"Mathematical Literacy"),1),""))</f>
        <v/>
      </c>
      <c r="H19" s="4">
        <f>IF(A19="","",IFERROR(ROUND(AVERAGEIFS(ASSESSMENTS!H:H,ASSESSMENTS!B:B,A19,ASSESSMENTS!E:E,"Physical Sciences"),1),""))</f>
        <v/>
      </c>
      <c r="I19" s="4">
        <f>IF(A19="","",IFERROR(ROUND(AVERAGEIFS(ASSESSMENTS!H:H,ASSESSMENTS!B:B,A19,ASSESSMENTS!E:E,"Geography"),1),""))</f>
        <v/>
      </c>
      <c r="J19" s="4">
        <f>IF(A19="","",IFERROR(ROUND(AVERAGEIFS(ASSESSMENTS!H:H,ASSESSMENTS!B:B,A19,ASSESSMENTS!E:E,"Accounting"),1),""))</f>
        <v/>
      </c>
      <c r="K19" s="4">
        <f>IF(A19="","",IFERROR(ROUND(AVERAGEIFS(ASSESSMENTS!H:H,ASSESSMENTS!B:B,A19,ASSESSMENTS!E:E,"English"),1),""))</f>
        <v/>
      </c>
      <c r="L19" s="5">
        <f>IF(A19="","",IFERROR(_xludf.XLOOKUP(A19,ATTENDANCE_SUMMARY!A:A,ATTENDANCE_SUMMARY!G:G,""),""))</f>
        <v/>
      </c>
      <c r="M19" s="4">
        <f>IF(A19="","",IF(OR(E19&lt;50,AND(L19&lt;0.75,L19&lt;&gt;"" )),"At Risk","On Track"))</f>
        <v/>
      </c>
    </row>
    <row r="20">
      <c r="A20">
        <f>IF(MASTER_REGISTER!E20="","",MASTER_REGISTER!E20)</f>
        <v/>
      </c>
      <c r="B20">
        <f>IF(A20="","",MASTER_REGISTER!F20)</f>
        <v/>
      </c>
      <c r="C20">
        <f>IF(A20="","",MASTER_REGISTER!C20)</f>
        <v/>
      </c>
      <c r="D20">
        <f>IF(A20="","",COUNTIF(ASSESSMENTS!B:B,A20))</f>
        <v/>
      </c>
      <c r="E20" s="4">
        <f>IF(D20=0,"",ROUND(AVERAGEIF(ASSESSMENTS!B:B,A20,ASSESSMENTS!H:H),1))</f>
        <v/>
      </c>
      <c r="F20" s="4">
        <f>IF(A20="","",IFERROR(ROUND(AVERAGEIFS(ASSESSMENTS!H:H,ASSESSMENTS!B:B,A20,ASSESSMENTS!E:E,"Mathematics"),1),""))</f>
        <v/>
      </c>
      <c r="G20" s="4">
        <f>IF(A20="","",IFERROR(ROUND(AVERAGEIFS(ASSESSMENTS!H:H,ASSESSMENTS!B:B,A20,ASSESSMENTS!E:E,"Mathematical Literacy"),1),""))</f>
        <v/>
      </c>
      <c r="H20" s="4">
        <f>IF(A20="","",IFERROR(ROUND(AVERAGEIFS(ASSESSMENTS!H:H,ASSESSMENTS!B:B,A20,ASSESSMENTS!E:E,"Physical Sciences"),1),""))</f>
        <v/>
      </c>
      <c r="I20" s="4">
        <f>IF(A20="","",IFERROR(ROUND(AVERAGEIFS(ASSESSMENTS!H:H,ASSESSMENTS!B:B,A20,ASSESSMENTS!E:E,"Geography"),1),""))</f>
        <v/>
      </c>
      <c r="J20" s="4">
        <f>IF(A20="","",IFERROR(ROUND(AVERAGEIFS(ASSESSMENTS!H:H,ASSESSMENTS!B:B,A20,ASSESSMENTS!E:E,"Accounting"),1),""))</f>
        <v/>
      </c>
      <c r="K20" s="4">
        <f>IF(A20="","",IFERROR(ROUND(AVERAGEIFS(ASSESSMENTS!H:H,ASSESSMENTS!B:B,A20,ASSESSMENTS!E:E,"English"),1),""))</f>
        <v/>
      </c>
      <c r="L20" s="5">
        <f>IF(A20="","",IFERROR(_xludf.XLOOKUP(A20,ATTENDANCE_SUMMARY!A:A,ATTENDANCE_SUMMARY!G:G,""),""))</f>
        <v/>
      </c>
      <c r="M20" s="4">
        <f>IF(A20="","",IF(OR(E20&lt;50,AND(L20&lt;0.75,L20&lt;&gt;"" )),"At Risk","On Track"))</f>
        <v/>
      </c>
    </row>
    <row r="21">
      <c r="A21">
        <f>IF(MASTER_REGISTER!E21="","",MASTER_REGISTER!E21)</f>
        <v/>
      </c>
      <c r="B21">
        <f>IF(A21="","",MASTER_REGISTER!F21)</f>
        <v/>
      </c>
      <c r="C21">
        <f>IF(A21="","",MASTER_REGISTER!C21)</f>
        <v/>
      </c>
      <c r="D21">
        <f>IF(A21="","",COUNTIF(ASSESSMENTS!B:B,A21))</f>
        <v/>
      </c>
      <c r="E21" s="4">
        <f>IF(D21=0,"",ROUND(AVERAGEIF(ASSESSMENTS!B:B,A21,ASSESSMENTS!H:H),1))</f>
        <v/>
      </c>
      <c r="F21" s="4">
        <f>IF(A21="","",IFERROR(ROUND(AVERAGEIFS(ASSESSMENTS!H:H,ASSESSMENTS!B:B,A21,ASSESSMENTS!E:E,"Mathematics"),1),""))</f>
        <v/>
      </c>
      <c r="G21" s="4">
        <f>IF(A21="","",IFERROR(ROUND(AVERAGEIFS(ASSESSMENTS!H:H,ASSESSMENTS!B:B,A21,ASSESSMENTS!E:E,"Mathematical Literacy"),1),""))</f>
        <v/>
      </c>
      <c r="H21" s="4">
        <f>IF(A21="","",IFERROR(ROUND(AVERAGEIFS(ASSESSMENTS!H:H,ASSESSMENTS!B:B,A21,ASSESSMENTS!E:E,"Physical Sciences"),1),""))</f>
        <v/>
      </c>
      <c r="I21" s="4">
        <f>IF(A21="","",IFERROR(ROUND(AVERAGEIFS(ASSESSMENTS!H:H,ASSESSMENTS!B:B,A21,ASSESSMENTS!E:E,"Geography"),1),""))</f>
        <v/>
      </c>
      <c r="J21" s="4">
        <f>IF(A21="","",IFERROR(ROUND(AVERAGEIFS(ASSESSMENTS!H:H,ASSESSMENTS!B:B,A21,ASSESSMENTS!E:E,"Accounting"),1),""))</f>
        <v/>
      </c>
      <c r="K21" s="4">
        <f>IF(A21="","",IFERROR(ROUND(AVERAGEIFS(ASSESSMENTS!H:H,ASSESSMENTS!B:B,A21,ASSESSMENTS!E:E,"English"),1),""))</f>
        <v/>
      </c>
      <c r="L21" s="5">
        <f>IF(A21="","",IFERROR(_xludf.XLOOKUP(A21,ATTENDANCE_SUMMARY!A:A,ATTENDANCE_SUMMARY!G:G,""),""))</f>
        <v/>
      </c>
      <c r="M21" s="4">
        <f>IF(A21="","",IF(OR(E21&lt;50,AND(L21&lt;0.75,L21&lt;&gt;"" )),"At Risk","On Track"))</f>
        <v/>
      </c>
    </row>
    <row r="22">
      <c r="A22">
        <f>IF(MASTER_REGISTER!E22="","",MASTER_REGISTER!E22)</f>
        <v/>
      </c>
      <c r="B22">
        <f>IF(A22="","",MASTER_REGISTER!F22)</f>
        <v/>
      </c>
      <c r="C22">
        <f>IF(A22="","",MASTER_REGISTER!C22)</f>
        <v/>
      </c>
      <c r="D22">
        <f>IF(A22="","",COUNTIF(ASSESSMENTS!B:B,A22))</f>
        <v/>
      </c>
      <c r="E22" s="4">
        <f>IF(D22=0,"",ROUND(AVERAGEIF(ASSESSMENTS!B:B,A22,ASSESSMENTS!H:H),1))</f>
        <v/>
      </c>
      <c r="F22" s="4">
        <f>IF(A22="","",IFERROR(ROUND(AVERAGEIFS(ASSESSMENTS!H:H,ASSESSMENTS!B:B,A22,ASSESSMENTS!E:E,"Mathematics"),1),""))</f>
        <v/>
      </c>
      <c r="G22" s="4">
        <f>IF(A22="","",IFERROR(ROUND(AVERAGEIFS(ASSESSMENTS!H:H,ASSESSMENTS!B:B,A22,ASSESSMENTS!E:E,"Mathematical Literacy"),1),""))</f>
        <v/>
      </c>
      <c r="H22" s="4">
        <f>IF(A22="","",IFERROR(ROUND(AVERAGEIFS(ASSESSMENTS!H:H,ASSESSMENTS!B:B,A22,ASSESSMENTS!E:E,"Physical Sciences"),1),""))</f>
        <v/>
      </c>
      <c r="I22" s="4">
        <f>IF(A22="","",IFERROR(ROUND(AVERAGEIFS(ASSESSMENTS!H:H,ASSESSMENTS!B:B,A22,ASSESSMENTS!E:E,"Geography"),1),""))</f>
        <v/>
      </c>
      <c r="J22" s="4">
        <f>IF(A22="","",IFERROR(ROUND(AVERAGEIFS(ASSESSMENTS!H:H,ASSESSMENTS!B:B,A22,ASSESSMENTS!E:E,"Accounting"),1),""))</f>
        <v/>
      </c>
      <c r="K22" s="4">
        <f>IF(A22="","",IFERROR(ROUND(AVERAGEIFS(ASSESSMENTS!H:H,ASSESSMENTS!B:B,A22,ASSESSMENTS!E:E,"English"),1),""))</f>
        <v/>
      </c>
      <c r="L22" s="5">
        <f>IF(A22="","",IFERROR(_xludf.XLOOKUP(A22,ATTENDANCE_SUMMARY!A:A,ATTENDANCE_SUMMARY!G:G,""),""))</f>
        <v/>
      </c>
      <c r="M22" s="4">
        <f>IF(A22="","",IF(OR(E22&lt;50,AND(L22&lt;0.75,L22&lt;&gt;"" )),"At Risk","On Track"))</f>
        <v/>
      </c>
    </row>
    <row r="23">
      <c r="A23">
        <f>IF(MASTER_REGISTER!E23="","",MASTER_REGISTER!E23)</f>
        <v/>
      </c>
      <c r="B23">
        <f>IF(A23="","",MASTER_REGISTER!F23)</f>
        <v/>
      </c>
      <c r="C23">
        <f>IF(A23="","",MASTER_REGISTER!C23)</f>
        <v/>
      </c>
      <c r="D23">
        <f>IF(A23="","",COUNTIF(ASSESSMENTS!B:B,A23))</f>
        <v/>
      </c>
      <c r="E23" s="4">
        <f>IF(D23=0,"",ROUND(AVERAGEIF(ASSESSMENTS!B:B,A23,ASSESSMENTS!H:H),1))</f>
        <v/>
      </c>
      <c r="F23" s="4">
        <f>IF(A23="","",IFERROR(ROUND(AVERAGEIFS(ASSESSMENTS!H:H,ASSESSMENTS!B:B,A23,ASSESSMENTS!E:E,"Mathematics"),1),""))</f>
        <v/>
      </c>
      <c r="G23" s="4">
        <f>IF(A23="","",IFERROR(ROUND(AVERAGEIFS(ASSESSMENTS!H:H,ASSESSMENTS!B:B,A23,ASSESSMENTS!E:E,"Mathematical Literacy"),1),""))</f>
        <v/>
      </c>
      <c r="H23" s="4">
        <f>IF(A23="","",IFERROR(ROUND(AVERAGEIFS(ASSESSMENTS!H:H,ASSESSMENTS!B:B,A23,ASSESSMENTS!E:E,"Physical Sciences"),1),""))</f>
        <v/>
      </c>
      <c r="I23" s="4">
        <f>IF(A23="","",IFERROR(ROUND(AVERAGEIFS(ASSESSMENTS!H:H,ASSESSMENTS!B:B,A23,ASSESSMENTS!E:E,"Geography"),1),""))</f>
        <v/>
      </c>
      <c r="J23" s="4">
        <f>IF(A23="","",IFERROR(ROUND(AVERAGEIFS(ASSESSMENTS!H:H,ASSESSMENTS!B:B,A23,ASSESSMENTS!E:E,"Accounting"),1),""))</f>
        <v/>
      </c>
      <c r="K23" s="4">
        <f>IF(A23="","",IFERROR(ROUND(AVERAGEIFS(ASSESSMENTS!H:H,ASSESSMENTS!B:B,A23,ASSESSMENTS!E:E,"English"),1),""))</f>
        <v/>
      </c>
      <c r="L23" s="5">
        <f>IF(A23="","",IFERROR(_xludf.XLOOKUP(A23,ATTENDANCE_SUMMARY!A:A,ATTENDANCE_SUMMARY!G:G,""),""))</f>
        <v/>
      </c>
      <c r="M23" s="4">
        <f>IF(A23="","",IF(OR(E23&lt;50,AND(L23&lt;0.75,L23&lt;&gt;"" )),"At Risk","On Track"))</f>
        <v/>
      </c>
    </row>
    <row r="24">
      <c r="A24">
        <f>IF(MASTER_REGISTER!E24="","",MASTER_REGISTER!E24)</f>
        <v/>
      </c>
      <c r="B24">
        <f>IF(A24="","",MASTER_REGISTER!F24)</f>
        <v/>
      </c>
      <c r="C24">
        <f>IF(A24="","",MASTER_REGISTER!C24)</f>
        <v/>
      </c>
      <c r="D24">
        <f>IF(A24="","",COUNTIF(ASSESSMENTS!B:B,A24))</f>
        <v/>
      </c>
      <c r="E24" s="4">
        <f>IF(D24=0,"",ROUND(AVERAGEIF(ASSESSMENTS!B:B,A24,ASSESSMENTS!H:H),1))</f>
        <v/>
      </c>
      <c r="F24" s="4">
        <f>IF(A24="","",IFERROR(ROUND(AVERAGEIFS(ASSESSMENTS!H:H,ASSESSMENTS!B:B,A24,ASSESSMENTS!E:E,"Mathematics"),1),""))</f>
        <v/>
      </c>
      <c r="G24" s="4">
        <f>IF(A24="","",IFERROR(ROUND(AVERAGEIFS(ASSESSMENTS!H:H,ASSESSMENTS!B:B,A24,ASSESSMENTS!E:E,"Mathematical Literacy"),1),""))</f>
        <v/>
      </c>
      <c r="H24" s="4">
        <f>IF(A24="","",IFERROR(ROUND(AVERAGEIFS(ASSESSMENTS!H:H,ASSESSMENTS!B:B,A24,ASSESSMENTS!E:E,"Physical Sciences"),1),""))</f>
        <v/>
      </c>
      <c r="I24" s="4">
        <f>IF(A24="","",IFERROR(ROUND(AVERAGEIFS(ASSESSMENTS!H:H,ASSESSMENTS!B:B,A24,ASSESSMENTS!E:E,"Geography"),1),""))</f>
        <v/>
      </c>
      <c r="J24" s="4">
        <f>IF(A24="","",IFERROR(ROUND(AVERAGEIFS(ASSESSMENTS!H:H,ASSESSMENTS!B:B,A24,ASSESSMENTS!E:E,"Accounting"),1),""))</f>
        <v/>
      </c>
      <c r="K24" s="4">
        <f>IF(A24="","",IFERROR(ROUND(AVERAGEIFS(ASSESSMENTS!H:H,ASSESSMENTS!B:B,A24,ASSESSMENTS!E:E,"English"),1),""))</f>
        <v/>
      </c>
      <c r="L24" s="5">
        <f>IF(A24="","",IFERROR(_xludf.XLOOKUP(A24,ATTENDANCE_SUMMARY!A:A,ATTENDANCE_SUMMARY!G:G,""),""))</f>
        <v/>
      </c>
      <c r="M24" s="4">
        <f>IF(A24="","",IF(OR(E24&lt;50,AND(L24&lt;0.75,L24&lt;&gt;"" )),"At Risk","On Track"))</f>
        <v/>
      </c>
    </row>
    <row r="25">
      <c r="A25">
        <f>IF(MASTER_REGISTER!E25="","",MASTER_REGISTER!E25)</f>
        <v/>
      </c>
      <c r="B25">
        <f>IF(A25="","",MASTER_REGISTER!F25)</f>
        <v/>
      </c>
      <c r="C25">
        <f>IF(A25="","",MASTER_REGISTER!C25)</f>
        <v/>
      </c>
      <c r="D25">
        <f>IF(A25="","",COUNTIF(ASSESSMENTS!B:B,A25))</f>
        <v/>
      </c>
      <c r="E25" s="4">
        <f>IF(D25=0,"",ROUND(AVERAGEIF(ASSESSMENTS!B:B,A25,ASSESSMENTS!H:H),1))</f>
        <v/>
      </c>
      <c r="F25" s="4">
        <f>IF(A25="","",IFERROR(ROUND(AVERAGEIFS(ASSESSMENTS!H:H,ASSESSMENTS!B:B,A25,ASSESSMENTS!E:E,"Mathematics"),1),""))</f>
        <v/>
      </c>
      <c r="G25" s="4">
        <f>IF(A25="","",IFERROR(ROUND(AVERAGEIFS(ASSESSMENTS!H:H,ASSESSMENTS!B:B,A25,ASSESSMENTS!E:E,"Mathematical Literacy"),1),""))</f>
        <v/>
      </c>
      <c r="H25" s="4">
        <f>IF(A25="","",IFERROR(ROUND(AVERAGEIFS(ASSESSMENTS!H:H,ASSESSMENTS!B:B,A25,ASSESSMENTS!E:E,"Physical Sciences"),1),""))</f>
        <v/>
      </c>
      <c r="I25" s="4">
        <f>IF(A25="","",IFERROR(ROUND(AVERAGEIFS(ASSESSMENTS!H:H,ASSESSMENTS!B:B,A25,ASSESSMENTS!E:E,"Geography"),1),""))</f>
        <v/>
      </c>
      <c r="J25" s="4">
        <f>IF(A25="","",IFERROR(ROUND(AVERAGEIFS(ASSESSMENTS!H:H,ASSESSMENTS!B:B,A25,ASSESSMENTS!E:E,"Accounting"),1),""))</f>
        <v/>
      </c>
      <c r="K25" s="4">
        <f>IF(A25="","",IFERROR(ROUND(AVERAGEIFS(ASSESSMENTS!H:H,ASSESSMENTS!B:B,A25,ASSESSMENTS!E:E,"English"),1),""))</f>
        <v/>
      </c>
      <c r="L25" s="5">
        <f>IF(A25="","",IFERROR(_xludf.XLOOKUP(A25,ATTENDANCE_SUMMARY!A:A,ATTENDANCE_SUMMARY!G:G,""),""))</f>
        <v/>
      </c>
      <c r="M25" s="4">
        <f>IF(A25="","",IF(OR(E25&lt;50,AND(L25&lt;0.75,L25&lt;&gt;"" )),"At Risk","On Track"))</f>
        <v/>
      </c>
    </row>
    <row r="26">
      <c r="A26">
        <f>IF(MASTER_REGISTER!E26="","",MASTER_REGISTER!E26)</f>
        <v/>
      </c>
      <c r="B26">
        <f>IF(A26="","",MASTER_REGISTER!F26)</f>
        <v/>
      </c>
      <c r="C26">
        <f>IF(A26="","",MASTER_REGISTER!C26)</f>
        <v/>
      </c>
      <c r="D26">
        <f>IF(A26="","",COUNTIF(ASSESSMENTS!B:B,A26))</f>
        <v/>
      </c>
      <c r="E26" s="4">
        <f>IF(D26=0,"",ROUND(AVERAGEIF(ASSESSMENTS!B:B,A26,ASSESSMENTS!H:H),1))</f>
        <v/>
      </c>
      <c r="F26" s="4">
        <f>IF(A26="","",IFERROR(ROUND(AVERAGEIFS(ASSESSMENTS!H:H,ASSESSMENTS!B:B,A26,ASSESSMENTS!E:E,"Mathematics"),1),""))</f>
        <v/>
      </c>
      <c r="G26" s="4">
        <f>IF(A26="","",IFERROR(ROUND(AVERAGEIFS(ASSESSMENTS!H:H,ASSESSMENTS!B:B,A26,ASSESSMENTS!E:E,"Mathematical Literacy"),1),""))</f>
        <v/>
      </c>
      <c r="H26" s="4">
        <f>IF(A26="","",IFERROR(ROUND(AVERAGEIFS(ASSESSMENTS!H:H,ASSESSMENTS!B:B,A26,ASSESSMENTS!E:E,"Physical Sciences"),1),""))</f>
        <v/>
      </c>
      <c r="I26" s="4">
        <f>IF(A26="","",IFERROR(ROUND(AVERAGEIFS(ASSESSMENTS!H:H,ASSESSMENTS!B:B,A26,ASSESSMENTS!E:E,"Geography"),1),""))</f>
        <v/>
      </c>
      <c r="J26" s="4">
        <f>IF(A26="","",IFERROR(ROUND(AVERAGEIFS(ASSESSMENTS!H:H,ASSESSMENTS!B:B,A26,ASSESSMENTS!E:E,"Accounting"),1),""))</f>
        <v/>
      </c>
      <c r="K26" s="4">
        <f>IF(A26="","",IFERROR(ROUND(AVERAGEIFS(ASSESSMENTS!H:H,ASSESSMENTS!B:B,A26,ASSESSMENTS!E:E,"English"),1),""))</f>
        <v/>
      </c>
      <c r="L26" s="5">
        <f>IF(A26="","",IFERROR(_xludf.XLOOKUP(A26,ATTENDANCE_SUMMARY!A:A,ATTENDANCE_SUMMARY!G:G,""),""))</f>
        <v/>
      </c>
      <c r="M26" s="4">
        <f>IF(A26="","",IF(OR(E26&lt;50,AND(L26&lt;0.75,L26&lt;&gt;"" )),"At Risk","On Track"))</f>
        <v/>
      </c>
    </row>
    <row r="27">
      <c r="A27">
        <f>IF(MASTER_REGISTER!E27="","",MASTER_REGISTER!E27)</f>
        <v/>
      </c>
      <c r="B27">
        <f>IF(A27="","",MASTER_REGISTER!F27)</f>
        <v/>
      </c>
      <c r="C27">
        <f>IF(A27="","",MASTER_REGISTER!C27)</f>
        <v/>
      </c>
      <c r="D27">
        <f>IF(A27="","",COUNTIF(ASSESSMENTS!B:B,A27))</f>
        <v/>
      </c>
      <c r="E27" s="4">
        <f>IF(D27=0,"",ROUND(AVERAGEIF(ASSESSMENTS!B:B,A27,ASSESSMENTS!H:H),1))</f>
        <v/>
      </c>
      <c r="F27" s="4">
        <f>IF(A27="","",IFERROR(ROUND(AVERAGEIFS(ASSESSMENTS!H:H,ASSESSMENTS!B:B,A27,ASSESSMENTS!E:E,"Mathematics"),1),""))</f>
        <v/>
      </c>
      <c r="G27" s="4">
        <f>IF(A27="","",IFERROR(ROUND(AVERAGEIFS(ASSESSMENTS!H:H,ASSESSMENTS!B:B,A27,ASSESSMENTS!E:E,"Mathematical Literacy"),1),""))</f>
        <v/>
      </c>
      <c r="H27" s="4">
        <f>IF(A27="","",IFERROR(ROUND(AVERAGEIFS(ASSESSMENTS!H:H,ASSESSMENTS!B:B,A27,ASSESSMENTS!E:E,"Physical Sciences"),1),""))</f>
        <v/>
      </c>
      <c r="I27" s="4">
        <f>IF(A27="","",IFERROR(ROUND(AVERAGEIFS(ASSESSMENTS!H:H,ASSESSMENTS!B:B,A27,ASSESSMENTS!E:E,"Geography"),1),""))</f>
        <v/>
      </c>
      <c r="J27" s="4">
        <f>IF(A27="","",IFERROR(ROUND(AVERAGEIFS(ASSESSMENTS!H:H,ASSESSMENTS!B:B,A27,ASSESSMENTS!E:E,"Accounting"),1),""))</f>
        <v/>
      </c>
      <c r="K27" s="4">
        <f>IF(A27="","",IFERROR(ROUND(AVERAGEIFS(ASSESSMENTS!H:H,ASSESSMENTS!B:B,A27,ASSESSMENTS!E:E,"English"),1),""))</f>
        <v/>
      </c>
      <c r="L27" s="5">
        <f>IF(A27="","",IFERROR(_xludf.XLOOKUP(A27,ATTENDANCE_SUMMARY!A:A,ATTENDANCE_SUMMARY!G:G,""),""))</f>
        <v/>
      </c>
      <c r="M27" s="4">
        <f>IF(A27="","",IF(OR(E27&lt;50,AND(L27&lt;0.75,L27&lt;&gt;"" )),"At Risk","On Track"))</f>
        <v/>
      </c>
    </row>
    <row r="28">
      <c r="A28">
        <f>IF(MASTER_REGISTER!E28="","",MASTER_REGISTER!E28)</f>
        <v/>
      </c>
      <c r="B28">
        <f>IF(A28="","",MASTER_REGISTER!F28)</f>
        <v/>
      </c>
      <c r="C28">
        <f>IF(A28="","",MASTER_REGISTER!C28)</f>
        <v/>
      </c>
      <c r="D28">
        <f>IF(A28="","",COUNTIF(ASSESSMENTS!B:B,A28))</f>
        <v/>
      </c>
      <c r="E28" s="4">
        <f>IF(D28=0,"",ROUND(AVERAGEIF(ASSESSMENTS!B:B,A28,ASSESSMENTS!H:H),1))</f>
        <v/>
      </c>
      <c r="F28" s="4">
        <f>IF(A28="","",IFERROR(ROUND(AVERAGEIFS(ASSESSMENTS!H:H,ASSESSMENTS!B:B,A28,ASSESSMENTS!E:E,"Mathematics"),1),""))</f>
        <v/>
      </c>
      <c r="G28" s="4">
        <f>IF(A28="","",IFERROR(ROUND(AVERAGEIFS(ASSESSMENTS!H:H,ASSESSMENTS!B:B,A28,ASSESSMENTS!E:E,"Mathematical Literacy"),1),""))</f>
        <v/>
      </c>
      <c r="H28" s="4">
        <f>IF(A28="","",IFERROR(ROUND(AVERAGEIFS(ASSESSMENTS!H:H,ASSESSMENTS!B:B,A28,ASSESSMENTS!E:E,"Physical Sciences"),1),""))</f>
        <v/>
      </c>
      <c r="I28" s="4">
        <f>IF(A28="","",IFERROR(ROUND(AVERAGEIFS(ASSESSMENTS!H:H,ASSESSMENTS!B:B,A28,ASSESSMENTS!E:E,"Geography"),1),""))</f>
        <v/>
      </c>
      <c r="J28" s="4">
        <f>IF(A28="","",IFERROR(ROUND(AVERAGEIFS(ASSESSMENTS!H:H,ASSESSMENTS!B:B,A28,ASSESSMENTS!E:E,"Accounting"),1),""))</f>
        <v/>
      </c>
      <c r="K28" s="4">
        <f>IF(A28="","",IFERROR(ROUND(AVERAGEIFS(ASSESSMENTS!H:H,ASSESSMENTS!B:B,A28,ASSESSMENTS!E:E,"English"),1),""))</f>
        <v/>
      </c>
      <c r="L28" s="5">
        <f>IF(A28="","",IFERROR(_xludf.XLOOKUP(A28,ATTENDANCE_SUMMARY!A:A,ATTENDANCE_SUMMARY!G:G,""),""))</f>
        <v/>
      </c>
      <c r="M28" s="4">
        <f>IF(A28="","",IF(OR(E28&lt;50,AND(L28&lt;0.75,L28&lt;&gt;"" )),"At Risk","On Track"))</f>
        <v/>
      </c>
    </row>
    <row r="29">
      <c r="A29">
        <f>IF(MASTER_REGISTER!E29="","",MASTER_REGISTER!E29)</f>
        <v/>
      </c>
      <c r="B29">
        <f>IF(A29="","",MASTER_REGISTER!F29)</f>
        <v/>
      </c>
      <c r="C29">
        <f>IF(A29="","",MASTER_REGISTER!C29)</f>
        <v/>
      </c>
      <c r="D29">
        <f>IF(A29="","",COUNTIF(ASSESSMENTS!B:B,A29))</f>
        <v/>
      </c>
      <c r="E29" s="4">
        <f>IF(D29=0,"",ROUND(AVERAGEIF(ASSESSMENTS!B:B,A29,ASSESSMENTS!H:H),1))</f>
        <v/>
      </c>
      <c r="F29" s="4">
        <f>IF(A29="","",IFERROR(ROUND(AVERAGEIFS(ASSESSMENTS!H:H,ASSESSMENTS!B:B,A29,ASSESSMENTS!E:E,"Mathematics"),1),""))</f>
        <v/>
      </c>
      <c r="G29" s="4">
        <f>IF(A29="","",IFERROR(ROUND(AVERAGEIFS(ASSESSMENTS!H:H,ASSESSMENTS!B:B,A29,ASSESSMENTS!E:E,"Mathematical Literacy"),1),""))</f>
        <v/>
      </c>
      <c r="H29" s="4">
        <f>IF(A29="","",IFERROR(ROUND(AVERAGEIFS(ASSESSMENTS!H:H,ASSESSMENTS!B:B,A29,ASSESSMENTS!E:E,"Physical Sciences"),1),""))</f>
        <v/>
      </c>
      <c r="I29" s="4">
        <f>IF(A29="","",IFERROR(ROUND(AVERAGEIFS(ASSESSMENTS!H:H,ASSESSMENTS!B:B,A29,ASSESSMENTS!E:E,"Geography"),1),""))</f>
        <v/>
      </c>
      <c r="J29" s="4">
        <f>IF(A29="","",IFERROR(ROUND(AVERAGEIFS(ASSESSMENTS!H:H,ASSESSMENTS!B:B,A29,ASSESSMENTS!E:E,"Accounting"),1),""))</f>
        <v/>
      </c>
      <c r="K29" s="4">
        <f>IF(A29="","",IFERROR(ROUND(AVERAGEIFS(ASSESSMENTS!H:H,ASSESSMENTS!B:B,A29,ASSESSMENTS!E:E,"English"),1),""))</f>
        <v/>
      </c>
      <c r="L29" s="5">
        <f>IF(A29="","",IFERROR(_xludf.XLOOKUP(A29,ATTENDANCE_SUMMARY!A:A,ATTENDANCE_SUMMARY!G:G,""),""))</f>
        <v/>
      </c>
      <c r="M29" s="4">
        <f>IF(A29="","",IF(OR(E29&lt;50,AND(L29&lt;0.75,L29&lt;&gt;"" )),"At Risk","On Track"))</f>
        <v/>
      </c>
    </row>
    <row r="30">
      <c r="A30">
        <f>IF(MASTER_REGISTER!E30="","",MASTER_REGISTER!E30)</f>
        <v/>
      </c>
      <c r="B30">
        <f>IF(A30="","",MASTER_REGISTER!F30)</f>
        <v/>
      </c>
      <c r="C30">
        <f>IF(A30="","",MASTER_REGISTER!C30)</f>
        <v/>
      </c>
      <c r="D30">
        <f>IF(A30="","",COUNTIF(ASSESSMENTS!B:B,A30))</f>
        <v/>
      </c>
      <c r="E30" s="4">
        <f>IF(D30=0,"",ROUND(AVERAGEIF(ASSESSMENTS!B:B,A30,ASSESSMENTS!H:H),1))</f>
        <v/>
      </c>
      <c r="F30" s="4">
        <f>IF(A30="","",IFERROR(ROUND(AVERAGEIFS(ASSESSMENTS!H:H,ASSESSMENTS!B:B,A30,ASSESSMENTS!E:E,"Mathematics"),1),""))</f>
        <v/>
      </c>
      <c r="G30" s="4">
        <f>IF(A30="","",IFERROR(ROUND(AVERAGEIFS(ASSESSMENTS!H:H,ASSESSMENTS!B:B,A30,ASSESSMENTS!E:E,"Mathematical Literacy"),1),""))</f>
        <v/>
      </c>
      <c r="H30" s="4">
        <f>IF(A30="","",IFERROR(ROUND(AVERAGEIFS(ASSESSMENTS!H:H,ASSESSMENTS!B:B,A30,ASSESSMENTS!E:E,"Physical Sciences"),1),""))</f>
        <v/>
      </c>
      <c r="I30" s="4">
        <f>IF(A30="","",IFERROR(ROUND(AVERAGEIFS(ASSESSMENTS!H:H,ASSESSMENTS!B:B,A30,ASSESSMENTS!E:E,"Geography"),1),""))</f>
        <v/>
      </c>
      <c r="J30" s="4">
        <f>IF(A30="","",IFERROR(ROUND(AVERAGEIFS(ASSESSMENTS!H:H,ASSESSMENTS!B:B,A30,ASSESSMENTS!E:E,"Accounting"),1),""))</f>
        <v/>
      </c>
      <c r="K30" s="4">
        <f>IF(A30="","",IFERROR(ROUND(AVERAGEIFS(ASSESSMENTS!H:H,ASSESSMENTS!B:B,A30,ASSESSMENTS!E:E,"English"),1),""))</f>
        <v/>
      </c>
      <c r="L30" s="5">
        <f>IF(A30="","",IFERROR(_xludf.XLOOKUP(A30,ATTENDANCE_SUMMARY!A:A,ATTENDANCE_SUMMARY!G:G,""),""))</f>
        <v/>
      </c>
      <c r="M30" s="4">
        <f>IF(A30="","",IF(OR(E30&lt;50,AND(L30&lt;0.75,L30&lt;&gt;"" )),"At Risk","On Track"))</f>
        <v/>
      </c>
    </row>
    <row r="31">
      <c r="A31">
        <f>IF(MASTER_REGISTER!E31="","",MASTER_REGISTER!E31)</f>
        <v/>
      </c>
      <c r="B31">
        <f>IF(A31="","",MASTER_REGISTER!F31)</f>
        <v/>
      </c>
      <c r="C31">
        <f>IF(A31="","",MASTER_REGISTER!C31)</f>
        <v/>
      </c>
      <c r="D31">
        <f>IF(A31="","",COUNTIF(ASSESSMENTS!B:B,A31))</f>
        <v/>
      </c>
      <c r="E31" s="4">
        <f>IF(D31=0,"",ROUND(AVERAGEIF(ASSESSMENTS!B:B,A31,ASSESSMENTS!H:H),1))</f>
        <v/>
      </c>
      <c r="F31" s="4">
        <f>IF(A31="","",IFERROR(ROUND(AVERAGEIFS(ASSESSMENTS!H:H,ASSESSMENTS!B:B,A31,ASSESSMENTS!E:E,"Mathematics"),1),""))</f>
        <v/>
      </c>
      <c r="G31" s="4">
        <f>IF(A31="","",IFERROR(ROUND(AVERAGEIFS(ASSESSMENTS!H:H,ASSESSMENTS!B:B,A31,ASSESSMENTS!E:E,"Mathematical Literacy"),1),""))</f>
        <v/>
      </c>
      <c r="H31" s="4">
        <f>IF(A31="","",IFERROR(ROUND(AVERAGEIFS(ASSESSMENTS!H:H,ASSESSMENTS!B:B,A31,ASSESSMENTS!E:E,"Physical Sciences"),1),""))</f>
        <v/>
      </c>
      <c r="I31" s="4">
        <f>IF(A31="","",IFERROR(ROUND(AVERAGEIFS(ASSESSMENTS!H:H,ASSESSMENTS!B:B,A31,ASSESSMENTS!E:E,"Geography"),1),""))</f>
        <v/>
      </c>
      <c r="J31" s="4">
        <f>IF(A31="","",IFERROR(ROUND(AVERAGEIFS(ASSESSMENTS!H:H,ASSESSMENTS!B:B,A31,ASSESSMENTS!E:E,"Accounting"),1),""))</f>
        <v/>
      </c>
      <c r="K31" s="4">
        <f>IF(A31="","",IFERROR(ROUND(AVERAGEIFS(ASSESSMENTS!H:H,ASSESSMENTS!B:B,A31,ASSESSMENTS!E:E,"English"),1),""))</f>
        <v/>
      </c>
      <c r="L31" s="5">
        <f>IF(A31="","",IFERROR(_xludf.XLOOKUP(A31,ATTENDANCE_SUMMARY!A:A,ATTENDANCE_SUMMARY!G:G,""),""))</f>
        <v/>
      </c>
      <c r="M31" s="4">
        <f>IF(A31="","",IF(OR(E31&lt;50,AND(L31&lt;0.75,L31&lt;&gt;"" )),"At Risk","On Track"))</f>
        <v/>
      </c>
    </row>
    <row r="32">
      <c r="A32">
        <f>IF(MASTER_REGISTER!E32="","",MASTER_REGISTER!E32)</f>
        <v/>
      </c>
      <c r="B32">
        <f>IF(A32="","",MASTER_REGISTER!F32)</f>
        <v/>
      </c>
      <c r="C32">
        <f>IF(A32="","",MASTER_REGISTER!C32)</f>
        <v/>
      </c>
      <c r="D32">
        <f>IF(A32="","",COUNTIF(ASSESSMENTS!B:B,A32))</f>
        <v/>
      </c>
      <c r="E32" s="4">
        <f>IF(D32=0,"",ROUND(AVERAGEIF(ASSESSMENTS!B:B,A32,ASSESSMENTS!H:H),1))</f>
        <v/>
      </c>
      <c r="F32" s="4">
        <f>IF(A32="","",IFERROR(ROUND(AVERAGEIFS(ASSESSMENTS!H:H,ASSESSMENTS!B:B,A32,ASSESSMENTS!E:E,"Mathematics"),1),""))</f>
        <v/>
      </c>
      <c r="G32" s="4">
        <f>IF(A32="","",IFERROR(ROUND(AVERAGEIFS(ASSESSMENTS!H:H,ASSESSMENTS!B:B,A32,ASSESSMENTS!E:E,"Mathematical Literacy"),1),""))</f>
        <v/>
      </c>
      <c r="H32" s="4">
        <f>IF(A32="","",IFERROR(ROUND(AVERAGEIFS(ASSESSMENTS!H:H,ASSESSMENTS!B:B,A32,ASSESSMENTS!E:E,"Physical Sciences"),1),""))</f>
        <v/>
      </c>
      <c r="I32" s="4">
        <f>IF(A32="","",IFERROR(ROUND(AVERAGEIFS(ASSESSMENTS!H:H,ASSESSMENTS!B:B,A32,ASSESSMENTS!E:E,"Geography"),1),""))</f>
        <v/>
      </c>
      <c r="J32" s="4">
        <f>IF(A32="","",IFERROR(ROUND(AVERAGEIFS(ASSESSMENTS!H:H,ASSESSMENTS!B:B,A32,ASSESSMENTS!E:E,"Accounting"),1),""))</f>
        <v/>
      </c>
      <c r="K32" s="4">
        <f>IF(A32="","",IFERROR(ROUND(AVERAGEIFS(ASSESSMENTS!H:H,ASSESSMENTS!B:B,A32,ASSESSMENTS!E:E,"English"),1),""))</f>
        <v/>
      </c>
      <c r="L32" s="5">
        <f>IF(A32="","",IFERROR(_xludf.XLOOKUP(A32,ATTENDANCE_SUMMARY!A:A,ATTENDANCE_SUMMARY!G:G,""),""))</f>
        <v/>
      </c>
      <c r="M32" s="4">
        <f>IF(A32="","",IF(OR(E32&lt;50,AND(L32&lt;0.75,L32&lt;&gt;"" )),"At Risk","On Track"))</f>
        <v/>
      </c>
    </row>
    <row r="33">
      <c r="A33">
        <f>IF(MASTER_REGISTER!E33="","",MASTER_REGISTER!E33)</f>
        <v/>
      </c>
      <c r="B33">
        <f>IF(A33="","",MASTER_REGISTER!F33)</f>
        <v/>
      </c>
      <c r="C33">
        <f>IF(A33="","",MASTER_REGISTER!C33)</f>
        <v/>
      </c>
      <c r="D33">
        <f>IF(A33="","",COUNTIF(ASSESSMENTS!B:B,A33))</f>
        <v/>
      </c>
      <c r="E33" s="4">
        <f>IF(D33=0,"",ROUND(AVERAGEIF(ASSESSMENTS!B:B,A33,ASSESSMENTS!H:H),1))</f>
        <v/>
      </c>
      <c r="F33" s="4">
        <f>IF(A33="","",IFERROR(ROUND(AVERAGEIFS(ASSESSMENTS!H:H,ASSESSMENTS!B:B,A33,ASSESSMENTS!E:E,"Mathematics"),1),""))</f>
        <v/>
      </c>
      <c r="G33" s="4">
        <f>IF(A33="","",IFERROR(ROUND(AVERAGEIFS(ASSESSMENTS!H:H,ASSESSMENTS!B:B,A33,ASSESSMENTS!E:E,"Mathematical Literacy"),1),""))</f>
        <v/>
      </c>
      <c r="H33" s="4">
        <f>IF(A33="","",IFERROR(ROUND(AVERAGEIFS(ASSESSMENTS!H:H,ASSESSMENTS!B:B,A33,ASSESSMENTS!E:E,"Physical Sciences"),1),""))</f>
        <v/>
      </c>
      <c r="I33" s="4">
        <f>IF(A33="","",IFERROR(ROUND(AVERAGEIFS(ASSESSMENTS!H:H,ASSESSMENTS!B:B,A33,ASSESSMENTS!E:E,"Geography"),1),""))</f>
        <v/>
      </c>
      <c r="J33" s="4">
        <f>IF(A33="","",IFERROR(ROUND(AVERAGEIFS(ASSESSMENTS!H:H,ASSESSMENTS!B:B,A33,ASSESSMENTS!E:E,"Accounting"),1),""))</f>
        <v/>
      </c>
      <c r="K33" s="4">
        <f>IF(A33="","",IFERROR(ROUND(AVERAGEIFS(ASSESSMENTS!H:H,ASSESSMENTS!B:B,A33,ASSESSMENTS!E:E,"English"),1),""))</f>
        <v/>
      </c>
      <c r="L33" s="5">
        <f>IF(A33="","",IFERROR(_xludf.XLOOKUP(A33,ATTENDANCE_SUMMARY!A:A,ATTENDANCE_SUMMARY!G:G,""),""))</f>
        <v/>
      </c>
      <c r="M33" s="4">
        <f>IF(A33="","",IF(OR(E33&lt;50,AND(L33&lt;0.75,L33&lt;&gt;"" )),"At Risk","On Track"))</f>
        <v/>
      </c>
    </row>
    <row r="34">
      <c r="A34">
        <f>IF(MASTER_REGISTER!E34="","",MASTER_REGISTER!E34)</f>
        <v/>
      </c>
      <c r="B34">
        <f>IF(A34="","",MASTER_REGISTER!F34)</f>
        <v/>
      </c>
      <c r="C34">
        <f>IF(A34="","",MASTER_REGISTER!C34)</f>
        <v/>
      </c>
      <c r="D34">
        <f>IF(A34="","",COUNTIF(ASSESSMENTS!B:B,A34))</f>
        <v/>
      </c>
      <c r="E34" s="4">
        <f>IF(D34=0,"",ROUND(AVERAGEIF(ASSESSMENTS!B:B,A34,ASSESSMENTS!H:H),1))</f>
        <v/>
      </c>
      <c r="F34" s="4">
        <f>IF(A34="","",IFERROR(ROUND(AVERAGEIFS(ASSESSMENTS!H:H,ASSESSMENTS!B:B,A34,ASSESSMENTS!E:E,"Mathematics"),1),""))</f>
        <v/>
      </c>
      <c r="G34" s="4">
        <f>IF(A34="","",IFERROR(ROUND(AVERAGEIFS(ASSESSMENTS!H:H,ASSESSMENTS!B:B,A34,ASSESSMENTS!E:E,"Mathematical Literacy"),1),""))</f>
        <v/>
      </c>
      <c r="H34" s="4">
        <f>IF(A34="","",IFERROR(ROUND(AVERAGEIFS(ASSESSMENTS!H:H,ASSESSMENTS!B:B,A34,ASSESSMENTS!E:E,"Physical Sciences"),1),""))</f>
        <v/>
      </c>
      <c r="I34" s="4">
        <f>IF(A34="","",IFERROR(ROUND(AVERAGEIFS(ASSESSMENTS!H:H,ASSESSMENTS!B:B,A34,ASSESSMENTS!E:E,"Geography"),1),""))</f>
        <v/>
      </c>
      <c r="J34" s="4">
        <f>IF(A34="","",IFERROR(ROUND(AVERAGEIFS(ASSESSMENTS!H:H,ASSESSMENTS!B:B,A34,ASSESSMENTS!E:E,"Accounting"),1),""))</f>
        <v/>
      </c>
      <c r="K34" s="4">
        <f>IF(A34="","",IFERROR(ROUND(AVERAGEIFS(ASSESSMENTS!H:H,ASSESSMENTS!B:B,A34,ASSESSMENTS!E:E,"English"),1),""))</f>
        <v/>
      </c>
      <c r="L34" s="5">
        <f>IF(A34="","",IFERROR(_xludf.XLOOKUP(A34,ATTENDANCE_SUMMARY!A:A,ATTENDANCE_SUMMARY!G:G,""),""))</f>
        <v/>
      </c>
      <c r="M34" s="4">
        <f>IF(A34="","",IF(OR(E34&lt;50,AND(L34&lt;0.75,L34&lt;&gt;"" )),"At Risk","On Track"))</f>
        <v/>
      </c>
    </row>
    <row r="35">
      <c r="A35">
        <f>IF(MASTER_REGISTER!E35="","",MASTER_REGISTER!E35)</f>
        <v/>
      </c>
      <c r="B35">
        <f>IF(A35="","",MASTER_REGISTER!F35)</f>
        <v/>
      </c>
      <c r="C35">
        <f>IF(A35="","",MASTER_REGISTER!C35)</f>
        <v/>
      </c>
      <c r="D35">
        <f>IF(A35="","",COUNTIF(ASSESSMENTS!B:B,A35))</f>
        <v/>
      </c>
      <c r="E35" s="4">
        <f>IF(D35=0,"",ROUND(AVERAGEIF(ASSESSMENTS!B:B,A35,ASSESSMENTS!H:H),1))</f>
        <v/>
      </c>
      <c r="F35" s="4">
        <f>IF(A35="","",IFERROR(ROUND(AVERAGEIFS(ASSESSMENTS!H:H,ASSESSMENTS!B:B,A35,ASSESSMENTS!E:E,"Mathematics"),1),""))</f>
        <v/>
      </c>
      <c r="G35" s="4">
        <f>IF(A35="","",IFERROR(ROUND(AVERAGEIFS(ASSESSMENTS!H:H,ASSESSMENTS!B:B,A35,ASSESSMENTS!E:E,"Mathematical Literacy"),1),""))</f>
        <v/>
      </c>
      <c r="H35" s="4">
        <f>IF(A35="","",IFERROR(ROUND(AVERAGEIFS(ASSESSMENTS!H:H,ASSESSMENTS!B:B,A35,ASSESSMENTS!E:E,"Physical Sciences"),1),""))</f>
        <v/>
      </c>
      <c r="I35" s="4">
        <f>IF(A35="","",IFERROR(ROUND(AVERAGEIFS(ASSESSMENTS!H:H,ASSESSMENTS!B:B,A35,ASSESSMENTS!E:E,"Geography"),1),""))</f>
        <v/>
      </c>
      <c r="J35" s="4">
        <f>IF(A35="","",IFERROR(ROUND(AVERAGEIFS(ASSESSMENTS!H:H,ASSESSMENTS!B:B,A35,ASSESSMENTS!E:E,"Accounting"),1),""))</f>
        <v/>
      </c>
      <c r="K35" s="4">
        <f>IF(A35="","",IFERROR(ROUND(AVERAGEIFS(ASSESSMENTS!H:H,ASSESSMENTS!B:B,A35,ASSESSMENTS!E:E,"English"),1),""))</f>
        <v/>
      </c>
      <c r="L35" s="5">
        <f>IF(A35="","",IFERROR(_xludf.XLOOKUP(A35,ATTENDANCE_SUMMARY!A:A,ATTENDANCE_SUMMARY!G:G,""),""))</f>
        <v/>
      </c>
      <c r="M35" s="4">
        <f>IF(A35="","",IF(OR(E35&lt;50,AND(L35&lt;0.75,L35&lt;&gt;"" )),"At Risk","On Track"))</f>
        <v/>
      </c>
    </row>
    <row r="36">
      <c r="A36">
        <f>IF(MASTER_REGISTER!E36="","",MASTER_REGISTER!E36)</f>
        <v/>
      </c>
      <c r="B36">
        <f>IF(A36="","",MASTER_REGISTER!F36)</f>
        <v/>
      </c>
      <c r="C36">
        <f>IF(A36="","",MASTER_REGISTER!C36)</f>
        <v/>
      </c>
      <c r="D36">
        <f>IF(A36="","",COUNTIF(ASSESSMENTS!B:B,A36))</f>
        <v/>
      </c>
      <c r="E36" s="4">
        <f>IF(D36=0,"",ROUND(AVERAGEIF(ASSESSMENTS!B:B,A36,ASSESSMENTS!H:H),1))</f>
        <v/>
      </c>
      <c r="F36" s="4">
        <f>IF(A36="","",IFERROR(ROUND(AVERAGEIFS(ASSESSMENTS!H:H,ASSESSMENTS!B:B,A36,ASSESSMENTS!E:E,"Mathematics"),1),""))</f>
        <v/>
      </c>
      <c r="G36" s="4">
        <f>IF(A36="","",IFERROR(ROUND(AVERAGEIFS(ASSESSMENTS!H:H,ASSESSMENTS!B:B,A36,ASSESSMENTS!E:E,"Mathematical Literacy"),1),""))</f>
        <v/>
      </c>
      <c r="H36" s="4">
        <f>IF(A36="","",IFERROR(ROUND(AVERAGEIFS(ASSESSMENTS!H:H,ASSESSMENTS!B:B,A36,ASSESSMENTS!E:E,"Physical Sciences"),1),""))</f>
        <v/>
      </c>
      <c r="I36" s="4">
        <f>IF(A36="","",IFERROR(ROUND(AVERAGEIFS(ASSESSMENTS!H:H,ASSESSMENTS!B:B,A36,ASSESSMENTS!E:E,"Geography"),1),""))</f>
        <v/>
      </c>
      <c r="J36" s="4">
        <f>IF(A36="","",IFERROR(ROUND(AVERAGEIFS(ASSESSMENTS!H:H,ASSESSMENTS!B:B,A36,ASSESSMENTS!E:E,"Accounting"),1),""))</f>
        <v/>
      </c>
      <c r="K36" s="4">
        <f>IF(A36="","",IFERROR(ROUND(AVERAGEIFS(ASSESSMENTS!H:H,ASSESSMENTS!B:B,A36,ASSESSMENTS!E:E,"English"),1),""))</f>
        <v/>
      </c>
      <c r="L36" s="5">
        <f>IF(A36="","",IFERROR(_xludf.XLOOKUP(A36,ATTENDANCE_SUMMARY!A:A,ATTENDANCE_SUMMARY!G:G,""),""))</f>
        <v/>
      </c>
      <c r="M36" s="4">
        <f>IF(A36="","",IF(OR(E36&lt;50,AND(L36&lt;0.75,L36&lt;&gt;"" )),"At Risk","On Track"))</f>
        <v/>
      </c>
    </row>
    <row r="37">
      <c r="A37">
        <f>IF(MASTER_REGISTER!E37="","",MASTER_REGISTER!E37)</f>
        <v/>
      </c>
      <c r="B37">
        <f>IF(A37="","",MASTER_REGISTER!F37)</f>
        <v/>
      </c>
      <c r="C37">
        <f>IF(A37="","",MASTER_REGISTER!C37)</f>
        <v/>
      </c>
      <c r="D37">
        <f>IF(A37="","",COUNTIF(ASSESSMENTS!B:B,A37))</f>
        <v/>
      </c>
      <c r="E37" s="4">
        <f>IF(D37=0,"",ROUND(AVERAGEIF(ASSESSMENTS!B:B,A37,ASSESSMENTS!H:H),1))</f>
        <v/>
      </c>
      <c r="F37" s="4">
        <f>IF(A37="","",IFERROR(ROUND(AVERAGEIFS(ASSESSMENTS!H:H,ASSESSMENTS!B:B,A37,ASSESSMENTS!E:E,"Mathematics"),1),""))</f>
        <v/>
      </c>
      <c r="G37" s="4">
        <f>IF(A37="","",IFERROR(ROUND(AVERAGEIFS(ASSESSMENTS!H:H,ASSESSMENTS!B:B,A37,ASSESSMENTS!E:E,"Mathematical Literacy"),1),""))</f>
        <v/>
      </c>
      <c r="H37" s="4">
        <f>IF(A37="","",IFERROR(ROUND(AVERAGEIFS(ASSESSMENTS!H:H,ASSESSMENTS!B:B,A37,ASSESSMENTS!E:E,"Physical Sciences"),1),""))</f>
        <v/>
      </c>
      <c r="I37" s="4">
        <f>IF(A37="","",IFERROR(ROUND(AVERAGEIFS(ASSESSMENTS!H:H,ASSESSMENTS!B:B,A37,ASSESSMENTS!E:E,"Geography"),1),""))</f>
        <v/>
      </c>
      <c r="J37" s="4">
        <f>IF(A37="","",IFERROR(ROUND(AVERAGEIFS(ASSESSMENTS!H:H,ASSESSMENTS!B:B,A37,ASSESSMENTS!E:E,"Accounting"),1),""))</f>
        <v/>
      </c>
      <c r="K37" s="4">
        <f>IF(A37="","",IFERROR(ROUND(AVERAGEIFS(ASSESSMENTS!H:H,ASSESSMENTS!B:B,A37,ASSESSMENTS!E:E,"English"),1),""))</f>
        <v/>
      </c>
      <c r="L37" s="5">
        <f>IF(A37="","",IFERROR(_xludf.XLOOKUP(A37,ATTENDANCE_SUMMARY!A:A,ATTENDANCE_SUMMARY!G:G,""),""))</f>
        <v/>
      </c>
      <c r="M37" s="4">
        <f>IF(A37="","",IF(OR(E37&lt;50,AND(L37&lt;0.75,L37&lt;&gt;"" )),"At Risk","On Track"))</f>
        <v/>
      </c>
    </row>
    <row r="38">
      <c r="A38">
        <f>IF(MASTER_REGISTER!E38="","",MASTER_REGISTER!E38)</f>
        <v/>
      </c>
      <c r="B38">
        <f>IF(A38="","",MASTER_REGISTER!F38)</f>
        <v/>
      </c>
      <c r="C38">
        <f>IF(A38="","",MASTER_REGISTER!C38)</f>
        <v/>
      </c>
      <c r="D38">
        <f>IF(A38="","",COUNTIF(ASSESSMENTS!B:B,A38))</f>
        <v/>
      </c>
      <c r="E38" s="4">
        <f>IF(D38=0,"",ROUND(AVERAGEIF(ASSESSMENTS!B:B,A38,ASSESSMENTS!H:H),1))</f>
        <v/>
      </c>
      <c r="F38" s="4">
        <f>IF(A38="","",IFERROR(ROUND(AVERAGEIFS(ASSESSMENTS!H:H,ASSESSMENTS!B:B,A38,ASSESSMENTS!E:E,"Mathematics"),1),""))</f>
        <v/>
      </c>
      <c r="G38" s="4">
        <f>IF(A38="","",IFERROR(ROUND(AVERAGEIFS(ASSESSMENTS!H:H,ASSESSMENTS!B:B,A38,ASSESSMENTS!E:E,"Mathematical Literacy"),1),""))</f>
        <v/>
      </c>
      <c r="H38" s="4">
        <f>IF(A38="","",IFERROR(ROUND(AVERAGEIFS(ASSESSMENTS!H:H,ASSESSMENTS!B:B,A38,ASSESSMENTS!E:E,"Physical Sciences"),1),""))</f>
        <v/>
      </c>
      <c r="I38" s="4">
        <f>IF(A38="","",IFERROR(ROUND(AVERAGEIFS(ASSESSMENTS!H:H,ASSESSMENTS!B:B,A38,ASSESSMENTS!E:E,"Geography"),1),""))</f>
        <v/>
      </c>
      <c r="J38" s="4">
        <f>IF(A38="","",IFERROR(ROUND(AVERAGEIFS(ASSESSMENTS!H:H,ASSESSMENTS!B:B,A38,ASSESSMENTS!E:E,"Accounting"),1),""))</f>
        <v/>
      </c>
      <c r="K38" s="4">
        <f>IF(A38="","",IFERROR(ROUND(AVERAGEIFS(ASSESSMENTS!H:H,ASSESSMENTS!B:B,A38,ASSESSMENTS!E:E,"English"),1),""))</f>
        <v/>
      </c>
      <c r="L38" s="5">
        <f>IF(A38="","",IFERROR(_xludf.XLOOKUP(A38,ATTENDANCE_SUMMARY!A:A,ATTENDANCE_SUMMARY!G:G,""),""))</f>
        <v/>
      </c>
      <c r="M38" s="4">
        <f>IF(A38="","",IF(OR(E38&lt;50,AND(L38&lt;0.75,L38&lt;&gt;"" )),"At Risk","On Track"))</f>
        <v/>
      </c>
    </row>
    <row r="39">
      <c r="A39">
        <f>IF(MASTER_REGISTER!E39="","",MASTER_REGISTER!E39)</f>
        <v/>
      </c>
      <c r="B39">
        <f>IF(A39="","",MASTER_REGISTER!F39)</f>
        <v/>
      </c>
      <c r="C39">
        <f>IF(A39="","",MASTER_REGISTER!C39)</f>
        <v/>
      </c>
      <c r="D39">
        <f>IF(A39="","",COUNTIF(ASSESSMENTS!B:B,A39))</f>
        <v/>
      </c>
      <c r="E39" s="4">
        <f>IF(D39=0,"",ROUND(AVERAGEIF(ASSESSMENTS!B:B,A39,ASSESSMENTS!H:H),1))</f>
        <v/>
      </c>
      <c r="F39" s="4">
        <f>IF(A39="","",IFERROR(ROUND(AVERAGEIFS(ASSESSMENTS!H:H,ASSESSMENTS!B:B,A39,ASSESSMENTS!E:E,"Mathematics"),1),""))</f>
        <v/>
      </c>
      <c r="G39" s="4">
        <f>IF(A39="","",IFERROR(ROUND(AVERAGEIFS(ASSESSMENTS!H:H,ASSESSMENTS!B:B,A39,ASSESSMENTS!E:E,"Mathematical Literacy"),1),""))</f>
        <v/>
      </c>
      <c r="H39" s="4">
        <f>IF(A39="","",IFERROR(ROUND(AVERAGEIFS(ASSESSMENTS!H:H,ASSESSMENTS!B:B,A39,ASSESSMENTS!E:E,"Physical Sciences"),1),""))</f>
        <v/>
      </c>
      <c r="I39" s="4">
        <f>IF(A39="","",IFERROR(ROUND(AVERAGEIFS(ASSESSMENTS!H:H,ASSESSMENTS!B:B,A39,ASSESSMENTS!E:E,"Geography"),1),""))</f>
        <v/>
      </c>
      <c r="J39" s="4">
        <f>IF(A39="","",IFERROR(ROUND(AVERAGEIFS(ASSESSMENTS!H:H,ASSESSMENTS!B:B,A39,ASSESSMENTS!E:E,"Accounting"),1),""))</f>
        <v/>
      </c>
      <c r="K39" s="4">
        <f>IF(A39="","",IFERROR(ROUND(AVERAGEIFS(ASSESSMENTS!H:H,ASSESSMENTS!B:B,A39,ASSESSMENTS!E:E,"English"),1),""))</f>
        <v/>
      </c>
      <c r="L39" s="5">
        <f>IF(A39="","",IFERROR(_xludf.XLOOKUP(A39,ATTENDANCE_SUMMARY!A:A,ATTENDANCE_SUMMARY!G:G,""),""))</f>
        <v/>
      </c>
      <c r="M39" s="4">
        <f>IF(A39="","",IF(OR(E39&lt;50,AND(L39&lt;0.75,L39&lt;&gt;"" )),"At Risk","On Track"))</f>
        <v/>
      </c>
    </row>
    <row r="40">
      <c r="A40">
        <f>IF(MASTER_REGISTER!E40="","",MASTER_REGISTER!E40)</f>
        <v/>
      </c>
      <c r="B40">
        <f>IF(A40="","",MASTER_REGISTER!F40)</f>
        <v/>
      </c>
      <c r="C40">
        <f>IF(A40="","",MASTER_REGISTER!C40)</f>
        <v/>
      </c>
      <c r="D40">
        <f>IF(A40="","",COUNTIF(ASSESSMENTS!B:B,A40))</f>
        <v/>
      </c>
      <c r="E40" s="4">
        <f>IF(D40=0,"",ROUND(AVERAGEIF(ASSESSMENTS!B:B,A40,ASSESSMENTS!H:H),1))</f>
        <v/>
      </c>
      <c r="F40" s="4">
        <f>IF(A40="","",IFERROR(ROUND(AVERAGEIFS(ASSESSMENTS!H:H,ASSESSMENTS!B:B,A40,ASSESSMENTS!E:E,"Mathematics"),1),""))</f>
        <v/>
      </c>
      <c r="G40" s="4">
        <f>IF(A40="","",IFERROR(ROUND(AVERAGEIFS(ASSESSMENTS!H:H,ASSESSMENTS!B:B,A40,ASSESSMENTS!E:E,"Mathematical Literacy"),1),""))</f>
        <v/>
      </c>
      <c r="H40" s="4">
        <f>IF(A40="","",IFERROR(ROUND(AVERAGEIFS(ASSESSMENTS!H:H,ASSESSMENTS!B:B,A40,ASSESSMENTS!E:E,"Physical Sciences"),1),""))</f>
        <v/>
      </c>
      <c r="I40" s="4">
        <f>IF(A40="","",IFERROR(ROUND(AVERAGEIFS(ASSESSMENTS!H:H,ASSESSMENTS!B:B,A40,ASSESSMENTS!E:E,"Geography"),1),""))</f>
        <v/>
      </c>
      <c r="J40" s="4">
        <f>IF(A40="","",IFERROR(ROUND(AVERAGEIFS(ASSESSMENTS!H:H,ASSESSMENTS!B:B,A40,ASSESSMENTS!E:E,"Accounting"),1),""))</f>
        <v/>
      </c>
      <c r="K40" s="4">
        <f>IF(A40="","",IFERROR(ROUND(AVERAGEIFS(ASSESSMENTS!H:H,ASSESSMENTS!B:B,A40,ASSESSMENTS!E:E,"English"),1),""))</f>
        <v/>
      </c>
      <c r="L40" s="5">
        <f>IF(A40="","",IFERROR(_xludf.XLOOKUP(A40,ATTENDANCE_SUMMARY!A:A,ATTENDANCE_SUMMARY!G:G,""),""))</f>
        <v/>
      </c>
      <c r="M40" s="4">
        <f>IF(A40="","",IF(OR(E40&lt;50,AND(L40&lt;0.75,L40&lt;&gt;"" )),"At Risk","On Track"))</f>
        <v/>
      </c>
    </row>
    <row r="41">
      <c r="A41">
        <f>IF(MASTER_REGISTER!E41="","",MASTER_REGISTER!E41)</f>
        <v/>
      </c>
      <c r="B41">
        <f>IF(A41="","",MASTER_REGISTER!F41)</f>
        <v/>
      </c>
      <c r="C41">
        <f>IF(A41="","",MASTER_REGISTER!C41)</f>
        <v/>
      </c>
      <c r="D41">
        <f>IF(A41="","",COUNTIF(ASSESSMENTS!B:B,A41))</f>
        <v/>
      </c>
      <c r="E41" s="4">
        <f>IF(D41=0,"",ROUND(AVERAGEIF(ASSESSMENTS!B:B,A41,ASSESSMENTS!H:H),1))</f>
        <v/>
      </c>
      <c r="F41" s="4">
        <f>IF(A41="","",IFERROR(ROUND(AVERAGEIFS(ASSESSMENTS!H:H,ASSESSMENTS!B:B,A41,ASSESSMENTS!E:E,"Mathematics"),1),""))</f>
        <v/>
      </c>
      <c r="G41" s="4">
        <f>IF(A41="","",IFERROR(ROUND(AVERAGEIFS(ASSESSMENTS!H:H,ASSESSMENTS!B:B,A41,ASSESSMENTS!E:E,"Mathematical Literacy"),1),""))</f>
        <v/>
      </c>
      <c r="H41" s="4">
        <f>IF(A41="","",IFERROR(ROUND(AVERAGEIFS(ASSESSMENTS!H:H,ASSESSMENTS!B:B,A41,ASSESSMENTS!E:E,"Physical Sciences"),1),""))</f>
        <v/>
      </c>
      <c r="I41" s="4">
        <f>IF(A41="","",IFERROR(ROUND(AVERAGEIFS(ASSESSMENTS!H:H,ASSESSMENTS!B:B,A41,ASSESSMENTS!E:E,"Geography"),1),""))</f>
        <v/>
      </c>
      <c r="J41" s="4">
        <f>IF(A41="","",IFERROR(ROUND(AVERAGEIFS(ASSESSMENTS!H:H,ASSESSMENTS!B:B,A41,ASSESSMENTS!E:E,"Accounting"),1),""))</f>
        <v/>
      </c>
      <c r="K41" s="4">
        <f>IF(A41="","",IFERROR(ROUND(AVERAGEIFS(ASSESSMENTS!H:H,ASSESSMENTS!B:B,A41,ASSESSMENTS!E:E,"English"),1),""))</f>
        <v/>
      </c>
      <c r="L41" s="5">
        <f>IF(A41="","",IFERROR(_xludf.XLOOKUP(A41,ATTENDANCE_SUMMARY!A:A,ATTENDANCE_SUMMARY!G:G,""),""))</f>
        <v/>
      </c>
      <c r="M41" s="4">
        <f>IF(A41="","",IF(OR(E41&lt;50,AND(L41&lt;0.75,L41&lt;&gt;"" )),"At Risk","On Track"))</f>
        <v/>
      </c>
    </row>
    <row r="42">
      <c r="A42">
        <f>IF(MASTER_REGISTER!E42="","",MASTER_REGISTER!E42)</f>
        <v/>
      </c>
      <c r="B42">
        <f>IF(A42="","",MASTER_REGISTER!F42)</f>
        <v/>
      </c>
      <c r="C42">
        <f>IF(A42="","",MASTER_REGISTER!C42)</f>
        <v/>
      </c>
      <c r="D42">
        <f>IF(A42="","",COUNTIF(ASSESSMENTS!B:B,A42))</f>
        <v/>
      </c>
      <c r="E42" s="4">
        <f>IF(D42=0,"",ROUND(AVERAGEIF(ASSESSMENTS!B:B,A42,ASSESSMENTS!H:H),1))</f>
        <v/>
      </c>
      <c r="F42" s="4">
        <f>IF(A42="","",IFERROR(ROUND(AVERAGEIFS(ASSESSMENTS!H:H,ASSESSMENTS!B:B,A42,ASSESSMENTS!E:E,"Mathematics"),1),""))</f>
        <v/>
      </c>
      <c r="G42" s="4">
        <f>IF(A42="","",IFERROR(ROUND(AVERAGEIFS(ASSESSMENTS!H:H,ASSESSMENTS!B:B,A42,ASSESSMENTS!E:E,"Mathematical Literacy"),1),""))</f>
        <v/>
      </c>
      <c r="H42" s="4">
        <f>IF(A42="","",IFERROR(ROUND(AVERAGEIFS(ASSESSMENTS!H:H,ASSESSMENTS!B:B,A42,ASSESSMENTS!E:E,"Physical Sciences"),1),""))</f>
        <v/>
      </c>
      <c r="I42" s="4">
        <f>IF(A42="","",IFERROR(ROUND(AVERAGEIFS(ASSESSMENTS!H:H,ASSESSMENTS!B:B,A42,ASSESSMENTS!E:E,"Geography"),1),""))</f>
        <v/>
      </c>
      <c r="J42" s="4">
        <f>IF(A42="","",IFERROR(ROUND(AVERAGEIFS(ASSESSMENTS!H:H,ASSESSMENTS!B:B,A42,ASSESSMENTS!E:E,"Accounting"),1),""))</f>
        <v/>
      </c>
      <c r="K42" s="4">
        <f>IF(A42="","",IFERROR(ROUND(AVERAGEIFS(ASSESSMENTS!H:H,ASSESSMENTS!B:B,A42,ASSESSMENTS!E:E,"English"),1),""))</f>
        <v/>
      </c>
      <c r="L42" s="5">
        <f>IF(A42="","",IFERROR(_xludf.XLOOKUP(A42,ATTENDANCE_SUMMARY!A:A,ATTENDANCE_SUMMARY!G:G,""),""))</f>
        <v/>
      </c>
      <c r="M42" s="4">
        <f>IF(A42="","",IF(OR(E42&lt;50,AND(L42&lt;0.75,L42&lt;&gt;"" )),"At Risk","On Track"))</f>
        <v/>
      </c>
    </row>
    <row r="43">
      <c r="A43">
        <f>IF(MASTER_REGISTER!E43="","",MASTER_REGISTER!E43)</f>
        <v/>
      </c>
      <c r="B43">
        <f>IF(A43="","",MASTER_REGISTER!F43)</f>
        <v/>
      </c>
      <c r="C43">
        <f>IF(A43="","",MASTER_REGISTER!C43)</f>
        <v/>
      </c>
      <c r="D43">
        <f>IF(A43="","",COUNTIF(ASSESSMENTS!B:B,A43))</f>
        <v/>
      </c>
      <c r="E43" s="4">
        <f>IF(D43=0,"",ROUND(AVERAGEIF(ASSESSMENTS!B:B,A43,ASSESSMENTS!H:H),1))</f>
        <v/>
      </c>
      <c r="F43" s="4">
        <f>IF(A43="","",IFERROR(ROUND(AVERAGEIFS(ASSESSMENTS!H:H,ASSESSMENTS!B:B,A43,ASSESSMENTS!E:E,"Mathematics"),1),""))</f>
        <v/>
      </c>
      <c r="G43" s="4">
        <f>IF(A43="","",IFERROR(ROUND(AVERAGEIFS(ASSESSMENTS!H:H,ASSESSMENTS!B:B,A43,ASSESSMENTS!E:E,"Mathematical Literacy"),1),""))</f>
        <v/>
      </c>
      <c r="H43" s="4">
        <f>IF(A43="","",IFERROR(ROUND(AVERAGEIFS(ASSESSMENTS!H:H,ASSESSMENTS!B:B,A43,ASSESSMENTS!E:E,"Physical Sciences"),1),""))</f>
        <v/>
      </c>
      <c r="I43" s="4">
        <f>IF(A43="","",IFERROR(ROUND(AVERAGEIFS(ASSESSMENTS!H:H,ASSESSMENTS!B:B,A43,ASSESSMENTS!E:E,"Geography"),1),""))</f>
        <v/>
      </c>
      <c r="J43" s="4">
        <f>IF(A43="","",IFERROR(ROUND(AVERAGEIFS(ASSESSMENTS!H:H,ASSESSMENTS!B:B,A43,ASSESSMENTS!E:E,"Accounting"),1),""))</f>
        <v/>
      </c>
      <c r="K43" s="4">
        <f>IF(A43="","",IFERROR(ROUND(AVERAGEIFS(ASSESSMENTS!H:H,ASSESSMENTS!B:B,A43,ASSESSMENTS!E:E,"English"),1),""))</f>
        <v/>
      </c>
      <c r="L43" s="5">
        <f>IF(A43="","",IFERROR(_xludf.XLOOKUP(A43,ATTENDANCE_SUMMARY!A:A,ATTENDANCE_SUMMARY!G:G,""),""))</f>
        <v/>
      </c>
      <c r="M43" s="4">
        <f>IF(A43="","",IF(OR(E43&lt;50,AND(L43&lt;0.75,L43&lt;&gt;"" )),"At Risk","On Track"))</f>
        <v/>
      </c>
    </row>
    <row r="44">
      <c r="A44">
        <f>IF(MASTER_REGISTER!E44="","",MASTER_REGISTER!E44)</f>
        <v/>
      </c>
      <c r="B44">
        <f>IF(A44="","",MASTER_REGISTER!F44)</f>
        <v/>
      </c>
      <c r="C44">
        <f>IF(A44="","",MASTER_REGISTER!C44)</f>
        <v/>
      </c>
      <c r="D44">
        <f>IF(A44="","",COUNTIF(ASSESSMENTS!B:B,A44))</f>
        <v/>
      </c>
      <c r="E44" s="4">
        <f>IF(D44=0,"",ROUND(AVERAGEIF(ASSESSMENTS!B:B,A44,ASSESSMENTS!H:H),1))</f>
        <v/>
      </c>
      <c r="F44" s="4">
        <f>IF(A44="","",IFERROR(ROUND(AVERAGEIFS(ASSESSMENTS!H:H,ASSESSMENTS!B:B,A44,ASSESSMENTS!E:E,"Mathematics"),1),""))</f>
        <v/>
      </c>
      <c r="G44" s="4">
        <f>IF(A44="","",IFERROR(ROUND(AVERAGEIFS(ASSESSMENTS!H:H,ASSESSMENTS!B:B,A44,ASSESSMENTS!E:E,"Mathematical Literacy"),1),""))</f>
        <v/>
      </c>
      <c r="H44" s="4">
        <f>IF(A44="","",IFERROR(ROUND(AVERAGEIFS(ASSESSMENTS!H:H,ASSESSMENTS!B:B,A44,ASSESSMENTS!E:E,"Physical Sciences"),1),""))</f>
        <v/>
      </c>
      <c r="I44" s="4">
        <f>IF(A44="","",IFERROR(ROUND(AVERAGEIFS(ASSESSMENTS!H:H,ASSESSMENTS!B:B,A44,ASSESSMENTS!E:E,"Geography"),1),""))</f>
        <v/>
      </c>
      <c r="J44" s="4">
        <f>IF(A44="","",IFERROR(ROUND(AVERAGEIFS(ASSESSMENTS!H:H,ASSESSMENTS!B:B,A44,ASSESSMENTS!E:E,"Accounting"),1),""))</f>
        <v/>
      </c>
      <c r="K44" s="4">
        <f>IF(A44="","",IFERROR(ROUND(AVERAGEIFS(ASSESSMENTS!H:H,ASSESSMENTS!B:B,A44,ASSESSMENTS!E:E,"English"),1),""))</f>
        <v/>
      </c>
      <c r="L44" s="5">
        <f>IF(A44="","",IFERROR(_xludf.XLOOKUP(A44,ATTENDANCE_SUMMARY!A:A,ATTENDANCE_SUMMARY!G:G,""),""))</f>
        <v/>
      </c>
      <c r="M44" s="4">
        <f>IF(A44="","",IF(OR(E44&lt;50,AND(L44&lt;0.75,L44&lt;&gt;"" )),"At Risk","On Track"))</f>
        <v/>
      </c>
    </row>
    <row r="45">
      <c r="A45">
        <f>IF(MASTER_REGISTER!E45="","",MASTER_REGISTER!E45)</f>
        <v/>
      </c>
      <c r="B45">
        <f>IF(A45="","",MASTER_REGISTER!F45)</f>
        <v/>
      </c>
      <c r="C45">
        <f>IF(A45="","",MASTER_REGISTER!C45)</f>
        <v/>
      </c>
      <c r="D45">
        <f>IF(A45="","",COUNTIF(ASSESSMENTS!B:B,A45))</f>
        <v/>
      </c>
      <c r="E45" s="4">
        <f>IF(D45=0,"",ROUND(AVERAGEIF(ASSESSMENTS!B:B,A45,ASSESSMENTS!H:H),1))</f>
        <v/>
      </c>
      <c r="F45" s="4">
        <f>IF(A45="","",IFERROR(ROUND(AVERAGEIFS(ASSESSMENTS!H:H,ASSESSMENTS!B:B,A45,ASSESSMENTS!E:E,"Mathematics"),1),""))</f>
        <v/>
      </c>
      <c r="G45" s="4">
        <f>IF(A45="","",IFERROR(ROUND(AVERAGEIFS(ASSESSMENTS!H:H,ASSESSMENTS!B:B,A45,ASSESSMENTS!E:E,"Mathematical Literacy"),1),""))</f>
        <v/>
      </c>
      <c r="H45" s="4">
        <f>IF(A45="","",IFERROR(ROUND(AVERAGEIFS(ASSESSMENTS!H:H,ASSESSMENTS!B:B,A45,ASSESSMENTS!E:E,"Physical Sciences"),1),""))</f>
        <v/>
      </c>
      <c r="I45" s="4">
        <f>IF(A45="","",IFERROR(ROUND(AVERAGEIFS(ASSESSMENTS!H:H,ASSESSMENTS!B:B,A45,ASSESSMENTS!E:E,"Geography"),1),""))</f>
        <v/>
      </c>
      <c r="J45" s="4">
        <f>IF(A45="","",IFERROR(ROUND(AVERAGEIFS(ASSESSMENTS!H:H,ASSESSMENTS!B:B,A45,ASSESSMENTS!E:E,"Accounting"),1),""))</f>
        <v/>
      </c>
      <c r="K45" s="4">
        <f>IF(A45="","",IFERROR(ROUND(AVERAGEIFS(ASSESSMENTS!H:H,ASSESSMENTS!B:B,A45,ASSESSMENTS!E:E,"English"),1),""))</f>
        <v/>
      </c>
      <c r="L45" s="5">
        <f>IF(A45="","",IFERROR(_xludf.XLOOKUP(A45,ATTENDANCE_SUMMARY!A:A,ATTENDANCE_SUMMARY!G:G,""),""))</f>
        <v/>
      </c>
      <c r="M45" s="4">
        <f>IF(A45="","",IF(OR(E45&lt;50,AND(L45&lt;0.75,L45&lt;&gt;"" )),"At Risk","On Track"))</f>
        <v/>
      </c>
    </row>
    <row r="46">
      <c r="A46">
        <f>IF(MASTER_REGISTER!E46="","",MASTER_REGISTER!E46)</f>
        <v/>
      </c>
      <c r="B46">
        <f>IF(A46="","",MASTER_REGISTER!F46)</f>
        <v/>
      </c>
      <c r="C46">
        <f>IF(A46="","",MASTER_REGISTER!C46)</f>
        <v/>
      </c>
      <c r="D46">
        <f>IF(A46="","",COUNTIF(ASSESSMENTS!B:B,A46))</f>
        <v/>
      </c>
      <c r="E46" s="4">
        <f>IF(D46=0,"",ROUND(AVERAGEIF(ASSESSMENTS!B:B,A46,ASSESSMENTS!H:H),1))</f>
        <v/>
      </c>
      <c r="F46" s="4">
        <f>IF(A46="","",IFERROR(ROUND(AVERAGEIFS(ASSESSMENTS!H:H,ASSESSMENTS!B:B,A46,ASSESSMENTS!E:E,"Mathematics"),1),""))</f>
        <v/>
      </c>
      <c r="G46" s="4">
        <f>IF(A46="","",IFERROR(ROUND(AVERAGEIFS(ASSESSMENTS!H:H,ASSESSMENTS!B:B,A46,ASSESSMENTS!E:E,"Mathematical Literacy"),1),""))</f>
        <v/>
      </c>
      <c r="H46" s="4">
        <f>IF(A46="","",IFERROR(ROUND(AVERAGEIFS(ASSESSMENTS!H:H,ASSESSMENTS!B:B,A46,ASSESSMENTS!E:E,"Physical Sciences"),1),""))</f>
        <v/>
      </c>
      <c r="I46" s="4">
        <f>IF(A46="","",IFERROR(ROUND(AVERAGEIFS(ASSESSMENTS!H:H,ASSESSMENTS!B:B,A46,ASSESSMENTS!E:E,"Geography"),1),""))</f>
        <v/>
      </c>
      <c r="J46" s="4">
        <f>IF(A46="","",IFERROR(ROUND(AVERAGEIFS(ASSESSMENTS!H:H,ASSESSMENTS!B:B,A46,ASSESSMENTS!E:E,"Accounting"),1),""))</f>
        <v/>
      </c>
      <c r="K46" s="4">
        <f>IF(A46="","",IFERROR(ROUND(AVERAGEIFS(ASSESSMENTS!H:H,ASSESSMENTS!B:B,A46,ASSESSMENTS!E:E,"English"),1),""))</f>
        <v/>
      </c>
      <c r="L46" s="5">
        <f>IF(A46="","",IFERROR(_xludf.XLOOKUP(A46,ATTENDANCE_SUMMARY!A:A,ATTENDANCE_SUMMARY!G:G,""),""))</f>
        <v/>
      </c>
      <c r="M46" s="4">
        <f>IF(A46="","",IF(OR(E46&lt;50,AND(L46&lt;0.75,L46&lt;&gt;"" )),"At Risk","On Track"))</f>
        <v/>
      </c>
    </row>
    <row r="47">
      <c r="A47">
        <f>IF(MASTER_REGISTER!E47="","",MASTER_REGISTER!E47)</f>
        <v/>
      </c>
      <c r="B47">
        <f>IF(A47="","",MASTER_REGISTER!F47)</f>
        <v/>
      </c>
      <c r="C47">
        <f>IF(A47="","",MASTER_REGISTER!C47)</f>
        <v/>
      </c>
      <c r="D47">
        <f>IF(A47="","",COUNTIF(ASSESSMENTS!B:B,A47))</f>
        <v/>
      </c>
      <c r="E47" s="4">
        <f>IF(D47=0,"",ROUND(AVERAGEIF(ASSESSMENTS!B:B,A47,ASSESSMENTS!H:H),1))</f>
        <v/>
      </c>
      <c r="F47" s="4">
        <f>IF(A47="","",IFERROR(ROUND(AVERAGEIFS(ASSESSMENTS!H:H,ASSESSMENTS!B:B,A47,ASSESSMENTS!E:E,"Mathematics"),1),""))</f>
        <v/>
      </c>
      <c r="G47" s="4">
        <f>IF(A47="","",IFERROR(ROUND(AVERAGEIFS(ASSESSMENTS!H:H,ASSESSMENTS!B:B,A47,ASSESSMENTS!E:E,"Mathematical Literacy"),1),""))</f>
        <v/>
      </c>
      <c r="H47" s="4">
        <f>IF(A47="","",IFERROR(ROUND(AVERAGEIFS(ASSESSMENTS!H:H,ASSESSMENTS!B:B,A47,ASSESSMENTS!E:E,"Physical Sciences"),1),""))</f>
        <v/>
      </c>
      <c r="I47" s="4">
        <f>IF(A47="","",IFERROR(ROUND(AVERAGEIFS(ASSESSMENTS!H:H,ASSESSMENTS!B:B,A47,ASSESSMENTS!E:E,"Geography"),1),""))</f>
        <v/>
      </c>
      <c r="J47" s="4">
        <f>IF(A47="","",IFERROR(ROUND(AVERAGEIFS(ASSESSMENTS!H:H,ASSESSMENTS!B:B,A47,ASSESSMENTS!E:E,"Accounting"),1),""))</f>
        <v/>
      </c>
      <c r="K47" s="4">
        <f>IF(A47="","",IFERROR(ROUND(AVERAGEIFS(ASSESSMENTS!H:H,ASSESSMENTS!B:B,A47,ASSESSMENTS!E:E,"English"),1),""))</f>
        <v/>
      </c>
      <c r="L47" s="5">
        <f>IF(A47="","",IFERROR(_xludf.XLOOKUP(A47,ATTENDANCE_SUMMARY!A:A,ATTENDANCE_SUMMARY!G:G,""),""))</f>
        <v/>
      </c>
      <c r="M47" s="4">
        <f>IF(A47="","",IF(OR(E47&lt;50,AND(L47&lt;0.75,L47&lt;&gt;"" )),"At Risk","On Track"))</f>
        <v/>
      </c>
    </row>
    <row r="48">
      <c r="A48">
        <f>IF(MASTER_REGISTER!E48="","",MASTER_REGISTER!E48)</f>
        <v/>
      </c>
      <c r="B48">
        <f>IF(A48="","",MASTER_REGISTER!F48)</f>
        <v/>
      </c>
      <c r="C48">
        <f>IF(A48="","",MASTER_REGISTER!C48)</f>
        <v/>
      </c>
      <c r="D48">
        <f>IF(A48="","",COUNTIF(ASSESSMENTS!B:B,A48))</f>
        <v/>
      </c>
      <c r="E48" s="4">
        <f>IF(D48=0,"",ROUND(AVERAGEIF(ASSESSMENTS!B:B,A48,ASSESSMENTS!H:H),1))</f>
        <v/>
      </c>
      <c r="F48" s="4">
        <f>IF(A48="","",IFERROR(ROUND(AVERAGEIFS(ASSESSMENTS!H:H,ASSESSMENTS!B:B,A48,ASSESSMENTS!E:E,"Mathematics"),1),""))</f>
        <v/>
      </c>
      <c r="G48" s="4">
        <f>IF(A48="","",IFERROR(ROUND(AVERAGEIFS(ASSESSMENTS!H:H,ASSESSMENTS!B:B,A48,ASSESSMENTS!E:E,"Mathematical Literacy"),1),""))</f>
        <v/>
      </c>
      <c r="H48" s="4">
        <f>IF(A48="","",IFERROR(ROUND(AVERAGEIFS(ASSESSMENTS!H:H,ASSESSMENTS!B:B,A48,ASSESSMENTS!E:E,"Physical Sciences"),1),""))</f>
        <v/>
      </c>
      <c r="I48" s="4">
        <f>IF(A48="","",IFERROR(ROUND(AVERAGEIFS(ASSESSMENTS!H:H,ASSESSMENTS!B:B,A48,ASSESSMENTS!E:E,"Geography"),1),""))</f>
        <v/>
      </c>
      <c r="J48" s="4">
        <f>IF(A48="","",IFERROR(ROUND(AVERAGEIFS(ASSESSMENTS!H:H,ASSESSMENTS!B:B,A48,ASSESSMENTS!E:E,"Accounting"),1),""))</f>
        <v/>
      </c>
      <c r="K48" s="4">
        <f>IF(A48="","",IFERROR(ROUND(AVERAGEIFS(ASSESSMENTS!H:H,ASSESSMENTS!B:B,A48,ASSESSMENTS!E:E,"English"),1),""))</f>
        <v/>
      </c>
      <c r="L48" s="5">
        <f>IF(A48="","",IFERROR(_xludf.XLOOKUP(A48,ATTENDANCE_SUMMARY!A:A,ATTENDANCE_SUMMARY!G:G,""),""))</f>
        <v/>
      </c>
      <c r="M48" s="4">
        <f>IF(A48="","",IF(OR(E48&lt;50,AND(L48&lt;0.75,L48&lt;&gt;"" )),"At Risk","On Track"))</f>
        <v/>
      </c>
    </row>
    <row r="49">
      <c r="A49">
        <f>IF(MASTER_REGISTER!E49="","",MASTER_REGISTER!E49)</f>
        <v/>
      </c>
      <c r="B49">
        <f>IF(A49="","",MASTER_REGISTER!F49)</f>
        <v/>
      </c>
      <c r="C49">
        <f>IF(A49="","",MASTER_REGISTER!C49)</f>
        <v/>
      </c>
      <c r="D49">
        <f>IF(A49="","",COUNTIF(ASSESSMENTS!B:B,A49))</f>
        <v/>
      </c>
      <c r="E49" s="4">
        <f>IF(D49=0,"",ROUND(AVERAGEIF(ASSESSMENTS!B:B,A49,ASSESSMENTS!H:H),1))</f>
        <v/>
      </c>
      <c r="F49" s="4">
        <f>IF(A49="","",IFERROR(ROUND(AVERAGEIFS(ASSESSMENTS!H:H,ASSESSMENTS!B:B,A49,ASSESSMENTS!E:E,"Mathematics"),1),""))</f>
        <v/>
      </c>
      <c r="G49" s="4">
        <f>IF(A49="","",IFERROR(ROUND(AVERAGEIFS(ASSESSMENTS!H:H,ASSESSMENTS!B:B,A49,ASSESSMENTS!E:E,"Mathematical Literacy"),1),""))</f>
        <v/>
      </c>
      <c r="H49" s="4">
        <f>IF(A49="","",IFERROR(ROUND(AVERAGEIFS(ASSESSMENTS!H:H,ASSESSMENTS!B:B,A49,ASSESSMENTS!E:E,"Physical Sciences"),1),""))</f>
        <v/>
      </c>
      <c r="I49" s="4">
        <f>IF(A49="","",IFERROR(ROUND(AVERAGEIFS(ASSESSMENTS!H:H,ASSESSMENTS!B:B,A49,ASSESSMENTS!E:E,"Geography"),1),""))</f>
        <v/>
      </c>
      <c r="J49" s="4">
        <f>IF(A49="","",IFERROR(ROUND(AVERAGEIFS(ASSESSMENTS!H:H,ASSESSMENTS!B:B,A49,ASSESSMENTS!E:E,"Accounting"),1),""))</f>
        <v/>
      </c>
      <c r="K49" s="4">
        <f>IF(A49="","",IFERROR(ROUND(AVERAGEIFS(ASSESSMENTS!H:H,ASSESSMENTS!B:B,A49,ASSESSMENTS!E:E,"English"),1),""))</f>
        <v/>
      </c>
      <c r="L49" s="5">
        <f>IF(A49="","",IFERROR(_xludf.XLOOKUP(A49,ATTENDANCE_SUMMARY!A:A,ATTENDANCE_SUMMARY!G:G,""),""))</f>
        <v/>
      </c>
      <c r="M49" s="4">
        <f>IF(A49="","",IF(OR(E49&lt;50,AND(L49&lt;0.75,L49&lt;&gt;"" )),"At Risk","On Track"))</f>
        <v/>
      </c>
    </row>
    <row r="50">
      <c r="A50">
        <f>IF(MASTER_REGISTER!E50="","",MASTER_REGISTER!E50)</f>
        <v/>
      </c>
      <c r="B50">
        <f>IF(A50="","",MASTER_REGISTER!F50)</f>
        <v/>
      </c>
      <c r="C50">
        <f>IF(A50="","",MASTER_REGISTER!C50)</f>
        <v/>
      </c>
      <c r="D50">
        <f>IF(A50="","",COUNTIF(ASSESSMENTS!B:B,A50))</f>
        <v/>
      </c>
      <c r="E50" s="4">
        <f>IF(D50=0,"",ROUND(AVERAGEIF(ASSESSMENTS!B:B,A50,ASSESSMENTS!H:H),1))</f>
        <v/>
      </c>
      <c r="F50" s="4">
        <f>IF(A50="","",IFERROR(ROUND(AVERAGEIFS(ASSESSMENTS!H:H,ASSESSMENTS!B:B,A50,ASSESSMENTS!E:E,"Mathematics"),1),""))</f>
        <v/>
      </c>
      <c r="G50" s="4">
        <f>IF(A50="","",IFERROR(ROUND(AVERAGEIFS(ASSESSMENTS!H:H,ASSESSMENTS!B:B,A50,ASSESSMENTS!E:E,"Mathematical Literacy"),1),""))</f>
        <v/>
      </c>
      <c r="H50" s="4">
        <f>IF(A50="","",IFERROR(ROUND(AVERAGEIFS(ASSESSMENTS!H:H,ASSESSMENTS!B:B,A50,ASSESSMENTS!E:E,"Physical Sciences"),1),""))</f>
        <v/>
      </c>
      <c r="I50" s="4">
        <f>IF(A50="","",IFERROR(ROUND(AVERAGEIFS(ASSESSMENTS!H:H,ASSESSMENTS!B:B,A50,ASSESSMENTS!E:E,"Geography"),1),""))</f>
        <v/>
      </c>
      <c r="J50" s="4">
        <f>IF(A50="","",IFERROR(ROUND(AVERAGEIFS(ASSESSMENTS!H:H,ASSESSMENTS!B:B,A50,ASSESSMENTS!E:E,"Accounting"),1),""))</f>
        <v/>
      </c>
      <c r="K50" s="4">
        <f>IF(A50="","",IFERROR(ROUND(AVERAGEIFS(ASSESSMENTS!H:H,ASSESSMENTS!B:B,A50,ASSESSMENTS!E:E,"English"),1),""))</f>
        <v/>
      </c>
      <c r="L50" s="5">
        <f>IF(A50="","",IFERROR(_xludf.XLOOKUP(A50,ATTENDANCE_SUMMARY!A:A,ATTENDANCE_SUMMARY!G:G,""),""))</f>
        <v/>
      </c>
      <c r="M50" s="4">
        <f>IF(A50="","",IF(OR(E50&lt;50,AND(L50&lt;0.75,L50&lt;&gt;"" )),"At Risk","On Track"))</f>
        <v/>
      </c>
    </row>
    <row r="51">
      <c r="A51">
        <f>IF(MASTER_REGISTER!E51="","",MASTER_REGISTER!E51)</f>
        <v/>
      </c>
      <c r="B51">
        <f>IF(A51="","",MASTER_REGISTER!F51)</f>
        <v/>
      </c>
      <c r="C51">
        <f>IF(A51="","",MASTER_REGISTER!C51)</f>
        <v/>
      </c>
      <c r="D51">
        <f>IF(A51="","",COUNTIF(ASSESSMENTS!B:B,A51))</f>
        <v/>
      </c>
      <c r="E51" s="4">
        <f>IF(D51=0,"",ROUND(AVERAGEIF(ASSESSMENTS!B:B,A51,ASSESSMENTS!H:H),1))</f>
        <v/>
      </c>
      <c r="F51" s="4">
        <f>IF(A51="","",IFERROR(ROUND(AVERAGEIFS(ASSESSMENTS!H:H,ASSESSMENTS!B:B,A51,ASSESSMENTS!E:E,"Mathematics"),1),""))</f>
        <v/>
      </c>
      <c r="G51" s="4">
        <f>IF(A51="","",IFERROR(ROUND(AVERAGEIFS(ASSESSMENTS!H:H,ASSESSMENTS!B:B,A51,ASSESSMENTS!E:E,"Mathematical Literacy"),1),""))</f>
        <v/>
      </c>
      <c r="H51" s="4">
        <f>IF(A51="","",IFERROR(ROUND(AVERAGEIFS(ASSESSMENTS!H:H,ASSESSMENTS!B:B,A51,ASSESSMENTS!E:E,"Physical Sciences"),1),""))</f>
        <v/>
      </c>
      <c r="I51" s="4">
        <f>IF(A51="","",IFERROR(ROUND(AVERAGEIFS(ASSESSMENTS!H:H,ASSESSMENTS!B:B,A51,ASSESSMENTS!E:E,"Geography"),1),""))</f>
        <v/>
      </c>
      <c r="J51" s="4">
        <f>IF(A51="","",IFERROR(ROUND(AVERAGEIFS(ASSESSMENTS!H:H,ASSESSMENTS!B:B,A51,ASSESSMENTS!E:E,"Accounting"),1),""))</f>
        <v/>
      </c>
      <c r="K51" s="4">
        <f>IF(A51="","",IFERROR(ROUND(AVERAGEIFS(ASSESSMENTS!H:H,ASSESSMENTS!B:B,A51,ASSESSMENTS!E:E,"English"),1),""))</f>
        <v/>
      </c>
      <c r="L51" s="5">
        <f>IF(A51="","",IFERROR(_xludf.XLOOKUP(A51,ATTENDANCE_SUMMARY!A:A,ATTENDANCE_SUMMARY!G:G,""),""))</f>
        <v/>
      </c>
      <c r="M51" s="4">
        <f>IF(A51="","",IF(OR(E51&lt;50,AND(L51&lt;0.75,L51&lt;&gt;"" )),"At Risk","On Track"))</f>
        <v/>
      </c>
    </row>
    <row r="52">
      <c r="A52">
        <f>IF(MASTER_REGISTER!E52="","",MASTER_REGISTER!E52)</f>
        <v/>
      </c>
      <c r="B52">
        <f>IF(A52="","",MASTER_REGISTER!F52)</f>
        <v/>
      </c>
      <c r="C52">
        <f>IF(A52="","",MASTER_REGISTER!C52)</f>
        <v/>
      </c>
      <c r="D52">
        <f>IF(A52="","",COUNTIF(ASSESSMENTS!B:B,A52))</f>
        <v/>
      </c>
      <c r="E52" s="4">
        <f>IF(D52=0,"",ROUND(AVERAGEIF(ASSESSMENTS!B:B,A52,ASSESSMENTS!H:H),1))</f>
        <v/>
      </c>
      <c r="F52" s="4">
        <f>IF(A52="","",IFERROR(ROUND(AVERAGEIFS(ASSESSMENTS!H:H,ASSESSMENTS!B:B,A52,ASSESSMENTS!E:E,"Mathematics"),1),""))</f>
        <v/>
      </c>
      <c r="G52" s="4">
        <f>IF(A52="","",IFERROR(ROUND(AVERAGEIFS(ASSESSMENTS!H:H,ASSESSMENTS!B:B,A52,ASSESSMENTS!E:E,"Mathematical Literacy"),1),""))</f>
        <v/>
      </c>
      <c r="H52" s="4">
        <f>IF(A52="","",IFERROR(ROUND(AVERAGEIFS(ASSESSMENTS!H:H,ASSESSMENTS!B:B,A52,ASSESSMENTS!E:E,"Physical Sciences"),1),""))</f>
        <v/>
      </c>
      <c r="I52" s="4">
        <f>IF(A52="","",IFERROR(ROUND(AVERAGEIFS(ASSESSMENTS!H:H,ASSESSMENTS!B:B,A52,ASSESSMENTS!E:E,"Geography"),1),""))</f>
        <v/>
      </c>
      <c r="J52" s="4">
        <f>IF(A52="","",IFERROR(ROUND(AVERAGEIFS(ASSESSMENTS!H:H,ASSESSMENTS!B:B,A52,ASSESSMENTS!E:E,"Accounting"),1),""))</f>
        <v/>
      </c>
      <c r="K52" s="4">
        <f>IF(A52="","",IFERROR(ROUND(AVERAGEIFS(ASSESSMENTS!H:H,ASSESSMENTS!B:B,A52,ASSESSMENTS!E:E,"English"),1),""))</f>
        <v/>
      </c>
      <c r="L52" s="5">
        <f>IF(A52="","",IFERROR(_xludf.XLOOKUP(A52,ATTENDANCE_SUMMARY!A:A,ATTENDANCE_SUMMARY!G:G,""),""))</f>
        <v/>
      </c>
      <c r="M52" s="4">
        <f>IF(A52="","",IF(OR(E52&lt;50,AND(L52&lt;0.75,L52&lt;&gt;"" )),"At Risk","On Track"))</f>
        <v/>
      </c>
    </row>
    <row r="53">
      <c r="A53">
        <f>IF(MASTER_REGISTER!E53="","",MASTER_REGISTER!E53)</f>
        <v/>
      </c>
      <c r="B53">
        <f>IF(A53="","",MASTER_REGISTER!F53)</f>
        <v/>
      </c>
      <c r="C53">
        <f>IF(A53="","",MASTER_REGISTER!C53)</f>
        <v/>
      </c>
      <c r="D53">
        <f>IF(A53="","",COUNTIF(ASSESSMENTS!B:B,A53))</f>
        <v/>
      </c>
      <c r="E53" s="4">
        <f>IF(D53=0,"",ROUND(AVERAGEIF(ASSESSMENTS!B:B,A53,ASSESSMENTS!H:H),1))</f>
        <v/>
      </c>
      <c r="F53" s="4">
        <f>IF(A53="","",IFERROR(ROUND(AVERAGEIFS(ASSESSMENTS!H:H,ASSESSMENTS!B:B,A53,ASSESSMENTS!E:E,"Mathematics"),1),""))</f>
        <v/>
      </c>
      <c r="G53" s="4">
        <f>IF(A53="","",IFERROR(ROUND(AVERAGEIFS(ASSESSMENTS!H:H,ASSESSMENTS!B:B,A53,ASSESSMENTS!E:E,"Mathematical Literacy"),1),""))</f>
        <v/>
      </c>
      <c r="H53" s="4">
        <f>IF(A53="","",IFERROR(ROUND(AVERAGEIFS(ASSESSMENTS!H:H,ASSESSMENTS!B:B,A53,ASSESSMENTS!E:E,"Physical Sciences"),1),""))</f>
        <v/>
      </c>
      <c r="I53" s="4">
        <f>IF(A53="","",IFERROR(ROUND(AVERAGEIFS(ASSESSMENTS!H:H,ASSESSMENTS!B:B,A53,ASSESSMENTS!E:E,"Geography"),1),""))</f>
        <v/>
      </c>
      <c r="J53" s="4">
        <f>IF(A53="","",IFERROR(ROUND(AVERAGEIFS(ASSESSMENTS!H:H,ASSESSMENTS!B:B,A53,ASSESSMENTS!E:E,"Accounting"),1),""))</f>
        <v/>
      </c>
      <c r="K53" s="4">
        <f>IF(A53="","",IFERROR(ROUND(AVERAGEIFS(ASSESSMENTS!H:H,ASSESSMENTS!B:B,A53,ASSESSMENTS!E:E,"English"),1),""))</f>
        <v/>
      </c>
      <c r="L53" s="5">
        <f>IF(A53="","",IFERROR(_xludf.XLOOKUP(A53,ATTENDANCE_SUMMARY!A:A,ATTENDANCE_SUMMARY!G:G,""),""))</f>
        <v/>
      </c>
      <c r="M53" s="4">
        <f>IF(A53="","",IF(OR(E53&lt;50,AND(L53&lt;0.75,L53&lt;&gt;"" )),"At Risk","On Track"))</f>
        <v/>
      </c>
    </row>
    <row r="54">
      <c r="A54">
        <f>IF(MASTER_REGISTER!E54="","",MASTER_REGISTER!E54)</f>
        <v/>
      </c>
      <c r="B54">
        <f>IF(A54="","",MASTER_REGISTER!F54)</f>
        <v/>
      </c>
      <c r="C54">
        <f>IF(A54="","",MASTER_REGISTER!C54)</f>
        <v/>
      </c>
      <c r="D54">
        <f>IF(A54="","",COUNTIF(ASSESSMENTS!B:B,A54))</f>
        <v/>
      </c>
      <c r="E54" s="4">
        <f>IF(D54=0,"",ROUND(AVERAGEIF(ASSESSMENTS!B:B,A54,ASSESSMENTS!H:H),1))</f>
        <v/>
      </c>
      <c r="F54" s="4">
        <f>IF(A54="","",IFERROR(ROUND(AVERAGEIFS(ASSESSMENTS!H:H,ASSESSMENTS!B:B,A54,ASSESSMENTS!E:E,"Mathematics"),1),""))</f>
        <v/>
      </c>
      <c r="G54" s="4">
        <f>IF(A54="","",IFERROR(ROUND(AVERAGEIFS(ASSESSMENTS!H:H,ASSESSMENTS!B:B,A54,ASSESSMENTS!E:E,"Mathematical Literacy"),1),""))</f>
        <v/>
      </c>
      <c r="H54" s="4">
        <f>IF(A54="","",IFERROR(ROUND(AVERAGEIFS(ASSESSMENTS!H:H,ASSESSMENTS!B:B,A54,ASSESSMENTS!E:E,"Physical Sciences"),1),""))</f>
        <v/>
      </c>
      <c r="I54" s="4">
        <f>IF(A54="","",IFERROR(ROUND(AVERAGEIFS(ASSESSMENTS!H:H,ASSESSMENTS!B:B,A54,ASSESSMENTS!E:E,"Geography"),1),""))</f>
        <v/>
      </c>
      <c r="J54" s="4">
        <f>IF(A54="","",IFERROR(ROUND(AVERAGEIFS(ASSESSMENTS!H:H,ASSESSMENTS!B:B,A54,ASSESSMENTS!E:E,"Accounting"),1),""))</f>
        <v/>
      </c>
      <c r="K54" s="4">
        <f>IF(A54="","",IFERROR(ROUND(AVERAGEIFS(ASSESSMENTS!H:H,ASSESSMENTS!B:B,A54,ASSESSMENTS!E:E,"English"),1),""))</f>
        <v/>
      </c>
      <c r="L54" s="5">
        <f>IF(A54="","",IFERROR(_xludf.XLOOKUP(A54,ATTENDANCE_SUMMARY!A:A,ATTENDANCE_SUMMARY!G:G,""),""))</f>
        <v/>
      </c>
      <c r="M54" s="4">
        <f>IF(A54="","",IF(OR(E54&lt;50,AND(L54&lt;0.75,L54&lt;&gt;"" )),"At Risk","On Track"))</f>
        <v/>
      </c>
    </row>
    <row r="55">
      <c r="A55">
        <f>IF(MASTER_REGISTER!E55="","",MASTER_REGISTER!E55)</f>
        <v/>
      </c>
      <c r="B55">
        <f>IF(A55="","",MASTER_REGISTER!F55)</f>
        <v/>
      </c>
      <c r="C55">
        <f>IF(A55="","",MASTER_REGISTER!C55)</f>
        <v/>
      </c>
      <c r="D55">
        <f>IF(A55="","",COUNTIF(ASSESSMENTS!B:B,A55))</f>
        <v/>
      </c>
      <c r="E55" s="4">
        <f>IF(D55=0,"",ROUND(AVERAGEIF(ASSESSMENTS!B:B,A55,ASSESSMENTS!H:H),1))</f>
        <v/>
      </c>
      <c r="F55" s="4">
        <f>IF(A55="","",IFERROR(ROUND(AVERAGEIFS(ASSESSMENTS!H:H,ASSESSMENTS!B:B,A55,ASSESSMENTS!E:E,"Mathematics"),1),""))</f>
        <v/>
      </c>
      <c r="G55" s="4">
        <f>IF(A55="","",IFERROR(ROUND(AVERAGEIFS(ASSESSMENTS!H:H,ASSESSMENTS!B:B,A55,ASSESSMENTS!E:E,"Mathematical Literacy"),1),""))</f>
        <v/>
      </c>
      <c r="H55" s="4">
        <f>IF(A55="","",IFERROR(ROUND(AVERAGEIFS(ASSESSMENTS!H:H,ASSESSMENTS!B:B,A55,ASSESSMENTS!E:E,"Physical Sciences"),1),""))</f>
        <v/>
      </c>
      <c r="I55" s="4">
        <f>IF(A55="","",IFERROR(ROUND(AVERAGEIFS(ASSESSMENTS!H:H,ASSESSMENTS!B:B,A55,ASSESSMENTS!E:E,"Geography"),1),""))</f>
        <v/>
      </c>
      <c r="J55" s="4">
        <f>IF(A55="","",IFERROR(ROUND(AVERAGEIFS(ASSESSMENTS!H:H,ASSESSMENTS!B:B,A55,ASSESSMENTS!E:E,"Accounting"),1),""))</f>
        <v/>
      </c>
      <c r="K55" s="4">
        <f>IF(A55="","",IFERROR(ROUND(AVERAGEIFS(ASSESSMENTS!H:H,ASSESSMENTS!B:B,A55,ASSESSMENTS!E:E,"English"),1),""))</f>
        <v/>
      </c>
      <c r="L55" s="5">
        <f>IF(A55="","",IFERROR(_xludf.XLOOKUP(A55,ATTENDANCE_SUMMARY!A:A,ATTENDANCE_SUMMARY!G:G,""),""))</f>
        <v/>
      </c>
      <c r="M55" s="4">
        <f>IF(A55="","",IF(OR(E55&lt;50,AND(L55&lt;0.75,L55&lt;&gt;"" )),"At Risk","On Track"))</f>
        <v/>
      </c>
    </row>
    <row r="56">
      <c r="A56">
        <f>IF(MASTER_REGISTER!E56="","",MASTER_REGISTER!E56)</f>
        <v/>
      </c>
      <c r="B56">
        <f>IF(A56="","",MASTER_REGISTER!F56)</f>
        <v/>
      </c>
      <c r="C56">
        <f>IF(A56="","",MASTER_REGISTER!C56)</f>
        <v/>
      </c>
      <c r="D56">
        <f>IF(A56="","",COUNTIF(ASSESSMENTS!B:B,A56))</f>
        <v/>
      </c>
      <c r="E56" s="4">
        <f>IF(D56=0,"",ROUND(AVERAGEIF(ASSESSMENTS!B:B,A56,ASSESSMENTS!H:H),1))</f>
        <v/>
      </c>
      <c r="F56" s="4">
        <f>IF(A56="","",IFERROR(ROUND(AVERAGEIFS(ASSESSMENTS!H:H,ASSESSMENTS!B:B,A56,ASSESSMENTS!E:E,"Mathematics"),1),""))</f>
        <v/>
      </c>
      <c r="G56" s="4">
        <f>IF(A56="","",IFERROR(ROUND(AVERAGEIFS(ASSESSMENTS!H:H,ASSESSMENTS!B:B,A56,ASSESSMENTS!E:E,"Mathematical Literacy"),1),""))</f>
        <v/>
      </c>
      <c r="H56" s="4">
        <f>IF(A56="","",IFERROR(ROUND(AVERAGEIFS(ASSESSMENTS!H:H,ASSESSMENTS!B:B,A56,ASSESSMENTS!E:E,"Physical Sciences"),1),""))</f>
        <v/>
      </c>
      <c r="I56" s="4">
        <f>IF(A56="","",IFERROR(ROUND(AVERAGEIFS(ASSESSMENTS!H:H,ASSESSMENTS!B:B,A56,ASSESSMENTS!E:E,"Geography"),1),""))</f>
        <v/>
      </c>
      <c r="J56" s="4">
        <f>IF(A56="","",IFERROR(ROUND(AVERAGEIFS(ASSESSMENTS!H:H,ASSESSMENTS!B:B,A56,ASSESSMENTS!E:E,"Accounting"),1),""))</f>
        <v/>
      </c>
      <c r="K56" s="4">
        <f>IF(A56="","",IFERROR(ROUND(AVERAGEIFS(ASSESSMENTS!H:H,ASSESSMENTS!B:B,A56,ASSESSMENTS!E:E,"English"),1),""))</f>
        <v/>
      </c>
      <c r="L56" s="5">
        <f>IF(A56="","",IFERROR(_xludf.XLOOKUP(A56,ATTENDANCE_SUMMARY!A:A,ATTENDANCE_SUMMARY!G:G,""),""))</f>
        <v/>
      </c>
      <c r="M56" s="4">
        <f>IF(A56="","",IF(OR(E56&lt;50,AND(L56&lt;0.75,L56&lt;&gt;"" )),"At Risk","On Track"))</f>
        <v/>
      </c>
    </row>
    <row r="57">
      <c r="A57">
        <f>IF(MASTER_REGISTER!E57="","",MASTER_REGISTER!E57)</f>
        <v/>
      </c>
      <c r="B57">
        <f>IF(A57="","",MASTER_REGISTER!F57)</f>
        <v/>
      </c>
      <c r="C57">
        <f>IF(A57="","",MASTER_REGISTER!C57)</f>
        <v/>
      </c>
      <c r="D57">
        <f>IF(A57="","",COUNTIF(ASSESSMENTS!B:B,A57))</f>
        <v/>
      </c>
      <c r="E57" s="4">
        <f>IF(D57=0,"",ROUND(AVERAGEIF(ASSESSMENTS!B:B,A57,ASSESSMENTS!H:H),1))</f>
        <v/>
      </c>
      <c r="F57" s="4">
        <f>IF(A57="","",IFERROR(ROUND(AVERAGEIFS(ASSESSMENTS!H:H,ASSESSMENTS!B:B,A57,ASSESSMENTS!E:E,"Mathematics"),1),""))</f>
        <v/>
      </c>
      <c r="G57" s="4">
        <f>IF(A57="","",IFERROR(ROUND(AVERAGEIFS(ASSESSMENTS!H:H,ASSESSMENTS!B:B,A57,ASSESSMENTS!E:E,"Mathematical Literacy"),1),""))</f>
        <v/>
      </c>
      <c r="H57" s="4">
        <f>IF(A57="","",IFERROR(ROUND(AVERAGEIFS(ASSESSMENTS!H:H,ASSESSMENTS!B:B,A57,ASSESSMENTS!E:E,"Physical Sciences"),1),""))</f>
        <v/>
      </c>
      <c r="I57" s="4">
        <f>IF(A57="","",IFERROR(ROUND(AVERAGEIFS(ASSESSMENTS!H:H,ASSESSMENTS!B:B,A57,ASSESSMENTS!E:E,"Geography"),1),""))</f>
        <v/>
      </c>
      <c r="J57" s="4">
        <f>IF(A57="","",IFERROR(ROUND(AVERAGEIFS(ASSESSMENTS!H:H,ASSESSMENTS!B:B,A57,ASSESSMENTS!E:E,"Accounting"),1),""))</f>
        <v/>
      </c>
      <c r="K57" s="4">
        <f>IF(A57="","",IFERROR(ROUND(AVERAGEIFS(ASSESSMENTS!H:H,ASSESSMENTS!B:B,A57,ASSESSMENTS!E:E,"English"),1),""))</f>
        <v/>
      </c>
      <c r="L57" s="5">
        <f>IF(A57="","",IFERROR(_xludf.XLOOKUP(A57,ATTENDANCE_SUMMARY!A:A,ATTENDANCE_SUMMARY!G:G,""),""))</f>
        <v/>
      </c>
      <c r="M57" s="4">
        <f>IF(A57="","",IF(OR(E57&lt;50,AND(L57&lt;0.75,L57&lt;&gt;"" )),"At Risk","On Track"))</f>
        <v/>
      </c>
    </row>
    <row r="58">
      <c r="A58">
        <f>IF(MASTER_REGISTER!E58="","",MASTER_REGISTER!E58)</f>
        <v/>
      </c>
      <c r="B58">
        <f>IF(A58="","",MASTER_REGISTER!F58)</f>
        <v/>
      </c>
      <c r="C58">
        <f>IF(A58="","",MASTER_REGISTER!C58)</f>
        <v/>
      </c>
      <c r="D58">
        <f>IF(A58="","",COUNTIF(ASSESSMENTS!B:B,A58))</f>
        <v/>
      </c>
      <c r="E58" s="4">
        <f>IF(D58=0,"",ROUND(AVERAGEIF(ASSESSMENTS!B:B,A58,ASSESSMENTS!H:H),1))</f>
        <v/>
      </c>
      <c r="F58" s="4">
        <f>IF(A58="","",IFERROR(ROUND(AVERAGEIFS(ASSESSMENTS!H:H,ASSESSMENTS!B:B,A58,ASSESSMENTS!E:E,"Mathematics"),1),""))</f>
        <v/>
      </c>
      <c r="G58" s="4">
        <f>IF(A58="","",IFERROR(ROUND(AVERAGEIFS(ASSESSMENTS!H:H,ASSESSMENTS!B:B,A58,ASSESSMENTS!E:E,"Mathematical Literacy"),1),""))</f>
        <v/>
      </c>
      <c r="H58" s="4">
        <f>IF(A58="","",IFERROR(ROUND(AVERAGEIFS(ASSESSMENTS!H:H,ASSESSMENTS!B:B,A58,ASSESSMENTS!E:E,"Physical Sciences"),1),""))</f>
        <v/>
      </c>
      <c r="I58" s="4">
        <f>IF(A58="","",IFERROR(ROUND(AVERAGEIFS(ASSESSMENTS!H:H,ASSESSMENTS!B:B,A58,ASSESSMENTS!E:E,"Geography"),1),""))</f>
        <v/>
      </c>
      <c r="J58" s="4">
        <f>IF(A58="","",IFERROR(ROUND(AVERAGEIFS(ASSESSMENTS!H:H,ASSESSMENTS!B:B,A58,ASSESSMENTS!E:E,"Accounting"),1),""))</f>
        <v/>
      </c>
      <c r="K58" s="4">
        <f>IF(A58="","",IFERROR(ROUND(AVERAGEIFS(ASSESSMENTS!H:H,ASSESSMENTS!B:B,A58,ASSESSMENTS!E:E,"English"),1),""))</f>
        <v/>
      </c>
      <c r="L58" s="5">
        <f>IF(A58="","",IFERROR(_xludf.XLOOKUP(A58,ATTENDANCE_SUMMARY!A:A,ATTENDANCE_SUMMARY!G:G,""),""))</f>
        <v/>
      </c>
      <c r="M58" s="4">
        <f>IF(A58="","",IF(OR(E58&lt;50,AND(L58&lt;0.75,L58&lt;&gt;"" )),"At Risk","On Track"))</f>
        <v/>
      </c>
    </row>
    <row r="59">
      <c r="A59">
        <f>IF(MASTER_REGISTER!E59="","",MASTER_REGISTER!E59)</f>
        <v/>
      </c>
      <c r="B59">
        <f>IF(A59="","",MASTER_REGISTER!F59)</f>
        <v/>
      </c>
      <c r="C59">
        <f>IF(A59="","",MASTER_REGISTER!C59)</f>
        <v/>
      </c>
      <c r="D59">
        <f>IF(A59="","",COUNTIF(ASSESSMENTS!B:B,A59))</f>
        <v/>
      </c>
      <c r="E59" s="4">
        <f>IF(D59=0,"",ROUND(AVERAGEIF(ASSESSMENTS!B:B,A59,ASSESSMENTS!H:H),1))</f>
        <v/>
      </c>
      <c r="F59" s="4">
        <f>IF(A59="","",IFERROR(ROUND(AVERAGEIFS(ASSESSMENTS!H:H,ASSESSMENTS!B:B,A59,ASSESSMENTS!E:E,"Mathematics"),1),""))</f>
        <v/>
      </c>
      <c r="G59" s="4">
        <f>IF(A59="","",IFERROR(ROUND(AVERAGEIFS(ASSESSMENTS!H:H,ASSESSMENTS!B:B,A59,ASSESSMENTS!E:E,"Mathematical Literacy"),1),""))</f>
        <v/>
      </c>
      <c r="H59" s="4">
        <f>IF(A59="","",IFERROR(ROUND(AVERAGEIFS(ASSESSMENTS!H:H,ASSESSMENTS!B:B,A59,ASSESSMENTS!E:E,"Physical Sciences"),1),""))</f>
        <v/>
      </c>
      <c r="I59" s="4">
        <f>IF(A59="","",IFERROR(ROUND(AVERAGEIFS(ASSESSMENTS!H:H,ASSESSMENTS!B:B,A59,ASSESSMENTS!E:E,"Geography"),1),""))</f>
        <v/>
      </c>
      <c r="J59" s="4">
        <f>IF(A59="","",IFERROR(ROUND(AVERAGEIFS(ASSESSMENTS!H:H,ASSESSMENTS!B:B,A59,ASSESSMENTS!E:E,"Accounting"),1),""))</f>
        <v/>
      </c>
      <c r="K59" s="4">
        <f>IF(A59="","",IFERROR(ROUND(AVERAGEIFS(ASSESSMENTS!H:H,ASSESSMENTS!B:B,A59,ASSESSMENTS!E:E,"English"),1),""))</f>
        <v/>
      </c>
      <c r="L59" s="5">
        <f>IF(A59="","",IFERROR(_xludf.XLOOKUP(A59,ATTENDANCE_SUMMARY!A:A,ATTENDANCE_SUMMARY!G:G,""),""))</f>
        <v/>
      </c>
      <c r="M59" s="4">
        <f>IF(A59="","",IF(OR(E59&lt;50,AND(L59&lt;0.75,L59&lt;&gt;"" )),"At Risk","On Track"))</f>
        <v/>
      </c>
    </row>
    <row r="60">
      <c r="A60">
        <f>IF(MASTER_REGISTER!E60="","",MASTER_REGISTER!E60)</f>
        <v/>
      </c>
      <c r="B60">
        <f>IF(A60="","",MASTER_REGISTER!F60)</f>
        <v/>
      </c>
      <c r="C60">
        <f>IF(A60="","",MASTER_REGISTER!C60)</f>
        <v/>
      </c>
      <c r="D60">
        <f>IF(A60="","",COUNTIF(ASSESSMENTS!B:B,A60))</f>
        <v/>
      </c>
      <c r="E60" s="4">
        <f>IF(D60=0,"",ROUND(AVERAGEIF(ASSESSMENTS!B:B,A60,ASSESSMENTS!H:H),1))</f>
        <v/>
      </c>
      <c r="F60" s="4">
        <f>IF(A60="","",IFERROR(ROUND(AVERAGEIFS(ASSESSMENTS!H:H,ASSESSMENTS!B:B,A60,ASSESSMENTS!E:E,"Mathematics"),1),""))</f>
        <v/>
      </c>
      <c r="G60" s="4">
        <f>IF(A60="","",IFERROR(ROUND(AVERAGEIFS(ASSESSMENTS!H:H,ASSESSMENTS!B:B,A60,ASSESSMENTS!E:E,"Mathematical Literacy"),1),""))</f>
        <v/>
      </c>
      <c r="H60" s="4">
        <f>IF(A60="","",IFERROR(ROUND(AVERAGEIFS(ASSESSMENTS!H:H,ASSESSMENTS!B:B,A60,ASSESSMENTS!E:E,"Physical Sciences"),1),""))</f>
        <v/>
      </c>
      <c r="I60" s="4">
        <f>IF(A60="","",IFERROR(ROUND(AVERAGEIFS(ASSESSMENTS!H:H,ASSESSMENTS!B:B,A60,ASSESSMENTS!E:E,"Geography"),1),""))</f>
        <v/>
      </c>
      <c r="J60" s="4">
        <f>IF(A60="","",IFERROR(ROUND(AVERAGEIFS(ASSESSMENTS!H:H,ASSESSMENTS!B:B,A60,ASSESSMENTS!E:E,"Accounting"),1),""))</f>
        <v/>
      </c>
      <c r="K60" s="4">
        <f>IF(A60="","",IFERROR(ROUND(AVERAGEIFS(ASSESSMENTS!H:H,ASSESSMENTS!B:B,A60,ASSESSMENTS!E:E,"English"),1),""))</f>
        <v/>
      </c>
      <c r="L60" s="5">
        <f>IF(A60="","",IFERROR(_xludf.XLOOKUP(A60,ATTENDANCE_SUMMARY!A:A,ATTENDANCE_SUMMARY!G:G,""),""))</f>
        <v/>
      </c>
      <c r="M60" s="4">
        <f>IF(A60="","",IF(OR(E60&lt;50,AND(L60&lt;0.75,L60&lt;&gt;"" )),"At Risk","On Track"))</f>
        <v/>
      </c>
    </row>
    <row r="61">
      <c r="A61">
        <f>IF(MASTER_REGISTER!E61="","",MASTER_REGISTER!E61)</f>
        <v/>
      </c>
      <c r="B61">
        <f>IF(A61="","",MASTER_REGISTER!F61)</f>
        <v/>
      </c>
      <c r="C61">
        <f>IF(A61="","",MASTER_REGISTER!C61)</f>
        <v/>
      </c>
      <c r="D61">
        <f>IF(A61="","",COUNTIF(ASSESSMENTS!B:B,A61))</f>
        <v/>
      </c>
      <c r="E61" s="4">
        <f>IF(D61=0,"",ROUND(AVERAGEIF(ASSESSMENTS!B:B,A61,ASSESSMENTS!H:H),1))</f>
        <v/>
      </c>
      <c r="F61" s="4">
        <f>IF(A61="","",IFERROR(ROUND(AVERAGEIFS(ASSESSMENTS!H:H,ASSESSMENTS!B:B,A61,ASSESSMENTS!E:E,"Mathematics"),1),""))</f>
        <v/>
      </c>
      <c r="G61" s="4">
        <f>IF(A61="","",IFERROR(ROUND(AVERAGEIFS(ASSESSMENTS!H:H,ASSESSMENTS!B:B,A61,ASSESSMENTS!E:E,"Mathematical Literacy"),1),""))</f>
        <v/>
      </c>
      <c r="H61" s="4">
        <f>IF(A61="","",IFERROR(ROUND(AVERAGEIFS(ASSESSMENTS!H:H,ASSESSMENTS!B:B,A61,ASSESSMENTS!E:E,"Physical Sciences"),1),""))</f>
        <v/>
      </c>
      <c r="I61" s="4">
        <f>IF(A61="","",IFERROR(ROUND(AVERAGEIFS(ASSESSMENTS!H:H,ASSESSMENTS!B:B,A61,ASSESSMENTS!E:E,"Geography"),1),""))</f>
        <v/>
      </c>
      <c r="J61" s="4">
        <f>IF(A61="","",IFERROR(ROUND(AVERAGEIFS(ASSESSMENTS!H:H,ASSESSMENTS!B:B,A61,ASSESSMENTS!E:E,"Accounting"),1),""))</f>
        <v/>
      </c>
      <c r="K61" s="4">
        <f>IF(A61="","",IFERROR(ROUND(AVERAGEIFS(ASSESSMENTS!H:H,ASSESSMENTS!B:B,A61,ASSESSMENTS!E:E,"English"),1),""))</f>
        <v/>
      </c>
      <c r="L61" s="5">
        <f>IF(A61="","",IFERROR(_xludf.XLOOKUP(A61,ATTENDANCE_SUMMARY!A:A,ATTENDANCE_SUMMARY!G:G,""),""))</f>
        <v/>
      </c>
      <c r="M61" s="4">
        <f>IF(A61="","",IF(OR(E61&lt;50,AND(L61&lt;0.75,L61&lt;&gt;"" )),"At Risk","On Track"))</f>
        <v/>
      </c>
    </row>
    <row r="62">
      <c r="A62">
        <f>IF(MASTER_REGISTER!E62="","",MASTER_REGISTER!E62)</f>
        <v/>
      </c>
      <c r="B62">
        <f>IF(A62="","",MASTER_REGISTER!F62)</f>
        <v/>
      </c>
      <c r="C62">
        <f>IF(A62="","",MASTER_REGISTER!C62)</f>
        <v/>
      </c>
      <c r="D62">
        <f>IF(A62="","",COUNTIF(ASSESSMENTS!B:B,A62))</f>
        <v/>
      </c>
      <c r="E62" s="4">
        <f>IF(D62=0,"",ROUND(AVERAGEIF(ASSESSMENTS!B:B,A62,ASSESSMENTS!H:H),1))</f>
        <v/>
      </c>
      <c r="F62" s="4">
        <f>IF(A62="","",IFERROR(ROUND(AVERAGEIFS(ASSESSMENTS!H:H,ASSESSMENTS!B:B,A62,ASSESSMENTS!E:E,"Mathematics"),1),""))</f>
        <v/>
      </c>
      <c r="G62" s="4">
        <f>IF(A62="","",IFERROR(ROUND(AVERAGEIFS(ASSESSMENTS!H:H,ASSESSMENTS!B:B,A62,ASSESSMENTS!E:E,"Mathematical Literacy"),1),""))</f>
        <v/>
      </c>
      <c r="H62" s="4">
        <f>IF(A62="","",IFERROR(ROUND(AVERAGEIFS(ASSESSMENTS!H:H,ASSESSMENTS!B:B,A62,ASSESSMENTS!E:E,"Physical Sciences"),1),""))</f>
        <v/>
      </c>
      <c r="I62" s="4">
        <f>IF(A62="","",IFERROR(ROUND(AVERAGEIFS(ASSESSMENTS!H:H,ASSESSMENTS!B:B,A62,ASSESSMENTS!E:E,"Geography"),1),""))</f>
        <v/>
      </c>
      <c r="J62" s="4">
        <f>IF(A62="","",IFERROR(ROUND(AVERAGEIFS(ASSESSMENTS!H:H,ASSESSMENTS!B:B,A62,ASSESSMENTS!E:E,"Accounting"),1),""))</f>
        <v/>
      </c>
      <c r="K62" s="4">
        <f>IF(A62="","",IFERROR(ROUND(AVERAGEIFS(ASSESSMENTS!H:H,ASSESSMENTS!B:B,A62,ASSESSMENTS!E:E,"English"),1),""))</f>
        <v/>
      </c>
      <c r="L62" s="5">
        <f>IF(A62="","",IFERROR(_xludf.XLOOKUP(A62,ATTENDANCE_SUMMARY!A:A,ATTENDANCE_SUMMARY!G:G,""),""))</f>
        <v/>
      </c>
      <c r="M62" s="4">
        <f>IF(A62="","",IF(OR(E62&lt;50,AND(L62&lt;0.75,L62&lt;&gt;"" )),"At Risk","On Track"))</f>
        <v/>
      </c>
    </row>
    <row r="63">
      <c r="A63">
        <f>IF(MASTER_REGISTER!E63="","",MASTER_REGISTER!E63)</f>
        <v/>
      </c>
      <c r="B63">
        <f>IF(A63="","",MASTER_REGISTER!F63)</f>
        <v/>
      </c>
      <c r="C63">
        <f>IF(A63="","",MASTER_REGISTER!C63)</f>
        <v/>
      </c>
      <c r="D63">
        <f>IF(A63="","",COUNTIF(ASSESSMENTS!B:B,A63))</f>
        <v/>
      </c>
      <c r="E63" s="4">
        <f>IF(D63=0,"",ROUND(AVERAGEIF(ASSESSMENTS!B:B,A63,ASSESSMENTS!H:H),1))</f>
        <v/>
      </c>
      <c r="F63" s="4">
        <f>IF(A63="","",IFERROR(ROUND(AVERAGEIFS(ASSESSMENTS!H:H,ASSESSMENTS!B:B,A63,ASSESSMENTS!E:E,"Mathematics"),1),""))</f>
        <v/>
      </c>
      <c r="G63" s="4">
        <f>IF(A63="","",IFERROR(ROUND(AVERAGEIFS(ASSESSMENTS!H:H,ASSESSMENTS!B:B,A63,ASSESSMENTS!E:E,"Mathematical Literacy"),1),""))</f>
        <v/>
      </c>
      <c r="H63" s="4">
        <f>IF(A63="","",IFERROR(ROUND(AVERAGEIFS(ASSESSMENTS!H:H,ASSESSMENTS!B:B,A63,ASSESSMENTS!E:E,"Physical Sciences"),1),""))</f>
        <v/>
      </c>
      <c r="I63" s="4">
        <f>IF(A63="","",IFERROR(ROUND(AVERAGEIFS(ASSESSMENTS!H:H,ASSESSMENTS!B:B,A63,ASSESSMENTS!E:E,"Geography"),1),""))</f>
        <v/>
      </c>
      <c r="J63" s="4">
        <f>IF(A63="","",IFERROR(ROUND(AVERAGEIFS(ASSESSMENTS!H:H,ASSESSMENTS!B:B,A63,ASSESSMENTS!E:E,"Accounting"),1),""))</f>
        <v/>
      </c>
      <c r="K63" s="4">
        <f>IF(A63="","",IFERROR(ROUND(AVERAGEIFS(ASSESSMENTS!H:H,ASSESSMENTS!B:B,A63,ASSESSMENTS!E:E,"English"),1),""))</f>
        <v/>
      </c>
      <c r="L63" s="5">
        <f>IF(A63="","",IFERROR(_xludf.XLOOKUP(A63,ATTENDANCE_SUMMARY!A:A,ATTENDANCE_SUMMARY!G:G,""),""))</f>
        <v/>
      </c>
      <c r="M63" s="4">
        <f>IF(A63="","",IF(OR(E63&lt;50,AND(L63&lt;0.75,L63&lt;&gt;"" )),"At Risk","On Track"))</f>
        <v/>
      </c>
    </row>
    <row r="64">
      <c r="A64">
        <f>IF(MASTER_REGISTER!E64="","",MASTER_REGISTER!E64)</f>
        <v/>
      </c>
      <c r="B64">
        <f>IF(A64="","",MASTER_REGISTER!F64)</f>
        <v/>
      </c>
      <c r="C64">
        <f>IF(A64="","",MASTER_REGISTER!C64)</f>
        <v/>
      </c>
      <c r="D64">
        <f>IF(A64="","",COUNTIF(ASSESSMENTS!B:B,A64))</f>
        <v/>
      </c>
      <c r="E64" s="4">
        <f>IF(D64=0,"",ROUND(AVERAGEIF(ASSESSMENTS!B:B,A64,ASSESSMENTS!H:H),1))</f>
        <v/>
      </c>
      <c r="F64" s="4">
        <f>IF(A64="","",IFERROR(ROUND(AVERAGEIFS(ASSESSMENTS!H:H,ASSESSMENTS!B:B,A64,ASSESSMENTS!E:E,"Mathematics"),1),""))</f>
        <v/>
      </c>
      <c r="G64" s="4">
        <f>IF(A64="","",IFERROR(ROUND(AVERAGEIFS(ASSESSMENTS!H:H,ASSESSMENTS!B:B,A64,ASSESSMENTS!E:E,"Mathematical Literacy"),1),""))</f>
        <v/>
      </c>
      <c r="H64" s="4">
        <f>IF(A64="","",IFERROR(ROUND(AVERAGEIFS(ASSESSMENTS!H:H,ASSESSMENTS!B:B,A64,ASSESSMENTS!E:E,"Physical Sciences"),1),""))</f>
        <v/>
      </c>
      <c r="I64" s="4">
        <f>IF(A64="","",IFERROR(ROUND(AVERAGEIFS(ASSESSMENTS!H:H,ASSESSMENTS!B:B,A64,ASSESSMENTS!E:E,"Geography"),1),""))</f>
        <v/>
      </c>
      <c r="J64" s="4">
        <f>IF(A64="","",IFERROR(ROUND(AVERAGEIFS(ASSESSMENTS!H:H,ASSESSMENTS!B:B,A64,ASSESSMENTS!E:E,"Accounting"),1),""))</f>
        <v/>
      </c>
      <c r="K64" s="4">
        <f>IF(A64="","",IFERROR(ROUND(AVERAGEIFS(ASSESSMENTS!H:H,ASSESSMENTS!B:B,A64,ASSESSMENTS!E:E,"English"),1),""))</f>
        <v/>
      </c>
      <c r="L64" s="5">
        <f>IF(A64="","",IFERROR(_xludf.XLOOKUP(A64,ATTENDANCE_SUMMARY!A:A,ATTENDANCE_SUMMARY!G:G,""),""))</f>
        <v/>
      </c>
      <c r="M64" s="4">
        <f>IF(A64="","",IF(OR(E64&lt;50,AND(L64&lt;0.75,L64&lt;&gt;"" )),"At Risk","On Track"))</f>
        <v/>
      </c>
    </row>
    <row r="65">
      <c r="A65">
        <f>IF(MASTER_REGISTER!E65="","",MASTER_REGISTER!E65)</f>
        <v/>
      </c>
      <c r="B65">
        <f>IF(A65="","",MASTER_REGISTER!F65)</f>
        <v/>
      </c>
      <c r="C65">
        <f>IF(A65="","",MASTER_REGISTER!C65)</f>
        <v/>
      </c>
      <c r="D65">
        <f>IF(A65="","",COUNTIF(ASSESSMENTS!B:B,A65))</f>
        <v/>
      </c>
      <c r="E65" s="4">
        <f>IF(D65=0,"",ROUND(AVERAGEIF(ASSESSMENTS!B:B,A65,ASSESSMENTS!H:H),1))</f>
        <v/>
      </c>
      <c r="F65" s="4">
        <f>IF(A65="","",IFERROR(ROUND(AVERAGEIFS(ASSESSMENTS!H:H,ASSESSMENTS!B:B,A65,ASSESSMENTS!E:E,"Mathematics"),1),""))</f>
        <v/>
      </c>
      <c r="G65" s="4">
        <f>IF(A65="","",IFERROR(ROUND(AVERAGEIFS(ASSESSMENTS!H:H,ASSESSMENTS!B:B,A65,ASSESSMENTS!E:E,"Mathematical Literacy"),1),""))</f>
        <v/>
      </c>
      <c r="H65" s="4">
        <f>IF(A65="","",IFERROR(ROUND(AVERAGEIFS(ASSESSMENTS!H:H,ASSESSMENTS!B:B,A65,ASSESSMENTS!E:E,"Physical Sciences"),1),""))</f>
        <v/>
      </c>
      <c r="I65" s="4">
        <f>IF(A65="","",IFERROR(ROUND(AVERAGEIFS(ASSESSMENTS!H:H,ASSESSMENTS!B:B,A65,ASSESSMENTS!E:E,"Geography"),1),""))</f>
        <v/>
      </c>
      <c r="J65" s="4">
        <f>IF(A65="","",IFERROR(ROUND(AVERAGEIFS(ASSESSMENTS!H:H,ASSESSMENTS!B:B,A65,ASSESSMENTS!E:E,"Accounting"),1),""))</f>
        <v/>
      </c>
      <c r="K65" s="4">
        <f>IF(A65="","",IFERROR(ROUND(AVERAGEIFS(ASSESSMENTS!H:H,ASSESSMENTS!B:B,A65,ASSESSMENTS!E:E,"English"),1),""))</f>
        <v/>
      </c>
      <c r="L65" s="5">
        <f>IF(A65="","",IFERROR(_xludf.XLOOKUP(A65,ATTENDANCE_SUMMARY!A:A,ATTENDANCE_SUMMARY!G:G,""),""))</f>
        <v/>
      </c>
      <c r="M65" s="4">
        <f>IF(A65="","",IF(OR(E65&lt;50,AND(L65&lt;0.75,L65&lt;&gt;"" )),"At Risk","On Track"))</f>
        <v/>
      </c>
    </row>
    <row r="66">
      <c r="A66">
        <f>IF(MASTER_REGISTER!E66="","",MASTER_REGISTER!E66)</f>
        <v/>
      </c>
      <c r="B66">
        <f>IF(A66="","",MASTER_REGISTER!F66)</f>
        <v/>
      </c>
      <c r="C66">
        <f>IF(A66="","",MASTER_REGISTER!C66)</f>
        <v/>
      </c>
      <c r="D66">
        <f>IF(A66="","",COUNTIF(ASSESSMENTS!B:B,A66))</f>
        <v/>
      </c>
      <c r="E66" s="4">
        <f>IF(D66=0,"",ROUND(AVERAGEIF(ASSESSMENTS!B:B,A66,ASSESSMENTS!H:H),1))</f>
        <v/>
      </c>
      <c r="F66" s="4">
        <f>IF(A66="","",IFERROR(ROUND(AVERAGEIFS(ASSESSMENTS!H:H,ASSESSMENTS!B:B,A66,ASSESSMENTS!E:E,"Mathematics"),1),""))</f>
        <v/>
      </c>
      <c r="G66" s="4">
        <f>IF(A66="","",IFERROR(ROUND(AVERAGEIFS(ASSESSMENTS!H:H,ASSESSMENTS!B:B,A66,ASSESSMENTS!E:E,"Mathematical Literacy"),1),""))</f>
        <v/>
      </c>
      <c r="H66" s="4">
        <f>IF(A66="","",IFERROR(ROUND(AVERAGEIFS(ASSESSMENTS!H:H,ASSESSMENTS!B:B,A66,ASSESSMENTS!E:E,"Physical Sciences"),1),""))</f>
        <v/>
      </c>
      <c r="I66" s="4">
        <f>IF(A66="","",IFERROR(ROUND(AVERAGEIFS(ASSESSMENTS!H:H,ASSESSMENTS!B:B,A66,ASSESSMENTS!E:E,"Geography"),1),""))</f>
        <v/>
      </c>
      <c r="J66" s="4">
        <f>IF(A66="","",IFERROR(ROUND(AVERAGEIFS(ASSESSMENTS!H:H,ASSESSMENTS!B:B,A66,ASSESSMENTS!E:E,"Accounting"),1),""))</f>
        <v/>
      </c>
      <c r="K66" s="4">
        <f>IF(A66="","",IFERROR(ROUND(AVERAGEIFS(ASSESSMENTS!H:H,ASSESSMENTS!B:B,A66,ASSESSMENTS!E:E,"English"),1),""))</f>
        <v/>
      </c>
      <c r="L66" s="5">
        <f>IF(A66="","",IFERROR(_xludf.XLOOKUP(A66,ATTENDANCE_SUMMARY!A:A,ATTENDANCE_SUMMARY!G:G,""),""))</f>
        <v/>
      </c>
      <c r="M66" s="4">
        <f>IF(A66="","",IF(OR(E66&lt;50,AND(L66&lt;0.75,L66&lt;&gt;"" )),"At Risk","On Track"))</f>
        <v/>
      </c>
    </row>
    <row r="67">
      <c r="A67">
        <f>IF(MASTER_REGISTER!E67="","",MASTER_REGISTER!E67)</f>
        <v/>
      </c>
      <c r="B67">
        <f>IF(A67="","",MASTER_REGISTER!F67)</f>
        <v/>
      </c>
      <c r="C67">
        <f>IF(A67="","",MASTER_REGISTER!C67)</f>
        <v/>
      </c>
      <c r="D67">
        <f>IF(A67="","",COUNTIF(ASSESSMENTS!B:B,A67))</f>
        <v/>
      </c>
      <c r="E67" s="4">
        <f>IF(D67=0,"",ROUND(AVERAGEIF(ASSESSMENTS!B:B,A67,ASSESSMENTS!H:H),1))</f>
        <v/>
      </c>
      <c r="F67" s="4">
        <f>IF(A67="","",IFERROR(ROUND(AVERAGEIFS(ASSESSMENTS!H:H,ASSESSMENTS!B:B,A67,ASSESSMENTS!E:E,"Mathematics"),1),""))</f>
        <v/>
      </c>
      <c r="G67" s="4">
        <f>IF(A67="","",IFERROR(ROUND(AVERAGEIFS(ASSESSMENTS!H:H,ASSESSMENTS!B:B,A67,ASSESSMENTS!E:E,"Mathematical Literacy"),1),""))</f>
        <v/>
      </c>
      <c r="H67" s="4">
        <f>IF(A67="","",IFERROR(ROUND(AVERAGEIFS(ASSESSMENTS!H:H,ASSESSMENTS!B:B,A67,ASSESSMENTS!E:E,"Physical Sciences"),1),""))</f>
        <v/>
      </c>
      <c r="I67" s="4">
        <f>IF(A67="","",IFERROR(ROUND(AVERAGEIFS(ASSESSMENTS!H:H,ASSESSMENTS!B:B,A67,ASSESSMENTS!E:E,"Geography"),1),""))</f>
        <v/>
      </c>
      <c r="J67" s="4">
        <f>IF(A67="","",IFERROR(ROUND(AVERAGEIFS(ASSESSMENTS!H:H,ASSESSMENTS!B:B,A67,ASSESSMENTS!E:E,"Accounting"),1),""))</f>
        <v/>
      </c>
      <c r="K67" s="4">
        <f>IF(A67="","",IFERROR(ROUND(AVERAGEIFS(ASSESSMENTS!H:H,ASSESSMENTS!B:B,A67,ASSESSMENTS!E:E,"English"),1),""))</f>
        <v/>
      </c>
      <c r="L67" s="5">
        <f>IF(A67="","",IFERROR(_xludf.XLOOKUP(A67,ATTENDANCE_SUMMARY!A:A,ATTENDANCE_SUMMARY!G:G,""),""))</f>
        <v/>
      </c>
      <c r="M67" s="4">
        <f>IF(A67="","",IF(OR(E67&lt;50,AND(L67&lt;0.75,L67&lt;&gt;"" )),"At Risk","On Track"))</f>
        <v/>
      </c>
    </row>
    <row r="68">
      <c r="A68">
        <f>IF(MASTER_REGISTER!E68="","",MASTER_REGISTER!E68)</f>
        <v/>
      </c>
      <c r="B68">
        <f>IF(A68="","",MASTER_REGISTER!F68)</f>
        <v/>
      </c>
      <c r="C68">
        <f>IF(A68="","",MASTER_REGISTER!C68)</f>
        <v/>
      </c>
      <c r="D68">
        <f>IF(A68="","",COUNTIF(ASSESSMENTS!B:B,A68))</f>
        <v/>
      </c>
      <c r="E68" s="4">
        <f>IF(D68=0,"",ROUND(AVERAGEIF(ASSESSMENTS!B:B,A68,ASSESSMENTS!H:H),1))</f>
        <v/>
      </c>
      <c r="F68" s="4">
        <f>IF(A68="","",IFERROR(ROUND(AVERAGEIFS(ASSESSMENTS!H:H,ASSESSMENTS!B:B,A68,ASSESSMENTS!E:E,"Mathematics"),1),""))</f>
        <v/>
      </c>
      <c r="G68" s="4">
        <f>IF(A68="","",IFERROR(ROUND(AVERAGEIFS(ASSESSMENTS!H:H,ASSESSMENTS!B:B,A68,ASSESSMENTS!E:E,"Mathematical Literacy"),1),""))</f>
        <v/>
      </c>
      <c r="H68" s="4">
        <f>IF(A68="","",IFERROR(ROUND(AVERAGEIFS(ASSESSMENTS!H:H,ASSESSMENTS!B:B,A68,ASSESSMENTS!E:E,"Physical Sciences"),1),""))</f>
        <v/>
      </c>
      <c r="I68" s="4">
        <f>IF(A68="","",IFERROR(ROUND(AVERAGEIFS(ASSESSMENTS!H:H,ASSESSMENTS!B:B,A68,ASSESSMENTS!E:E,"Geography"),1),""))</f>
        <v/>
      </c>
      <c r="J68" s="4">
        <f>IF(A68="","",IFERROR(ROUND(AVERAGEIFS(ASSESSMENTS!H:H,ASSESSMENTS!B:B,A68,ASSESSMENTS!E:E,"Accounting"),1),""))</f>
        <v/>
      </c>
      <c r="K68" s="4">
        <f>IF(A68="","",IFERROR(ROUND(AVERAGEIFS(ASSESSMENTS!H:H,ASSESSMENTS!B:B,A68,ASSESSMENTS!E:E,"English"),1),""))</f>
        <v/>
      </c>
      <c r="L68" s="5">
        <f>IF(A68="","",IFERROR(_xludf.XLOOKUP(A68,ATTENDANCE_SUMMARY!A:A,ATTENDANCE_SUMMARY!G:G,""),""))</f>
        <v/>
      </c>
      <c r="M68" s="4">
        <f>IF(A68="","",IF(OR(E68&lt;50,AND(L68&lt;0.75,L68&lt;&gt;"" )),"At Risk","On Track"))</f>
        <v/>
      </c>
    </row>
    <row r="69">
      <c r="A69">
        <f>IF(MASTER_REGISTER!E69="","",MASTER_REGISTER!E69)</f>
        <v/>
      </c>
      <c r="B69">
        <f>IF(A69="","",MASTER_REGISTER!F69)</f>
        <v/>
      </c>
      <c r="C69">
        <f>IF(A69="","",MASTER_REGISTER!C69)</f>
        <v/>
      </c>
      <c r="D69">
        <f>IF(A69="","",COUNTIF(ASSESSMENTS!B:B,A69))</f>
        <v/>
      </c>
      <c r="E69" s="4">
        <f>IF(D69=0,"",ROUND(AVERAGEIF(ASSESSMENTS!B:B,A69,ASSESSMENTS!H:H),1))</f>
        <v/>
      </c>
      <c r="F69" s="4">
        <f>IF(A69="","",IFERROR(ROUND(AVERAGEIFS(ASSESSMENTS!H:H,ASSESSMENTS!B:B,A69,ASSESSMENTS!E:E,"Mathematics"),1),""))</f>
        <v/>
      </c>
      <c r="G69" s="4">
        <f>IF(A69="","",IFERROR(ROUND(AVERAGEIFS(ASSESSMENTS!H:H,ASSESSMENTS!B:B,A69,ASSESSMENTS!E:E,"Mathematical Literacy"),1),""))</f>
        <v/>
      </c>
      <c r="H69" s="4">
        <f>IF(A69="","",IFERROR(ROUND(AVERAGEIFS(ASSESSMENTS!H:H,ASSESSMENTS!B:B,A69,ASSESSMENTS!E:E,"Physical Sciences"),1),""))</f>
        <v/>
      </c>
      <c r="I69" s="4">
        <f>IF(A69="","",IFERROR(ROUND(AVERAGEIFS(ASSESSMENTS!H:H,ASSESSMENTS!B:B,A69,ASSESSMENTS!E:E,"Geography"),1),""))</f>
        <v/>
      </c>
      <c r="J69" s="4">
        <f>IF(A69="","",IFERROR(ROUND(AVERAGEIFS(ASSESSMENTS!H:H,ASSESSMENTS!B:B,A69,ASSESSMENTS!E:E,"Accounting"),1),""))</f>
        <v/>
      </c>
      <c r="K69" s="4">
        <f>IF(A69="","",IFERROR(ROUND(AVERAGEIFS(ASSESSMENTS!H:H,ASSESSMENTS!B:B,A69,ASSESSMENTS!E:E,"English"),1),""))</f>
        <v/>
      </c>
      <c r="L69" s="5">
        <f>IF(A69="","",IFERROR(_xludf.XLOOKUP(A69,ATTENDANCE_SUMMARY!A:A,ATTENDANCE_SUMMARY!G:G,""),""))</f>
        <v/>
      </c>
      <c r="M69" s="4">
        <f>IF(A69="","",IF(OR(E69&lt;50,AND(L69&lt;0.75,L69&lt;&gt;"" )),"At Risk","On Track"))</f>
        <v/>
      </c>
    </row>
    <row r="70">
      <c r="A70">
        <f>IF(MASTER_REGISTER!E70="","",MASTER_REGISTER!E70)</f>
        <v/>
      </c>
      <c r="B70">
        <f>IF(A70="","",MASTER_REGISTER!F70)</f>
        <v/>
      </c>
      <c r="C70">
        <f>IF(A70="","",MASTER_REGISTER!C70)</f>
        <v/>
      </c>
      <c r="D70">
        <f>IF(A70="","",COUNTIF(ASSESSMENTS!B:B,A70))</f>
        <v/>
      </c>
      <c r="E70" s="4">
        <f>IF(D70=0,"",ROUND(AVERAGEIF(ASSESSMENTS!B:B,A70,ASSESSMENTS!H:H),1))</f>
        <v/>
      </c>
      <c r="F70" s="4">
        <f>IF(A70="","",IFERROR(ROUND(AVERAGEIFS(ASSESSMENTS!H:H,ASSESSMENTS!B:B,A70,ASSESSMENTS!E:E,"Mathematics"),1),""))</f>
        <v/>
      </c>
      <c r="G70" s="4">
        <f>IF(A70="","",IFERROR(ROUND(AVERAGEIFS(ASSESSMENTS!H:H,ASSESSMENTS!B:B,A70,ASSESSMENTS!E:E,"Mathematical Literacy"),1),""))</f>
        <v/>
      </c>
      <c r="H70" s="4">
        <f>IF(A70="","",IFERROR(ROUND(AVERAGEIFS(ASSESSMENTS!H:H,ASSESSMENTS!B:B,A70,ASSESSMENTS!E:E,"Physical Sciences"),1),""))</f>
        <v/>
      </c>
      <c r="I70" s="4">
        <f>IF(A70="","",IFERROR(ROUND(AVERAGEIFS(ASSESSMENTS!H:H,ASSESSMENTS!B:B,A70,ASSESSMENTS!E:E,"Geography"),1),""))</f>
        <v/>
      </c>
      <c r="J70" s="4">
        <f>IF(A70="","",IFERROR(ROUND(AVERAGEIFS(ASSESSMENTS!H:H,ASSESSMENTS!B:B,A70,ASSESSMENTS!E:E,"Accounting"),1),""))</f>
        <v/>
      </c>
      <c r="K70" s="4">
        <f>IF(A70="","",IFERROR(ROUND(AVERAGEIFS(ASSESSMENTS!H:H,ASSESSMENTS!B:B,A70,ASSESSMENTS!E:E,"English"),1),""))</f>
        <v/>
      </c>
      <c r="L70" s="5">
        <f>IF(A70="","",IFERROR(_xludf.XLOOKUP(A70,ATTENDANCE_SUMMARY!A:A,ATTENDANCE_SUMMARY!G:G,""),""))</f>
        <v/>
      </c>
      <c r="M70" s="4">
        <f>IF(A70="","",IF(OR(E70&lt;50,AND(L70&lt;0.75,L70&lt;&gt;"" )),"At Risk","On Track"))</f>
        <v/>
      </c>
    </row>
    <row r="71">
      <c r="A71">
        <f>IF(MASTER_REGISTER!E71="","",MASTER_REGISTER!E71)</f>
        <v/>
      </c>
      <c r="B71">
        <f>IF(A71="","",MASTER_REGISTER!F71)</f>
        <v/>
      </c>
      <c r="C71">
        <f>IF(A71="","",MASTER_REGISTER!C71)</f>
        <v/>
      </c>
      <c r="D71">
        <f>IF(A71="","",COUNTIF(ASSESSMENTS!B:B,A71))</f>
        <v/>
      </c>
      <c r="E71" s="4">
        <f>IF(D71=0,"",ROUND(AVERAGEIF(ASSESSMENTS!B:B,A71,ASSESSMENTS!H:H),1))</f>
        <v/>
      </c>
      <c r="F71" s="4">
        <f>IF(A71="","",IFERROR(ROUND(AVERAGEIFS(ASSESSMENTS!H:H,ASSESSMENTS!B:B,A71,ASSESSMENTS!E:E,"Mathematics"),1),""))</f>
        <v/>
      </c>
      <c r="G71" s="4">
        <f>IF(A71="","",IFERROR(ROUND(AVERAGEIFS(ASSESSMENTS!H:H,ASSESSMENTS!B:B,A71,ASSESSMENTS!E:E,"Mathematical Literacy"),1),""))</f>
        <v/>
      </c>
      <c r="H71" s="4">
        <f>IF(A71="","",IFERROR(ROUND(AVERAGEIFS(ASSESSMENTS!H:H,ASSESSMENTS!B:B,A71,ASSESSMENTS!E:E,"Physical Sciences"),1),""))</f>
        <v/>
      </c>
      <c r="I71" s="4">
        <f>IF(A71="","",IFERROR(ROUND(AVERAGEIFS(ASSESSMENTS!H:H,ASSESSMENTS!B:B,A71,ASSESSMENTS!E:E,"Geography"),1),""))</f>
        <v/>
      </c>
      <c r="J71" s="4">
        <f>IF(A71="","",IFERROR(ROUND(AVERAGEIFS(ASSESSMENTS!H:H,ASSESSMENTS!B:B,A71,ASSESSMENTS!E:E,"Accounting"),1),""))</f>
        <v/>
      </c>
      <c r="K71" s="4">
        <f>IF(A71="","",IFERROR(ROUND(AVERAGEIFS(ASSESSMENTS!H:H,ASSESSMENTS!B:B,A71,ASSESSMENTS!E:E,"English"),1),""))</f>
        <v/>
      </c>
      <c r="L71" s="5">
        <f>IF(A71="","",IFERROR(_xludf.XLOOKUP(A71,ATTENDANCE_SUMMARY!A:A,ATTENDANCE_SUMMARY!G:G,""),""))</f>
        <v/>
      </c>
      <c r="M71" s="4">
        <f>IF(A71="","",IF(OR(E71&lt;50,AND(L71&lt;0.75,L71&lt;&gt;"" )),"At Risk","On Track"))</f>
        <v/>
      </c>
    </row>
    <row r="72">
      <c r="A72">
        <f>IF(MASTER_REGISTER!E72="","",MASTER_REGISTER!E72)</f>
        <v/>
      </c>
      <c r="B72">
        <f>IF(A72="","",MASTER_REGISTER!F72)</f>
        <v/>
      </c>
      <c r="C72">
        <f>IF(A72="","",MASTER_REGISTER!C72)</f>
        <v/>
      </c>
      <c r="D72">
        <f>IF(A72="","",COUNTIF(ASSESSMENTS!B:B,A72))</f>
        <v/>
      </c>
      <c r="E72" s="4">
        <f>IF(D72=0,"",ROUND(AVERAGEIF(ASSESSMENTS!B:B,A72,ASSESSMENTS!H:H),1))</f>
        <v/>
      </c>
      <c r="F72" s="4">
        <f>IF(A72="","",IFERROR(ROUND(AVERAGEIFS(ASSESSMENTS!H:H,ASSESSMENTS!B:B,A72,ASSESSMENTS!E:E,"Mathematics"),1),""))</f>
        <v/>
      </c>
      <c r="G72" s="4">
        <f>IF(A72="","",IFERROR(ROUND(AVERAGEIFS(ASSESSMENTS!H:H,ASSESSMENTS!B:B,A72,ASSESSMENTS!E:E,"Mathematical Literacy"),1),""))</f>
        <v/>
      </c>
      <c r="H72" s="4">
        <f>IF(A72="","",IFERROR(ROUND(AVERAGEIFS(ASSESSMENTS!H:H,ASSESSMENTS!B:B,A72,ASSESSMENTS!E:E,"Physical Sciences"),1),""))</f>
        <v/>
      </c>
      <c r="I72" s="4">
        <f>IF(A72="","",IFERROR(ROUND(AVERAGEIFS(ASSESSMENTS!H:H,ASSESSMENTS!B:B,A72,ASSESSMENTS!E:E,"Geography"),1),""))</f>
        <v/>
      </c>
      <c r="J72" s="4">
        <f>IF(A72="","",IFERROR(ROUND(AVERAGEIFS(ASSESSMENTS!H:H,ASSESSMENTS!B:B,A72,ASSESSMENTS!E:E,"Accounting"),1),""))</f>
        <v/>
      </c>
      <c r="K72" s="4">
        <f>IF(A72="","",IFERROR(ROUND(AVERAGEIFS(ASSESSMENTS!H:H,ASSESSMENTS!B:B,A72,ASSESSMENTS!E:E,"English"),1),""))</f>
        <v/>
      </c>
      <c r="L72" s="5">
        <f>IF(A72="","",IFERROR(_xludf.XLOOKUP(A72,ATTENDANCE_SUMMARY!A:A,ATTENDANCE_SUMMARY!G:G,""),""))</f>
        <v/>
      </c>
      <c r="M72" s="4">
        <f>IF(A72="","",IF(OR(E72&lt;50,AND(L72&lt;0.75,L72&lt;&gt;"" )),"At Risk","On Track"))</f>
        <v/>
      </c>
    </row>
    <row r="73">
      <c r="A73">
        <f>IF(MASTER_REGISTER!E73="","",MASTER_REGISTER!E73)</f>
        <v/>
      </c>
      <c r="B73">
        <f>IF(A73="","",MASTER_REGISTER!F73)</f>
        <v/>
      </c>
      <c r="C73">
        <f>IF(A73="","",MASTER_REGISTER!C73)</f>
        <v/>
      </c>
      <c r="D73">
        <f>IF(A73="","",COUNTIF(ASSESSMENTS!B:B,A73))</f>
        <v/>
      </c>
      <c r="E73" s="4">
        <f>IF(D73=0,"",ROUND(AVERAGEIF(ASSESSMENTS!B:B,A73,ASSESSMENTS!H:H),1))</f>
        <v/>
      </c>
      <c r="F73" s="4">
        <f>IF(A73="","",IFERROR(ROUND(AVERAGEIFS(ASSESSMENTS!H:H,ASSESSMENTS!B:B,A73,ASSESSMENTS!E:E,"Mathematics"),1),""))</f>
        <v/>
      </c>
      <c r="G73" s="4">
        <f>IF(A73="","",IFERROR(ROUND(AVERAGEIFS(ASSESSMENTS!H:H,ASSESSMENTS!B:B,A73,ASSESSMENTS!E:E,"Mathematical Literacy"),1),""))</f>
        <v/>
      </c>
      <c r="H73" s="4">
        <f>IF(A73="","",IFERROR(ROUND(AVERAGEIFS(ASSESSMENTS!H:H,ASSESSMENTS!B:B,A73,ASSESSMENTS!E:E,"Physical Sciences"),1),""))</f>
        <v/>
      </c>
      <c r="I73" s="4">
        <f>IF(A73="","",IFERROR(ROUND(AVERAGEIFS(ASSESSMENTS!H:H,ASSESSMENTS!B:B,A73,ASSESSMENTS!E:E,"Geography"),1),""))</f>
        <v/>
      </c>
      <c r="J73" s="4">
        <f>IF(A73="","",IFERROR(ROUND(AVERAGEIFS(ASSESSMENTS!H:H,ASSESSMENTS!B:B,A73,ASSESSMENTS!E:E,"Accounting"),1),""))</f>
        <v/>
      </c>
      <c r="K73" s="4">
        <f>IF(A73="","",IFERROR(ROUND(AVERAGEIFS(ASSESSMENTS!H:H,ASSESSMENTS!B:B,A73,ASSESSMENTS!E:E,"English"),1),""))</f>
        <v/>
      </c>
      <c r="L73" s="5">
        <f>IF(A73="","",IFERROR(_xludf.XLOOKUP(A73,ATTENDANCE_SUMMARY!A:A,ATTENDANCE_SUMMARY!G:G,""),""))</f>
        <v/>
      </c>
      <c r="M73" s="4">
        <f>IF(A73="","",IF(OR(E73&lt;50,AND(L73&lt;0.75,L73&lt;&gt;"" )),"At Risk","On Track"))</f>
        <v/>
      </c>
    </row>
    <row r="74">
      <c r="A74">
        <f>IF(MASTER_REGISTER!E74="","",MASTER_REGISTER!E74)</f>
        <v/>
      </c>
      <c r="B74">
        <f>IF(A74="","",MASTER_REGISTER!F74)</f>
        <v/>
      </c>
      <c r="C74">
        <f>IF(A74="","",MASTER_REGISTER!C74)</f>
        <v/>
      </c>
      <c r="D74">
        <f>IF(A74="","",COUNTIF(ASSESSMENTS!B:B,A74))</f>
        <v/>
      </c>
      <c r="E74" s="4">
        <f>IF(D74=0,"",ROUND(AVERAGEIF(ASSESSMENTS!B:B,A74,ASSESSMENTS!H:H),1))</f>
        <v/>
      </c>
      <c r="F74" s="4">
        <f>IF(A74="","",IFERROR(ROUND(AVERAGEIFS(ASSESSMENTS!H:H,ASSESSMENTS!B:B,A74,ASSESSMENTS!E:E,"Mathematics"),1),""))</f>
        <v/>
      </c>
      <c r="G74" s="4">
        <f>IF(A74="","",IFERROR(ROUND(AVERAGEIFS(ASSESSMENTS!H:H,ASSESSMENTS!B:B,A74,ASSESSMENTS!E:E,"Mathematical Literacy"),1),""))</f>
        <v/>
      </c>
      <c r="H74" s="4">
        <f>IF(A74="","",IFERROR(ROUND(AVERAGEIFS(ASSESSMENTS!H:H,ASSESSMENTS!B:B,A74,ASSESSMENTS!E:E,"Physical Sciences"),1),""))</f>
        <v/>
      </c>
      <c r="I74" s="4">
        <f>IF(A74="","",IFERROR(ROUND(AVERAGEIFS(ASSESSMENTS!H:H,ASSESSMENTS!B:B,A74,ASSESSMENTS!E:E,"Geography"),1),""))</f>
        <v/>
      </c>
      <c r="J74" s="4">
        <f>IF(A74="","",IFERROR(ROUND(AVERAGEIFS(ASSESSMENTS!H:H,ASSESSMENTS!B:B,A74,ASSESSMENTS!E:E,"Accounting"),1),""))</f>
        <v/>
      </c>
      <c r="K74" s="4">
        <f>IF(A74="","",IFERROR(ROUND(AVERAGEIFS(ASSESSMENTS!H:H,ASSESSMENTS!B:B,A74,ASSESSMENTS!E:E,"English"),1),""))</f>
        <v/>
      </c>
      <c r="L74" s="5">
        <f>IF(A74="","",IFERROR(_xludf.XLOOKUP(A74,ATTENDANCE_SUMMARY!A:A,ATTENDANCE_SUMMARY!G:G,""),""))</f>
        <v/>
      </c>
      <c r="M74" s="4">
        <f>IF(A74="","",IF(OR(E74&lt;50,AND(L74&lt;0.75,L74&lt;&gt;"" )),"At Risk","On Track"))</f>
        <v/>
      </c>
    </row>
    <row r="75">
      <c r="A75">
        <f>IF(MASTER_REGISTER!E75="","",MASTER_REGISTER!E75)</f>
        <v/>
      </c>
      <c r="B75">
        <f>IF(A75="","",MASTER_REGISTER!F75)</f>
        <v/>
      </c>
      <c r="C75">
        <f>IF(A75="","",MASTER_REGISTER!C75)</f>
        <v/>
      </c>
      <c r="D75">
        <f>IF(A75="","",COUNTIF(ASSESSMENTS!B:B,A75))</f>
        <v/>
      </c>
      <c r="E75" s="4">
        <f>IF(D75=0,"",ROUND(AVERAGEIF(ASSESSMENTS!B:B,A75,ASSESSMENTS!H:H),1))</f>
        <v/>
      </c>
      <c r="F75" s="4">
        <f>IF(A75="","",IFERROR(ROUND(AVERAGEIFS(ASSESSMENTS!H:H,ASSESSMENTS!B:B,A75,ASSESSMENTS!E:E,"Mathematics"),1),""))</f>
        <v/>
      </c>
      <c r="G75" s="4">
        <f>IF(A75="","",IFERROR(ROUND(AVERAGEIFS(ASSESSMENTS!H:H,ASSESSMENTS!B:B,A75,ASSESSMENTS!E:E,"Mathematical Literacy"),1),""))</f>
        <v/>
      </c>
      <c r="H75" s="4">
        <f>IF(A75="","",IFERROR(ROUND(AVERAGEIFS(ASSESSMENTS!H:H,ASSESSMENTS!B:B,A75,ASSESSMENTS!E:E,"Physical Sciences"),1),""))</f>
        <v/>
      </c>
      <c r="I75" s="4">
        <f>IF(A75="","",IFERROR(ROUND(AVERAGEIFS(ASSESSMENTS!H:H,ASSESSMENTS!B:B,A75,ASSESSMENTS!E:E,"Geography"),1),""))</f>
        <v/>
      </c>
      <c r="J75" s="4">
        <f>IF(A75="","",IFERROR(ROUND(AVERAGEIFS(ASSESSMENTS!H:H,ASSESSMENTS!B:B,A75,ASSESSMENTS!E:E,"Accounting"),1),""))</f>
        <v/>
      </c>
      <c r="K75" s="4">
        <f>IF(A75="","",IFERROR(ROUND(AVERAGEIFS(ASSESSMENTS!H:H,ASSESSMENTS!B:B,A75,ASSESSMENTS!E:E,"English"),1),""))</f>
        <v/>
      </c>
      <c r="L75" s="5">
        <f>IF(A75="","",IFERROR(_xludf.XLOOKUP(A75,ATTENDANCE_SUMMARY!A:A,ATTENDANCE_SUMMARY!G:G,""),""))</f>
        <v/>
      </c>
      <c r="M75" s="4">
        <f>IF(A75="","",IF(OR(E75&lt;50,AND(L75&lt;0.75,L75&lt;&gt;"" )),"At Risk","On Track"))</f>
        <v/>
      </c>
    </row>
    <row r="76">
      <c r="A76">
        <f>IF(MASTER_REGISTER!E76="","",MASTER_REGISTER!E76)</f>
        <v/>
      </c>
      <c r="B76">
        <f>IF(A76="","",MASTER_REGISTER!F76)</f>
        <v/>
      </c>
      <c r="C76">
        <f>IF(A76="","",MASTER_REGISTER!C76)</f>
        <v/>
      </c>
      <c r="D76">
        <f>IF(A76="","",COUNTIF(ASSESSMENTS!B:B,A76))</f>
        <v/>
      </c>
      <c r="E76" s="4">
        <f>IF(D76=0,"",ROUND(AVERAGEIF(ASSESSMENTS!B:B,A76,ASSESSMENTS!H:H),1))</f>
        <v/>
      </c>
      <c r="F76" s="4">
        <f>IF(A76="","",IFERROR(ROUND(AVERAGEIFS(ASSESSMENTS!H:H,ASSESSMENTS!B:B,A76,ASSESSMENTS!E:E,"Mathematics"),1),""))</f>
        <v/>
      </c>
      <c r="G76" s="4">
        <f>IF(A76="","",IFERROR(ROUND(AVERAGEIFS(ASSESSMENTS!H:H,ASSESSMENTS!B:B,A76,ASSESSMENTS!E:E,"Mathematical Literacy"),1),""))</f>
        <v/>
      </c>
      <c r="H76" s="4">
        <f>IF(A76="","",IFERROR(ROUND(AVERAGEIFS(ASSESSMENTS!H:H,ASSESSMENTS!B:B,A76,ASSESSMENTS!E:E,"Physical Sciences"),1),""))</f>
        <v/>
      </c>
      <c r="I76" s="4">
        <f>IF(A76="","",IFERROR(ROUND(AVERAGEIFS(ASSESSMENTS!H:H,ASSESSMENTS!B:B,A76,ASSESSMENTS!E:E,"Geography"),1),""))</f>
        <v/>
      </c>
      <c r="J76" s="4">
        <f>IF(A76="","",IFERROR(ROUND(AVERAGEIFS(ASSESSMENTS!H:H,ASSESSMENTS!B:B,A76,ASSESSMENTS!E:E,"Accounting"),1),""))</f>
        <v/>
      </c>
      <c r="K76" s="4">
        <f>IF(A76="","",IFERROR(ROUND(AVERAGEIFS(ASSESSMENTS!H:H,ASSESSMENTS!B:B,A76,ASSESSMENTS!E:E,"English"),1),""))</f>
        <v/>
      </c>
      <c r="L76" s="5">
        <f>IF(A76="","",IFERROR(_xludf.XLOOKUP(A76,ATTENDANCE_SUMMARY!A:A,ATTENDANCE_SUMMARY!G:G,""),""))</f>
        <v/>
      </c>
      <c r="M76" s="4">
        <f>IF(A76="","",IF(OR(E76&lt;50,AND(L76&lt;0.75,L76&lt;&gt;"" )),"At Risk","On Track"))</f>
        <v/>
      </c>
    </row>
    <row r="77">
      <c r="A77">
        <f>IF(MASTER_REGISTER!E77="","",MASTER_REGISTER!E77)</f>
        <v/>
      </c>
      <c r="B77">
        <f>IF(A77="","",MASTER_REGISTER!F77)</f>
        <v/>
      </c>
      <c r="C77">
        <f>IF(A77="","",MASTER_REGISTER!C77)</f>
        <v/>
      </c>
      <c r="D77">
        <f>IF(A77="","",COUNTIF(ASSESSMENTS!B:B,A77))</f>
        <v/>
      </c>
      <c r="E77" s="4">
        <f>IF(D77=0,"",ROUND(AVERAGEIF(ASSESSMENTS!B:B,A77,ASSESSMENTS!H:H),1))</f>
        <v/>
      </c>
      <c r="F77" s="4">
        <f>IF(A77="","",IFERROR(ROUND(AVERAGEIFS(ASSESSMENTS!H:H,ASSESSMENTS!B:B,A77,ASSESSMENTS!E:E,"Mathematics"),1),""))</f>
        <v/>
      </c>
      <c r="G77" s="4">
        <f>IF(A77="","",IFERROR(ROUND(AVERAGEIFS(ASSESSMENTS!H:H,ASSESSMENTS!B:B,A77,ASSESSMENTS!E:E,"Mathematical Literacy"),1),""))</f>
        <v/>
      </c>
      <c r="H77" s="4">
        <f>IF(A77="","",IFERROR(ROUND(AVERAGEIFS(ASSESSMENTS!H:H,ASSESSMENTS!B:B,A77,ASSESSMENTS!E:E,"Physical Sciences"),1),""))</f>
        <v/>
      </c>
      <c r="I77" s="4">
        <f>IF(A77="","",IFERROR(ROUND(AVERAGEIFS(ASSESSMENTS!H:H,ASSESSMENTS!B:B,A77,ASSESSMENTS!E:E,"Geography"),1),""))</f>
        <v/>
      </c>
      <c r="J77" s="4">
        <f>IF(A77="","",IFERROR(ROUND(AVERAGEIFS(ASSESSMENTS!H:H,ASSESSMENTS!B:B,A77,ASSESSMENTS!E:E,"Accounting"),1),""))</f>
        <v/>
      </c>
      <c r="K77" s="4">
        <f>IF(A77="","",IFERROR(ROUND(AVERAGEIFS(ASSESSMENTS!H:H,ASSESSMENTS!B:B,A77,ASSESSMENTS!E:E,"English"),1),""))</f>
        <v/>
      </c>
      <c r="L77" s="5">
        <f>IF(A77="","",IFERROR(_xludf.XLOOKUP(A77,ATTENDANCE_SUMMARY!A:A,ATTENDANCE_SUMMARY!G:G,""),""))</f>
        <v/>
      </c>
      <c r="M77" s="4">
        <f>IF(A77="","",IF(OR(E77&lt;50,AND(L77&lt;0.75,L77&lt;&gt;"" )),"At Risk","On Track"))</f>
        <v/>
      </c>
    </row>
    <row r="78">
      <c r="A78">
        <f>IF(MASTER_REGISTER!E78="","",MASTER_REGISTER!E78)</f>
        <v/>
      </c>
      <c r="B78">
        <f>IF(A78="","",MASTER_REGISTER!F78)</f>
        <v/>
      </c>
      <c r="C78">
        <f>IF(A78="","",MASTER_REGISTER!C78)</f>
        <v/>
      </c>
      <c r="D78">
        <f>IF(A78="","",COUNTIF(ASSESSMENTS!B:B,A78))</f>
        <v/>
      </c>
      <c r="E78" s="4">
        <f>IF(D78=0,"",ROUND(AVERAGEIF(ASSESSMENTS!B:B,A78,ASSESSMENTS!H:H),1))</f>
        <v/>
      </c>
      <c r="F78" s="4">
        <f>IF(A78="","",IFERROR(ROUND(AVERAGEIFS(ASSESSMENTS!H:H,ASSESSMENTS!B:B,A78,ASSESSMENTS!E:E,"Mathematics"),1),""))</f>
        <v/>
      </c>
      <c r="G78" s="4">
        <f>IF(A78="","",IFERROR(ROUND(AVERAGEIFS(ASSESSMENTS!H:H,ASSESSMENTS!B:B,A78,ASSESSMENTS!E:E,"Mathematical Literacy"),1),""))</f>
        <v/>
      </c>
      <c r="H78" s="4">
        <f>IF(A78="","",IFERROR(ROUND(AVERAGEIFS(ASSESSMENTS!H:H,ASSESSMENTS!B:B,A78,ASSESSMENTS!E:E,"Physical Sciences"),1),""))</f>
        <v/>
      </c>
      <c r="I78" s="4">
        <f>IF(A78="","",IFERROR(ROUND(AVERAGEIFS(ASSESSMENTS!H:H,ASSESSMENTS!B:B,A78,ASSESSMENTS!E:E,"Geography"),1),""))</f>
        <v/>
      </c>
      <c r="J78" s="4">
        <f>IF(A78="","",IFERROR(ROUND(AVERAGEIFS(ASSESSMENTS!H:H,ASSESSMENTS!B:B,A78,ASSESSMENTS!E:E,"Accounting"),1),""))</f>
        <v/>
      </c>
      <c r="K78" s="4">
        <f>IF(A78="","",IFERROR(ROUND(AVERAGEIFS(ASSESSMENTS!H:H,ASSESSMENTS!B:B,A78,ASSESSMENTS!E:E,"English"),1),""))</f>
        <v/>
      </c>
      <c r="L78" s="5">
        <f>IF(A78="","",IFERROR(_xludf.XLOOKUP(A78,ATTENDANCE_SUMMARY!A:A,ATTENDANCE_SUMMARY!G:G,""),""))</f>
        <v/>
      </c>
      <c r="M78" s="4">
        <f>IF(A78="","",IF(OR(E78&lt;50,AND(L78&lt;0.75,L78&lt;&gt;"" )),"At Risk","On Track"))</f>
        <v/>
      </c>
    </row>
    <row r="79">
      <c r="A79">
        <f>IF(MASTER_REGISTER!E79="","",MASTER_REGISTER!E79)</f>
        <v/>
      </c>
      <c r="B79">
        <f>IF(A79="","",MASTER_REGISTER!F79)</f>
        <v/>
      </c>
      <c r="C79">
        <f>IF(A79="","",MASTER_REGISTER!C79)</f>
        <v/>
      </c>
      <c r="D79">
        <f>IF(A79="","",COUNTIF(ASSESSMENTS!B:B,A79))</f>
        <v/>
      </c>
      <c r="E79" s="4">
        <f>IF(D79=0,"",ROUND(AVERAGEIF(ASSESSMENTS!B:B,A79,ASSESSMENTS!H:H),1))</f>
        <v/>
      </c>
      <c r="F79" s="4">
        <f>IF(A79="","",IFERROR(ROUND(AVERAGEIFS(ASSESSMENTS!H:H,ASSESSMENTS!B:B,A79,ASSESSMENTS!E:E,"Mathematics"),1),""))</f>
        <v/>
      </c>
      <c r="G79" s="4">
        <f>IF(A79="","",IFERROR(ROUND(AVERAGEIFS(ASSESSMENTS!H:H,ASSESSMENTS!B:B,A79,ASSESSMENTS!E:E,"Mathematical Literacy"),1),""))</f>
        <v/>
      </c>
      <c r="H79" s="4">
        <f>IF(A79="","",IFERROR(ROUND(AVERAGEIFS(ASSESSMENTS!H:H,ASSESSMENTS!B:B,A79,ASSESSMENTS!E:E,"Physical Sciences"),1),""))</f>
        <v/>
      </c>
      <c r="I79" s="4">
        <f>IF(A79="","",IFERROR(ROUND(AVERAGEIFS(ASSESSMENTS!H:H,ASSESSMENTS!B:B,A79,ASSESSMENTS!E:E,"Geography"),1),""))</f>
        <v/>
      </c>
      <c r="J79" s="4">
        <f>IF(A79="","",IFERROR(ROUND(AVERAGEIFS(ASSESSMENTS!H:H,ASSESSMENTS!B:B,A79,ASSESSMENTS!E:E,"Accounting"),1),""))</f>
        <v/>
      </c>
      <c r="K79" s="4">
        <f>IF(A79="","",IFERROR(ROUND(AVERAGEIFS(ASSESSMENTS!H:H,ASSESSMENTS!B:B,A79,ASSESSMENTS!E:E,"English"),1),""))</f>
        <v/>
      </c>
      <c r="L79" s="5">
        <f>IF(A79="","",IFERROR(_xludf.XLOOKUP(A79,ATTENDANCE_SUMMARY!A:A,ATTENDANCE_SUMMARY!G:G,""),""))</f>
        <v/>
      </c>
      <c r="M79" s="4">
        <f>IF(A79="","",IF(OR(E79&lt;50,AND(L79&lt;0.75,L79&lt;&gt;"" )),"At Risk","On Track"))</f>
        <v/>
      </c>
    </row>
    <row r="80">
      <c r="A80">
        <f>IF(MASTER_REGISTER!E80="","",MASTER_REGISTER!E80)</f>
        <v/>
      </c>
      <c r="B80">
        <f>IF(A80="","",MASTER_REGISTER!F80)</f>
        <v/>
      </c>
      <c r="C80">
        <f>IF(A80="","",MASTER_REGISTER!C80)</f>
        <v/>
      </c>
      <c r="D80">
        <f>IF(A80="","",COUNTIF(ASSESSMENTS!B:B,A80))</f>
        <v/>
      </c>
      <c r="E80" s="4">
        <f>IF(D80=0,"",ROUND(AVERAGEIF(ASSESSMENTS!B:B,A80,ASSESSMENTS!H:H),1))</f>
        <v/>
      </c>
      <c r="F80" s="4">
        <f>IF(A80="","",IFERROR(ROUND(AVERAGEIFS(ASSESSMENTS!H:H,ASSESSMENTS!B:B,A80,ASSESSMENTS!E:E,"Mathematics"),1),""))</f>
        <v/>
      </c>
      <c r="G80" s="4">
        <f>IF(A80="","",IFERROR(ROUND(AVERAGEIFS(ASSESSMENTS!H:H,ASSESSMENTS!B:B,A80,ASSESSMENTS!E:E,"Mathematical Literacy"),1),""))</f>
        <v/>
      </c>
      <c r="H80" s="4">
        <f>IF(A80="","",IFERROR(ROUND(AVERAGEIFS(ASSESSMENTS!H:H,ASSESSMENTS!B:B,A80,ASSESSMENTS!E:E,"Physical Sciences"),1),""))</f>
        <v/>
      </c>
      <c r="I80" s="4">
        <f>IF(A80="","",IFERROR(ROUND(AVERAGEIFS(ASSESSMENTS!H:H,ASSESSMENTS!B:B,A80,ASSESSMENTS!E:E,"Geography"),1),""))</f>
        <v/>
      </c>
      <c r="J80" s="4">
        <f>IF(A80="","",IFERROR(ROUND(AVERAGEIFS(ASSESSMENTS!H:H,ASSESSMENTS!B:B,A80,ASSESSMENTS!E:E,"Accounting"),1),""))</f>
        <v/>
      </c>
      <c r="K80" s="4">
        <f>IF(A80="","",IFERROR(ROUND(AVERAGEIFS(ASSESSMENTS!H:H,ASSESSMENTS!B:B,A80,ASSESSMENTS!E:E,"English"),1),""))</f>
        <v/>
      </c>
      <c r="L80" s="5">
        <f>IF(A80="","",IFERROR(_xludf.XLOOKUP(A80,ATTENDANCE_SUMMARY!A:A,ATTENDANCE_SUMMARY!G:G,""),""))</f>
        <v/>
      </c>
      <c r="M80" s="4">
        <f>IF(A80="","",IF(OR(E80&lt;50,AND(L80&lt;0.75,L80&lt;&gt;"" )),"At Risk","On Track"))</f>
        <v/>
      </c>
    </row>
    <row r="81">
      <c r="A81">
        <f>IF(MASTER_REGISTER!E81="","",MASTER_REGISTER!E81)</f>
        <v/>
      </c>
      <c r="B81">
        <f>IF(A81="","",MASTER_REGISTER!F81)</f>
        <v/>
      </c>
      <c r="C81">
        <f>IF(A81="","",MASTER_REGISTER!C81)</f>
        <v/>
      </c>
      <c r="D81">
        <f>IF(A81="","",COUNTIF(ASSESSMENTS!B:B,A81))</f>
        <v/>
      </c>
      <c r="E81" s="4">
        <f>IF(D81=0,"",ROUND(AVERAGEIF(ASSESSMENTS!B:B,A81,ASSESSMENTS!H:H),1))</f>
        <v/>
      </c>
      <c r="F81" s="4">
        <f>IF(A81="","",IFERROR(ROUND(AVERAGEIFS(ASSESSMENTS!H:H,ASSESSMENTS!B:B,A81,ASSESSMENTS!E:E,"Mathematics"),1),""))</f>
        <v/>
      </c>
      <c r="G81" s="4">
        <f>IF(A81="","",IFERROR(ROUND(AVERAGEIFS(ASSESSMENTS!H:H,ASSESSMENTS!B:B,A81,ASSESSMENTS!E:E,"Mathematical Literacy"),1),""))</f>
        <v/>
      </c>
      <c r="H81" s="4">
        <f>IF(A81="","",IFERROR(ROUND(AVERAGEIFS(ASSESSMENTS!H:H,ASSESSMENTS!B:B,A81,ASSESSMENTS!E:E,"Physical Sciences"),1),""))</f>
        <v/>
      </c>
      <c r="I81" s="4">
        <f>IF(A81="","",IFERROR(ROUND(AVERAGEIFS(ASSESSMENTS!H:H,ASSESSMENTS!B:B,A81,ASSESSMENTS!E:E,"Geography"),1),""))</f>
        <v/>
      </c>
      <c r="J81" s="4">
        <f>IF(A81="","",IFERROR(ROUND(AVERAGEIFS(ASSESSMENTS!H:H,ASSESSMENTS!B:B,A81,ASSESSMENTS!E:E,"Accounting"),1),""))</f>
        <v/>
      </c>
      <c r="K81" s="4">
        <f>IF(A81="","",IFERROR(ROUND(AVERAGEIFS(ASSESSMENTS!H:H,ASSESSMENTS!B:B,A81,ASSESSMENTS!E:E,"English"),1),""))</f>
        <v/>
      </c>
      <c r="L81" s="5">
        <f>IF(A81="","",IFERROR(_xludf.XLOOKUP(A81,ATTENDANCE_SUMMARY!A:A,ATTENDANCE_SUMMARY!G:G,""),""))</f>
        <v/>
      </c>
      <c r="M81" s="4">
        <f>IF(A81="","",IF(OR(E81&lt;50,AND(L81&lt;0.75,L81&lt;&gt;"" )),"At Risk","On Track"))</f>
        <v/>
      </c>
    </row>
    <row r="82">
      <c r="A82">
        <f>IF(MASTER_REGISTER!E82="","",MASTER_REGISTER!E82)</f>
        <v/>
      </c>
      <c r="B82">
        <f>IF(A82="","",MASTER_REGISTER!F82)</f>
        <v/>
      </c>
      <c r="C82">
        <f>IF(A82="","",MASTER_REGISTER!C82)</f>
        <v/>
      </c>
      <c r="D82">
        <f>IF(A82="","",COUNTIF(ASSESSMENTS!B:B,A82))</f>
        <v/>
      </c>
      <c r="E82" s="4">
        <f>IF(D82=0,"",ROUND(AVERAGEIF(ASSESSMENTS!B:B,A82,ASSESSMENTS!H:H),1))</f>
        <v/>
      </c>
      <c r="F82" s="4">
        <f>IF(A82="","",IFERROR(ROUND(AVERAGEIFS(ASSESSMENTS!H:H,ASSESSMENTS!B:B,A82,ASSESSMENTS!E:E,"Mathematics"),1),""))</f>
        <v/>
      </c>
      <c r="G82" s="4">
        <f>IF(A82="","",IFERROR(ROUND(AVERAGEIFS(ASSESSMENTS!H:H,ASSESSMENTS!B:B,A82,ASSESSMENTS!E:E,"Mathematical Literacy"),1),""))</f>
        <v/>
      </c>
      <c r="H82" s="4">
        <f>IF(A82="","",IFERROR(ROUND(AVERAGEIFS(ASSESSMENTS!H:H,ASSESSMENTS!B:B,A82,ASSESSMENTS!E:E,"Physical Sciences"),1),""))</f>
        <v/>
      </c>
      <c r="I82" s="4">
        <f>IF(A82="","",IFERROR(ROUND(AVERAGEIFS(ASSESSMENTS!H:H,ASSESSMENTS!B:B,A82,ASSESSMENTS!E:E,"Geography"),1),""))</f>
        <v/>
      </c>
      <c r="J82" s="4">
        <f>IF(A82="","",IFERROR(ROUND(AVERAGEIFS(ASSESSMENTS!H:H,ASSESSMENTS!B:B,A82,ASSESSMENTS!E:E,"Accounting"),1),""))</f>
        <v/>
      </c>
      <c r="K82" s="4">
        <f>IF(A82="","",IFERROR(ROUND(AVERAGEIFS(ASSESSMENTS!H:H,ASSESSMENTS!B:B,A82,ASSESSMENTS!E:E,"English"),1),""))</f>
        <v/>
      </c>
      <c r="L82" s="5">
        <f>IF(A82="","",IFERROR(_xludf.XLOOKUP(A82,ATTENDANCE_SUMMARY!A:A,ATTENDANCE_SUMMARY!G:G,""),""))</f>
        <v/>
      </c>
      <c r="M82" s="4">
        <f>IF(A82="","",IF(OR(E82&lt;50,AND(L82&lt;0.75,L82&lt;&gt;"" )),"At Risk","On Track"))</f>
        <v/>
      </c>
    </row>
    <row r="83">
      <c r="A83">
        <f>IF(MASTER_REGISTER!E83="","",MASTER_REGISTER!E83)</f>
        <v/>
      </c>
      <c r="B83">
        <f>IF(A83="","",MASTER_REGISTER!F83)</f>
        <v/>
      </c>
      <c r="C83">
        <f>IF(A83="","",MASTER_REGISTER!C83)</f>
        <v/>
      </c>
      <c r="D83">
        <f>IF(A83="","",COUNTIF(ASSESSMENTS!B:B,A83))</f>
        <v/>
      </c>
      <c r="E83" s="4">
        <f>IF(D83=0,"",ROUND(AVERAGEIF(ASSESSMENTS!B:B,A83,ASSESSMENTS!H:H),1))</f>
        <v/>
      </c>
      <c r="F83" s="4">
        <f>IF(A83="","",IFERROR(ROUND(AVERAGEIFS(ASSESSMENTS!H:H,ASSESSMENTS!B:B,A83,ASSESSMENTS!E:E,"Mathematics"),1),""))</f>
        <v/>
      </c>
      <c r="G83" s="4">
        <f>IF(A83="","",IFERROR(ROUND(AVERAGEIFS(ASSESSMENTS!H:H,ASSESSMENTS!B:B,A83,ASSESSMENTS!E:E,"Mathematical Literacy"),1),""))</f>
        <v/>
      </c>
      <c r="H83" s="4">
        <f>IF(A83="","",IFERROR(ROUND(AVERAGEIFS(ASSESSMENTS!H:H,ASSESSMENTS!B:B,A83,ASSESSMENTS!E:E,"Physical Sciences"),1),""))</f>
        <v/>
      </c>
      <c r="I83" s="4">
        <f>IF(A83="","",IFERROR(ROUND(AVERAGEIFS(ASSESSMENTS!H:H,ASSESSMENTS!B:B,A83,ASSESSMENTS!E:E,"Geography"),1),""))</f>
        <v/>
      </c>
      <c r="J83" s="4">
        <f>IF(A83="","",IFERROR(ROUND(AVERAGEIFS(ASSESSMENTS!H:H,ASSESSMENTS!B:B,A83,ASSESSMENTS!E:E,"Accounting"),1),""))</f>
        <v/>
      </c>
      <c r="K83" s="4">
        <f>IF(A83="","",IFERROR(ROUND(AVERAGEIFS(ASSESSMENTS!H:H,ASSESSMENTS!B:B,A83,ASSESSMENTS!E:E,"English"),1),""))</f>
        <v/>
      </c>
      <c r="L83" s="5">
        <f>IF(A83="","",IFERROR(_xludf.XLOOKUP(A83,ATTENDANCE_SUMMARY!A:A,ATTENDANCE_SUMMARY!G:G,""),""))</f>
        <v/>
      </c>
      <c r="M83" s="4">
        <f>IF(A83="","",IF(OR(E83&lt;50,AND(L83&lt;0.75,L83&lt;&gt;"" )),"At Risk","On Track"))</f>
        <v/>
      </c>
    </row>
    <row r="84">
      <c r="A84">
        <f>IF(MASTER_REGISTER!E84="","",MASTER_REGISTER!E84)</f>
        <v/>
      </c>
      <c r="B84">
        <f>IF(A84="","",MASTER_REGISTER!F84)</f>
        <v/>
      </c>
      <c r="C84">
        <f>IF(A84="","",MASTER_REGISTER!C84)</f>
        <v/>
      </c>
      <c r="D84">
        <f>IF(A84="","",COUNTIF(ASSESSMENTS!B:B,A84))</f>
        <v/>
      </c>
      <c r="E84" s="4">
        <f>IF(D84=0,"",ROUND(AVERAGEIF(ASSESSMENTS!B:B,A84,ASSESSMENTS!H:H),1))</f>
        <v/>
      </c>
      <c r="F84" s="4">
        <f>IF(A84="","",IFERROR(ROUND(AVERAGEIFS(ASSESSMENTS!H:H,ASSESSMENTS!B:B,A84,ASSESSMENTS!E:E,"Mathematics"),1),""))</f>
        <v/>
      </c>
      <c r="G84" s="4">
        <f>IF(A84="","",IFERROR(ROUND(AVERAGEIFS(ASSESSMENTS!H:H,ASSESSMENTS!B:B,A84,ASSESSMENTS!E:E,"Mathematical Literacy"),1),""))</f>
        <v/>
      </c>
      <c r="H84" s="4">
        <f>IF(A84="","",IFERROR(ROUND(AVERAGEIFS(ASSESSMENTS!H:H,ASSESSMENTS!B:B,A84,ASSESSMENTS!E:E,"Physical Sciences"),1),""))</f>
        <v/>
      </c>
      <c r="I84" s="4">
        <f>IF(A84="","",IFERROR(ROUND(AVERAGEIFS(ASSESSMENTS!H:H,ASSESSMENTS!B:B,A84,ASSESSMENTS!E:E,"Geography"),1),""))</f>
        <v/>
      </c>
      <c r="J84" s="4">
        <f>IF(A84="","",IFERROR(ROUND(AVERAGEIFS(ASSESSMENTS!H:H,ASSESSMENTS!B:B,A84,ASSESSMENTS!E:E,"Accounting"),1),""))</f>
        <v/>
      </c>
      <c r="K84" s="4">
        <f>IF(A84="","",IFERROR(ROUND(AVERAGEIFS(ASSESSMENTS!H:H,ASSESSMENTS!B:B,A84,ASSESSMENTS!E:E,"English"),1),""))</f>
        <v/>
      </c>
      <c r="L84" s="5">
        <f>IF(A84="","",IFERROR(_xludf.XLOOKUP(A84,ATTENDANCE_SUMMARY!A:A,ATTENDANCE_SUMMARY!G:G,""),""))</f>
        <v/>
      </c>
      <c r="M84" s="4">
        <f>IF(A84="","",IF(OR(E84&lt;50,AND(L84&lt;0.75,L84&lt;&gt;"" )),"At Risk","On Track"))</f>
        <v/>
      </c>
    </row>
    <row r="85">
      <c r="A85">
        <f>IF(MASTER_REGISTER!E85="","",MASTER_REGISTER!E85)</f>
        <v/>
      </c>
      <c r="B85">
        <f>IF(A85="","",MASTER_REGISTER!F85)</f>
        <v/>
      </c>
      <c r="C85">
        <f>IF(A85="","",MASTER_REGISTER!C85)</f>
        <v/>
      </c>
      <c r="D85">
        <f>IF(A85="","",COUNTIF(ASSESSMENTS!B:B,A85))</f>
        <v/>
      </c>
      <c r="E85" s="4">
        <f>IF(D85=0,"",ROUND(AVERAGEIF(ASSESSMENTS!B:B,A85,ASSESSMENTS!H:H),1))</f>
        <v/>
      </c>
      <c r="F85" s="4">
        <f>IF(A85="","",IFERROR(ROUND(AVERAGEIFS(ASSESSMENTS!H:H,ASSESSMENTS!B:B,A85,ASSESSMENTS!E:E,"Mathematics"),1),""))</f>
        <v/>
      </c>
      <c r="G85" s="4">
        <f>IF(A85="","",IFERROR(ROUND(AVERAGEIFS(ASSESSMENTS!H:H,ASSESSMENTS!B:B,A85,ASSESSMENTS!E:E,"Mathematical Literacy"),1),""))</f>
        <v/>
      </c>
      <c r="H85" s="4">
        <f>IF(A85="","",IFERROR(ROUND(AVERAGEIFS(ASSESSMENTS!H:H,ASSESSMENTS!B:B,A85,ASSESSMENTS!E:E,"Physical Sciences"),1),""))</f>
        <v/>
      </c>
      <c r="I85" s="4">
        <f>IF(A85="","",IFERROR(ROUND(AVERAGEIFS(ASSESSMENTS!H:H,ASSESSMENTS!B:B,A85,ASSESSMENTS!E:E,"Geography"),1),""))</f>
        <v/>
      </c>
      <c r="J85" s="4">
        <f>IF(A85="","",IFERROR(ROUND(AVERAGEIFS(ASSESSMENTS!H:H,ASSESSMENTS!B:B,A85,ASSESSMENTS!E:E,"Accounting"),1),""))</f>
        <v/>
      </c>
      <c r="K85" s="4">
        <f>IF(A85="","",IFERROR(ROUND(AVERAGEIFS(ASSESSMENTS!H:H,ASSESSMENTS!B:B,A85,ASSESSMENTS!E:E,"English"),1),""))</f>
        <v/>
      </c>
      <c r="L85" s="5">
        <f>IF(A85="","",IFERROR(_xludf.XLOOKUP(A85,ATTENDANCE_SUMMARY!A:A,ATTENDANCE_SUMMARY!G:G,""),""))</f>
        <v/>
      </c>
      <c r="M85" s="4">
        <f>IF(A85="","",IF(OR(E85&lt;50,AND(L85&lt;0.75,L85&lt;&gt;"" )),"At Risk","On Track"))</f>
        <v/>
      </c>
    </row>
    <row r="86">
      <c r="A86">
        <f>IF(MASTER_REGISTER!E86="","",MASTER_REGISTER!E86)</f>
        <v/>
      </c>
      <c r="B86">
        <f>IF(A86="","",MASTER_REGISTER!F86)</f>
        <v/>
      </c>
      <c r="C86">
        <f>IF(A86="","",MASTER_REGISTER!C86)</f>
        <v/>
      </c>
      <c r="D86">
        <f>IF(A86="","",COUNTIF(ASSESSMENTS!B:B,A86))</f>
        <v/>
      </c>
      <c r="E86" s="4">
        <f>IF(D86=0,"",ROUND(AVERAGEIF(ASSESSMENTS!B:B,A86,ASSESSMENTS!H:H),1))</f>
        <v/>
      </c>
      <c r="F86" s="4">
        <f>IF(A86="","",IFERROR(ROUND(AVERAGEIFS(ASSESSMENTS!H:H,ASSESSMENTS!B:B,A86,ASSESSMENTS!E:E,"Mathematics"),1),""))</f>
        <v/>
      </c>
      <c r="G86" s="4">
        <f>IF(A86="","",IFERROR(ROUND(AVERAGEIFS(ASSESSMENTS!H:H,ASSESSMENTS!B:B,A86,ASSESSMENTS!E:E,"Mathematical Literacy"),1),""))</f>
        <v/>
      </c>
      <c r="H86" s="4">
        <f>IF(A86="","",IFERROR(ROUND(AVERAGEIFS(ASSESSMENTS!H:H,ASSESSMENTS!B:B,A86,ASSESSMENTS!E:E,"Physical Sciences"),1),""))</f>
        <v/>
      </c>
      <c r="I86" s="4">
        <f>IF(A86="","",IFERROR(ROUND(AVERAGEIFS(ASSESSMENTS!H:H,ASSESSMENTS!B:B,A86,ASSESSMENTS!E:E,"Geography"),1),""))</f>
        <v/>
      </c>
      <c r="J86" s="4">
        <f>IF(A86="","",IFERROR(ROUND(AVERAGEIFS(ASSESSMENTS!H:H,ASSESSMENTS!B:B,A86,ASSESSMENTS!E:E,"Accounting"),1),""))</f>
        <v/>
      </c>
      <c r="K86" s="4">
        <f>IF(A86="","",IFERROR(ROUND(AVERAGEIFS(ASSESSMENTS!H:H,ASSESSMENTS!B:B,A86,ASSESSMENTS!E:E,"English"),1),""))</f>
        <v/>
      </c>
      <c r="L86" s="5">
        <f>IF(A86="","",IFERROR(_xludf.XLOOKUP(A86,ATTENDANCE_SUMMARY!A:A,ATTENDANCE_SUMMARY!G:G,""),""))</f>
        <v/>
      </c>
      <c r="M86" s="4">
        <f>IF(A86="","",IF(OR(E86&lt;50,AND(L86&lt;0.75,L86&lt;&gt;"" )),"At Risk","On Track"))</f>
        <v/>
      </c>
    </row>
    <row r="87">
      <c r="A87">
        <f>IF(MASTER_REGISTER!E87="","",MASTER_REGISTER!E87)</f>
        <v/>
      </c>
      <c r="B87">
        <f>IF(A87="","",MASTER_REGISTER!F87)</f>
        <v/>
      </c>
      <c r="C87">
        <f>IF(A87="","",MASTER_REGISTER!C87)</f>
        <v/>
      </c>
      <c r="D87">
        <f>IF(A87="","",COUNTIF(ASSESSMENTS!B:B,A87))</f>
        <v/>
      </c>
      <c r="E87" s="4">
        <f>IF(D87=0,"",ROUND(AVERAGEIF(ASSESSMENTS!B:B,A87,ASSESSMENTS!H:H),1))</f>
        <v/>
      </c>
      <c r="F87" s="4">
        <f>IF(A87="","",IFERROR(ROUND(AVERAGEIFS(ASSESSMENTS!H:H,ASSESSMENTS!B:B,A87,ASSESSMENTS!E:E,"Mathematics"),1),""))</f>
        <v/>
      </c>
      <c r="G87" s="4">
        <f>IF(A87="","",IFERROR(ROUND(AVERAGEIFS(ASSESSMENTS!H:H,ASSESSMENTS!B:B,A87,ASSESSMENTS!E:E,"Mathematical Literacy"),1),""))</f>
        <v/>
      </c>
      <c r="H87" s="4">
        <f>IF(A87="","",IFERROR(ROUND(AVERAGEIFS(ASSESSMENTS!H:H,ASSESSMENTS!B:B,A87,ASSESSMENTS!E:E,"Physical Sciences"),1),""))</f>
        <v/>
      </c>
      <c r="I87" s="4">
        <f>IF(A87="","",IFERROR(ROUND(AVERAGEIFS(ASSESSMENTS!H:H,ASSESSMENTS!B:B,A87,ASSESSMENTS!E:E,"Geography"),1),""))</f>
        <v/>
      </c>
      <c r="J87" s="4">
        <f>IF(A87="","",IFERROR(ROUND(AVERAGEIFS(ASSESSMENTS!H:H,ASSESSMENTS!B:B,A87,ASSESSMENTS!E:E,"Accounting"),1),""))</f>
        <v/>
      </c>
      <c r="K87" s="4">
        <f>IF(A87="","",IFERROR(ROUND(AVERAGEIFS(ASSESSMENTS!H:H,ASSESSMENTS!B:B,A87,ASSESSMENTS!E:E,"English"),1),""))</f>
        <v/>
      </c>
      <c r="L87" s="5">
        <f>IF(A87="","",IFERROR(_xludf.XLOOKUP(A87,ATTENDANCE_SUMMARY!A:A,ATTENDANCE_SUMMARY!G:G,""),""))</f>
        <v/>
      </c>
      <c r="M87" s="4">
        <f>IF(A87="","",IF(OR(E87&lt;50,AND(L87&lt;0.75,L87&lt;&gt;"" )),"At Risk","On Track"))</f>
        <v/>
      </c>
    </row>
    <row r="88">
      <c r="A88">
        <f>IF(MASTER_REGISTER!E88="","",MASTER_REGISTER!E88)</f>
        <v/>
      </c>
      <c r="B88">
        <f>IF(A88="","",MASTER_REGISTER!F88)</f>
        <v/>
      </c>
      <c r="C88">
        <f>IF(A88="","",MASTER_REGISTER!C88)</f>
        <v/>
      </c>
      <c r="D88">
        <f>IF(A88="","",COUNTIF(ASSESSMENTS!B:B,A88))</f>
        <v/>
      </c>
      <c r="E88" s="4">
        <f>IF(D88=0,"",ROUND(AVERAGEIF(ASSESSMENTS!B:B,A88,ASSESSMENTS!H:H),1))</f>
        <v/>
      </c>
      <c r="F88" s="4">
        <f>IF(A88="","",IFERROR(ROUND(AVERAGEIFS(ASSESSMENTS!H:H,ASSESSMENTS!B:B,A88,ASSESSMENTS!E:E,"Mathematics"),1),""))</f>
        <v/>
      </c>
      <c r="G88" s="4">
        <f>IF(A88="","",IFERROR(ROUND(AVERAGEIFS(ASSESSMENTS!H:H,ASSESSMENTS!B:B,A88,ASSESSMENTS!E:E,"Mathematical Literacy"),1),""))</f>
        <v/>
      </c>
      <c r="H88" s="4">
        <f>IF(A88="","",IFERROR(ROUND(AVERAGEIFS(ASSESSMENTS!H:H,ASSESSMENTS!B:B,A88,ASSESSMENTS!E:E,"Physical Sciences"),1),""))</f>
        <v/>
      </c>
      <c r="I88" s="4">
        <f>IF(A88="","",IFERROR(ROUND(AVERAGEIFS(ASSESSMENTS!H:H,ASSESSMENTS!B:B,A88,ASSESSMENTS!E:E,"Geography"),1),""))</f>
        <v/>
      </c>
      <c r="J88" s="4">
        <f>IF(A88="","",IFERROR(ROUND(AVERAGEIFS(ASSESSMENTS!H:H,ASSESSMENTS!B:B,A88,ASSESSMENTS!E:E,"Accounting"),1),""))</f>
        <v/>
      </c>
      <c r="K88" s="4">
        <f>IF(A88="","",IFERROR(ROUND(AVERAGEIFS(ASSESSMENTS!H:H,ASSESSMENTS!B:B,A88,ASSESSMENTS!E:E,"English"),1),""))</f>
        <v/>
      </c>
      <c r="L88" s="5">
        <f>IF(A88="","",IFERROR(_xludf.XLOOKUP(A88,ATTENDANCE_SUMMARY!A:A,ATTENDANCE_SUMMARY!G:G,""),""))</f>
        <v/>
      </c>
      <c r="M88" s="4">
        <f>IF(A88="","",IF(OR(E88&lt;50,AND(L88&lt;0.75,L88&lt;&gt;"" )),"At Risk","On Track"))</f>
        <v/>
      </c>
    </row>
    <row r="89">
      <c r="A89">
        <f>IF(MASTER_REGISTER!E89="","",MASTER_REGISTER!E89)</f>
        <v/>
      </c>
      <c r="B89">
        <f>IF(A89="","",MASTER_REGISTER!F89)</f>
        <v/>
      </c>
      <c r="C89">
        <f>IF(A89="","",MASTER_REGISTER!C89)</f>
        <v/>
      </c>
      <c r="D89">
        <f>IF(A89="","",COUNTIF(ASSESSMENTS!B:B,A89))</f>
        <v/>
      </c>
      <c r="E89" s="4">
        <f>IF(D89=0,"",ROUND(AVERAGEIF(ASSESSMENTS!B:B,A89,ASSESSMENTS!H:H),1))</f>
        <v/>
      </c>
      <c r="F89" s="4">
        <f>IF(A89="","",IFERROR(ROUND(AVERAGEIFS(ASSESSMENTS!H:H,ASSESSMENTS!B:B,A89,ASSESSMENTS!E:E,"Mathematics"),1),""))</f>
        <v/>
      </c>
      <c r="G89" s="4">
        <f>IF(A89="","",IFERROR(ROUND(AVERAGEIFS(ASSESSMENTS!H:H,ASSESSMENTS!B:B,A89,ASSESSMENTS!E:E,"Mathematical Literacy"),1),""))</f>
        <v/>
      </c>
      <c r="H89" s="4">
        <f>IF(A89="","",IFERROR(ROUND(AVERAGEIFS(ASSESSMENTS!H:H,ASSESSMENTS!B:B,A89,ASSESSMENTS!E:E,"Physical Sciences"),1),""))</f>
        <v/>
      </c>
      <c r="I89" s="4">
        <f>IF(A89="","",IFERROR(ROUND(AVERAGEIFS(ASSESSMENTS!H:H,ASSESSMENTS!B:B,A89,ASSESSMENTS!E:E,"Geography"),1),""))</f>
        <v/>
      </c>
      <c r="J89" s="4">
        <f>IF(A89="","",IFERROR(ROUND(AVERAGEIFS(ASSESSMENTS!H:H,ASSESSMENTS!B:B,A89,ASSESSMENTS!E:E,"Accounting"),1),""))</f>
        <v/>
      </c>
      <c r="K89" s="4">
        <f>IF(A89="","",IFERROR(ROUND(AVERAGEIFS(ASSESSMENTS!H:H,ASSESSMENTS!B:B,A89,ASSESSMENTS!E:E,"English"),1),""))</f>
        <v/>
      </c>
      <c r="L89" s="5">
        <f>IF(A89="","",IFERROR(_xludf.XLOOKUP(A89,ATTENDANCE_SUMMARY!A:A,ATTENDANCE_SUMMARY!G:G,""),""))</f>
        <v/>
      </c>
      <c r="M89" s="4">
        <f>IF(A89="","",IF(OR(E89&lt;50,AND(L89&lt;0.75,L89&lt;&gt;"" )),"At Risk","On Track"))</f>
        <v/>
      </c>
    </row>
    <row r="90">
      <c r="A90">
        <f>IF(MASTER_REGISTER!E90="","",MASTER_REGISTER!E90)</f>
        <v/>
      </c>
      <c r="B90">
        <f>IF(A90="","",MASTER_REGISTER!F90)</f>
        <v/>
      </c>
      <c r="C90">
        <f>IF(A90="","",MASTER_REGISTER!C90)</f>
        <v/>
      </c>
      <c r="D90">
        <f>IF(A90="","",COUNTIF(ASSESSMENTS!B:B,A90))</f>
        <v/>
      </c>
      <c r="E90" s="4">
        <f>IF(D90=0,"",ROUND(AVERAGEIF(ASSESSMENTS!B:B,A90,ASSESSMENTS!H:H),1))</f>
        <v/>
      </c>
      <c r="F90" s="4">
        <f>IF(A90="","",IFERROR(ROUND(AVERAGEIFS(ASSESSMENTS!H:H,ASSESSMENTS!B:B,A90,ASSESSMENTS!E:E,"Mathematics"),1),""))</f>
        <v/>
      </c>
      <c r="G90" s="4">
        <f>IF(A90="","",IFERROR(ROUND(AVERAGEIFS(ASSESSMENTS!H:H,ASSESSMENTS!B:B,A90,ASSESSMENTS!E:E,"Mathematical Literacy"),1),""))</f>
        <v/>
      </c>
      <c r="H90" s="4">
        <f>IF(A90="","",IFERROR(ROUND(AVERAGEIFS(ASSESSMENTS!H:H,ASSESSMENTS!B:B,A90,ASSESSMENTS!E:E,"Physical Sciences"),1),""))</f>
        <v/>
      </c>
      <c r="I90" s="4">
        <f>IF(A90="","",IFERROR(ROUND(AVERAGEIFS(ASSESSMENTS!H:H,ASSESSMENTS!B:B,A90,ASSESSMENTS!E:E,"Geography"),1),""))</f>
        <v/>
      </c>
      <c r="J90" s="4">
        <f>IF(A90="","",IFERROR(ROUND(AVERAGEIFS(ASSESSMENTS!H:H,ASSESSMENTS!B:B,A90,ASSESSMENTS!E:E,"Accounting"),1),""))</f>
        <v/>
      </c>
      <c r="K90" s="4">
        <f>IF(A90="","",IFERROR(ROUND(AVERAGEIFS(ASSESSMENTS!H:H,ASSESSMENTS!B:B,A90,ASSESSMENTS!E:E,"English"),1),""))</f>
        <v/>
      </c>
      <c r="L90" s="5">
        <f>IF(A90="","",IFERROR(_xludf.XLOOKUP(A90,ATTENDANCE_SUMMARY!A:A,ATTENDANCE_SUMMARY!G:G,""),""))</f>
        <v/>
      </c>
      <c r="M90" s="4">
        <f>IF(A90="","",IF(OR(E90&lt;50,AND(L90&lt;0.75,L90&lt;&gt;"" )),"At Risk","On Track"))</f>
        <v/>
      </c>
    </row>
    <row r="91">
      <c r="A91">
        <f>IF(MASTER_REGISTER!E91="","",MASTER_REGISTER!E91)</f>
        <v/>
      </c>
      <c r="B91">
        <f>IF(A91="","",MASTER_REGISTER!F91)</f>
        <v/>
      </c>
      <c r="C91">
        <f>IF(A91="","",MASTER_REGISTER!C91)</f>
        <v/>
      </c>
      <c r="D91">
        <f>IF(A91="","",COUNTIF(ASSESSMENTS!B:B,A91))</f>
        <v/>
      </c>
      <c r="E91" s="4">
        <f>IF(D91=0,"",ROUND(AVERAGEIF(ASSESSMENTS!B:B,A91,ASSESSMENTS!H:H),1))</f>
        <v/>
      </c>
      <c r="F91" s="4">
        <f>IF(A91="","",IFERROR(ROUND(AVERAGEIFS(ASSESSMENTS!H:H,ASSESSMENTS!B:B,A91,ASSESSMENTS!E:E,"Mathematics"),1),""))</f>
        <v/>
      </c>
      <c r="G91" s="4">
        <f>IF(A91="","",IFERROR(ROUND(AVERAGEIFS(ASSESSMENTS!H:H,ASSESSMENTS!B:B,A91,ASSESSMENTS!E:E,"Mathematical Literacy"),1),""))</f>
        <v/>
      </c>
      <c r="H91" s="4">
        <f>IF(A91="","",IFERROR(ROUND(AVERAGEIFS(ASSESSMENTS!H:H,ASSESSMENTS!B:B,A91,ASSESSMENTS!E:E,"Physical Sciences"),1),""))</f>
        <v/>
      </c>
      <c r="I91" s="4">
        <f>IF(A91="","",IFERROR(ROUND(AVERAGEIFS(ASSESSMENTS!H:H,ASSESSMENTS!B:B,A91,ASSESSMENTS!E:E,"Geography"),1),""))</f>
        <v/>
      </c>
      <c r="J91" s="4">
        <f>IF(A91="","",IFERROR(ROUND(AVERAGEIFS(ASSESSMENTS!H:H,ASSESSMENTS!B:B,A91,ASSESSMENTS!E:E,"Accounting"),1),""))</f>
        <v/>
      </c>
      <c r="K91" s="4">
        <f>IF(A91="","",IFERROR(ROUND(AVERAGEIFS(ASSESSMENTS!H:H,ASSESSMENTS!B:B,A91,ASSESSMENTS!E:E,"English"),1),""))</f>
        <v/>
      </c>
      <c r="L91" s="5">
        <f>IF(A91="","",IFERROR(_xludf.XLOOKUP(A91,ATTENDANCE_SUMMARY!A:A,ATTENDANCE_SUMMARY!G:G,""),""))</f>
        <v/>
      </c>
      <c r="M91" s="4">
        <f>IF(A91="","",IF(OR(E91&lt;50,AND(L91&lt;0.75,L91&lt;&gt;"" )),"At Risk","On Track"))</f>
        <v/>
      </c>
    </row>
    <row r="92">
      <c r="A92">
        <f>IF(MASTER_REGISTER!E92="","",MASTER_REGISTER!E92)</f>
        <v/>
      </c>
      <c r="B92">
        <f>IF(A92="","",MASTER_REGISTER!F92)</f>
        <v/>
      </c>
      <c r="C92">
        <f>IF(A92="","",MASTER_REGISTER!C92)</f>
        <v/>
      </c>
      <c r="D92">
        <f>IF(A92="","",COUNTIF(ASSESSMENTS!B:B,A92))</f>
        <v/>
      </c>
      <c r="E92" s="4">
        <f>IF(D92=0,"",ROUND(AVERAGEIF(ASSESSMENTS!B:B,A92,ASSESSMENTS!H:H),1))</f>
        <v/>
      </c>
      <c r="F92" s="4">
        <f>IF(A92="","",IFERROR(ROUND(AVERAGEIFS(ASSESSMENTS!H:H,ASSESSMENTS!B:B,A92,ASSESSMENTS!E:E,"Mathematics"),1),""))</f>
        <v/>
      </c>
      <c r="G92" s="4">
        <f>IF(A92="","",IFERROR(ROUND(AVERAGEIFS(ASSESSMENTS!H:H,ASSESSMENTS!B:B,A92,ASSESSMENTS!E:E,"Mathematical Literacy"),1),""))</f>
        <v/>
      </c>
      <c r="H92" s="4">
        <f>IF(A92="","",IFERROR(ROUND(AVERAGEIFS(ASSESSMENTS!H:H,ASSESSMENTS!B:B,A92,ASSESSMENTS!E:E,"Physical Sciences"),1),""))</f>
        <v/>
      </c>
      <c r="I92" s="4">
        <f>IF(A92="","",IFERROR(ROUND(AVERAGEIFS(ASSESSMENTS!H:H,ASSESSMENTS!B:B,A92,ASSESSMENTS!E:E,"Geography"),1),""))</f>
        <v/>
      </c>
      <c r="J92" s="4">
        <f>IF(A92="","",IFERROR(ROUND(AVERAGEIFS(ASSESSMENTS!H:H,ASSESSMENTS!B:B,A92,ASSESSMENTS!E:E,"Accounting"),1),""))</f>
        <v/>
      </c>
      <c r="K92" s="4">
        <f>IF(A92="","",IFERROR(ROUND(AVERAGEIFS(ASSESSMENTS!H:H,ASSESSMENTS!B:B,A92,ASSESSMENTS!E:E,"English"),1),""))</f>
        <v/>
      </c>
      <c r="L92" s="5">
        <f>IF(A92="","",IFERROR(_xludf.XLOOKUP(A92,ATTENDANCE_SUMMARY!A:A,ATTENDANCE_SUMMARY!G:G,""),""))</f>
        <v/>
      </c>
      <c r="M92" s="4">
        <f>IF(A92="","",IF(OR(E92&lt;50,AND(L92&lt;0.75,L92&lt;&gt;"" )),"At Risk","On Track"))</f>
        <v/>
      </c>
    </row>
    <row r="93">
      <c r="A93">
        <f>IF(MASTER_REGISTER!E93="","",MASTER_REGISTER!E93)</f>
        <v/>
      </c>
      <c r="B93">
        <f>IF(A93="","",MASTER_REGISTER!F93)</f>
        <v/>
      </c>
      <c r="C93">
        <f>IF(A93="","",MASTER_REGISTER!C93)</f>
        <v/>
      </c>
      <c r="D93">
        <f>IF(A93="","",COUNTIF(ASSESSMENTS!B:B,A93))</f>
        <v/>
      </c>
      <c r="E93" s="4">
        <f>IF(D93=0,"",ROUND(AVERAGEIF(ASSESSMENTS!B:B,A93,ASSESSMENTS!H:H),1))</f>
        <v/>
      </c>
      <c r="F93" s="4">
        <f>IF(A93="","",IFERROR(ROUND(AVERAGEIFS(ASSESSMENTS!H:H,ASSESSMENTS!B:B,A93,ASSESSMENTS!E:E,"Mathematics"),1),""))</f>
        <v/>
      </c>
      <c r="G93" s="4">
        <f>IF(A93="","",IFERROR(ROUND(AVERAGEIFS(ASSESSMENTS!H:H,ASSESSMENTS!B:B,A93,ASSESSMENTS!E:E,"Mathematical Literacy"),1),""))</f>
        <v/>
      </c>
      <c r="H93" s="4">
        <f>IF(A93="","",IFERROR(ROUND(AVERAGEIFS(ASSESSMENTS!H:H,ASSESSMENTS!B:B,A93,ASSESSMENTS!E:E,"Physical Sciences"),1),""))</f>
        <v/>
      </c>
      <c r="I93" s="4">
        <f>IF(A93="","",IFERROR(ROUND(AVERAGEIFS(ASSESSMENTS!H:H,ASSESSMENTS!B:B,A93,ASSESSMENTS!E:E,"Geography"),1),""))</f>
        <v/>
      </c>
      <c r="J93" s="4">
        <f>IF(A93="","",IFERROR(ROUND(AVERAGEIFS(ASSESSMENTS!H:H,ASSESSMENTS!B:B,A93,ASSESSMENTS!E:E,"Accounting"),1),""))</f>
        <v/>
      </c>
      <c r="K93" s="4">
        <f>IF(A93="","",IFERROR(ROUND(AVERAGEIFS(ASSESSMENTS!H:H,ASSESSMENTS!B:B,A93,ASSESSMENTS!E:E,"English"),1),""))</f>
        <v/>
      </c>
      <c r="L93" s="5">
        <f>IF(A93="","",IFERROR(_xludf.XLOOKUP(A93,ATTENDANCE_SUMMARY!A:A,ATTENDANCE_SUMMARY!G:G,""),""))</f>
        <v/>
      </c>
      <c r="M93" s="4">
        <f>IF(A93="","",IF(OR(E93&lt;50,AND(L93&lt;0.75,L93&lt;&gt;"" )),"At Risk","On Track"))</f>
        <v/>
      </c>
    </row>
    <row r="94">
      <c r="A94">
        <f>IF(MASTER_REGISTER!E94="","",MASTER_REGISTER!E94)</f>
        <v/>
      </c>
      <c r="B94">
        <f>IF(A94="","",MASTER_REGISTER!F94)</f>
        <v/>
      </c>
      <c r="C94">
        <f>IF(A94="","",MASTER_REGISTER!C94)</f>
        <v/>
      </c>
      <c r="D94">
        <f>IF(A94="","",COUNTIF(ASSESSMENTS!B:B,A94))</f>
        <v/>
      </c>
      <c r="E94" s="4">
        <f>IF(D94=0,"",ROUND(AVERAGEIF(ASSESSMENTS!B:B,A94,ASSESSMENTS!H:H),1))</f>
        <v/>
      </c>
      <c r="F94" s="4">
        <f>IF(A94="","",IFERROR(ROUND(AVERAGEIFS(ASSESSMENTS!H:H,ASSESSMENTS!B:B,A94,ASSESSMENTS!E:E,"Mathematics"),1),""))</f>
        <v/>
      </c>
      <c r="G94" s="4">
        <f>IF(A94="","",IFERROR(ROUND(AVERAGEIFS(ASSESSMENTS!H:H,ASSESSMENTS!B:B,A94,ASSESSMENTS!E:E,"Mathematical Literacy"),1),""))</f>
        <v/>
      </c>
      <c r="H94" s="4">
        <f>IF(A94="","",IFERROR(ROUND(AVERAGEIFS(ASSESSMENTS!H:H,ASSESSMENTS!B:B,A94,ASSESSMENTS!E:E,"Physical Sciences"),1),""))</f>
        <v/>
      </c>
      <c r="I94" s="4">
        <f>IF(A94="","",IFERROR(ROUND(AVERAGEIFS(ASSESSMENTS!H:H,ASSESSMENTS!B:B,A94,ASSESSMENTS!E:E,"Geography"),1),""))</f>
        <v/>
      </c>
      <c r="J94" s="4">
        <f>IF(A94="","",IFERROR(ROUND(AVERAGEIFS(ASSESSMENTS!H:H,ASSESSMENTS!B:B,A94,ASSESSMENTS!E:E,"Accounting"),1),""))</f>
        <v/>
      </c>
      <c r="K94" s="4">
        <f>IF(A94="","",IFERROR(ROUND(AVERAGEIFS(ASSESSMENTS!H:H,ASSESSMENTS!B:B,A94,ASSESSMENTS!E:E,"English"),1),""))</f>
        <v/>
      </c>
      <c r="L94" s="5">
        <f>IF(A94="","",IFERROR(_xludf.XLOOKUP(A94,ATTENDANCE_SUMMARY!A:A,ATTENDANCE_SUMMARY!G:G,""),""))</f>
        <v/>
      </c>
      <c r="M94" s="4">
        <f>IF(A94="","",IF(OR(E94&lt;50,AND(L94&lt;0.75,L94&lt;&gt;"" )),"At Risk","On Track"))</f>
        <v/>
      </c>
    </row>
    <row r="95">
      <c r="A95">
        <f>IF(MASTER_REGISTER!E95="","",MASTER_REGISTER!E95)</f>
        <v/>
      </c>
      <c r="B95">
        <f>IF(A95="","",MASTER_REGISTER!F95)</f>
        <v/>
      </c>
      <c r="C95">
        <f>IF(A95="","",MASTER_REGISTER!C95)</f>
        <v/>
      </c>
      <c r="D95">
        <f>IF(A95="","",COUNTIF(ASSESSMENTS!B:B,A95))</f>
        <v/>
      </c>
      <c r="E95" s="4">
        <f>IF(D95=0,"",ROUND(AVERAGEIF(ASSESSMENTS!B:B,A95,ASSESSMENTS!H:H),1))</f>
        <v/>
      </c>
      <c r="F95" s="4">
        <f>IF(A95="","",IFERROR(ROUND(AVERAGEIFS(ASSESSMENTS!H:H,ASSESSMENTS!B:B,A95,ASSESSMENTS!E:E,"Mathematics"),1),""))</f>
        <v/>
      </c>
      <c r="G95" s="4">
        <f>IF(A95="","",IFERROR(ROUND(AVERAGEIFS(ASSESSMENTS!H:H,ASSESSMENTS!B:B,A95,ASSESSMENTS!E:E,"Mathematical Literacy"),1),""))</f>
        <v/>
      </c>
      <c r="H95" s="4">
        <f>IF(A95="","",IFERROR(ROUND(AVERAGEIFS(ASSESSMENTS!H:H,ASSESSMENTS!B:B,A95,ASSESSMENTS!E:E,"Physical Sciences"),1),""))</f>
        <v/>
      </c>
      <c r="I95" s="4">
        <f>IF(A95="","",IFERROR(ROUND(AVERAGEIFS(ASSESSMENTS!H:H,ASSESSMENTS!B:B,A95,ASSESSMENTS!E:E,"Geography"),1),""))</f>
        <v/>
      </c>
      <c r="J95" s="4">
        <f>IF(A95="","",IFERROR(ROUND(AVERAGEIFS(ASSESSMENTS!H:H,ASSESSMENTS!B:B,A95,ASSESSMENTS!E:E,"Accounting"),1),""))</f>
        <v/>
      </c>
      <c r="K95" s="4">
        <f>IF(A95="","",IFERROR(ROUND(AVERAGEIFS(ASSESSMENTS!H:H,ASSESSMENTS!B:B,A95,ASSESSMENTS!E:E,"English"),1),""))</f>
        <v/>
      </c>
      <c r="L95" s="5">
        <f>IF(A95="","",IFERROR(_xludf.XLOOKUP(A95,ATTENDANCE_SUMMARY!A:A,ATTENDANCE_SUMMARY!G:G,""),""))</f>
        <v/>
      </c>
      <c r="M95" s="4">
        <f>IF(A95="","",IF(OR(E95&lt;50,AND(L95&lt;0.75,L95&lt;&gt;"" )),"At Risk","On Track"))</f>
        <v/>
      </c>
    </row>
    <row r="96">
      <c r="A96">
        <f>IF(MASTER_REGISTER!E96="","",MASTER_REGISTER!E96)</f>
        <v/>
      </c>
      <c r="B96">
        <f>IF(A96="","",MASTER_REGISTER!F96)</f>
        <v/>
      </c>
      <c r="C96">
        <f>IF(A96="","",MASTER_REGISTER!C96)</f>
        <v/>
      </c>
      <c r="D96">
        <f>IF(A96="","",COUNTIF(ASSESSMENTS!B:B,A96))</f>
        <v/>
      </c>
      <c r="E96" s="4">
        <f>IF(D96=0,"",ROUND(AVERAGEIF(ASSESSMENTS!B:B,A96,ASSESSMENTS!H:H),1))</f>
        <v/>
      </c>
      <c r="F96" s="4">
        <f>IF(A96="","",IFERROR(ROUND(AVERAGEIFS(ASSESSMENTS!H:H,ASSESSMENTS!B:B,A96,ASSESSMENTS!E:E,"Mathematics"),1),""))</f>
        <v/>
      </c>
      <c r="G96" s="4">
        <f>IF(A96="","",IFERROR(ROUND(AVERAGEIFS(ASSESSMENTS!H:H,ASSESSMENTS!B:B,A96,ASSESSMENTS!E:E,"Mathematical Literacy"),1),""))</f>
        <v/>
      </c>
      <c r="H96" s="4">
        <f>IF(A96="","",IFERROR(ROUND(AVERAGEIFS(ASSESSMENTS!H:H,ASSESSMENTS!B:B,A96,ASSESSMENTS!E:E,"Physical Sciences"),1),""))</f>
        <v/>
      </c>
      <c r="I96" s="4">
        <f>IF(A96="","",IFERROR(ROUND(AVERAGEIFS(ASSESSMENTS!H:H,ASSESSMENTS!B:B,A96,ASSESSMENTS!E:E,"Geography"),1),""))</f>
        <v/>
      </c>
      <c r="J96" s="4">
        <f>IF(A96="","",IFERROR(ROUND(AVERAGEIFS(ASSESSMENTS!H:H,ASSESSMENTS!B:B,A96,ASSESSMENTS!E:E,"Accounting"),1),""))</f>
        <v/>
      </c>
      <c r="K96" s="4">
        <f>IF(A96="","",IFERROR(ROUND(AVERAGEIFS(ASSESSMENTS!H:H,ASSESSMENTS!B:B,A96,ASSESSMENTS!E:E,"English"),1),""))</f>
        <v/>
      </c>
      <c r="L96" s="5">
        <f>IF(A96="","",IFERROR(_xludf.XLOOKUP(A96,ATTENDANCE_SUMMARY!A:A,ATTENDANCE_SUMMARY!G:G,""),""))</f>
        <v/>
      </c>
      <c r="M96" s="4">
        <f>IF(A96="","",IF(OR(E96&lt;50,AND(L96&lt;0.75,L96&lt;&gt;"" )),"At Risk","On Track"))</f>
        <v/>
      </c>
    </row>
    <row r="97">
      <c r="A97">
        <f>IF(MASTER_REGISTER!E97="","",MASTER_REGISTER!E97)</f>
        <v/>
      </c>
      <c r="B97">
        <f>IF(A97="","",MASTER_REGISTER!F97)</f>
        <v/>
      </c>
      <c r="C97">
        <f>IF(A97="","",MASTER_REGISTER!C97)</f>
        <v/>
      </c>
      <c r="D97">
        <f>IF(A97="","",COUNTIF(ASSESSMENTS!B:B,A97))</f>
        <v/>
      </c>
      <c r="E97" s="4">
        <f>IF(D97=0,"",ROUND(AVERAGEIF(ASSESSMENTS!B:B,A97,ASSESSMENTS!H:H),1))</f>
        <v/>
      </c>
      <c r="F97" s="4">
        <f>IF(A97="","",IFERROR(ROUND(AVERAGEIFS(ASSESSMENTS!H:H,ASSESSMENTS!B:B,A97,ASSESSMENTS!E:E,"Mathematics"),1),""))</f>
        <v/>
      </c>
      <c r="G97" s="4">
        <f>IF(A97="","",IFERROR(ROUND(AVERAGEIFS(ASSESSMENTS!H:H,ASSESSMENTS!B:B,A97,ASSESSMENTS!E:E,"Mathematical Literacy"),1),""))</f>
        <v/>
      </c>
      <c r="H97" s="4">
        <f>IF(A97="","",IFERROR(ROUND(AVERAGEIFS(ASSESSMENTS!H:H,ASSESSMENTS!B:B,A97,ASSESSMENTS!E:E,"Physical Sciences"),1),""))</f>
        <v/>
      </c>
      <c r="I97" s="4">
        <f>IF(A97="","",IFERROR(ROUND(AVERAGEIFS(ASSESSMENTS!H:H,ASSESSMENTS!B:B,A97,ASSESSMENTS!E:E,"Geography"),1),""))</f>
        <v/>
      </c>
      <c r="J97" s="4">
        <f>IF(A97="","",IFERROR(ROUND(AVERAGEIFS(ASSESSMENTS!H:H,ASSESSMENTS!B:B,A97,ASSESSMENTS!E:E,"Accounting"),1),""))</f>
        <v/>
      </c>
      <c r="K97" s="4">
        <f>IF(A97="","",IFERROR(ROUND(AVERAGEIFS(ASSESSMENTS!H:H,ASSESSMENTS!B:B,A97,ASSESSMENTS!E:E,"English"),1),""))</f>
        <v/>
      </c>
      <c r="L97" s="5">
        <f>IF(A97="","",IFERROR(_xludf.XLOOKUP(A97,ATTENDANCE_SUMMARY!A:A,ATTENDANCE_SUMMARY!G:G,""),""))</f>
        <v/>
      </c>
      <c r="M97" s="4">
        <f>IF(A97="","",IF(OR(E97&lt;50,AND(L97&lt;0.75,L97&lt;&gt;"" )),"At Risk","On Track"))</f>
        <v/>
      </c>
    </row>
    <row r="98">
      <c r="A98">
        <f>IF(MASTER_REGISTER!E98="","",MASTER_REGISTER!E98)</f>
        <v/>
      </c>
      <c r="B98">
        <f>IF(A98="","",MASTER_REGISTER!F98)</f>
        <v/>
      </c>
      <c r="C98">
        <f>IF(A98="","",MASTER_REGISTER!C98)</f>
        <v/>
      </c>
      <c r="D98">
        <f>IF(A98="","",COUNTIF(ASSESSMENTS!B:B,A98))</f>
        <v/>
      </c>
      <c r="E98" s="4">
        <f>IF(D98=0,"",ROUND(AVERAGEIF(ASSESSMENTS!B:B,A98,ASSESSMENTS!H:H),1))</f>
        <v/>
      </c>
      <c r="F98" s="4">
        <f>IF(A98="","",IFERROR(ROUND(AVERAGEIFS(ASSESSMENTS!H:H,ASSESSMENTS!B:B,A98,ASSESSMENTS!E:E,"Mathematics"),1),""))</f>
        <v/>
      </c>
      <c r="G98" s="4">
        <f>IF(A98="","",IFERROR(ROUND(AVERAGEIFS(ASSESSMENTS!H:H,ASSESSMENTS!B:B,A98,ASSESSMENTS!E:E,"Mathematical Literacy"),1),""))</f>
        <v/>
      </c>
      <c r="H98" s="4">
        <f>IF(A98="","",IFERROR(ROUND(AVERAGEIFS(ASSESSMENTS!H:H,ASSESSMENTS!B:B,A98,ASSESSMENTS!E:E,"Physical Sciences"),1),""))</f>
        <v/>
      </c>
      <c r="I98" s="4">
        <f>IF(A98="","",IFERROR(ROUND(AVERAGEIFS(ASSESSMENTS!H:H,ASSESSMENTS!B:B,A98,ASSESSMENTS!E:E,"Geography"),1),""))</f>
        <v/>
      </c>
      <c r="J98" s="4">
        <f>IF(A98="","",IFERROR(ROUND(AVERAGEIFS(ASSESSMENTS!H:H,ASSESSMENTS!B:B,A98,ASSESSMENTS!E:E,"Accounting"),1),""))</f>
        <v/>
      </c>
      <c r="K98" s="4">
        <f>IF(A98="","",IFERROR(ROUND(AVERAGEIFS(ASSESSMENTS!H:H,ASSESSMENTS!B:B,A98,ASSESSMENTS!E:E,"English"),1),""))</f>
        <v/>
      </c>
      <c r="L98" s="5">
        <f>IF(A98="","",IFERROR(_xludf.XLOOKUP(A98,ATTENDANCE_SUMMARY!A:A,ATTENDANCE_SUMMARY!G:G,""),""))</f>
        <v/>
      </c>
      <c r="M98" s="4">
        <f>IF(A98="","",IF(OR(E98&lt;50,AND(L98&lt;0.75,L98&lt;&gt;"" )),"At Risk","On Track"))</f>
        <v/>
      </c>
    </row>
    <row r="99">
      <c r="A99">
        <f>IF(MASTER_REGISTER!E99="","",MASTER_REGISTER!E99)</f>
        <v/>
      </c>
      <c r="B99">
        <f>IF(A99="","",MASTER_REGISTER!F99)</f>
        <v/>
      </c>
      <c r="C99">
        <f>IF(A99="","",MASTER_REGISTER!C99)</f>
        <v/>
      </c>
      <c r="D99">
        <f>IF(A99="","",COUNTIF(ASSESSMENTS!B:B,A99))</f>
        <v/>
      </c>
      <c r="E99" s="4">
        <f>IF(D99=0,"",ROUND(AVERAGEIF(ASSESSMENTS!B:B,A99,ASSESSMENTS!H:H),1))</f>
        <v/>
      </c>
      <c r="F99" s="4">
        <f>IF(A99="","",IFERROR(ROUND(AVERAGEIFS(ASSESSMENTS!H:H,ASSESSMENTS!B:B,A99,ASSESSMENTS!E:E,"Mathematics"),1),""))</f>
        <v/>
      </c>
      <c r="G99" s="4">
        <f>IF(A99="","",IFERROR(ROUND(AVERAGEIFS(ASSESSMENTS!H:H,ASSESSMENTS!B:B,A99,ASSESSMENTS!E:E,"Mathematical Literacy"),1),""))</f>
        <v/>
      </c>
      <c r="H99" s="4">
        <f>IF(A99="","",IFERROR(ROUND(AVERAGEIFS(ASSESSMENTS!H:H,ASSESSMENTS!B:B,A99,ASSESSMENTS!E:E,"Physical Sciences"),1),""))</f>
        <v/>
      </c>
      <c r="I99" s="4">
        <f>IF(A99="","",IFERROR(ROUND(AVERAGEIFS(ASSESSMENTS!H:H,ASSESSMENTS!B:B,A99,ASSESSMENTS!E:E,"Geography"),1),""))</f>
        <v/>
      </c>
      <c r="J99" s="4">
        <f>IF(A99="","",IFERROR(ROUND(AVERAGEIFS(ASSESSMENTS!H:H,ASSESSMENTS!B:B,A99,ASSESSMENTS!E:E,"Accounting"),1),""))</f>
        <v/>
      </c>
      <c r="K99" s="4">
        <f>IF(A99="","",IFERROR(ROUND(AVERAGEIFS(ASSESSMENTS!H:H,ASSESSMENTS!B:B,A99,ASSESSMENTS!E:E,"English"),1),""))</f>
        <v/>
      </c>
      <c r="L99" s="5">
        <f>IF(A99="","",IFERROR(_xludf.XLOOKUP(A99,ATTENDANCE_SUMMARY!A:A,ATTENDANCE_SUMMARY!G:G,""),""))</f>
        <v/>
      </c>
      <c r="M99" s="4">
        <f>IF(A99="","",IF(OR(E99&lt;50,AND(L99&lt;0.75,L99&lt;&gt;"" )),"At Risk","On Track"))</f>
        <v/>
      </c>
    </row>
    <row r="100">
      <c r="A100">
        <f>IF(MASTER_REGISTER!E100="","",MASTER_REGISTER!E100)</f>
        <v/>
      </c>
      <c r="B100">
        <f>IF(A100="","",MASTER_REGISTER!F100)</f>
        <v/>
      </c>
      <c r="C100">
        <f>IF(A100="","",MASTER_REGISTER!C100)</f>
        <v/>
      </c>
      <c r="D100">
        <f>IF(A100="","",COUNTIF(ASSESSMENTS!B:B,A100))</f>
        <v/>
      </c>
      <c r="E100" s="4">
        <f>IF(D100=0,"",ROUND(AVERAGEIF(ASSESSMENTS!B:B,A100,ASSESSMENTS!H:H),1))</f>
        <v/>
      </c>
      <c r="F100" s="4">
        <f>IF(A100="","",IFERROR(ROUND(AVERAGEIFS(ASSESSMENTS!H:H,ASSESSMENTS!B:B,A100,ASSESSMENTS!E:E,"Mathematics"),1),""))</f>
        <v/>
      </c>
      <c r="G100" s="4">
        <f>IF(A100="","",IFERROR(ROUND(AVERAGEIFS(ASSESSMENTS!H:H,ASSESSMENTS!B:B,A100,ASSESSMENTS!E:E,"Mathematical Literacy"),1),""))</f>
        <v/>
      </c>
      <c r="H100" s="4">
        <f>IF(A100="","",IFERROR(ROUND(AVERAGEIFS(ASSESSMENTS!H:H,ASSESSMENTS!B:B,A100,ASSESSMENTS!E:E,"Physical Sciences"),1),""))</f>
        <v/>
      </c>
      <c r="I100" s="4">
        <f>IF(A100="","",IFERROR(ROUND(AVERAGEIFS(ASSESSMENTS!H:H,ASSESSMENTS!B:B,A100,ASSESSMENTS!E:E,"Geography"),1),""))</f>
        <v/>
      </c>
      <c r="J100" s="4">
        <f>IF(A100="","",IFERROR(ROUND(AVERAGEIFS(ASSESSMENTS!H:H,ASSESSMENTS!B:B,A100,ASSESSMENTS!E:E,"Accounting"),1),""))</f>
        <v/>
      </c>
      <c r="K100" s="4">
        <f>IF(A100="","",IFERROR(ROUND(AVERAGEIFS(ASSESSMENTS!H:H,ASSESSMENTS!B:B,A100,ASSESSMENTS!E:E,"English"),1),""))</f>
        <v/>
      </c>
      <c r="L100" s="5">
        <f>IF(A100="","",IFERROR(_xludf.XLOOKUP(A100,ATTENDANCE_SUMMARY!A:A,ATTENDANCE_SUMMARY!G:G,""),""))</f>
        <v/>
      </c>
      <c r="M100" s="4">
        <f>IF(A100="","",IF(OR(E100&lt;50,AND(L100&lt;0.75,L100&lt;&gt;"" )),"At Risk","On Track"))</f>
        <v/>
      </c>
    </row>
    <row r="101">
      <c r="A101">
        <f>IF(MASTER_REGISTER!E101="","",MASTER_REGISTER!E101)</f>
        <v/>
      </c>
      <c r="B101">
        <f>IF(A101="","",MASTER_REGISTER!F101)</f>
        <v/>
      </c>
      <c r="C101">
        <f>IF(A101="","",MASTER_REGISTER!C101)</f>
        <v/>
      </c>
      <c r="D101">
        <f>IF(A101="","",COUNTIF(ASSESSMENTS!B:B,A101))</f>
        <v/>
      </c>
      <c r="E101" s="4">
        <f>IF(D101=0,"",ROUND(AVERAGEIF(ASSESSMENTS!B:B,A101,ASSESSMENTS!H:H),1))</f>
        <v/>
      </c>
      <c r="F101" s="4">
        <f>IF(A101="","",IFERROR(ROUND(AVERAGEIFS(ASSESSMENTS!H:H,ASSESSMENTS!B:B,A101,ASSESSMENTS!E:E,"Mathematics"),1),""))</f>
        <v/>
      </c>
      <c r="G101" s="4">
        <f>IF(A101="","",IFERROR(ROUND(AVERAGEIFS(ASSESSMENTS!H:H,ASSESSMENTS!B:B,A101,ASSESSMENTS!E:E,"Mathematical Literacy"),1),""))</f>
        <v/>
      </c>
      <c r="H101" s="4">
        <f>IF(A101="","",IFERROR(ROUND(AVERAGEIFS(ASSESSMENTS!H:H,ASSESSMENTS!B:B,A101,ASSESSMENTS!E:E,"Physical Sciences"),1),""))</f>
        <v/>
      </c>
      <c r="I101" s="4">
        <f>IF(A101="","",IFERROR(ROUND(AVERAGEIFS(ASSESSMENTS!H:H,ASSESSMENTS!B:B,A101,ASSESSMENTS!E:E,"Geography"),1),""))</f>
        <v/>
      </c>
      <c r="J101" s="4">
        <f>IF(A101="","",IFERROR(ROUND(AVERAGEIFS(ASSESSMENTS!H:H,ASSESSMENTS!B:B,A101,ASSESSMENTS!E:E,"Accounting"),1),""))</f>
        <v/>
      </c>
      <c r="K101" s="4">
        <f>IF(A101="","",IFERROR(ROUND(AVERAGEIFS(ASSESSMENTS!H:H,ASSESSMENTS!B:B,A101,ASSESSMENTS!E:E,"English"),1),""))</f>
        <v/>
      </c>
      <c r="L101" s="5">
        <f>IF(A101="","",IFERROR(_xludf.XLOOKUP(A101,ATTENDANCE_SUMMARY!A:A,ATTENDANCE_SUMMARY!G:G,""),""))</f>
        <v/>
      </c>
      <c r="M101" s="4">
        <f>IF(A101="","",IF(OR(E101&lt;50,AND(L101&lt;0.75,L101&lt;&gt;"" )),"At Risk","On Track"))</f>
        <v/>
      </c>
    </row>
    <row r="102">
      <c r="A102">
        <f>IF(MASTER_REGISTER!E102="","",MASTER_REGISTER!E102)</f>
        <v/>
      </c>
      <c r="B102">
        <f>IF(A102="","",MASTER_REGISTER!F102)</f>
        <v/>
      </c>
      <c r="C102">
        <f>IF(A102="","",MASTER_REGISTER!C102)</f>
        <v/>
      </c>
      <c r="D102">
        <f>IF(A102="","",COUNTIF(ASSESSMENTS!B:B,A102))</f>
        <v/>
      </c>
      <c r="E102" s="4">
        <f>IF(D102=0,"",ROUND(AVERAGEIF(ASSESSMENTS!B:B,A102,ASSESSMENTS!H:H),1))</f>
        <v/>
      </c>
      <c r="F102" s="4">
        <f>IF(A102="","",IFERROR(ROUND(AVERAGEIFS(ASSESSMENTS!H:H,ASSESSMENTS!B:B,A102,ASSESSMENTS!E:E,"Mathematics"),1),""))</f>
        <v/>
      </c>
      <c r="G102" s="4">
        <f>IF(A102="","",IFERROR(ROUND(AVERAGEIFS(ASSESSMENTS!H:H,ASSESSMENTS!B:B,A102,ASSESSMENTS!E:E,"Mathematical Literacy"),1),""))</f>
        <v/>
      </c>
      <c r="H102" s="4">
        <f>IF(A102="","",IFERROR(ROUND(AVERAGEIFS(ASSESSMENTS!H:H,ASSESSMENTS!B:B,A102,ASSESSMENTS!E:E,"Physical Sciences"),1),""))</f>
        <v/>
      </c>
      <c r="I102" s="4">
        <f>IF(A102="","",IFERROR(ROUND(AVERAGEIFS(ASSESSMENTS!H:H,ASSESSMENTS!B:B,A102,ASSESSMENTS!E:E,"Geography"),1),""))</f>
        <v/>
      </c>
      <c r="J102" s="4">
        <f>IF(A102="","",IFERROR(ROUND(AVERAGEIFS(ASSESSMENTS!H:H,ASSESSMENTS!B:B,A102,ASSESSMENTS!E:E,"Accounting"),1),""))</f>
        <v/>
      </c>
      <c r="K102" s="4">
        <f>IF(A102="","",IFERROR(ROUND(AVERAGEIFS(ASSESSMENTS!H:H,ASSESSMENTS!B:B,A102,ASSESSMENTS!E:E,"English"),1),""))</f>
        <v/>
      </c>
      <c r="L102" s="5">
        <f>IF(A102="","",IFERROR(_xludf.XLOOKUP(A102,ATTENDANCE_SUMMARY!A:A,ATTENDANCE_SUMMARY!G:G,""),""))</f>
        <v/>
      </c>
      <c r="M102" s="4">
        <f>IF(A102="","",IF(OR(E102&lt;50,AND(L102&lt;0.75,L102&lt;&gt;"" )),"At Risk","On Track"))</f>
        <v/>
      </c>
    </row>
    <row r="103">
      <c r="A103">
        <f>IF(MASTER_REGISTER!E103="","",MASTER_REGISTER!E103)</f>
        <v/>
      </c>
      <c r="B103">
        <f>IF(A103="","",MASTER_REGISTER!F103)</f>
        <v/>
      </c>
      <c r="C103">
        <f>IF(A103="","",MASTER_REGISTER!C103)</f>
        <v/>
      </c>
      <c r="D103">
        <f>IF(A103="","",COUNTIF(ASSESSMENTS!B:B,A103))</f>
        <v/>
      </c>
      <c r="E103" s="4">
        <f>IF(D103=0,"",ROUND(AVERAGEIF(ASSESSMENTS!B:B,A103,ASSESSMENTS!H:H),1))</f>
        <v/>
      </c>
      <c r="F103" s="4">
        <f>IF(A103="","",IFERROR(ROUND(AVERAGEIFS(ASSESSMENTS!H:H,ASSESSMENTS!B:B,A103,ASSESSMENTS!E:E,"Mathematics"),1),""))</f>
        <v/>
      </c>
      <c r="G103" s="4">
        <f>IF(A103="","",IFERROR(ROUND(AVERAGEIFS(ASSESSMENTS!H:H,ASSESSMENTS!B:B,A103,ASSESSMENTS!E:E,"Mathematical Literacy"),1),""))</f>
        <v/>
      </c>
      <c r="H103" s="4">
        <f>IF(A103="","",IFERROR(ROUND(AVERAGEIFS(ASSESSMENTS!H:H,ASSESSMENTS!B:B,A103,ASSESSMENTS!E:E,"Physical Sciences"),1),""))</f>
        <v/>
      </c>
      <c r="I103" s="4">
        <f>IF(A103="","",IFERROR(ROUND(AVERAGEIFS(ASSESSMENTS!H:H,ASSESSMENTS!B:B,A103,ASSESSMENTS!E:E,"Geography"),1),""))</f>
        <v/>
      </c>
      <c r="J103" s="4">
        <f>IF(A103="","",IFERROR(ROUND(AVERAGEIFS(ASSESSMENTS!H:H,ASSESSMENTS!B:B,A103,ASSESSMENTS!E:E,"Accounting"),1),""))</f>
        <v/>
      </c>
      <c r="K103" s="4">
        <f>IF(A103="","",IFERROR(ROUND(AVERAGEIFS(ASSESSMENTS!H:H,ASSESSMENTS!B:B,A103,ASSESSMENTS!E:E,"English"),1),""))</f>
        <v/>
      </c>
      <c r="L103" s="5">
        <f>IF(A103="","",IFERROR(_xludf.XLOOKUP(A103,ATTENDANCE_SUMMARY!A:A,ATTENDANCE_SUMMARY!G:G,""),""))</f>
        <v/>
      </c>
      <c r="M103" s="4">
        <f>IF(A103="","",IF(OR(E103&lt;50,AND(L103&lt;0.75,L103&lt;&gt;"" )),"At Risk","On Track"))</f>
        <v/>
      </c>
    </row>
    <row r="104">
      <c r="A104">
        <f>IF(MASTER_REGISTER!E104="","",MASTER_REGISTER!E104)</f>
        <v/>
      </c>
      <c r="B104">
        <f>IF(A104="","",MASTER_REGISTER!F104)</f>
        <v/>
      </c>
      <c r="C104">
        <f>IF(A104="","",MASTER_REGISTER!C104)</f>
        <v/>
      </c>
      <c r="D104">
        <f>IF(A104="","",COUNTIF(ASSESSMENTS!B:B,A104))</f>
        <v/>
      </c>
      <c r="E104" s="4">
        <f>IF(D104=0,"",ROUND(AVERAGEIF(ASSESSMENTS!B:B,A104,ASSESSMENTS!H:H),1))</f>
        <v/>
      </c>
      <c r="F104" s="4">
        <f>IF(A104="","",IFERROR(ROUND(AVERAGEIFS(ASSESSMENTS!H:H,ASSESSMENTS!B:B,A104,ASSESSMENTS!E:E,"Mathematics"),1),""))</f>
        <v/>
      </c>
      <c r="G104" s="4">
        <f>IF(A104="","",IFERROR(ROUND(AVERAGEIFS(ASSESSMENTS!H:H,ASSESSMENTS!B:B,A104,ASSESSMENTS!E:E,"Mathematical Literacy"),1),""))</f>
        <v/>
      </c>
      <c r="H104" s="4">
        <f>IF(A104="","",IFERROR(ROUND(AVERAGEIFS(ASSESSMENTS!H:H,ASSESSMENTS!B:B,A104,ASSESSMENTS!E:E,"Physical Sciences"),1),""))</f>
        <v/>
      </c>
      <c r="I104" s="4">
        <f>IF(A104="","",IFERROR(ROUND(AVERAGEIFS(ASSESSMENTS!H:H,ASSESSMENTS!B:B,A104,ASSESSMENTS!E:E,"Geography"),1),""))</f>
        <v/>
      </c>
      <c r="J104" s="4">
        <f>IF(A104="","",IFERROR(ROUND(AVERAGEIFS(ASSESSMENTS!H:H,ASSESSMENTS!B:B,A104,ASSESSMENTS!E:E,"Accounting"),1),""))</f>
        <v/>
      </c>
      <c r="K104" s="4">
        <f>IF(A104="","",IFERROR(ROUND(AVERAGEIFS(ASSESSMENTS!H:H,ASSESSMENTS!B:B,A104,ASSESSMENTS!E:E,"English"),1),""))</f>
        <v/>
      </c>
      <c r="L104" s="5">
        <f>IF(A104="","",IFERROR(_xludf.XLOOKUP(A104,ATTENDANCE_SUMMARY!A:A,ATTENDANCE_SUMMARY!G:G,""),""))</f>
        <v/>
      </c>
      <c r="M104" s="4">
        <f>IF(A104="","",IF(OR(E104&lt;50,AND(L104&lt;0.75,L104&lt;&gt;"" )),"At Risk","On Track"))</f>
        <v/>
      </c>
    </row>
    <row r="105">
      <c r="A105">
        <f>IF(MASTER_REGISTER!E105="","",MASTER_REGISTER!E105)</f>
        <v/>
      </c>
      <c r="B105">
        <f>IF(A105="","",MASTER_REGISTER!F105)</f>
        <v/>
      </c>
      <c r="C105">
        <f>IF(A105="","",MASTER_REGISTER!C105)</f>
        <v/>
      </c>
      <c r="D105">
        <f>IF(A105="","",COUNTIF(ASSESSMENTS!B:B,A105))</f>
        <v/>
      </c>
      <c r="E105" s="4">
        <f>IF(D105=0,"",ROUND(AVERAGEIF(ASSESSMENTS!B:B,A105,ASSESSMENTS!H:H),1))</f>
        <v/>
      </c>
      <c r="F105" s="4">
        <f>IF(A105="","",IFERROR(ROUND(AVERAGEIFS(ASSESSMENTS!H:H,ASSESSMENTS!B:B,A105,ASSESSMENTS!E:E,"Mathematics"),1),""))</f>
        <v/>
      </c>
      <c r="G105" s="4">
        <f>IF(A105="","",IFERROR(ROUND(AVERAGEIFS(ASSESSMENTS!H:H,ASSESSMENTS!B:B,A105,ASSESSMENTS!E:E,"Mathematical Literacy"),1),""))</f>
        <v/>
      </c>
      <c r="H105" s="4">
        <f>IF(A105="","",IFERROR(ROUND(AVERAGEIFS(ASSESSMENTS!H:H,ASSESSMENTS!B:B,A105,ASSESSMENTS!E:E,"Physical Sciences"),1),""))</f>
        <v/>
      </c>
      <c r="I105" s="4">
        <f>IF(A105="","",IFERROR(ROUND(AVERAGEIFS(ASSESSMENTS!H:H,ASSESSMENTS!B:B,A105,ASSESSMENTS!E:E,"Geography"),1),""))</f>
        <v/>
      </c>
      <c r="J105" s="4">
        <f>IF(A105="","",IFERROR(ROUND(AVERAGEIFS(ASSESSMENTS!H:H,ASSESSMENTS!B:B,A105,ASSESSMENTS!E:E,"Accounting"),1),""))</f>
        <v/>
      </c>
      <c r="K105" s="4">
        <f>IF(A105="","",IFERROR(ROUND(AVERAGEIFS(ASSESSMENTS!H:H,ASSESSMENTS!B:B,A105,ASSESSMENTS!E:E,"English"),1),""))</f>
        <v/>
      </c>
      <c r="L105" s="5">
        <f>IF(A105="","",IFERROR(_xludf.XLOOKUP(A105,ATTENDANCE_SUMMARY!A:A,ATTENDANCE_SUMMARY!G:G,""),""))</f>
        <v/>
      </c>
      <c r="M105" s="4">
        <f>IF(A105="","",IF(OR(E105&lt;50,AND(L105&lt;0.75,L105&lt;&gt;"" )),"At Risk","On Track"))</f>
        <v/>
      </c>
    </row>
    <row r="106">
      <c r="A106">
        <f>IF(MASTER_REGISTER!E106="","",MASTER_REGISTER!E106)</f>
        <v/>
      </c>
      <c r="B106">
        <f>IF(A106="","",MASTER_REGISTER!F106)</f>
        <v/>
      </c>
      <c r="C106">
        <f>IF(A106="","",MASTER_REGISTER!C106)</f>
        <v/>
      </c>
      <c r="D106">
        <f>IF(A106="","",COUNTIF(ASSESSMENTS!B:B,A106))</f>
        <v/>
      </c>
      <c r="E106" s="4">
        <f>IF(D106=0,"",ROUND(AVERAGEIF(ASSESSMENTS!B:B,A106,ASSESSMENTS!H:H),1))</f>
        <v/>
      </c>
      <c r="F106" s="4">
        <f>IF(A106="","",IFERROR(ROUND(AVERAGEIFS(ASSESSMENTS!H:H,ASSESSMENTS!B:B,A106,ASSESSMENTS!E:E,"Mathematics"),1),""))</f>
        <v/>
      </c>
      <c r="G106" s="4">
        <f>IF(A106="","",IFERROR(ROUND(AVERAGEIFS(ASSESSMENTS!H:H,ASSESSMENTS!B:B,A106,ASSESSMENTS!E:E,"Mathematical Literacy"),1),""))</f>
        <v/>
      </c>
      <c r="H106" s="4">
        <f>IF(A106="","",IFERROR(ROUND(AVERAGEIFS(ASSESSMENTS!H:H,ASSESSMENTS!B:B,A106,ASSESSMENTS!E:E,"Physical Sciences"),1),""))</f>
        <v/>
      </c>
      <c r="I106" s="4">
        <f>IF(A106="","",IFERROR(ROUND(AVERAGEIFS(ASSESSMENTS!H:H,ASSESSMENTS!B:B,A106,ASSESSMENTS!E:E,"Geography"),1),""))</f>
        <v/>
      </c>
      <c r="J106" s="4">
        <f>IF(A106="","",IFERROR(ROUND(AVERAGEIFS(ASSESSMENTS!H:H,ASSESSMENTS!B:B,A106,ASSESSMENTS!E:E,"Accounting"),1),""))</f>
        <v/>
      </c>
      <c r="K106" s="4">
        <f>IF(A106="","",IFERROR(ROUND(AVERAGEIFS(ASSESSMENTS!H:H,ASSESSMENTS!B:B,A106,ASSESSMENTS!E:E,"English"),1),""))</f>
        <v/>
      </c>
      <c r="L106" s="5">
        <f>IF(A106="","",IFERROR(_xludf.XLOOKUP(A106,ATTENDANCE_SUMMARY!A:A,ATTENDANCE_SUMMARY!G:G,""),""))</f>
        <v/>
      </c>
      <c r="M106" s="4">
        <f>IF(A106="","",IF(OR(E106&lt;50,AND(L106&lt;0.75,L106&lt;&gt;"" )),"At Risk","On Track"))</f>
        <v/>
      </c>
    </row>
    <row r="107">
      <c r="A107">
        <f>IF(MASTER_REGISTER!E107="","",MASTER_REGISTER!E107)</f>
        <v/>
      </c>
      <c r="B107">
        <f>IF(A107="","",MASTER_REGISTER!F107)</f>
        <v/>
      </c>
      <c r="C107">
        <f>IF(A107="","",MASTER_REGISTER!C107)</f>
        <v/>
      </c>
      <c r="D107">
        <f>IF(A107="","",COUNTIF(ASSESSMENTS!B:B,A107))</f>
        <v/>
      </c>
      <c r="E107" s="4">
        <f>IF(D107=0,"",ROUND(AVERAGEIF(ASSESSMENTS!B:B,A107,ASSESSMENTS!H:H),1))</f>
        <v/>
      </c>
      <c r="F107" s="4">
        <f>IF(A107="","",IFERROR(ROUND(AVERAGEIFS(ASSESSMENTS!H:H,ASSESSMENTS!B:B,A107,ASSESSMENTS!E:E,"Mathematics"),1),""))</f>
        <v/>
      </c>
      <c r="G107" s="4">
        <f>IF(A107="","",IFERROR(ROUND(AVERAGEIFS(ASSESSMENTS!H:H,ASSESSMENTS!B:B,A107,ASSESSMENTS!E:E,"Mathematical Literacy"),1),""))</f>
        <v/>
      </c>
      <c r="H107" s="4">
        <f>IF(A107="","",IFERROR(ROUND(AVERAGEIFS(ASSESSMENTS!H:H,ASSESSMENTS!B:B,A107,ASSESSMENTS!E:E,"Physical Sciences"),1),""))</f>
        <v/>
      </c>
      <c r="I107" s="4">
        <f>IF(A107="","",IFERROR(ROUND(AVERAGEIFS(ASSESSMENTS!H:H,ASSESSMENTS!B:B,A107,ASSESSMENTS!E:E,"Geography"),1),""))</f>
        <v/>
      </c>
      <c r="J107" s="4">
        <f>IF(A107="","",IFERROR(ROUND(AVERAGEIFS(ASSESSMENTS!H:H,ASSESSMENTS!B:B,A107,ASSESSMENTS!E:E,"Accounting"),1),""))</f>
        <v/>
      </c>
      <c r="K107" s="4">
        <f>IF(A107="","",IFERROR(ROUND(AVERAGEIFS(ASSESSMENTS!H:H,ASSESSMENTS!B:B,A107,ASSESSMENTS!E:E,"English"),1),""))</f>
        <v/>
      </c>
      <c r="L107" s="5">
        <f>IF(A107="","",IFERROR(_xludf.XLOOKUP(A107,ATTENDANCE_SUMMARY!A:A,ATTENDANCE_SUMMARY!G:G,""),""))</f>
        <v/>
      </c>
      <c r="M107" s="4">
        <f>IF(A107="","",IF(OR(E107&lt;50,AND(L107&lt;0.75,L107&lt;&gt;"" )),"At Risk","On Track"))</f>
        <v/>
      </c>
    </row>
    <row r="108">
      <c r="A108">
        <f>IF(MASTER_REGISTER!E108="","",MASTER_REGISTER!E108)</f>
        <v/>
      </c>
      <c r="B108">
        <f>IF(A108="","",MASTER_REGISTER!F108)</f>
        <v/>
      </c>
      <c r="C108">
        <f>IF(A108="","",MASTER_REGISTER!C108)</f>
        <v/>
      </c>
      <c r="D108">
        <f>IF(A108="","",COUNTIF(ASSESSMENTS!B:B,A108))</f>
        <v/>
      </c>
      <c r="E108" s="4">
        <f>IF(D108=0,"",ROUND(AVERAGEIF(ASSESSMENTS!B:B,A108,ASSESSMENTS!H:H),1))</f>
        <v/>
      </c>
      <c r="F108" s="4">
        <f>IF(A108="","",IFERROR(ROUND(AVERAGEIFS(ASSESSMENTS!H:H,ASSESSMENTS!B:B,A108,ASSESSMENTS!E:E,"Mathematics"),1),""))</f>
        <v/>
      </c>
      <c r="G108" s="4">
        <f>IF(A108="","",IFERROR(ROUND(AVERAGEIFS(ASSESSMENTS!H:H,ASSESSMENTS!B:B,A108,ASSESSMENTS!E:E,"Mathematical Literacy"),1),""))</f>
        <v/>
      </c>
      <c r="H108" s="4">
        <f>IF(A108="","",IFERROR(ROUND(AVERAGEIFS(ASSESSMENTS!H:H,ASSESSMENTS!B:B,A108,ASSESSMENTS!E:E,"Physical Sciences"),1),""))</f>
        <v/>
      </c>
      <c r="I108" s="4">
        <f>IF(A108="","",IFERROR(ROUND(AVERAGEIFS(ASSESSMENTS!H:H,ASSESSMENTS!B:B,A108,ASSESSMENTS!E:E,"Geography"),1),""))</f>
        <v/>
      </c>
      <c r="J108" s="4">
        <f>IF(A108="","",IFERROR(ROUND(AVERAGEIFS(ASSESSMENTS!H:H,ASSESSMENTS!B:B,A108,ASSESSMENTS!E:E,"Accounting"),1),""))</f>
        <v/>
      </c>
      <c r="K108" s="4">
        <f>IF(A108="","",IFERROR(ROUND(AVERAGEIFS(ASSESSMENTS!H:H,ASSESSMENTS!B:B,A108,ASSESSMENTS!E:E,"English"),1),""))</f>
        <v/>
      </c>
      <c r="L108" s="5">
        <f>IF(A108="","",IFERROR(_xludf.XLOOKUP(A108,ATTENDANCE_SUMMARY!A:A,ATTENDANCE_SUMMARY!G:G,""),""))</f>
        <v/>
      </c>
      <c r="M108" s="4">
        <f>IF(A108="","",IF(OR(E108&lt;50,AND(L108&lt;0.75,L108&lt;&gt;"" )),"At Risk","On Track"))</f>
        <v/>
      </c>
    </row>
    <row r="109">
      <c r="A109">
        <f>IF(MASTER_REGISTER!E109="","",MASTER_REGISTER!E109)</f>
        <v/>
      </c>
      <c r="B109">
        <f>IF(A109="","",MASTER_REGISTER!F109)</f>
        <v/>
      </c>
      <c r="C109">
        <f>IF(A109="","",MASTER_REGISTER!C109)</f>
        <v/>
      </c>
      <c r="D109">
        <f>IF(A109="","",COUNTIF(ASSESSMENTS!B:B,A109))</f>
        <v/>
      </c>
      <c r="E109" s="4">
        <f>IF(D109=0,"",ROUND(AVERAGEIF(ASSESSMENTS!B:B,A109,ASSESSMENTS!H:H),1))</f>
        <v/>
      </c>
      <c r="F109" s="4">
        <f>IF(A109="","",IFERROR(ROUND(AVERAGEIFS(ASSESSMENTS!H:H,ASSESSMENTS!B:B,A109,ASSESSMENTS!E:E,"Mathematics"),1),""))</f>
        <v/>
      </c>
      <c r="G109" s="4">
        <f>IF(A109="","",IFERROR(ROUND(AVERAGEIFS(ASSESSMENTS!H:H,ASSESSMENTS!B:B,A109,ASSESSMENTS!E:E,"Mathematical Literacy"),1),""))</f>
        <v/>
      </c>
      <c r="H109" s="4">
        <f>IF(A109="","",IFERROR(ROUND(AVERAGEIFS(ASSESSMENTS!H:H,ASSESSMENTS!B:B,A109,ASSESSMENTS!E:E,"Physical Sciences"),1),""))</f>
        <v/>
      </c>
      <c r="I109" s="4">
        <f>IF(A109="","",IFERROR(ROUND(AVERAGEIFS(ASSESSMENTS!H:H,ASSESSMENTS!B:B,A109,ASSESSMENTS!E:E,"Geography"),1),""))</f>
        <v/>
      </c>
      <c r="J109" s="4">
        <f>IF(A109="","",IFERROR(ROUND(AVERAGEIFS(ASSESSMENTS!H:H,ASSESSMENTS!B:B,A109,ASSESSMENTS!E:E,"Accounting"),1),""))</f>
        <v/>
      </c>
      <c r="K109" s="4">
        <f>IF(A109="","",IFERROR(ROUND(AVERAGEIFS(ASSESSMENTS!H:H,ASSESSMENTS!B:B,A109,ASSESSMENTS!E:E,"English"),1),""))</f>
        <v/>
      </c>
      <c r="L109" s="5">
        <f>IF(A109="","",IFERROR(_xludf.XLOOKUP(A109,ATTENDANCE_SUMMARY!A:A,ATTENDANCE_SUMMARY!G:G,""),""))</f>
        <v/>
      </c>
      <c r="M109" s="4">
        <f>IF(A109="","",IF(OR(E109&lt;50,AND(L109&lt;0.75,L109&lt;&gt;"" )),"At Risk","On Track"))</f>
        <v/>
      </c>
    </row>
    <row r="110">
      <c r="A110">
        <f>IF(MASTER_REGISTER!E110="","",MASTER_REGISTER!E110)</f>
        <v/>
      </c>
      <c r="B110">
        <f>IF(A110="","",MASTER_REGISTER!F110)</f>
        <v/>
      </c>
      <c r="C110">
        <f>IF(A110="","",MASTER_REGISTER!C110)</f>
        <v/>
      </c>
      <c r="D110">
        <f>IF(A110="","",COUNTIF(ASSESSMENTS!B:B,A110))</f>
        <v/>
      </c>
      <c r="E110" s="4">
        <f>IF(D110=0,"",ROUND(AVERAGEIF(ASSESSMENTS!B:B,A110,ASSESSMENTS!H:H),1))</f>
        <v/>
      </c>
      <c r="F110" s="4">
        <f>IF(A110="","",IFERROR(ROUND(AVERAGEIFS(ASSESSMENTS!H:H,ASSESSMENTS!B:B,A110,ASSESSMENTS!E:E,"Mathematics"),1),""))</f>
        <v/>
      </c>
      <c r="G110" s="4">
        <f>IF(A110="","",IFERROR(ROUND(AVERAGEIFS(ASSESSMENTS!H:H,ASSESSMENTS!B:B,A110,ASSESSMENTS!E:E,"Mathematical Literacy"),1),""))</f>
        <v/>
      </c>
      <c r="H110" s="4">
        <f>IF(A110="","",IFERROR(ROUND(AVERAGEIFS(ASSESSMENTS!H:H,ASSESSMENTS!B:B,A110,ASSESSMENTS!E:E,"Physical Sciences"),1),""))</f>
        <v/>
      </c>
      <c r="I110" s="4">
        <f>IF(A110="","",IFERROR(ROUND(AVERAGEIFS(ASSESSMENTS!H:H,ASSESSMENTS!B:B,A110,ASSESSMENTS!E:E,"Geography"),1),""))</f>
        <v/>
      </c>
      <c r="J110" s="4">
        <f>IF(A110="","",IFERROR(ROUND(AVERAGEIFS(ASSESSMENTS!H:H,ASSESSMENTS!B:B,A110,ASSESSMENTS!E:E,"Accounting"),1),""))</f>
        <v/>
      </c>
      <c r="K110" s="4">
        <f>IF(A110="","",IFERROR(ROUND(AVERAGEIFS(ASSESSMENTS!H:H,ASSESSMENTS!B:B,A110,ASSESSMENTS!E:E,"English"),1),""))</f>
        <v/>
      </c>
      <c r="L110" s="5">
        <f>IF(A110="","",IFERROR(_xludf.XLOOKUP(A110,ATTENDANCE_SUMMARY!A:A,ATTENDANCE_SUMMARY!G:G,""),""))</f>
        <v/>
      </c>
      <c r="M110" s="4">
        <f>IF(A110="","",IF(OR(E110&lt;50,AND(L110&lt;0.75,L110&lt;&gt;"" )),"At Risk","On Track"))</f>
        <v/>
      </c>
    </row>
    <row r="111">
      <c r="A111">
        <f>IF(MASTER_REGISTER!E111="","",MASTER_REGISTER!E111)</f>
        <v/>
      </c>
      <c r="B111">
        <f>IF(A111="","",MASTER_REGISTER!F111)</f>
        <v/>
      </c>
      <c r="C111">
        <f>IF(A111="","",MASTER_REGISTER!C111)</f>
        <v/>
      </c>
      <c r="D111">
        <f>IF(A111="","",COUNTIF(ASSESSMENTS!B:B,A111))</f>
        <v/>
      </c>
      <c r="E111" s="4">
        <f>IF(D111=0,"",ROUND(AVERAGEIF(ASSESSMENTS!B:B,A111,ASSESSMENTS!H:H),1))</f>
        <v/>
      </c>
      <c r="F111" s="4">
        <f>IF(A111="","",IFERROR(ROUND(AVERAGEIFS(ASSESSMENTS!H:H,ASSESSMENTS!B:B,A111,ASSESSMENTS!E:E,"Mathematics"),1),""))</f>
        <v/>
      </c>
      <c r="G111" s="4">
        <f>IF(A111="","",IFERROR(ROUND(AVERAGEIFS(ASSESSMENTS!H:H,ASSESSMENTS!B:B,A111,ASSESSMENTS!E:E,"Mathematical Literacy"),1),""))</f>
        <v/>
      </c>
      <c r="H111" s="4">
        <f>IF(A111="","",IFERROR(ROUND(AVERAGEIFS(ASSESSMENTS!H:H,ASSESSMENTS!B:B,A111,ASSESSMENTS!E:E,"Physical Sciences"),1),""))</f>
        <v/>
      </c>
      <c r="I111" s="4">
        <f>IF(A111="","",IFERROR(ROUND(AVERAGEIFS(ASSESSMENTS!H:H,ASSESSMENTS!B:B,A111,ASSESSMENTS!E:E,"Geography"),1),""))</f>
        <v/>
      </c>
      <c r="J111" s="4">
        <f>IF(A111="","",IFERROR(ROUND(AVERAGEIFS(ASSESSMENTS!H:H,ASSESSMENTS!B:B,A111,ASSESSMENTS!E:E,"Accounting"),1),""))</f>
        <v/>
      </c>
      <c r="K111" s="4">
        <f>IF(A111="","",IFERROR(ROUND(AVERAGEIFS(ASSESSMENTS!H:H,ASSESSMENTS!B:B,A111,ASSESSMENTS!E:E,"English"),1),""))</f>
        <v/>
      </c>
      <c r="L111" s="5">
        <f>IF(A111="","",IFERROR(_xludf.XLOOKUP(A111,ATTENDANCE_SUMMARY!A:A,ATTENDANCE_SUMMARY!G:G,""),""))</f>
        <v/>
      </c>
      <c r="M111" s="4">
        <f>IF(A111="","",IF(OR(E111&lt;50,AND(L111&lt;0.75,L111&lt;&gt;"" )),"At Risk","On Track"))</f>
        <v/>
      </c>
    </row>
    <row r="112">
      <c r="A112">
        <f>IF(MASTER_REGISTER!E112="","",MASTER_REGISTER!E112)</f>
        <v/>
      </c>
      <c r="B112">
        <f>IF(A112="","",MASTER_REGISTER!F112)</f>
        <v/>
      </c>
      <c r="C112">
        <f>IF(A112="","",MASTER_REGISTER!C112)</f>
        <v/>
      </c>
      <c r="D112">
        <f>IF(A112="","",COUNTIF(ASSESSMENTS!B:B,A112))</f>
        <v/>
      </c>
      <c r="E112" s="4">
        <f>IF(D112=0,"",ROUND(AVERAGEIF(ASSESSMENTS!B:B,A112,ASSESSMENTS!H:H),1))</f>
        <v/>
      </c>
      <c r="F112" s="4">
        <f>IF(A112="","",IFERROR(ROUND(AVERAGEIFS(ASSESSMENTS!H:H,ASSESSMENTS!B:B,A112,ASSESSMENTS!E:E,"Mathematics"),1),""))</f>
        <v/>
      </c>
      <c r="G112" s="4">
        <f>IF(A112="","",IFERROR(ROUND(AVERAGEIFS(ASSESSMENTS!H:H,ASSESSMENTS!B:B,A112,ASSESSMENTS!E:E,"Mathematical Literacy"),1),""))</f>
        <v/>
      </c>
      <c r="H112" s="4">
        <f>IF(A112="","",IFERROR(ROUND(AVERAGEIFS(ASSESSMENTS!H:H,ASSESSMENTS!B:B,A112,ASSESSMENTS!E:E,"Physical Sciences"),1),""))</f>
        <v/>
      </c>
      <c r="I112" s="4">
        <f>IF(A112="","",IFERROR(ROUND(AVERAGEIFS(ASSESSMENTS!H:H,ASSESSMENTS!B:B,A112,ASSESSMENTS!E:E,"Geography"),1),""))</f>
        <v/>
      </c>
      <c r="J112" s="4">
        <f>IF(A112="","",IFERROR(ROUND(AVERAGEIFS(ASSESSMENTS!H:H,ASSESSMENTS!B:B,A112,ASSESSMENTS!E:E,"Accounting"),1),""))</f>
        <v/>
      </c>
      <c r="K112" s="4">
        <f>IF(A112="","",IFERROR(ROUND(AVERAGEIFS(ASSESSMENTS!H:H,ASSESSMENTS!B:B,A112,ASSESSMENTS!E:E,"English"),1),""))</f>
        <v/>
      </c>
      <c r="L112" s="5">
        <f>IF(A112="","",IFERROR(_xludf.XLOOKUP(A112,ATTENDANCE_SUMMARY!A:A,ATTENDANCE_SUMMARY!G:G,""),""))</f>
        <v/>
      </c>
      <c r="M112" s="4">
        <f>IF(A112="","",IF(OR(E112&lt;50,AND(L112&lt;0.75,L112&lt;&gt;"" )),"At Risk","On Track"))</f>
        <v/>
      </c>
    </row>
    <row r="113">
      <c r="A113">
        <f>IF(MASTER_REGISTER!E113="","",MASTER_REGISTER!E113)</f>
        <v/>
      </c>
      <c r="B113">
        <f>IF(A113="","",MASTER_REGISTER!F113)</f>
        <v/>
      </c>
      <c r="C113">
        <f>IF(A113="","",MASTER_REGISTER!C113)</f>
        <v/>
      </c>
      <c r="D113">
        <f>IF(A113="","",COUNTIF(ASSESSMENTS!B:B,A113))</f>
        <v/>
      </c>
      <c r="E113" s="4">
        <f>IF(D113=0,"",ROUND(AVERAGEIF(ASSESSMENTS!B:B,A113,ASSESSMENTS!H:H),1))</f>
        <v/>
      </c>
      <c r="F113" s="4">
        <f>IF(A113="","",IFERROR(ROUND(AVERAGEIFS(ASSESSMENTS!H:H,ASSESSMENTS!B:B,A113,ASSESSMENTS!E:E,"Mathematics"),1),""))</f>
        <v/>
      </c>
      <c r="G113" s="4">
        <f>IF(A113="","",IFERROR(ROUND(AVERAGEIFS(ASSESSMENTS!H:H,ASSESSMENTS!B:B,A113,ASSESSMENTS!E:E,"Mathematical Literacy"),1),""))</f>
        <v/>
      </c>
      <c r="H113" s="4">
        <f>IF(A113="","",IFERROR(ROUND(AVERAGEIFS(ASSESSMENTS!H:H,ASSESSMENTS!B:B,A113,ASSESSMENTS!E:E,"Physical Sciences"),1),""))</f>
        <v/>
      </c>
      <c r="I113" s="4">
        <f>IF(A113="","",IFERROR(ROUND(AVERAGEIFS(ASSESSMENTS!H:H,ASSESSMENTS!B:B,A113,ASSESSMENTS!E:E,"Geography"),1),""))</f>
        <v/>
      </c>
      <c r="J113" s="4">
        <f>IF(A113="","",IFERROR(ROUND(AVERAGEIFS(ASSESSMENTS!H:H,ASSESSMENTS!B:B,A113,ASSESSMENTS!E:E,"Accounting"),1),""))</f>
        <v/>
      </c>
      <c r="K113" s="4">
        <f>IF(A113="","",IFERROR(ROUND(AVERAGEIFS(ASSESSMENTS!H:H,ASSESSMENTS!B:B,A113,ASSESSMENTS!E:E,"English"),1),""))</f>
        <v/>
      </c>
      <c r="L113" s="5">
        <f>IF(A113="","",IFERROR(_xludf.XLOOKUP(A113,ATTENDANCE_SUMMARY!A:A,ATTENDANCE_SUMMARY!G:G,""),""))</f>
        <v/>
      </c>
      <c r="M113" s="4">
        <f>IF(A113="","",IF(OR(E113&lt;50,AND(L113&lt;0.75,L113&lt;&gt;"" )),"At Risk","On Track"))</f>
        <v/>
      </c>
    </row>
    <row r="114">
      <c r="A114">
        <f>IF(MASTER_REGISTER!E114="","",MASTER_REGISTER!E114)</f>
        <v/>
      </c>
      <c r="B114">
        <f>IF(A114="","",MASTER_REGISTER!F114)</f>
        <v/>
      </c>
      <c r="C114">
        <f>IF(A114="","",MASTER_REGISTER!C114)</f>
        <v/>
      </c>
      <c r="D114">
        <f>IF(A114="","",COUNTIF(ASSESSMENTS!B:B,A114))</f>
        <v/>
      </c>
      <c r="E114" s="4">
        <f>IF(D114=0,"",ROUND(AVERAGEIF(ASSESSMENTS!B:B,A114,ASSESSMENTS!H:H),1))</f>
        <v/>
      </c>
      <c r="F114" s="4">
        <f>IF(A114="","",IFERROR(ROUND(AVERAGEIFS(ASSESSMENTS!H:H,ASSESSMENTS!B:B,A114,ASSESSMENTS!E:E,"Mathematics"),1),""))</f>
        <v/>
      </c>
      <c r="G114" s="4">
        <f>IF(A114="","",IFERROR(ROUND(AVERAGEIFS(ASSESSMENTS!H:H,ASSESSMENTS!B:B,A114,ASSESSMENTS!E:E,"Mathematical Literacy"),1),""))</f>
        <v/>
      </c>
      <c r="H114" s="4">
        <f>IF(A114="","",IFERROR(ROUND(AVERAGEIFS(ASSESSMENTS!H:H,ASSESSMENTS!B:B,A114,ASSESSMENTS!E:E,"Physical Sciences"),1),""))</f>
        <v/>
      </c>
      <c r="I114" s="4">
        <f>IF(A114="","",IFERROR(ROUND(AVERAGEIFS(ASSESSMENTS!H:H,ASSESSMENTS!B:B,A114,ASSESSMENTS!E:E,"Geography"),1),""))</f>
        <v/>
      </c>
      <c r="J114" s="4">
        <f>IF(A114="","",IFERROR(ROUND(AVERAGEIFS(ASSESSMENTS!H:H,ASSESSMENTS!B:B,A114,ASSESSMENTS!E:E,"Accounting"),1),""))</f>
        <v/>
      </c>
      <c r="K114" s="4">
        <f>IF(A114="","",IFERROR(ROUND(AVERAGEIFS(ASSESSMENTS!H:H,ASSESSMENTS!B:B,A114,ASSESSMENTS!E:E,"English"),1),""))</f>
        <v/>
      </c>
      <c r="L114" s="5">
        <f>IF(A114="","",IFERROR(_xludf.XLOOKUP(A114,ATTENDANCE_SUMMARY!A:A,ATTENDANCE_SUMMARY!G:G,""),""))</f>
        <v/>
      </c>
      <c r="M114" s="4">
        <f>IF(A114="","",IF(OR(E114&lt;50,AND(L114&lt;0.75,L114&lt;&gt;"" )),"At Risk","On Track"))</f>
        <v/>
      </c>
    </row>
    <row r="115">
      <c r="A115">
        <f>IF(MASTER_REGISTER!E115="","",MASTER_REGISTER!E115)</f>
        <v/>
      </c>
      <c r="B115">
        <f>IF(A115="","",MASTER_REGISTER!F115)</f>
        <v/>
      </c>
      <c r="C115">
        <f>IF(A115="","",MASTER_REGISTER!C115)</f>
        <v/>
      </c>
      <c r="D115">
        <f>IF(A115="","",COUNTIF(ASSESSMENTS!B:B,A115))</f>
        <v/>
      </c>
      <c r="E115" s="4">
        <f>IF(D115=0,"",ROUND(AVERAGEIF(ASSESSMENTS!B:B,A115,ASSESSMENTS!H:H),1))</f>
        <v/>
      </c>
      <c r="F115" s="4">
        <f>IF(A115="","",IFERROR(ROUND(AVERAGEIFS(ASSESSMENTS!H:H,ASSESSMENTS!B:B,A115,ASSESSMENTS!E:E,"Mathematics"),1),""))</f>
        <v/>
      </c>
      <c r="G115" s="4">
        <f>IF(A115="","",IFERROR(ROUND(AVERAGEIFS(ASSESSMENTS!H:H,ASSESSMENTS!B:B,A115,ASSESSMENTS!E:E,"Mathematical Literacy"),1),""))</f>
        <v/>
      </c>
      <c r="H115" s="4">
        <f>IF(A115="","",IFERROR(ROUND(AVERAGEIFS(ASSESSMENTS!H:H,ASSESSMENTS!B:B,A115,ASSESSMENTS!E:E,"Physical Sciences"),1),""))</f>
        <v/>
      </c>
      <c r="I115" s="4">
        <f>IF(A115="","",IFERROR(ROUND(AVERAGEIFS(ASSESSMENTS!H:H,ASSESSMENTS!B:B,A115,ASSESSMENTS!E:E,"Geography"),1),""))</f>
        <v/>
      </c>
      <c r="J115" s="4">
        <f>IF(A115="","",IFERROR(ROUND(AVERAGEIFS(ASSESSMENTS!H:H,ASSESSMENTS!B:B,A115,ASSESSMENTS!E:E,"Accounting"),1),""))</f>
        <v/>
      </c>
      <c r="K115" s="4">
        <f>IF(A115="","",IFERROR(ROUND(AVERAGEIFS(ASSESSMENTS!H:H,ASSESSMENTS!B:B,A115,ASSESSMENTS!E:E,"English"),1),""))</f>
        <v/>
      </c>
      <c r="L115" s="5">
        <f>IF(A115="","",IFERROR(_xludf.XLOOKUP(A115,ATTENDANCE_SUMMARY!A:A,ATTENDANCE_SUMMARY!G:G,""),""))</f>
        <v/>
      </c>
      <c r="M115" s="4">
        <f>IF(A115="","",IF(OR(E115&lt;50,AND(L115&lt;0.75,L115&lt;&gt;"" )),"At Risk","On Track"))</f>
        <v/>
      </c>
    </row>
    <row r="116">
      <c r="A116">
        <f>IF(MASTER_REGISTER!E116="","",MASTER_REGISTER!E116)</f>
        <v/>
      </c>
      <c r="B116">
        <f>IF(A116="","",MASTER_REGISTER!F116)</f>
        <v/>
      </c>
      <c r="C116">
        <f>IF(A116="","",MASTER_REGISTER!C116)</f>
        <v/>
      </c>
      <c r="D116">
        <f>IF(A116="","",COUNTIF(ASSESSMENTS!B:B,A116))</f>
        <v/>
      </c>
      <c r="E116" s="4">
        <f>IF(D116=0,"",ROUND(AVERAGEIF(ASSESSMENTS!B:B,A116,ASSESSMENTS!H:H),1))</f>
        <v/>
      </c>
      <c r="F116" s="4">
        <f>IF(A116="","",IFERROR(ROUND(AVERAGEIFS(ASSESSMENTS!H:H,ASSESSMENTS!B:B,A116,ASSESSMENTS!E:E,"Mathematics"),1),""))</f>
        <v/>
      </c>
      <c r="G116" s="4">
        <f>IF(A116="","",IFERROR(ROUND(AVERAGEIFS(ASSESSMENTS!H:H,ASSESSMENTS!B:B,A116,ASSESSMENTS!E:E,"Mathematical Literacy"),1),""))</f>
        <v/>
      </c>
      <c r="H116" s="4">
        <f>IF(A116="","",IFERROR(ROUND(AVERAGEIFS(ASSESSMENTS!H:H,ASSESSMENTS!B:B,A116,ASSESSMENTS!E:E,"Physical Sciences"),1),""))</f>
        <v/>
      </c>
      <c r="I116" s="4">
        <f>IF(A116="","",IFERROR(ROUND(AVERAGEIFS(ASSESSMENTS!H:H,ASSESSMENTS!B:B,A116,ASSESSMENTS!E:E,"Geography"),1),""))</f>
        <v/>
      </c>
      <c r="J116" s="4">
        <f>IF(A116="","",IFERROR(ROUND(AVERAGEIFS(ASSESSMENTS!H:H,ASSESSMENTS!B:B,A116,ASSESSMENTS!E:E,"Accounting"),1),""))</f>
        <v/>
      </c>
      <c r="K116" s="4">
        <f>IF(A116="","",IFERROR(ROUND(AVERAGEIFS(ASSESSMENTS!H:H,ASSESSMENTS!B:B,A116,ASSESSMENTS!E:E,"English"),1),""))</f>
        <v/>
      </c>
      <c r="L116" s="5">
        <f>IF(A116="","",IFERROR(_xludf.XLOOKUP(A116,ATTENDANCE_SUMMARY!A:A,ATTENDANCE_SUMMARY!G:G,""),""))</f>
        <v/>
      </c>
      <c r="M116" s="4">
        <f>IF(A116="","",IF(OR(E116&lt;50,AND(L116&lt;0.75,L116&lt;&gt;"" )),"At Risk","On Track"))</f>
        <v/>
      </c>
    </row>
    <row r="117">
      <c r="A117">
        <f>IF(MASTER_REGISTER!E117="","",MASTER_REGISTER!E117)</f>
        <v/>
      </c>
      <c r="B117">
        <f>IF(A117="","",MASTER_REGISTER!F117)</f>
        <v/>
      </c>
      <c r="C117">
        <f>IF(A117="","",MASTER_REGISTER!C117)</f>
        <v/>
      </c>
      <c r="D117">
        <f>IF(A117="","",COUNTIF(ASSESSMENTS!B:B,A117))</f>
        <v/>
      </c>
      <c r="E117" s="4">
        <f>IF(D117=0,"",ROUND(AVERAGEIF(ASSESSMENTS!B:B,A117,ASSESSMENTS!H:H),1))</f>
        <v/>
      </c>
      <c r="F117" s="4">
        <f>IF(A117="","",IFERROR(ROUND(AVERAGEIFS(ASSESSMENTS!H:H,ASSESSMENTS!B:B,A117,ASSESSMENTS!E:E,"Mathematics"),1),""))</f>
        <v/>
      </c>
      <c r="G117" s="4">
        <f>IF(A117="","",IFERROR(ROUND(AVERAGEIFS(ASSESSMENTS!H:H,ASSESSMENTS!B:B,A117,ASSESSMENTS!E:E,"Mathematical Literacy"),1),""))</f>
        <v/>
      </c>
      <c r="H117" s="4">
        <f>IF(A117="","",IFERROR(ROUND(AVERAGEIFS(ASSESSMENTS!H:H,ASSESSMENTS!B:B,A117,ASSESSMENTS!E:E,"Physical Sciences"),1),""))</f>
        <v/>
      </c>
      <c r="I117" s="4">
        <f>IF(A117="","",IFERROR(ROUND(AVERAGEIFS(ASSESSMENTS!H:H,ASSESSMENTS!B:B,A117,ASSESSMENTS!E:E,"Geography"),1),""))</f>
        <v/>
      </c>
      <c r="J117" s="4">
        <f>IF(A117="","",IFERROR(ROUND(AVERAGEIFS(ASSESSMENTS!H:H,ASSESSMENTS!B:B,A117,ASSESSMENTS!E:E,"Accounting"),1),""))</f>
        <v/>
      </c>
      <c r="K117" s="4">
        <f>IF(A117="","",IFERROR(ROUND(AVERAGEIFS(ASSESSMENTS!H:H,ASSESSMENTS!B:B,A117,ASSESSMENTS!E:E,"English"),1),""))</f>
        <v/>
      </c>
      <c r="L117" s="5">
        <f>IF(A117="","",IFERROR(_xludf.XLOOKUP(A117,ATTENDANCE_SUMMARY!A:A,ATTENDANCE_SUMMARY!G:G,""),""))</f>
        <v/>
      </c>
      <c r="M117" s="4">
        <f>IF(A117="","",IF(OR(E117&lt;50,AND(L117&lt;0.75,L117&lt;&gt;"" )),"At Risk","On Track"))</f>
        <v/>
      </c>
    </row>
    <row r="118">
      <c r="A118">
        <f>IF(MASTER_REGISTER!E118="","",MASTER_REGISTER!E118)</f>
        <v/>
      </c>
      <c r="B118">
        <f>IF(A118="","",MASTER_REGISTER!F118)</f>
        <v/>
      </c>
      <c r="C118">
        <f>IF(A118="","",MASTER_REGISTER!C118)</f>
        <v/>
      </c>
      <c r="D118">
        <f>IF(A118="","",COUNTIF(ASSESSMENTS!B:B,A118))</f>
        <v/>
      </c>
      <c r="E118" s="4">
        <f>IF(D118=0,"",ROUND(AVERAGEIF(ASSESSMENTS!B:B,A118,ASSESSMENTS!H:H),1))</f>
        <v/>
      </c>
      <c r="F118" s="4">
        <f>IF(A118="","",IFERROR(ROUND(AVERAGEIFS(ASSESSMENTS!H:H,ASSESSMENTS!B:B,A118,ASSESSMENTS!E:E,"Mathematics"),1),""))</f>
        <v/>
      </c>
      <c r="G118" s="4">
        <f>IF(A118="","",IFERROR(ROUND(AVERAGEIFS(ASSESSMENTS!H:H,ASSESSMENTS!B:B,A118,ASSESSMENTS!E:E,"Mathematical Literacy"),1),""))</f>
        <v/>
      </c>
      <c r="H118" s="4">
        <f>IF(A118="","",IFERROR(ROUND(AVERAGEIFS(ASSESSMENTS!H:H,ASSESSMENTS!B:B,A118,ASSESSMENTS!E:E,"Physical Sciences"),1),""))</f>
        <v/>
      </c>
      <c r="I118" s="4">
        <f>IF(A118="","",IFERROR(ROUND(AVERAGEIFS(ASSESSMENTS!H:H,ASSESSMENTS!B:B,A118,ASSESSMENTS!E:E,"Geography"),1),""))</f>
        <v/>
      </c>
      <c r="J118" s="4">
        <f>IF(A118="","",IFERROR(ROUND(AVERAGEIFS(ASSESSMENTS!H:H,ASSESSMENTS!B:B,A118,ASSESSMENTS!E:E,"Accounting"),1),""))</f>
        <v/>
      </c>
      <c r="K118" s="4">
        <f>IF(A118="","",IFERROR(ROUND(AVERAGEIFS(ASSESSMENTS!H:H,ASSESSMENTS!B:B,A118,ASSESSMENTS!E:E,"English"),1),""))</f>
        <v/>
      </c>
      <c r="L118" s="5">
        <f>IF(A118="","",IFERROR(_xludf.XLOOKUP(A118,ATTENDANCE_SUMMARY!A:A,ATTENDANCE_SUMMARY!G:G,""),""))</f>
        <v/>
      </c>
      <c r="M118" s="4">
        <f>IF(A118="","",IF(OR(E118&lt;50,AND(L118&lt;0.75,L118&lt;&gt;"" )),"At Risk","On Track"))</f>
        <v/>
      </c>
    </row>
    <row r="119">
      <c r="A119">
        <f>IF(MASTER_REGISTER!E119="","",MASTER_REGISTER!E119)</f>
        <v/>
      </c>
      <c r="B119">
        <f>IF(A119="","",MASTER_REGISTER!F119)</f>
        <v/>
      </c>
      <c r="C119">
        <f>IF(A119="","",MASTER_REGISTER!C119)</f>
        <v/>
      </c>
      <c r="D119">
        <f>IF(A119="","",COUNTIF(ASSESSMENTS!B:B,A119))</f>
        <v/>
      </c>
      <c r="E119" s="4">
        <f>IF(D119=0,"",ROUND(AVERAGEIF(ASSESSMENTS!B:B,A119,ASSESSMENTS!H:H),1))</f>
        <v/>
      </c>
      <c r="F119" s="4">
        <f>IF(A119="","",IFERROR(ROUND(AVERAGEIFS(ASSESSMENTS!H:H,ASSESSMENTS!B:B,A119,ASSESSMENTS!E:E,"Mathematics"),1),""))</f>
        <v/>
      </c>
      <c r="G119" s="4">
        <f>IF(A119="","",IFERROR(ROUND(AVERAGEIFS(ASSESSMENTS!H:H,ASSESSMENTS!B:B,A119,ASSESSMENTS!E:E,"Mathematical Literacy"),1),""))</f>
        <v/>
      </c>
      <c r="H119" s="4">
        <f>IF(A119="","",IFERROR(ROUND(AVERAGEIFS(ASSESSMENTS!H:H,ASSESSMENTS!B:B,A119,ASSESSMENTS!E:E,"Physical Sciences"),1),""))</f>
        <v/>
      </c>
      <c r="I119" s="4">
        <f>IF(A119="","",IFERROR(ROUND(AVERAGEIFS(ASSESSMENTS!H:H,ASSESSMENTS!B:B,A119,ASSESSMENTS!E:E,"Geography"),1),""))</f>
        <v/>
      </c>
      <c r="J119" s="4">
        <f>IF(A119="","",IFERROR(ROUND(AVERAGEIFS(ASSESSMENTS!H:H,ASSESSMENTS!B:B,A119,ASSESSMENTS!E:E,"Accounting"),1),""))</f>
        <v/>
      </c>
      <c r="K119" s="4">
        <f>IF(A119="","",IFERROR(ROUND(AVERAGEIFS(ASSESSMENTS!H:H,ASSESSMENTS!B:B,A119,ASSESSMENTS!E:E,"English"),1),""))</f>
        <v/>
      </c>
      <c r="L119" s="5">
        <f>IF(A119="","",IFERROR(_xludf.XLOOKUP(A119,ATTENDANCE_SUMMARY!A:A,ATTENDANCE_SUMMARY!G:G,""),""))</f>
        <v/>
      </c>
      <c r="M119" s="4">
        <f>IF(A119="","",IF(OR(E119&lt;50,AND(L119&lt;0.75,L119&lt;&gt;"" )),"At Risk","On Track"))</f>
        <v/>
      </c>
    </row>
    <row r="120">
      <c r="A120">
        <f>IF(MASTER_REGISTER!E120="","",MASTER_REGISTER!E120)</f>
        <v/>
      </c>
      <c r="B120">
        <f>IF(A120="","",MASTER_REGISTER!F120)</f>
        <v/>
      </c>
      <c r="C120">
        <f>IF(A120="","",MASTER_REGISTER!C120)</f>
        <v/>
      </c>
      <c r="D120">
        <f>IF(A120="","",COUNTIF(ASSESSMENTS!B:B,A120))</f>
        <v/>
      </c>
      <c r="E120" s="4">
        <f>IF(D120=0,"",ROUND(AVERAGEIF(ASSESSMENTS!B:B,A120,ASSESSMENTS!H:H),1))</f>
        <v/>
      </c>
      <c r="F120" s="4">
        <f>IF(A120="","",IFERROR(ROUND(AVERAGEIFS(ASSESSMENTS!H:H,ASSESSMENTS!B:B,A120,ASSESSMENTS!E:E,"Mathematics"),1),""))</f>
        <v/>
      </c>
      <c r="G120" s="4">
        <f>IF(A120="","",IFERROR(ROUND(AVERAGEIFS(ASSESSMENTS!H:H,ASSESSMENTS!B:B,A120,ASSESSMENTS!E:E,"Mathematical Literacy"),1),""))</f>
        <v/>
      </c>
      <c r="H120" s="4">
        <f>IF(A120="","",IFERROR(ROUND(AVERAGEIFS(ASSESSMENTS!H:H,ASSESSMENTS!B:B,A120,ASSESSMENTS!E:E,"Physical Sciences"),1),""))</f>
        <v/>
      </c>
      <c r="I120" s="4">
        <f>IF(A120="","",IFERROR(ROUND(AVERAGEIFS(ASSESSMENTS!H:H,ASSESSMENTS!B:B,A120,ASSESSMENTS!E:E,"Geography"),1),""))</f>
        <v/>
      </c>
      <c r="J120" s="4">
        <f>IF(A120="","",IFERROR(ROUND(AVERAGEIFS(ASSESSMENTS!H:H,ASSESSMENTS!B:B,A120,ASSESSMENTS!E:E,"Accounting"),1),""))</f>
        <v/>
      </c>
      <c r="K120" s="4">
        <f>IF(A120="","",IFERROR(ROUND(AVERAGEIFS(ASSESSMENTS!H:H,ASSESSMENTS!B:B,A120,ASSESSMENTS!E:E,"English"),1),""))</f>
        <v/>
      </c>
      <c r="L120" s="5">
        <f>IF(A120="","",IFERROR(_xludf.XLOOKUP(A120,ATTENDANCE_SUMMARY!A:A,ATTENDANCE_SUMMARY!G:G,""),""))</f>
        <v/>
      </c>
      <c r="M120" s="4">
        <f>IF(A120="","",IF(OR(E120&lt;50,AND(L120&lt;0.75,L120&lt;&gt;"" )),"At Risk","On Track"))</f>
        <v/>
      </c>
    </row>
    <row r="121">
      <c r="A121">
        <f>IF(MASTER_REGISTER!E121="","",MASTER_REGISTER!E121)</f>
        <v/>
      </c>
      <c r="B121">
        <f>IF(A121="","",MASTER_REGISTER!F121)</f>
        <v/>
      </c>
      <c r="C121">
        <f>IF(A121="","",MASTER_REGISTER!C121)</f>
        <v/>
      </c>
      <c r="D121">
        <f>IF(A121="","",COUNTIF(ASSESSMENTS!B:B,A121))</f>
        <v/>
      </c>
      <c r="E121" s="4">
        <f>IF(D121=0,"",ROUND(AVERAGEIF(ASSESSMENTS!B:B,A121,ASSESSMENTS!H:H),1))</f>
        <v/>
      </c>
      <c r="F121" s="4">
        <f>IF(A121="","",IFERROR(ROUND(AVERAGEIFS(ASSESSMENTS!H:H,ASSESSMENTS!B:B,A121,ASSESSMENTS!E:E,"Mathematics"),1),""))</f>
        <v/>
      </c>
      <c r="G121" s="4">
        <f>IF(A121="","",IFERROR(ROUND(AVERAGEIFS(ASSESSMENTS!H:H,ASSESSMENTS!B:B,A121,ASSESSMENTS!E:E,"Mathematical Literacy"),1),""))</f>
        <v/>
      </c>
      <c r="H121" s="4">
        <f>IF(A121="","",IFERROR(ROUND(AVERAGEIFS(ASSESSMENTS!H:H,ASSESSMENTS!B:B,A121,ASSESSMENTS!E:E,"Physical Sciences"),1),""))</f>
        <v/>
      </c>
      <c r="I121" s="4">
        <f>IF(A121="","",IFERROR(ROUND(AVERAGEIFS(ASSESSMENTS!H:H,ASSESSMENTS!B:B,A121,ASSESSMENTS!E:E,"Geography"),1),""))</f>
        <v/>
      </c>
      <c r="J121" s="4">
        <f>IF(A121="","",IFERROR(ROUND(AVERAGEIFS(ASSESSMENTS!H:H,ASSESSMENTS!B:B,A121,ASSESSMENTS!E:E,"Accounting"),1),""))</f>
        <v/>
      </c>
      <c r="K121" s="4">
        <f>IF(A121="","",IFERROR(ROUND(AVERAGEIFS(ASSESSMENTS!H:H,ASSESSMENTS!B:B,A121,ASSESSMENTS!E:E,"English"),1),""))</f>
        <v/>
      </c>
      <c r="L121" s="5">
        <f>IF(A121="","",IFERROR(_xludf.XLOOKUP(A121,ATTENDANCE_SUMMARY!A:A,ATTENDANCE_SUMMARY!G:G,""),""))</f>
        <v/>
      </c>
      <c r="M121" s="4">
        <f>IF(A121="","",IF(OR(E121&lt;50,AND(L121&lt;0.75,L121&lt;&gt;"" )),"At Risk","On Track"))</f>
        <v/>
      </c>
    </row>
    <row r="122">
      <c r="A122">
        <f>IF(MASTER_REGISTER!E122="","",MASTER_REGISTER!E122)</f>
        <v/>
      </c>
      <c r="B122">
        <f>IF(A122="","",MASTER_REGISTER!F122)</f>
        <v/>
      </c>
      <c r="C122">
        <f>IF(A122="","",MASTER_REGISTER!C122)</f>
        <v/>
      </c>
      <c r="D122">
        <f>IF(A122="","",COUNTIF(ASSESSMENTS!B:B,A122))</f>
        <v/>
      </c>
      <c r="E122" s="4">
        <f>IF(D122=0,"",ROUND(AVERAGEIF(ASSESSMENTS!B:B,A122,ASSESSMENTS!H:H),1))</f>
        <v/>
      </c>
      <c r="F122" s="4">
        <f>IF(A122="","",IFERROR(ROUND(AVERAGEIFS(ASSESSMENTS!H:H,ASSESSMENTS!B:B,A122,ASSESSMENTS!E:E,"Mathematics"),1),""))</f>
        <v/>
      </c>
      <c r="G122" s="4">
        <f>IF(A122="","",IFERROR(ROUND(AVERAGEIFS(ASSESSMENTS!H:H,ASSESSMENTS!B:B,A122,ASSESSMENTS!E:E,"Mathematical Literacy"),1),""))</f>
        <v/>
      </c>
      <c r="H122" s="4">
        <f>IF(A122="","",IFERROR(ROUND(AVERAGEIFS(ASSESSMENTS!H:H,ASSESSMENTS!B:B,A122,ASSESSMENTS!E:E,"Physical Sciences"),1),""))</f>
        <v/>
      </c>
      <c r="I122" s="4">
        <f>IF(A122="","",IFERROR(ROUND(AVERAGEIFS(ASSESSMENTS!H:H,ASSESSMENTS!B:B,A122,ASSESSMENTS!E:E,"Geography"),1),""))</f>
        <v/>
      </c>
      <c r="J122" s="4">
        <f>IF(A122="","",IFERROR(ROUND(AVERAGEIFS(ASSESSMENTS!H:H,ASSESSMENTS!B:B,A122,ASSESSMENTS!E:E,"Accounting"),1),""))</f>
        <v/>
      </c>
      <c r="K122" s="4">
        <f>IF(A122="","",IFERROR(ROUND(AVERAGEIFS(ASSESSMENTS!H:H,ASSESSMENTS!B:B,A122,ASSESSMENTS!E:E,"English"),1),""))</f>
        <v/>
      </c>
      <c r="L122" s="5">
        <f>IF(A122="","",IFERROR(_xludf.XLOOKUP(A122,ATTENDANCE_SUMMARY!A:A,ATTENDANCE_SUMMARY!G:G,""),""))</f>
        <v/>
      </c>
      <c r="M122" s="4">
        <f>IF(A122="","",IF(OR(E122&lt;50,AND(L122&lt;0.75,L122&lt;&gt;"" )),"At Risk","On Track"))</f>
        <v/>
      </c>
    </row>
    <row r="123">
      <c r="A123">
        <f>IF(MASTER_REGISTER!E123="","",MASTER_REGISTER!E123)</f>
        <v/>
      </c>
      <c r="B123">
        <f>IF(A123="","",MASTER_REGISTER!F123)</f>
        <v/>
      </c>
      <c r="C123">
        <f>IF(A123="","",MASTER_REGISTER!C123)</f>
        <v/>
      </c>
      <c r="D123">
        <f>IF(A123="","",COUNTIF(ASSESSMENTS!B:B,A123))</f>
        <v/>
      </c>
      <c r="E123" s="4">
        <f>IF(D123=0,"",ROUND(AVERAGEIF(ASSESSMENTS!B:B,A123,ASSESSMENTS!H:H),1))</f>
        <v/>
      </c>
      <c r="F123" s="4">
        <f>IF(A123="","",IFERROR(ROUND(AVERAGEIFS(ASSESSMENTS!H:H,ASSESSMENTS!B:B,A123,ASSESSMENTS!E:E,"Mathematics"),1),""))</f>
        <v/>
      </c>
      <c r="G123" s="4">
        <f>IF(A123="","",IFERROR(ROUND(AVERAGEIFS(ASSESSMENTS!H:H,ASSESSMENTS!B:B,A123,ASSESSMENTS!E:E,"Mathematical Literacy"),1),""))</f>
        <v/>
      </c>
      <c r="H123" s="4">
        <f>IF(A123="","",IFERROR(ROUND(AVERAGEIFS(ASSESSMENTS!H:H,ASSESSMENTS!B:B,A123,ASSESSMENTS!E:E,"Physical Sciences"),1),""))</f>
        <v/>
      </c>
      <c r="I123" s="4">
        <f>IF(A123="","",IFERROR(ROUND(AVERAGEIFS(ASSESSMENTS!H:H,ASSESSMENTS!B:B,A123,ASSESSMENTS!E:E,"Geography"),1),""))</f>
        <v/>
      </c>
      <c r="J123" s="4">
        <f>IF(A123="","",IFERROR(ROUND(AVERAGEIFS(ASSESSMENTS!H:H,ASSESSMENTS!B:B,A123,ASSESSMENTS!E:E,"Accounting"),1),""))</f>
        <v/>
      </c>
      <c r="K123" s="4">
        <f>IF(A123="","",IFERROR(ROUND(AVERAGEIFS(ASSESSMENTS!H:H,ASSESSMENTS!B:B,A123,ASSESSMENTS!E:E,"English"),1),""))</f>
        <v/>
      </c>
      <c r="L123" s="5">
        <f>IF(A123="","",IFERROR(_xludf.XLOOKUP(A123,ATTENDANCE_SUMMARY!A:A,ATTENDANCE_SUMMARY!G:G,""),""))</f>
        <v/>
      </c>
      <c r="M123" s="4">
        <f>IF(A123="","",IF(OR(E123&lt;50,AND(L123&lt;0.75,L123&lt;&gt;"" )),"At Risk","On Track"))</f>
        <v/>
      </c>
    </row>
    <row r="124">
      <c r="A124">
        <f>IF(MASTER_REGISTER!E124="","",MASTER_REGISTER!E124)</f>
        <v/>
      </c>
      <c r="B124">
        <f>IF(A124="","",MASTER_REGISTER!F124)</f>
        <v/>
      </c>
      <c r="C124">
        <f>IF(A124="","",MASTER_REGISTER!C124)</f>
        <v/>
      </c>
      <c r="D124">
        <f>IF(A124="","",COUNTIF(ASSESSMENTS!B:B,A124))</f>
        <v/>
      </c>
      <c r="E124" s="4">
        <f>IF(D124=0,"",ROUND(AVERAGEIF(ASSESSMENTS!B:B,A124,ASSESSMENTS!H:H),1))</f>
        <v/>
      </c>
      <c r="F124" s="4">
        <f>IF(A124="","",IFERROR(ROUND(AVERAGEIFS(ASSESSMENTS!H:H,ASSESSMENTS!B:B,A124,ASSESSMENTS!E:E,"Mathematics"),1),""))</f>
        <v/>
      </c>
      <c r="G124" s="4">
        <f>IF(A124="","",IFERROR(ROUND(AVERAGEIFS(ASSESSMENTS!H:H,ASSESSMENTS!B:B,A124,ASSESSMENTS!E:E,"Mathematical Literacy"),1),""))</f>
        <v/>
      </c>
      <c r="H124" s="4">
        <f>IF(A124="","",IFERROR(ROUND(AVERAGEIFS(ASSESSMENTS!H:H,ASSESSMENTS!B:B,A124,ASSESSMENTS!E:E,"Physical Sciences"),1),""))</f>
        <v/>
      </c>
      <c r="I124" s="4">
        <f>IF(A124="","",IFERROR(ROUND(AVERAGEIFS(ASSESSMENTS!H:H,ASSESSMENTS!B:B,A124,ASSESSMENTS!E:E,"Geography"),1),""))</f>
        <v/>
      </c>
      <c r="J124" s="4">
        <f>IF(A124="","",IFERROR(ROUND(AVERAGEIFS(ASSESSMENTS!H:H,ASSESSMENTS!B:B,A124,ASSESSMENTS!E:E,"Accounting"),1),""))</f>
        <v/>
      </c>
      <c r="K124" s="4">
        <f>IF(A124="","",IFERROR(ROUND(AVERAGEIFS(ASSESSMENTS!H:H,ASSESSMENTS!B:B,A124,ASSESSMENTS!E:E,"English"),1),""))</f>
        <v/>
      </c>
      <c r="L124" s="5">
        <f>IF(A124="","",IFERROR(_xludf.XLOOKUP(A124,ATTENDANCE_SUMMARY!A:A,ATTENDANCE_SUMMARY!G:G,""),""))</f>
        <v/>
      </c>
      <c r="M124" s="4">
        <f>IF(A124="","",IF(OR(E124&lt;50,AND(L124&lt;0.75,L124&lt;&gt;"" )),"At Risk","On Track"))</f>
        <v/>
      </c>
    </row>
    <row r="125">
      <c r="A125">
        <f>IF(MASTER_REGISTER!E125="","",MASTER_REGISTER!E125)</f>
        <v/>
      </c>
      <c r="B125">
        <f>IF(A125="","",MASTER_REGISTER!F125)</f>
        <v/>
      </c>
      <c r="C125">
        <f>IF(A125="","",MASTER_REGISTER!C125)</f>
        <v/>
      </c>
      <c r="D125">
        <f>IF(A125="","",COUNTIF(ASSESSMENTS!B:B,A125))</f>
        <v/>
      </c>
      <c r="E125" s="4">
        <f>IF(D125=0,"",ROUND(AVERAGEIF(ASSESSMENTS!B:B,A125,ASSESSMENTS!H:H),1))</f>
        <v/>
      </c>
      <c r="F125" s="4">
        <f>IF(A125="","",IFERROR(ROUND(AVERAGEIFS(ASSESSMENTS!H:H,ASSESSMENTS!B:B,A125,ASSESSMENTS!E:E,"Mathematics"),1),""))</f>
        <v/>
      </c>
      <c r="G125" s="4">
        <f>IF(A125="","",IFERROR(ROUND(AVERAGEIFS(ASSESSMENTS!H:H,ASSESSMENTS!B:B,A125,ASSESSMENTS!E:E,"Mathematical Literacy"),1),""))</f>
        <v/>
      </c>
      <c r="H125" s="4">
        <f>IF(A125="","",IFERROR(ROUND(AVERAGEIFS(ASSESSMENTS!H:H,ASSESSMENTS!B:B,A125,ASSESSMENTS!E:E,"Physical Sciences"),1),""))</f>
        <v/>
      </c>
      <c r="I125" s="4">
        <f>IF(A125="","",IFERROR(ROUND(AVERAGEIFS(ASSESSMENTS!H:H,ASSESSMENTS!B:B,A125,ASSESSMENTS!E:E,"Geography"),1),""))</f>
        <v/>
      </c>
      <c r="J125" s="4">
        <f>IF(A125="","",IFERROR(ROUND(AVERAGEIFS(ASSESSMENTS!H:H,ASSESSMENTS!B:B,A125,ASSESSMENTS!E:E,"Accounting"),1),""))</f>
        <v/>
      </c>
      <c r="K125" s="4">
        <f>IF(A125="","",IFERROR(ROUND(AVERAGEIFS(ASSESSMENTS!H:H,ASSESSMENTS!B:B,A125,ASSESSMENTS!E:E,"English"),1),""))</f>
        <v/>
      </c>
      <c r="L125" s="5">
        <f>IF(A125="","",IFERROR(_xludf.XLOOKUP(A125,ATTENDANCE_SUMMARY!A:A,ATTENDANCE_SUMMARY!G:G,""),""))</f>
        <v/>
      </c>
      <c r="M125" s="4">
        <f>IF(A125="","",IF(OR(E125&lt;50,AND(L125&lt;0.75,L125&lt;&gt;"" )),"At Risk","On Track"))</f>
        <v/>
      </c>
    </row>
    <row r="126">
      <c r="A126">
        <f>IF(MASTER_REGISTER!E126="","",MASTER_REGISTER!E126)</f>
        <v/>
      </c>
      <c r="B126">
        <f>IF(A126="","",MASTER_REGISTER!F126)</f>
        <v/>
      </c>
      <c r="C126">
        <f>IF(A126="","",MASTER_REGISTER!C126)</f>
        <v/>
      </c>
      <c r="D126">
        <f>IF(A126="","",COUNTIF(ASSESSMENTS!B:B,A126))</f>
        <v/>
      </c>
      <c r="E126" s="4">
        <f>IF(D126=0,"",ROUND(AVERAGEIF(ASSESSMENTS!B:B,A126,ASSESSMENTS!H:H),1))</f>
        <v/>
      </c>
      <c r="F126" s="4">
        <f>IF(A126="","",IFERROR(ROUND(AVERAGEIFS(ASSESSMENTS!H:H,ASSESSMENTS!B:B,A126,ASSESSMENTS!E:E,"Mathematics"),1),""))</f>
        <v/>
      </c>
      <c r="G126" s="4">
        <f>IF(A126="","",IFERROR(ROUND(AVERAGEIFS(ASSESSMENTS!H:H,ASSESSMENTS!B:B,A126,ASSESSMENTS!E:E,"Mathematical Literacy"),1),""))</f>
        <v/>
      </c>
      <c r="H126" s="4">
        <f>IF(A126="","",IFERROR(ROUND(AVERAGEIFS(ASSESSMENTS!H:H,ASSESSMENTS!B:B,A126,ASSESSMENTS!E:E,"Physical Sciences"),1),""))</f>
        <v/>
      </c>
      <c r="I126" s="4">
        <f>IF(A126="","",IFERROR(ROUND(AVERAGEIFS(ASSESSMENTS!H:H,ASSESSMENTS!B:B,A126,ASSESSMENTS!E:E,"Geography"),1),""))</f>
        <v/>
      </c>
      <c r="J126" s="4">
        <f>IF(A126="","",IFERROR(ROUND(AVERAGEIFS(ASSESSMENTS!H:H,ASSESSMENTS!B:B,A126,ASSESSMENTS!E:E,"Accounting"),1),""))</f>
        <v/>
      </c>
      <c r="K126" s="4">
        <f>IF(A126="","",IFERROR(ROUND(AVERAGEIFS(ASSESSMENTS!H:H,ASSESSMENTS!B:B,A126,ASSESSMENTS!E:E,"English"),1),""))</f>
        <v/>
      </c>
      <c r="L126" s="5">
        <f>IF(A126="","",IFERROR(_xludf.XLOOKUP(A126,ATTENDANCE_SUMMARY!A:A,ATTENDANCE_SUMMARY!G:G,""),""))</f>
        <v/>
      </c>
      <c r="M126" s="4">
        <f>IF(A126="","",IF(OR(E126&lt;50,AND(L126&lt;0.75,L126&lt;&gt;"" )),"At Risk","On Track"))</f>
        <v/>
      </c>
    </row>
    <row r="127">
      <c r="A127">
        <f>IF(MASTER_REGISTER!E127="","",MASTER_REGISTER!E127)</f>
        <v/>
      </c>
      <c r="B127">
        <f>IF(A127="","",MASTER_REGISTER!F127)</f>
        <v/>
      </c>
      <c r="C127">
        <f>IF(A127="","",MASTER_REGISTER!C127)</f>
        <v/>
      </c>
      <c r="D127">
        <f>IF(A127="","",COUNTIF(ASSESSMENTS!B:B,A127))</f>
        <v/>
      </c>
      <c r="E127" s="4">
        <f>IF(D127=0,"",ROUND(AVERAGEIF(ASSESSMENTS!B:B,A127,ASSESSMENTS!H:H),1))</f>
        <v/>
      </c>
      <c r="F127" s="4">
        <f>IF(A127="","",IFERROR(ROUND(AVERAGEIFS(ASSESSMENTS!H:H,ASSESSMENTS!B:B,A127,ASSESSMENTS!E:E,"Mathematics"),1),""))</f>
        <v/>
      </c>
      <c r="G127" s="4">
        <f>IF(A127="","",IFERROR(ROUND(AVERAGEIFS(ASSESSMENTS!H:H,ASSESSMENTS!B:B,A127,ASSESSMENTS!E:E,"Mathematical Literacy"),1),""))</f>
        <v/>
      </c>
      <c r="H127" s="4">
        <f>IF(A127="","",IFERROR(ROUND(AVERAGEIFS(ASSESSMENTS!H:H,ASSESSMENTS!B:B,A127,ASSESSMENTS!E:E,"Physical Sciences"),1),""))</f>
        <v/>
      </c>
      <c r="I127" s="4">
        <f>IF(A127="","",IFERROR(ROUND(AVERAGEIFS(ASSESSMENTS!H:H,ASSESSMENTS!B:B,A127,ASSESSMENTS!E:E,"Geography"),1),""))</f>
        <v/>
      </c>
      <c r="J127" s="4">
        <f>IF(A127="","",IFERROR(ROUND(AVERAGEIFS(ASSESSMENTS!H:H,ASSESSMENTS!B:B,A127,ASSESSMENTS!E:E,"Accounting"),1),""))</f>
        <v/>
      </c>
      <c r="K127" s="4">
        <f>IF(A127="","",IFERROR(ROUND(AVERAGEIFS(ASSESSMENTS!H:H,ASSESSMENTS!B:B,A127,ASSESSMENTS!E:E,"English"),1),""))</f>
        <v/>
      </c>
      <c r="L127" s="5">
        <f>IF(A127="","",IFERROR(_xludf.XLOOKUP(A127,ATTENDANCE_SUMMARY!A:A,ATTENDANCE_SUMMARY!G:G,""),""))</f>
        <v/>
      </c>
      <c r="M127" s="4">
        <f>IF(A127="","",IF(OR(E127&lt;50,AND(L127&lt;0.75,L127&lt;&gt;"" )),"At Risk","On Track"))</f>
        <v/>
      </c>
    </row>
    <row r="128">
      <c r="A128">
        <f>IF(MASTER_REGISTER!E128="","",MASTER_REGISTER!E128)</f>
        <v/>
      </c>
      <c r="B128">
        <f>IF(A128="","",MASTER_REGISTER!F128)</f>
        <v/>
      </c>
      <c r="C128">
        <f>IF(A128="","",MASTER_REGISTER!C128)</f>
        <v/>
      </c>
      <c r="D128">
        <f>IF(A128="","",COUNTIF(ASSESSMENTS!B:B,A128))</f>
        <v/>
      </c>
      <c r="E128" s="4">
        <f>IF(D128=0,"",ROUND(AVERAGEIF(ASSESSMENTS!B:B,A128,ASSESSMENTS!H:H),1))</f>
        <v/>
      </c>
      <c r="F128" s="4">
        <f>IF(A128="","",IFERROR(ROUND(AVERAGEIFS(ASSESSMENTS!H:H,ASSESSMENTS!B:B,A128,ASSESSMENTS!E:E,"Mathematics"),1),""))</f>
        <v/>
      </c>
      <c r="G128" s="4">
        <f>IF(A128="","",IFERROR(ROUND(AVERAGEIFS(ASSESSMENTS!H:H,ASSESSMENTS!B:B,A128,ASSESSMENTS!E:E,"Mathematical Literacy"),1),""))</f>
        <v/>
      </c>
      <c r="H128" s="4">
        <f>IF(A128="","",IFERROR(ROUND(AVERAGEIFS(ASSESSMENTS!H:H,ASSESSMENTS!B:B,A128,ASSESSMENTS!E:E,"Physical Sciences"),1),""))</f>
        <v/>
      </c>
      <c r="I128" s="4">
        <f>IF(A128="","",IFERROR(ROUND(AVERAGEIFS(ASSESSMENTS!H:H,ASSESSMENTS!B:B,A128,ASSESSMENTS!E:E,"Geography"),1),""))</f>
        <v/>
      </c>
      <c r="J128" s="4">
        <f>IF(A128="","",IFERROR(ROUND(AVERAGEIFS(ASSESSMENTS!H:H,ASSESSMENTS!B:B,A128,ASSESSMENTS!E:E,"Accounting"),1),""))</f>
        <v/>
      </c>
      <c r="K128" s="4">
        <f>IF(A128="","",IFERROR(ROUND(AVERAGEIFS(ASSESSMENTS!H:H,ASSESSMENTS!B:B,A128,ASSESSMENTS!E:E,"English"),1),""))</f>
        <v/>
      </c>
      <c r="L128" s="5">
        <f>IF(A128="","",IFERROR(_xludf.XLOOKUP(A128,ATTENDANCE_SUMMARY!A:A,ATTENDANCE_SUMMARY!G:G,""),""))</f>
        <v/>
      </c>
      <c r="M128" s="4">
        <f>IF(A128="","",IF(OR(E128&lt;50,AND(L128&lt;0.75,L128&lt;&gt;"" )),"At Risk","On Track"))</f>
        <v/>
      </c>
    </row>
    <row r="129">
      <c r="A129">
        <f>IF(MASTER_REGISTER!E129="","",MASTER_REGISTER!E129)</f>
        <v/>
      </c>
      <c r="B129">
        <f>IF(A129="","",MASTER_REGISTER!F129)</f>
        <v/>
      </c>
      <c r="C129">
        <f>IF(A129="","",MASTER_REGISTER!C129)</f>
        <v/>
      </c>
      <c r="D129">
        <f>IF(A129="","",COUNTIF(ASSESSMENTS!B:B,A129))</f>
        <v/>
      </c>
      <c r="E129" s="4">
        <f>IF(D129=0,"",ROUND(AVERAGEIF(ASSESSMENTS!B:B,A129,ASSESSMENTS!H:H),1))</f>
        <v/>
      </c>
      <c r="F129" s="4">
        <f>IF(A129="","",IFERROR(ROUND(AVERAGEIFS(ASSESSMENTS!H:H,ASSESSMENTS!B:B,A129,ASSESSMENTS!E:E,"Mathematics"),1),""))</f>
        <v/>
      </c>
      <c r="G129" s="4">
        <f>IF(A129="","",IFERROR(ROUND(AVERAGEIFS(ASSESSMENTS!H:H,ASSESSMENTS!B:B,A129,ASSESSMENTS!E:E,"Mathematical Literacy"),1),""))</f>
        <v/>
      </c>
      <c r="H129" s="4">
        <f>IF(A129="","",IFERROR(ROUND(AVERAGEIFS(ASSESSMENTS!H:H,ASSESSMENTS!B:B,A129,ASSESSMENTS!E:E,"Physical Sciences"),1),""))</f>
        <v/>
      </c>
      <c r="I129" s="4">
        <f>IF(A129="","",IFERROR(ROUND(AVERAGEIFS(ASSESSMENTS!H:H,ASSESSMENTS!B:B,A129,ASSESSMENTS!E:E,"Geography"),1),""))</f>
        <v/>
      </c>
      <c r="J129" s="4">
        <f>IF(A129="","",IFERROR(ROUND(AVERAGEIFS(ASSESSMENTS!H:H,ASSESSMENTS!B:B,A129,ASSESSMENTS!E:E,"Accounting"),1),""))</f>
        <v/>
      </c>
      <c r="K129" s="4">
        <f>IF(A129="","",IFERROR(ROUND(AVERAGEIFS(ASSESSMENTS!H:H,ASSESSMENTS!B:B,A129,ASSESSMENTS!E:E,"English"),1),""))</f>
        <v/>
      </c>
      <c r="L129" s="5">
        <f>IF(A129="","",IFERROR(_xludf.XLOOKUP(A129,ATTENDANCE_SUMMARY!A:A,ATTENDANCE_SUMMARY!G:G,""),""))</f>
        <v/>
      </c>
      <c r="M129" s="4">
        <f>IF(A129="","",IF(OR(E129&lt;50,AND(L129&lt;0.75,L129&lt;&gt;"" )),"At Risk","On Track"))</f>
        <v/>
      </c>
    </row>
    <row r="130">
      <c r="A130">
        <f>IF(MASTER_REGISTER!E130="","",MASTER_REGISTER!E130)</f>
        <v/>
      </c>
      <c r="B130">
        <f>IF(A130="","",MASTER_REGISTER!F130)</f>
        <v/>
      </c>
      <c r="C130">
        <f>IF(A130="","",MASTER_REGISTER!C130)</f>
        <v/>
      </c>
      <c r="D130">
        <f>IF(A130="","",COUNTIF(ASSESSMENTS!B:B,A130))</f>
        <v/>
      </c>
      <c r="E130" s="4">
        <f>IF(D130=0,"",ROUND(AVERAGEIF(ASSESSMENTS!B:B,A130,ASSESSMENTS!H:H),1))</f>
        <v/>
      </c>
      <c r="F130" s="4">
        <f>IF(A130="","",IFERROR(ROUND(AVERAGEIFS(ASSESSMENTS!H:H,ASSESSMENTS!B:B,A130,ASSESSMENTS!E:E,"Mathematics"),1),""))</f>
        <v/>
      </c>
      <c r="G130" s="4">
        <f>IF(A130="","",IFERROR(ROUND(AVERAGEIFS(ASSESSMENTS!H:H,ASSESSMENTS!B:B,A130,ASSESSMENTS!E:E,"Mathematical Literacy"),1),""))</f>
        <v/>
      </c>
      <c r="H130" s="4">
        <f>IF(A130="","",IFERROR(ROUND(AVERAGEIFS(ASSESSMENTS!H:H,ASSESSMENTS!B:B,A130,ASSESSMENTS!E:E,"Physical Sciences"),1),""))</f>
        <v/>
      </c>
      <c r="I130" s="4">
        <f>IF(A130="","",IFERROR(ROUND(AVERAGEIFS(ASSESSMENTS!H:H,ASSESSMENTS!B:B,A130,ASSESSMENTS!E:E,"Geography"),1),""))</f>
        <v/>
      </c>
      <c r="J130" s="4">
        <f>IF(A130="","",IFERROR(ROUND(AVERAGEIFS(ASSESSMENTS!H:H,ASSESSMENTS!B:B,A130,ASSESSMENTS!E:E,"Accounting"),1),""))</f>
        <v/>
      </c>
      <c r="K130" s="4">
        <f>IF(A130="","",IFERROR(ROUND(AVERAGEIFS(ASSESSMENTS!H:H,ASSESSMENTS!B:B,A130,ASSESSMENTS!E:E,"English"),1),""))</f>
        <v/>
      </c>
      <c r="L130" s="5">
        <f>IF(A130="","",IFERROR(_xludf.XLOOKUP(A130,ATTENDANCE_SUMMARY!A:A,ATTENDANCE_SUMMARY!G:G,""),""))</f>
        <v/>
      </c>
      <c r="M130" s="4">
        <f>IF(A130="","",IF(OR(E130&lt;50,AND(L130&lt;0.75,L130&lt;&gt;"" )),"At Risk","On Track"))</f>
        <v/>
      </c>
    </row>
    <row r="131">
      <c r="A131">
        <f>IF(MASTER_REGISTER!E131="","",MASTER_REGISTER!E131)</f>
        <v/>
      </c>
      <c r="B131">
        <f>IF(A131="","",MASTER_REGISTER!F131)</f>
        <v/>
      </c>
      <c r="C131">
        <f>IF(A131="","",MASTER_REGISTER!C131)</f>
        <v/>
      </c>
      <c r="D131">
        <f>IF(A131="","",COUNTIF(ASSESSMENTS!B:B,A131))</f>
        <v/>
      </c>
      <c r="E131" s="4">
        <f>IF(D131=0,"",ROUND(AVERAGEIF(ASSESSMENTS!B:B,A131,ASSESSMENTS!H:H),1))</f>
        <v/>
      </c>
      <c r="F131" s="4">
        <f>IF(A131="","",IFERROR(ROUND(AVERAGEIFS(ASSESSMENTS!H:H,ASSESSMENTS!B:B,A131,ASSESSMENTS!E:E,"Mathematics"),1),""))</f>
        <v/>
      </c>
      <c r="G131" s="4">
        <f>IF(A131="","",IFERROR(ROUND(AVERAGEIFS(ASSESSMENTS!H:H,ASSESSMENTS!B:B,A131,ASSESSMENTS!E:E,"Mathematical Literacy"),1),""))</f>
        <v/>
      </c>
      <c r="H131" s="4">
        <f>IF(A131="","",IFERROR(ROUND(AVERAGEIFS(ASSESSMENTS!H:H,ASSESSMENTS!B:B,A131,ASSESSMENTS!E:E,"Physical Sciences"),1),""))</f>
        <v/>
      </c>
      <c r="I131" s="4">
        <f>IF(A131="","",IFERROR(ROUND(AVERAGEIFS(ASSESSMENTS!H:H,ASSESSMENTS!B:B,A131,ASSESSMENTS!E:E,"Geography"),1),""))</f>
        <v/>
      </c>
      <c r="J131" s="4">
        <f>IF(A131="","",IFERROR(ROUND(AVERAGEIFS(ASSESSMENTS!H:H,ASSESSMENTS!B:B,A131,ASSESSMENTS!E:E,"Accounting"),1),""))</f>
        <v/>
      </c>
      <c r="K131" s="4">
        <f>IF(A131="","",IFERROR(ROUND(AVERAGEIFS(ASSESSMENTS!H:H,ASSESSMENTS!B:B,A131,ASSESSMENTS!E:E,"English"),1),""))</f>
        <v/>
      </c>
      <c r="L131" s="5">
        <f>IF(A131="","",IFERROR(_xludf.XLOOKUP(A131,ATTENDANCE_SUMMARY!A:A,ATTENDANCE_SUMMARY!G:G,""),""))</f>
        <v/>
      </c>
      <c r="M131" s="4">
        <f>IF(A131="","",IF(OR(E131&lt;50,AND(L131&lt;0.75,L131&lt;&gt;"" )),"At Risk","On Track"))</f>
        <v/>
      </c>
    </row>
    <row r="132">
      <c r="A132">
        <f>IF(MASTER_REGISTER!E132="","",MASTER_REGISTER!E132)</f>
        <v/>
      </c>
      <c r="B132">
        <f>IF(A132="","",MASTER_REGISTER!F132)</f>
        <v/>
      </c>
      <c r="C132">
        <f>IF(A132="","",MASTER_REGISTER!C132)</f>
        <v/>
      </c>
      <c r="D132">
        <f>IF(A132="","",COUNTIF(ASSESSMENTS!B:B,A132))</f>
        <v/>
      </c>
      <c r="E132" s="4">
        <f>IF(D132=0,"",ROUND(AVERAGEIF(ASSESSMENTS!B:B,A132,ASSESSMENTS!H:H),1))</f>
        <v/>
      </c>
      <c r="F132" s="4">
        <f>IF(A132="","",IFERROR(ROUND(AVERAGEIFS(ASSESSMENTS!H:H,ASSESSMENTS!B:B,A132,ASSESSMENTS!E:E,"Mathematics"),1),""))</f>
        <v/>
      </c>
      <c r="G132" s="4">
        <f>IF(A132="","",IFERROR(ROUND(AVERAGEIFS(ASSESSMENTS!H:H,ASSESSMENTS!B:B,A132,ASSESSMENTS!E:E,"Mathematical Literacy"),1),""))</f>
        <v/>
      </c>
      <c r="H132" s="4">
        <f>IF(A132="","",IFERROR(ROUND(AVERAGEIFS(ASSESSMENTS!H:H,ASSESSMENTS!B:B,A132,ASSESSMENTS!E:E,"Physical Sciences"),1),""))</f>
        <v/>
      </c>
      <c r="I132" s="4">
        <f>IF(A132="","",IFERROR(ROUND(AVERAGEIFS(ASSESSMENTS!H:H,ASSESSMENTS!B:B,A132,ASSESSMENTS!E:E,"Geography"),1),""))</f>
        <v/>
      </c>
      <c r="J132" s="4">
        <f>IF(A132="","",IFERROR(ROUND(AVERAGEIFS(ASSESSMENTS!H:H,ASSESSMENTS!B:B,A132,ASSESSMENTS!E:E,"Accounting"),1),""))</f>
        <v/>
      </c>
      <c r="K132" s="4">
        <f>IF(A132="","",IFERROR(ROUND(AVERAGEIFS(ASSESSMENTS!H:H,ASSESSMENTS!B:B,A132,ASSESSMENTS!E:E,"English"),1),""))</f>
        <v/>
      </c>
      <c r="L132" s="5">
        <f>IF(A132="","",IFERROR(_xludf.XLOOKUP(A132,ATTENDANCE_SUMMARY!A:A,ATTENDANCE_SUMMARY!G:G,""),""))</f>
        <v/>
      </c>
      <c r="M132" s="4">
        <f>IF(A132="","",IF(OR(E132&lt;50,AND(L132&lt;0.75,L132&lt;&gt;"" )),"At Risk","On Track"))</f>
        <v/>
      </c>
    </row>
    <row r="133">
      <c r="A133">
        <f>IF(MASTER_REGISTER!E133="","",MASTER_REGISTER!E133)</f>
        <v/>
      </c>
      <c r="B133">
        <f>IF(A133="","",MASTER_REGISTER!F133)</f>
        <v/>
      </c>
      <c r="C133">
        <f>IF(A133="","",MASTER_REGISTER!C133)</f>
        <v/>
      </c>
      <c r="D133">
        <f>IF(A133="","",COUNTIF(ASSESSMENTS!B:B,A133))</f>
        <v/>
      </c>
      <c r="E133" s="4">
        <f>IF(D133=0,"",ROUND(AVERAGEIF(ASSESSMENTS!B:B,A133,ASSESSMENTS!H:H),1))</f>
        <v/>
      </c>
      <c r="F133" s="4">
        <f>IF(A133="","",IFERROR(ROUND(AVERAGEIFS(ASSESSMENTS!H:H,ASSESSMENTS!B:B,A133,ASSESSMENTS!E:E,"Mathematics"),1),""))</f>
        <v/>
      </c>
      <c r="G133" s="4">
        <f>IF(A133="","",IFERROR(ROUND(AVERAGEIFS(ASSESSMENTS!H:H,ASSESSMENTS!B:B,A133,ASSESSMENTS!E:E,"Mathematical Literacy"),1),""))</f>
        <v/>
      </c>
      <c r="H133" s="4">
        <f>IF(A133="","",IFERROR(ROUND(AVERAGEIFS(ASSESSMENTS!H:H,ASSESSMENTS!B:B,A133,ASSESSMENTS!E:E,"Physical Sciences"),1),""))</f>
        <v/>
      </c>
      <c r="I133" s="4">
        <f>IF(A133="","",IFERROR(ROUND(AVERAGEIFS(ASSESSMENTS!H:H,ASSESSMENTS!B:B,A133,ASSESSMENTS!E:E,"Geography"),1),""))</f>
        <v/>
      </c>
      <c r="J133" s="4">
        <f>IF(A133="","",IFERROR(ROUND(AVERAGEIFS(ASSESSMENTS!H:H,ASSESSMENTS!B:B,A133,ASSESSMENTS!E:E,"Accounting"),1),""))</f>
        <v/>
      </c>
      <c r="K133" s="4">
        <f>IF(A133="","",IFERROR(ROUND(AVERAGEIFS(ASSESSMENTS!H:H,ASSESSMENTS!B:B,A133,ASSESSMENTS!E:E,"English"),1),""))</f>
        <v/>
      </c>
      <c r="L133" s="5">
        <f>IF(A133="","",IFERROR(_xludf.XLOOKUP(A133,ATTENDANCE_SUMMARY!A:A,ATTENDANCE_SUMMARY!G:G,""),""))</f>
        <v/>
      </c>
      <c r="M133" s="4">
        <f>IF(A133="","",IF(OR(E133&lt;50,AND(L133&lt;0.75,L133&lt;&gt;"" )),"At Risk","On Track"))</f>
        <v/>
      </c>
    </row>
    <row r="134">
      <c r="A134">
        <f>IF(MASTER_REGISTER!E134="","",MASTER_REGISTER!E134)</f>
        <v/>
      </c>
      <c r="B134">
        <f>IF(A134="","",MASTER_REGISTER!F134)</f>
        <v/>
      </c>
      <c r="C134">
        <f>IF(A134="","",MASTER_REGISTER!C134)</f>
        <v/>
      </c>
      <c r="D134">
        <f>IF(A134="","",COUNTIF(ASSESSMENTS!B:B,A134))</f>
        <v/>
      </c>
      <c r="E134" s="4">
        <f>IF(D134=0,"",ROUND(AVERAGEIF(ASSESSMENTS!B:B,A134,ASSESSMENTS!H:H),1))</f>
        <v/>
      </c>
      <c r="F134" s="4">
        <f>IF(A134="","",IFERROR(ROUND(AVERAGEIFS(ASSESSMENTS!H:H,ASSESSMENTS!B:B,A134,ASSESSMENTS!E:E,"Mathematics"),1),""))</f>
        <v/>
      </c>
      <c r="G134" s="4">
        <f>IF(A134="","",IFERROR(ROUND(AVERAGEIFS(ASSESSMENTS!H:H,ASSESSMENTS!B:B,A134,ASSESSMENTS!E:E,"Mathematical Literacy"),1),""))</f>
        <v/>
      </c>
      <c r="H134" s="4">
        <f>IF(A134="","",IFERROR(ROUND(AVERAGEIFS(ASSESSMENTS!H:H,ASSESSMENTS!B:B,A134,ASSESSMENTS!E:E,"Physical Sciences"),1),""))</f>
        <v/>
      </c>
      <c r="I134" s="4">
        <f>IF(A134="","",IFERROR(ROUND(AVERAGEIFS(ASSESSMENTS!H:H,ASSESSMENTS!B:B,A134,ASSESSMENTS!E:E,"Geography"),1),""))</f>
        <v/>
      </c>
      <c r="J134" s="4">
        <f>IF(A134="","",IFERROR(ROUND(AVERAGEIFS(ASSESSMENTS!H:H,ASSESSMENTS!B:B,A134,ASSESSMENTS!E:E,"Accounting"),1),""))</f>
        <v/>
      </c>
      <c r="K134" s="4">
        <f>IF(A134="","",IFERROR(ROUND(AVERAGEIFS(ASSESSMENTS!H:H,ASSESSMENTS!B:B,A134,ASSESSMENTS!E:E,"English"),1),""))</f>
        <v/>
      </c>
      <c r="L134" s="5">
        <f>IF(A134="","",IFERROR(_xludf.XLOOKUP(A134,ATTENDANCE_SUMMARY!A:A,ATTENDANCE_SUMMARY!G:G,""),""))</f>
        <v/>
      </c>
      <c r="M134" s="4">
        <f>IF(A134="","",IF(OR(E134&lt;50,AND(L134&lt;0.75,L134&lt;&gt;"" )),"At Risk","On Track"))</f>
        <v/>
      </c>
    </row>
    <row r="135">
      <c r="A135">
        <f>IF(MASTER_REGISTER!E135="","",MASTER_REGISTER!E135)</f>
        <v/>
      </c>
      <c r="B135">
        <f>IF(A135="","",MASTER_REGISTER!F135)</f>
        <v/>
      </c>
      <c r="C135">
        <f>IF(A135="","",MASTER_REGISTER!C135)</f>
        <v/>
      </c>
      <c r="D135">
        <f>IF(A135="","",COUNTIF(ASSESSMENTS!B:B,A135))</f>
        <v/>
      </c>
      <c r="E135" s="4">
        <f>IF(D135=0,"",ROUND(AVERAGEIF(ASSESSMENTS!B:B,A135,ASSESSMENTS!H:H),1))</f>
        <v/>
      </c>
      <c r="F135" s="4">
        <f>IF(A135="","",IFERROR(ROUND(AVERAGEIFS(ASSESSMENTS!H:H,ASSESSMENTS!B:B,A135,ASSESSMENTS!E:E,"Mathematics"),1),""))</f>
        <v/>
      </c>
      <c r="G135" s="4">
        <f>IF(A135="","",IFERROR(ROUND(AVERAGEIFS(ASSESSMENTS!H:H,ASSESSMENTS!B:B,A135,ASSESSMENTS!E:E,"Mathematical Literacy"),1),""))</f>
        <v/>
      </c>
      <c r="H135" s="4">
        <f>IF(A135="","",IFERROR(ROUND(AVERAGEIFS(ASSESSMENTS!H:H,ASSESSMENTS!B:B,A135,ASSESSMENTS!E:E,"Physical Sciences"),1),""))</f>
        <v/>
      </c>
      <c r="I135" s="4">
        <f>IF(A135="","",IFERROR(ROUND(AVERAGEIFS(ASSESSMENTS!H:H,ASSESSMENTS!B:B,A135,ASSESSMENTS!E:E,"Geography"),1),""))</f>
        <v/>
      </c>
      <c r="J135" s="4">
        <f>IF(A135="","",IFERROR(ROUND(AVERAGEIFS(ASSESSMENTS!H:H,ASSESSMENTS!B:B,A135,ASSESSMENTS!E:E,"Accounting"),1),""))</f>
        <v/>
      </c>
      <c r="K135" s="4">
        <f>IF(A135="","",IFERROR(ROUND(AVERAGEIFS(ASSESSMENTS!H:H,ASSESSMENTS!B:B,A135,ASSESSMENTS!E:E,"English"),1),""))</f>
        <v/>
      </c>
      <c r="L135" s="5">
        <f>IF(A135="","",IFERROR(_xludf.XLOOKUP(A135,ATTENDANCE_SUMMARY!A:A,ATTENDANCE_SUMMARY!G:G,""),""))</f>
        <v/>
      </c>
      <c r="M135" s="4">
        <f>IF(A135="","",IF(OR(E135&lt;50,AND(L135&lt;0.75,L135&lt;&gt;"" )),"At Risk","On Track"))</f>
        <v/>
      </c>
    </row>
    <row r="136">
      <c r="A136">
        <f>IF(MASTER_REGISTER!E136="","",MASTER_REGISTER!E136)</f>
        <v/>
      </c>
      <c r="B136">
        <f>IF(A136="","",MASTER_REGISTER!F136)</f>
        <v/>
      </c>
      <c r="C136">
        <f>IF(A136="","",MASTER_REGISTER!C136)</f>
        <v/>
      </c>
      <c r="D136">
        <f>IF(A136="","",COUNTIF(ASSESSMENTS!B:B,A136))</f>
        <v/>
      </c>
      <c r="E136" s="4">
        <f>IF(D136=0,"",ROUND(AVERAGEIF(ASSESSMENTS!B:B,A136,ASSESSMENTS!H:H),1))</f>
        <v/>
      </c>
      <c r="F136" s="4">
        <f>IF(A136="","",IFERROR(ROUND(AVERAGEIFS(ASSESSMENTS!H:H,ASSESSMENTS!B:B,A136,ASSESSMENTS!E:E,"Mathematics"),1),""))</f>
        <v/>
      </c>
      <c r="G136" s="4">
        <f>IF(A136="","",IFERROR(ROUND(AVERAGEIFS(ASSESSMENTS!H:H,ASSESSMENTS!B:B,A136,ASSESSMENTS!E:E,"Mathematical Literacy"),1),""))</f>
        <v/>
      </c>
      <c r="H136" s="4">
        <f>IF(A136="","",IFERROR(ROUND(AVERAGEIFS(ASSESSMENTS!H:H,ASSESSMENTS!B:B,A136,ASSESSMENTS!E:E,"Physical Sciences"),1),""))</f>
        <v/>
      </c>
      <c r="I136" s="4">
        <f>IF(A136="","",IFERROR(ROUND(AVERAGEIFS(ASSESSMENTS!H:H,ASSESSMENTS!B:B,A136,ASSESSMENTS!E:E,"Geography"),1),""))</f>
        <v/>
      </c>
      <c r="J136" s="4">
        <f>IF(A136="","",IFERROR(ROUND(AVERAGEIFS(ASSESSMENTS!H:H,ASSESSMENTS!B:B,A136,ASSESSMENTS!E:E,"Accounting"),1),""))</f>
        <v/>
      </c>
      <c r="K136" s="4">
        <f>IF(A136="","",IFERROR(ROUND(AVERAGEIFS(ASSESSMENTS!H:H,ASSESSMENTS!B:B,A136,ASSESSMENTS!E:E,"English"),1),""))</f>
        <v/>
      </c>
      <c r="L136" s="5">
        <f>IF(A136="","",IFERROR(_xludf.XLOOKUP(A136,ATTENDANCE_SUMMARY!A:A,ATTENDANCE_SUMMARY!G:G,""),""))</f>
        <v/>
      </c>
      <c r="M136" s="4">
        <f>IF(A136="","",IF(OR(E136&lt;50,AND(L136&lt;0.75,L136&lt;&gt;"" )),"At Risk","On Track"))</f>
        <v/>
      </c>
    </row>
    <row r="137">
      <c r="A137">
        <f>IF(MASTER_REGISTER!E137="","",MASTER_REGISTER!E137)</f>
        <v/>
      </c>
      <c r="B137">
        <f>IF(A137="","",MASTER_REGISTER!F137)</f>
        <v/>
      </c>
      <c r="C137">
        <f>IF(A137="","",MASTER_REGISTER!C137)</f>
        <v/>
      </c>
      <c r="D137">
        <f>IF(A137="","",COUNTIF(ASSESSMENTS!B:B,A137))</f>
        <v/>
      </c>
      <c r="E137" s="4">
        <f>IF(D137=0,"",ROUND(AVERAGEIF(ASSESSMENTS!B:B,A137,ASSESSMENTS!H:H),1))</f>
        <v/>
      </c>
      <c r="F137" s="4">
        <f>IF(A137="","",IFERROR(ROUND(AVERAGEIFS(ASSESSMENTS!H:H,ASSESSMENTS!B:B,A137,ASSESSMENTS!E:E,"Mathematics"),1),""))</f>
        <v/>
      </c>
      <c r="G137" s="4">
        <f>IF(A137="","",IFERROR(ROUND(AVERAGEIFS(ASSESSMENTS!H:H,ASSESSMENTS!B:B,A137,ASSESSMENTS!E:E,"Mathematical Literacy"),1),""))</f>
        <v/>
      </c>
      <c r="H137" s="4">
        <f>IF(A137="","",IFERROR(ROUND(AVERAGEIFS(ASSESSMENTS!H:H,ASSESSMENTS!B:B,A137,ASSESSMENTS!E:E,"Physical Sciences"),1),""))</f>
        <v/>
      </c>
      <c r="I137" s="4">
        <f>IF(A137="","",IFERROR(ROUND(AVERAGEIFS(ASSESSMENTS!H:H,ASSESSMENTS!B:B,A137,ASSESSMENTS!E:E,"Geography"),1),""))</f>
        <v/>
      </c>
      <c r="J137" s="4">
        <f>IF(A137="","",IFERROR(ROUND(AVERAGEIFS(ASSESSMENTS!H:H,ASSESSMENTS!B:B,A137,ASSESSMENTS!E:E,"Accounting"),1),""))</f>
        <v/>
      </c>
      <c r="K137" s="4">
        <f>IF(A137="","",IFERROR(ROUND(AVERAGEIFS(ASSESSMENTS!H:H,ASSESSMENTS!B:B,A137,ASSESSMENTS!E:E,"English"),1),""))</f>
        <v/>
      </c>
      <c r="L137" s="5">
        <f>IF(A137="","",IFERROR(_xludf.XLOOKUP(A137,ATTENDANCE_SUMMARY!A:A,ATTENDANCE_SUMMARY!G:G,""),""))</f>
        <v/>
      </c>
      <c r="M137" s="4">
        <f>IF(A137="","",IF(OR(E137&lt;50,AND(L137&lt;0.75,L137&lt;&gt;"" )),"At Risk","On Track"))</f>
        <v/>
      </c>
    </row>
    <row r="138">
      <c r="A138">
        <f>IF(MASTER_REGISTER!E138="","",MASTER_REGISTER!E138)</f>
        <v/>
      </c>
      <c r="B138">
        <f>IF(A138="","",MASTER_REGISTER!F138)</f>
        <v/>
      </c>
      <c r="C138">
        <f>IF(A138="","",MASTER_REGISTER!C138)</f>
        <v/>
      </c>
      <c r="D138">
        <f>IF(A138="","",COUNTIF(ASSESSMENTS!B:B,A138))</f>
        <v/>
      </c>
      <c r="E138" s="4">
        <f>IF(D138=0,"",ROUND(AVERAGEIF(ASSESSMENTS!B:B,A138,ASSESSMENTS!H:H),1))</f>
        <v/>
      </c>
      <c r="F138" s="4">
        <f>IF(A138="","",IFERROR(ROUND(AVERAGEIFS(ASSESSMENTS!H:H,ASSESSMENTS!B:B,A138,ASSESSMENTS!E:E,"Mathematics"),1),""))</f>
        <v/>
      </c>
      <c r="G138" s="4">
        <f>IF(A138="","",IFERROR(ROUND(AVERAGEIFS(ASSESSMENTS!H:H,ASSESSMENTS!B:B,A138,ASSESSMENTS!E:E,"Mathematical Literacy"),1),""))</f>
        <v/>
      </c>
      <c r="H138" s="4">
        <f>IF(A138="","",IFERROR(ROUND(AVERAGEIFS(ASSESSMENTS!H:H,ASSESSMENTS!B:B,A138,ASSESSMENTS!E:E,"Physical Sciences"),1),""))</f>
        <v/>
      </c>
      <c r="I138" s="4">
        <f>IF(A138="","",IFERROR(ROUND(AVERAGEIFS(ASSESSMENTS!H:H,ASSESSMENTS!B:B,A138,ASSESSMENTS!E:E,"Geography"),1),""))</f>
        <v/>
      </c>
      <c r="J138" s="4">
        <f>IF(A138="","",IFERROR(ROUND(AVERAGEIFS(ASSESSMENTS!H:H,ASSESSMENTS!B:B,A138,ASSESSMENTS!E:E,"Accounting"),1),""))</f>
        <v/>
      </c>
      <c r="K138" s="4">
        <f>IF(A138="","",IFERROR(ROUND(AVERAGEIFS(ASSESSMENTS!H:H,ASSESSMENTS!B:B,A138,ASSESSMENTS!E:E,"English"),1),""))</f>
        <v/>
      </c>
      <c r="L138" s="5">
        <f>IF(A138="","",IFERROR(_xludf.XLOOKUP(A138,ATTENDANCE_SUMMARY!A:A,ATTENDANCE_SUMMARY!G:G,""),""))</f>
        <v/>
      </c>
      <c r="M138" s="4">
        <f>IF(A138="","",IF(OR(E138&lt;50,AND(L138&lt;0.75,L138&lt;&gt;"" )),"At Risk","On Track"))</f>
        <v/>
      </c>
    </row>
    <row r="139">
      <c r="A139">
        <f>IF(MASTER_REGISTER!E139="","",MASTER_REGISTER!E139)</f>
        <v/>
      </c>
      <c r="B139">
        <f>IF(A139="","",MASTER_REGISTER!F139)</f>
        <v/>
      </c>
      <c r="C139">
        <f>IF(A139="","",MASTER_REGISTER!C139)</f>
        <v/>
      </c>
      <c r="D139">
        <f>IF(A139="","",COUNTIF(ASSESSMENTS!B:B,A139))</f>
        <v/>
      </c>
      <c r="E139" s="4">
        <f>IF(D139=0,"",ROUND(AVERAGEIF(ASSESSMENTS!B:B,A139,ASSESSMENTS!H:H),1))</f>
        <v/>
      </c>
      <c r="F139" s="4">
        <f>IF(A139="","",IFERROR(ROUND(AVERAGEIFS(ASSESSMENTS!H:H,ASSESSMENTS!B:B,A139,ASSESSMENTS!E:E,"Mathematics"),1),""))</f>
        <v/>
      </c>
      <c r="G139" s="4">
        <f>IF(A139="","",IFERROR(ROUND(AVERAGEIFS(ASSESSMENTS!H:H,ASSESSMENTS!B:B,A139,ASSESSMENTS!E:E,"Mathematical Literacy"),1),""))</f>
        <v/>
      </c>
      <c r="H139" s="4">
        <f>IF(A139="","",IFERROR(ROUND(AVERAGEIFS(ASSESSMENTS!H:H,ASSESSMENTS!B:B,A139,ASSESSMENTS!E:E,"Physical Sciences"),1),""))</f>
        <v/>
      </c>
      <c r="I139" s="4">
        <f>IF(A139="","",IFERROR(ROUND(AVERAGEIFS(ASSESSMENTS!H:H,ASSESSMENTS!B:B,A139,ASSESSMENTS!E:E,"Geography"),1),""))</f>
        <v/>
      </c>
      <c r="J139" s="4">
        <f>IF(A139="","",IFERROR(ROUND(AVERAGEIFS(ASSESSMENTS!H:H,ASSESSMENTS!B:B,A139,ASSESSMENTS!E:E,"Accounting"),1),""))</f>
        <v/>
      </c>
      <c r="K139" s="4">
        <f>IF(A139="","",IFERROR(ROUND(AVERAGEIFS(ASSESSMENTS!H:H,ASSESSMENTS!B:B,A139,ASSESSMENTS!E:E,"English"),1),""))</f>
        <v/>
      </c>
      <c r="L139" s="5">
        <f>IF(A139="","",IFERROR(_xludf.XLOOKUP(A139,ATTENDANCE_SUMMARY!A:A,ATTENDANCE_SUMMARY!G:G,""),""))</f>
        <v/>
      </c>
      <c r="M139" s="4">
        <f>IF(A139="","",IF(OR(E139&lt;50,AND(L139&lt;0.75,L139&lt;&gt;"" )),"At Risk","On Track"))</f>
        <v/>
      </c>
    </row>
    <row r="140">
      <c r="A140">
        <f>IF(MASTER_REGISTER!E140="","",MASTER_REGISTER!E140)</f>
        <v/>
      </c>
      <c r="B140">
        <f>IF(A140="","",MASTER_REGISTER!F140)</f>
        <v/>
      </c>
      <c r="C140">
        <f>IF(A140="","",MASTER_REGISTER!C140)</f>
        <v/>
      </c>
      <c r="D140">
        <f>IF(A140="","",COUNTIF(ASSESSMENTS!B:B,A140))</f>
        <v/>
      </c>
      <c r="E140" s="4">
        <f>IF(D140=0,"",ROUND(AVERAGEIF(ASSESSMENTS!B:B,A140,ASSESSMENTS!H:H),1))</f>
        <v/>
      </c>
      <c r="F140" s="4">
        <f>IF(A140="","",IFERROR(ROUND(AVERAGEIFS(ASSESSMENTS!H:H,ASSESSMENTS!B:B,A140,ASSESSMENTS!E:E,"Mathematics"),1),""))</f>
        <v/>
      </c>
      <c r="G140" s="4">
        <f>IF(A140="","",IFERROR(ROUND(AVERAGEIFS(ASSESSMENTS!H:H,ASSESSMENTS!B:B,A140,ASSESSMENTS!E:E,"Mathematical Literacy"),1),""))</f>
        <v/>
      </c>
      <c r="H140" s="4">
        <f>IF(A140="","",IFERROR(ROUND(AVERAGEIFS(ASSESSMENTS!H:H,ASSESSMENTS!B:B,A140,ASSESSMENTS!E:E,"Physical Sciences"),1),""))</f>
        <v/>
      </c>
      <c r="I140" s="4">
        <f>IF(A140="","",IFERROR(ROUND(AVERAGEIFS(ASSESSMENTS!H:H,ASSESSMENTS!B:B,A140,ASSESSMENTS!E:E,"Geography"),1),""))</f>
        <v/>
      </c>
      <c r="J140" s="4">
        <f>IF(A140="","",IFERROR(ROUND(AVERAGEIFS(ASSESSMENTS!H:H,ASSESSMENTS!B:B,A140,ASSESSMENTS!E:E,"Accounting"),1),""))</f>
        <v/>
      </c>
      <c r="K140" s="4">
        <f>IF(A140="","",IFERROR(ROUND(AVERAGEIFS(ASSESSMENTS!H:H,ASSESSMENTS!B:B,A140,ASSESSMENTS!E:E,"English"),1),""))</f>
        <v/>
      </c>
      <c r="L140" s="5">
        <f>IF(A140="","",IFERROR(_xludf.XLOOKUP(A140,ATTENDANCE_SUMMARY!A:A,ATTENDANCE_SUMMARY!G:G,""),""))</f>
        <v/>
      </c>
      <c r="M140" s="4">
        <f>IF(A140="","",IF(OR(E140&lt;50,AND(L140&lt;0.75,L140&lt;&gt;"" )),"At Risk","On Track"))</f>
        <v/>
      </c>
    </row>
    <row r="141">
      <c r="A141">
        <f>IF(MASTER_REGISTER!E141="","",MASTER_REGISTER!E141)</f>
        <v/>
      </c>
      <c r="B141">
        <f>IF(A141="","",MASTER_REGISTER!F141)</f>
        <v/>
      </c>
      <c r="C141">
        <f>IF(A141="","",MASTER_REGISTER!C141)</f>
        <v/>
      </c>
      <c r="D141">
        <f>IF(A141="","",COUNTIF(ASSESSMENTS!B:B,A141))</f>
        <v/>
      </c>
      <c r="E141" s="4">
        <f>IF(D141=0,"",ROUND(AVERAGEIF(ASSESSMENTS!B:B,A141,ASSESSMENTS!H:H),1))</f>
        <v/>
      </c>
      <c r="F141" s="4">
        <f>IF(A141="","",IFERROR(ROUND(AVERAGEIFS(ASSESSMENTS!H:H,ASSESSMENTS!B:B,A141,ASSESSMENTS!E:E,"Mathematics"),1),""))</f>
        <v/>
      </c>
      <c r="G141" s="4">
        <f>IF(A141="","",IFERROR(ROUND(AVERAGEIFS(ASSESSMENTS!H:H,ASSESSMENTS!B:B,A141,ASSESSMENTS!E:E,"Mathematical Literacy"),1),""))</f>
        <v/>
      </c>
      <c r="H141" s="4">
        <f>IF(A141="","",IFERROR(ROUND(AVERAGEIFS(ASSESSMENTS!H:H,ASSESSMENTS!B:B,A141,ASSESSMENTS!E:E,"Physical Sciences"),1),""))</f>
        <v/>
      </c>
      <c r="I141" s="4">
        <f>IF(A141="","",IFERROR(ROUND(AVERAGEIFS(ASSESSMENTS!H:H,ASSESSMENTS!B:B,A141,ASSESSMENTS!E:E,"Geography"),1),""))</f>
        <v/>
      </c>
      <c r="J141" s="4">
        <f>IF(A141="","",IFERROR(ROUND(AVERAGEIFS(ASSESSMENTS!H:H,ASSESSMENTS!B:B,A141,ASSESSMENTS!E:E,"Accounting"),1),""))</f>
        <v/>
      </c>
      <c r="K141" s="4">
        <f>IF(A141="","",IFERROR(ROUND(AVERAGEIFS(ASSESSMENTS!H:H,ASSESSMENTS!B:B,A141,ASSESSMENTS!E:E,"English"),1),""))</f>
        <v/>
      </c>
      <c r="L141" s="5">
        <f>IF(A141="","",IFERROR(_xludf.XLOOKUP(A141,ATTENDANCE_SUMMARY!A:A,ATTENDANCE_SUMMARY!G:G,""),""))</f>
        <v/>
      </c>
      <c r="M141" s="4">
        <f>IF(A141="","",IF(OR(E141&lt;50,AND(L141&lt;0.75,L141&lt;&gt;"" )),"At Risk","On Track"))</f>
        <v/>
      </c>
    </row>
    <row r="142">
      <c r="A142">
        <f>IF(MASTER_REGISTER!E142="","",MASTER_REGISTER!E142)</f>
        <v/>
      </c>
      <c r="B142">
        <f>IF(A142="","",MASTER_REGISTER!F142)</f>
        <v/>
      </c>
      <c r="C142">
        <f>IF(A142="","",MASTER_REGISTER!C142)</f>
        <v/>
      </c>
      <c r="D142">
        <f>IF(A142="","",COUNTIF(ASSESSMENTS!B:B,A142))</f>
        <v/>
      </c>
      <c r="E142" s="4">
        <f>IF(D142=0,"",ROUND(AVERAGEIF(ASSESSMENTS!B:B,A142,ASSESSMENTS!H:H),1))</f>
        <v/>
      </c>
      <c r="F142" s="4">
        <f>IF(A142="","",IFERROR(ROUND(AVERAGEIFS(ASSESSMENTS!H:H,ASSESSMENTS!B:B,A142,ASSESSMENTS!E:E,"Mathematics"),1),""))</f>
        <v/>
      </c>
      <c r="G142" s="4">
        <f>IF(A142="","",IFERROR(ROUND(AVERAGEIFS(ASSESSMENTS!H:H,ASSESSMENTS!B:B,A142,ASSESSMENTS!E:E,"Mathematical Literacy"),1),""))</f>
        <v/>
      </c>
      <c r="H142" s="4">
        <f>IF(A142="","",IFERROR(ROUND(AVERAGEIFS(ASSESSMENTS!H:H,ASSESSMENTS!B:B,A142,ASSESSMENTS!E:E,"Physical Sciences"),1),""))</f>
        <v/>
      </c>
      <c r="I142" s="4">
        <f>IF(A142="","",IFERROR(ROUND(AVERAGEIFS(ASSESSMENTS!H:H,ASSESSMENTS!B:B,A142,ASSESSMENTS!E:E,"Geography"),1),""))</f>
        <v/>
      </c>
      <c r="J142" s="4">
        <f>IF(A142="","",IFERROR(ROUND(AVERAGEIFS(ASSESSMENTS!H:H,ASSESSMENTS!B:B,A142,ASSESSMENTS!E:E,"Accounting"),1),""))</f>
        <v/>
      </c>
      <c r="K142" s="4">
        <f>IF(A142="","",IFERROR(ROUND(AVERAGEIFS(ASSESSMENTS!H:H,ASSESSMENTS!B:B,A142,ASSESSMENTS!E:E,"English"),1),""))</f>
        <v/>
      </c>
      <c r="L142" s="5">
        <f>IF(A142="","",IFERROR(_xludf.XLOOKUP(A142,ATTENDANCE_SUMMARY!A:A,ATTENDANCE_SUMMARY!G:G,""),""))</f>
        <v/>
      </c>
      <c r="M142" s="4">
        <f>IF(A142="","",IF(OR(E142&lt;50,AND(L142&lt;0.75,L142&lt;&gt;"" )),"At Risk","On Track"))</f>
        <v/>
      </c>
    </row>
    <row r="143">
      <c r="A143">
        <f>IF(MASTER_REGISTER!E143="","",MASTER_REGISTER!E143)</f>
        <v/>
      </c>
      <c r="B143">
        <f>IF(A143="","",MASTER_REGISTER!F143)</f>
        <v/>
      </c>
      <c r="C143">
        <f>IF(A143="","",MASTER_REGISTER!C143)</f>
        <v/>
      </c>
      <c r="D143">
        <f>IF(A143="","",COUNTIF(ASSESSMENTS!B:B,A143))</f>
        <v/>
      </c>
      <c r="E143" s="4">
        <f>IF(D143=0,"",ROUND(AVERAGEIF(ASSESSMENTS!B:B,A143,ASSESSMENTS!H:H),1))</f>
        <v/>
      </c>
      <c r="F143" s="4">
        <f>IF(A143="","",IFERROR(ROUND(AVERAGEIFS(ASSESSMENTS!H:H,ASSESSMENTS!B:B,A143,ASSESSMENTS!E:E,"Mathematics"),1),""))</f>
        <v/>
      </c>
      <c r="G143" s="4">
        <f>IF(A143="","",IFERROR(ROUND(AVERAGEIFS(ASSESSMENTS!H:H,ASSESSMENTS!B:B,A143,ASSESSMENTS!E:E,"Mathematical Literacy"),1),""))</f>
        <v/>
      </c>
      <c r="H143" s="4">
        <f>IF(A143="","",IFERROR(ROUND(AVERAGEIFS(ASSESSMENTS!H:H,ASSESSMENTS!B:B,A143,ASSESSMENTS!E:E,"Physical Sciences"),1),""))</f>
        <v/>
      </c>
      <c r="I143" s="4">
        <f>IF(A143="","",IFERROR(ROUND(AVERAGEIFS(ASSESSMENTS!H:H,ASSESSMENTS!B:B,A143,ASSESSMENTS!E:E,"Geography"),1),""))</f>
        <v/>
      </c>
      <c r="J143" s="4">
        <f>IF(A143="","",IFERROR(ROUND(AVERAGEIFS(ASSESSMENTS!H:H,ASSESSMENTS!B:B,A143,ASSESSMENTS!E:E,"Accounting"),1),""))</f>
        <v/>
      </c>
      <c r="K143" s="4">
        <f>IF(A143="","",IFERROR(ROUND(AVERAGEIFS(ASSESSMENTS!H:H,ASSESSMENTS!B:B,A143,ASSESSMENTS!E:E,"English"),1),""))</f>
        <v/>
      </c>
      <c r="L143" s="5">
        <f>IF(A143="","",IFERROR(_xludf.XLOOKUP(A143,ATTENDANCE_SUMMARY!A:A,ATTENDANCE_SUMMARY!G:G,""),""))</f>
        <v/>
      </c>
      <c r="M143" s="4">
        <f>IF(A143="","",IF(OR(E143&lt;50,AND(L143&lt;0.75,L143&lt;&gt;"" )),"At Risk","On Track"))</f>
        <v/>
      </c>
    </row>
    <row r="144">
      <c r="A144">
        <f>IF(MASTER_REGISTER!E144="","",MASTER_REGISTER!E144)</f>
        <v/>
      </c>
      <c r="B144">
        <f>IF(A144="","",MASTER_REGISTER!F144)</f>
        <v/>
      </c>
      <c r="C144">
        <f>IF(A144="","",MASTER_REGISTER!C144)</f>
        <v/>
      </c>
      <c r="D144">
        <f>IF(A144="","",COUNTIF(ASSESSMENTS!B:B,A144))</f>
        <v/>
      </c>
      <c r="E144" s="4">
        <f>IF(D144=0,"",ROUND(AVERAGEIF(ASSESSMENTS!B:B,A144,ASSESSMENTS!H:H),1))</f>
        <v/>
      </c>
      <c r="F144" s="4">
        <f>IF(A144="","",IFERROR(ROUND(AVERAGEIFS(ASSESSMENTS!H:H,ASSESSMENTS!B:B,A144,ASSESSMENTS!E:E,"Mathematics"),1),""))</f>
        <v/>
      </c>
      <c r="G144" s="4">
        <f>IF(A144="","",IFERROR(ROUND(AVERAGEIFS(ASSESSMENTS!H:H,ASSESSMENTS!B:B,A144,ASSESSMENTS!E:E,"Mathematical Literacy"),1),""))</f>
        <v/>
      </c>
      <c r="H144" s="4">
        <f>IF(A144="","",IFERROR(ROUND(AVERAGEIFS(ASSESSMENTS!H:H,ASSESSMENTS!B:B,A144,ASSESSMENTS!E:E,"Physical Sciences"),1),""))</f>
        <v/>
      </c>
      <c r="I144" s="4">
        <f>IF(A144="","",IFERROR(ROUND(AVERAGEIFS(ASSESSMENTS!H:H,ASSESSMENTS!B:B,A144,ASSESSMENTS!E:E,"Geography"),1),""))</f>
        <v/>
      </c>
      <c r="J144" s="4">
        <f>IF(A144="","",IFERROR(ROUND(AVERAGEIFS(ASSESSMENTS!H:H,ASSESSMENTS!B:B,A144,ASSESSMENTS!E:E,"Accounting"),1),""))</f>
        <v/>
      </c>
      <c r="K144" s="4">
        <f>IF(A144="","",IFERROR(ROUND(AVERAGEIFS(ASSESSMENTS!H:H,ASSESSMENTS!B:B,A144,ASSESSMENTS!E:E,"English"),1),""))</f>
        <v/>
      </c>
      <c r="L144" s="5">
        <f>IF(A144="","",IFERROR(_xludf.XLOOKUP(A144,ATTENDANCE_SUMMARY!A:A,ATTENDANCE_SUMMARY!G:G,""),""))</f>
        <v/>
      </c>
      <c r="M144" s="4">
        <f>IF(A144="","",IF(OR(E144&lt;50,AND(L144&lt;0.75,L144&lt;&gt;"" )),"At Risk","On Track"))</f>
        <v/>
      </c>
    </row>
    <row r="145">
      <c r="A145">
        <f>IF(MASTER_REGISTER!E145="","",MASTER_REGISTER!E145)</f>
        <v/>
      </c>
      <c r="B145">
        <f>IF(A145="","",MASTER_REGISTER!F145)</f>
        <v/>
      </c>
      <c r="C145">
        <f>IF(A145="","",MASTER_REGISTER!C145)</f>
        <v/>
      </c>
      <c r="D145">
        <f>IF(A145="","",COUNTIF(ASSESSMENTS!B:B,A145))</f>
        <v/>
      </c>
      <c r="E145" s="4">
        <f>IF(D145=0,"",ROUND(AVERAGEIF(ASSESSMENTS!B:B,A145,ASSESSMENTS!H:H),1))</f>
        <v/>
      </c>
      <c r="F145" s="4">
        <f>IF(A145="","",IFERROR(ROUND(AVERAGEIFS(ASSESSMENTS!H:H,ASSESSMENTS!B:B,A145,ASSESSMENTS!E:E,"Mathematics"),1),""))</f>
        <v/>
      </c>
      <c r="G145" s="4">
        <f>IF(A145="","",IFERROR(ROUND(AVERAGEIFS(ASSESSMENTS!H:H,ASSESSMENTS!B:B,A145,ASSESSMENTS!E:E,"Mathematical Literacy"),1),""))</f>
        <v/>
      </c>
      <c r="H145" s="4">
        <f>IF(A145="","",IFERROR(ROUND(AVERAGEIFS(ASSESSMENTS!H:H,ASSESSMENTS!B:B,A145,ASSESSMENTS!E:E,"Physical Sciences"),1),""))</f>
        <v/>
      </c>
      <c r="I145" s="4">
        <f>IF(A145="","",IFERROR(ROUND(AVERAGEIFS(ASSESSMENTS!H:H,ASSESSMENTS!B:B,A145,ASSESSMENTS!E:E,"Geography"),1),""))</f>
        <v/>
      </c>
      <c r="J145" s="4">
        <f>IF(A145="","",IFERROR(ROUND(AVERAGEIFS(ASSESSMENTS!H:H,ASSESSMENTS!B:B,A145,ASSESSMENTS!E:E,"Accounting"),1),""))</f>
        <v/>
      </c>
      <c r="K145" s="4">
        <f>IF(A145="","",IFERROR(ROUND(AVERAGEIFS(ASSESSMENTS!H:H,ASSESSMENTS!B:B,A145,ASSESSMENTS!E:E,"English"),1),""))</f>
        <v/>
      </c>
      <c r="L145" s="5">
        <f>IF(A145="","",IFERROR(_xludf.XLOOKUP(A145,ATTENDANCE_SUMMARY!A:A,ATTENDANCE_SUMMARY!G:G,""),""))</f>
        <v/>
      </c>
      <c r="M145" s="4">
        <f>IF(A145="","",IF(OR(E145&lt;50,AND(L145&lt;0.75,L145&lt;&gt;"" )),"At Risk","On Track"))</f>
        <v/>
      </c>
    </row>
    <row r="146">
      <c r="A146">
        <f>IF(MASTER_REGISTER!E146="","",MASTER_REGISTER!E146)</f>
        <v/>
      </c>
      <c r="B146">
        <f>IF(A146="","",MASTER_REGISTER!F146)</f>
        <v/>
      </c>
      <c r="C146">
        <f>IF(A146="","",MASTER_REGISTER!C146)</f>
        <v/>
      </c>
      <c r="D146">
        <f>IF(A146="","",COUNTIF(ASSESSMENTS!B:B,A146))</f>
        <v/>
      </c>
      <c r="E146" s="4">
        <f>IF(D146=0,"",ROUND(AVERAGEIF(ASSESSMENTS!B:B,A146,ASSESSMENTS!H:H),1))</f>
        <v/>
      </c>
      <c r="F146" s="4">
        <f>IF(A146="","",IFERROR(ROUND(AVERAGEIFS(ASSESSMENTS!H:H,ASSESSMENTS!B:B,A146,ASSESSMENTS!E:E,"Mathematics"),1),""))</f>
        <v/>
      </c>
      <c r="G146" s="4">
        <f>IF(A146="","",IFERROR(ROUND(AVERAGEIFS(ASSESSMENTS!H:H,ASSESSMENTS!B:B,A146,ASSESSMENTS!E:E,"Mathematical Literacy"),1),""))</f>
        <v/>
      </c>
      <c r="H146" s="4">
        <f>IF(A146="","",IFERROR(ROUND(AVERAGEIFS(ASSESSMENTS!H:H,ASSESSMENTS!B:B,A146,ASSESSMENTS!E:E,"Physical Sciences"),1),""))</f>
        <v/>
      </c>
      <c r="I146" s="4">
        <f>IF(A146="","",IFERROR(ROUND(AVERAGEIFS(ASSESSMENTS!H:H,ASSESSMENTS!B:B,A146,ASSESSMENTS!E:E,"Geography"),1),""))</f>
        <v/>
      </c>
      <c r="J146" s="4">
        <f>IF(A146="","",IFERROR(ROUND(AVERAGEIFS(ASSESSMENTS!H:H,ASSESSMENTS!B:B,A146,ASSESSMENTS!E:E,"Accounting"),1),""))</f>
        <v/>
      </c>
      <c r="K146" s="4">
        <f>IF(A146="","",IFERROR(ROUND(AVERAGEIFS(ASSESSMENTS!H:H,ASSESSMENTS!B:B,A146,ASSESSMENTS!E:E,"English"),1),""))</f>
        <v/>
      </c>
      <c r="L146" s="5">
        <f>IF(A146="","",IFERROR(_xludf.XLOOKUP(A146,ATTENDANCE_SUMMARY!A:A,ATTENDANCE_SUMMARY!G:G,""),""))</f>
        <v/>
      </c>
      <c r="M146" s="4">
        <f>IF(A146="","",IF(OR(E146&lt;50,AND(L146&lt;0.75,L146&lt;&gt;"" )),"At Risk","On Track"))</f>
        <v/>
      </c>
    </row>
    <row r="147">
      <c r="A147">
        <f>IF(MASTER_REGISTER!E147="","",MASTER_REGISTER!E147)</f>
        <v/>
      </c>
      <c r="B147">
        <f>IF(A147="","",MASTER_REGISTER!F147)</f>
        <v/>
      </c>
      <c r="C147">
        <f>IF(A147="","",MASTER_REGISTER!C147)</f>
        <v/>
      </c>
      <c r="D147">
        <f>IF(A147="","",COUNTIF(ASSESSMENTS!B:B,A147))</f>
        <v/>
      </c>
      <c r="E147" s="4">
        <f>IF(D147=0,"",ROUND(AVERAGEIF(ASSESSMENTS!B:B,A147,ASSESSMENTS!H:H),1))</f>
        <v/>
      </c>
      <c r="F147" s="4">
        <f>IF(A147="","",IFERROR(ROUND(AVERAGEIFS(ASSESSMENTS!H:H,ASSESSMENTS!B:B,A147,ASSESSMENTS!E:E,"Mathematics"),1),""))</f>
        <v/>
      </c>
      <c r="G147" s="4">
        <f>IF(A147="","",IFERROR(ROUND(AVERAGEIFS(ASSESSMENTS!H:H,ASSESSMENTS!B:B,A147,ASSESSMENTS!E:E,"Mathematical Literacy"),1),""))</f>
        <v/>
      </c>
      <c r="H147" s="4">
        <f>IF(A147="","",IFERROR(ROUND(AVERAGEIFS(ASSESSMENTS!H:H,ASSESSMENTS!B:B,A147,ASSESSMENTS!E:E,"Physical Sciences"),1),""))</f>
        <v/>
      </c>
      <c r="I147" s="4">
        <f>IF(A147="","",IFERROR(ROUND(AVERAGEIFS(ASSESSMENTS!H:H,ASSESSMENTS!B:B,A147,ASSESSMENTS!E:E,"Geography"),1),""))</f>
        <v/>
      </c>
      <c r="J147" s="4">
        <f>IF(A147="","",IFERROR(ROUND(AVERAGEIFS(ASSESSMENTS!H:H,ASSESSMENTS!B:B,A147,ASSESSMENTS!E:E,"Accounting"),1),""))</f>
        <v/>
      </c>
      <c r="K147" s="4">
        <f>IF(A147="","",IFERROR(ROUND(AVERAGEIFS(ASSESSMENTS!H:H,ASSESSMENTS!B:B,A147,ASSESSMENTS!E:E,"English"),1),""))</f>
        <v/>
      </c>
      <c r="L147" s="5">
        <f>IF(A147="","",IFERROR(_xludf.XLOOKUP(A147,ATTENDANCE_SUMMARY!A:A,ATTENDANCE_SUMMARY!G:G,""),""))</f>
        <v/>
      </c>
      <c r="M147" s="4">
        <f>IF(A147="","",IF(OR(E147&lt;50,AND(L147&lt;0.75,L147&lt;&gt;"" )),"At Risk","On Track"))</f>
        <v/>
      </c>
    </row>
    <row r="148">
      <c r="A148">
        <f>IF(MASTER_REGISTER!E148="","",MASTER_REGISTER!E148)</f>
        <v/>
      </c>
      <c r="B148">
        <f>IF(A148="","",MASTER_REGISTER!F148)</f>
        <v/>
      </c>
      <c r="C148">
        <f>IF(A148="","",MASTER_REGISTER!C148)</f>
        <v/>
      </c>
      <c r="D148">
        <f>IF(A148="","",COUNTIF(ASSESSMENTS!B:B,A148))</f>
        <v/>
      </c>
      <c r="E148" s="4">
        <f>IF(D148=0,"",ROUND(AVERAGEIF(ASSESSMENTS!B:B,A148,ASSESSMENTS!H:H),1))</f>
        <v/>
      </c>
      <c r="F148" s="4">
        <f>IF(A148="","",IFERROR(ROUND(AVERAGEIFS(ASSESSMENTS!H:H,ASSESSMENTS!B:B,A148,ASSESSMENTS!E:E,"Mathematics"),1),""))</f>
        <v/>
      </c>
      <c r="G148" s="4">
        <f>IF(A148="","",IFERROR(ROUND(AVERAGEIFS(ASSESSMENTS!H:H,ASSESSMENTS!B:B,A148,ASSESSMENTS!E:E,"Mathematical Literacy"),1),""))</f>
        <v/>
      </c>
      <c r="H148" s="4">
        <f>IF(A148="","",IFERROR(ROUND(AVERAGEIFS(ASSESSMENTS!H:H,ASSESSMENTS!B:B,A148,ASSESSMENTS!E:E,"Physical Sciences"),1),""))</f>
        <v/>
      </c>
      <c r="I148" s="4">
        <f>IF(A148="","",IFERROR(ROUND(AVERAGEIFS(ASSESSMENTS!H:H,ASSESSMENTS!B:B,A148,ASSESSMENTS!E:E,"Geography"),1),""))</f>
        <v/>
      </c>
      <c r="J148" s="4">
        <f>IF(A148="","",IFERROR(ROUND(AVERAGEIFS(ASSESSMENTS!H:H,ASSESSMENTS!B:B,A148,ASSESSMENTS!E:E,"Accounting"),1),""))</f>
        <v/>
      </c>
      <c r="K148" s="4">
        <f>IF(A148="","",IFERROR(ROUND(AVERAGEIFS(ASSESSMENTS!H:H,ASSESSMENTS!B:B,A148,ASSESSMENTS!E:E,"English"),1),""))</f>
        <v/>
      </c>
      <c r="L148" s="5">
        <f>IF(A148="","",IFERROR(_xludf.XLOOKUP(A148,ATTENDANCE_SUMMARY!A:A,ATTENDANCE_SUMMARY!G:G,""),""))</f>
        <v/>
      </c>
      <c r="M148" s="4">
        <f>IF(A148="","",IF(OR(E148&lt;50,AND(L148&lt;0.75,L148&lt;&gt;"" )),"At Risk","On Track"))</f>
        <v/>
      </c>
    </row>
    <row r="149">
      <c r="A149">
        <f>IF(MASTER_REGISTER!E149="","",MASTER_REGISTER!E149)</f>
        <v/>
      </c>
      <c r="B149">
        <f>IF(A149="","",MASTER_REGISTER!F149)</f>
        <v/>
      </c>
      <c r="C149">
        <f>IF(A149="","",MASTER_REGISTER!C149)</f>
        <v/>
      </c>
      <c r="D149">
        <f>IF(A149="","",COUNTIF(ASSESSMENTS!B:B,A149))</f>
        <v/>
      </c>
      <c r="E149" s="4">
        <f>IF(D149=0,"",ROUND(AVERAGEIF(ASSESSMENTS!B:B,A149,ASSESSMENTS!H:H),1))</f>
        <v/>
      </c>
      <c r="F149" s="4">
        <f>IF(A149="","",IFERROR(ROUND(AVERAGEIFS(ASSESSMENTS!H:H,ASSESSMENTS!B:B,A149,ASSESSMENTS!E:E,"Mathematics"),1),""))</f>
        <v/>
      </c>
      <c r="G149" s="4">
        <f>IF(A149="","",IFERROR(ROUND(AVERAGEIFS(ASSESSMENTS!H:H,ASSESSMENTS!B:B,A149,ASSESSMENTS!E:E,"Mathematical Literacy"),1),""))</f>
        <v/>
      </c>
      <c r="H149" s="4">
        <f>IF(A149="","",IFERROR(ROUND(AVERAGEIFS(ASSESSMENTS!H:H,ASSESSMENTS!B:B,A149,ASSESSMENTS!E:E,"Physical Sciences"),1),""))</f>
        <v/>
      </c>
      <c r="I149" s="4">
        <f>IF(A149="","",IFERROR(ROUND(AVERAGEIFS(ASSESSMENTS!H:H,ASSESSMENTS!B:B,A149,ASSESSMENTS!E:E,"Geography"),1),""))</f>
        <v/>
      </c>
      <c r="J149" s="4">
        <f>IF(A149="","",IFERROR(ROUND(AVERAGEIFS(ASSESSMENTS!H:H,ASSESSMENTS!B:B,A149,ASSESSMENTS!E:E,"Accounting"),1),""))</f>
        <v/>
      </c>
      <c r="K149" s="4">
        <f>IF(A149="","",IFERROR(ROUND(AVERAGEIFS(ASSESSMENTS!H:H,ASSESSMENTS!B:B,A149,ASSESSMENTS!E:E,"English"),1),""))</f>
        <v/>
      </c>
      <c r="L149" s="5">
        <f>IF(A149="","",IFERROR(_xludf.XLOOKUP(A149,ATTENDANCE_SUMMARY!A:A,ATTENDANCE_SUMMARY!G:G,""),""))</f>
        <v/>
      </c>
      <c r="M149" s="4">
        <f>IF(A149="","",IF(OR(E149&lt;50,AND(L149&lt;0.75,L149&lt;&gt;"" )),"At Risk","On Track"))</f>
        <v/>
      </c>
    </row>
    <row r="150">
      <c r="A150">
        <f>IF(MASTER_REGISTER!E150="","",MASTER_REGISTER!E150)</f>
        <v/>
      </c>
      <c r="B150">
        <f>IF(A150="","",MASTER_REGISTER!F150)</f>
        <v/>
      </c>
      <c r="C150">
        <f>IF(A150="","",MASTER_REGISTER!C150)</f>
        <v/>
      </c>
      <c r="D150">
        <f>IF(A150="","",COUNTIF(ASSESSMENTS!B:B,A150))</f>
        <v/>
      </c>
      <c r="E150" s="4">
        <f>IF(D150=0,"",ROUND(AVERAGEIF(ASSESSMENTS!B:B,A150,ASSESSMENTS!H:H),1))</f>
        <v/>
      </c>
      <c r="F150" s="4">
        <f>IF(A150="","",IFERROR(ROUND(AVERAGEIFS(ASSESSMENTS!H:H,ASSESSMENTS!B:B,A150,ASSESSMENTS!E:E,"Mathematics"),1),""))</f>
        <v/>
      </c>
      <c r="G150" s="4">
        <f>IF(A150="","",IFERROR(ROUND(AVERAGEIFS(ASSESSMENTS!H:H,ASSESSMENTS!B:B,A150,ASSESSMENTS!E:E,"Mathematical Literacy"),1),""))</f>
        <v/>
      </c>
      <c r="H150" s="4">
        <f>IF(A150="","",IFERROR(ROUND(AVERAGEIFS(ASSESSMENTS!H:H,ASSESSMENTS!B:B,A150,ASSESSMENTS!E:E,"Physical Sciences"),1),""))</f>
        <v/>
      </c>
      <c r="I150" s="4">
        <f>IF(A150="","",IFERROR(ROUND(AVERAGEIFS(ASSESSMENTS!H:H,ASSESSMENTS!B:B,A150,ASSESSMENTS!E:E,"Geography"),1),""))</f>
        <v/>
      </c>
      <c r="J150" s="4">
        <f>IF(A150="","",IFERROR(ROUND(AVERAGEIFS(ASSESSMENTS!H:H,ASSESSMENTS!B:B,A150,ASSESSMENTS!E:E,"Accounting"),1),""))</f>
        <v/>
      </c>
      <c r="K150" s="4">
        <f>IF(A150="","",IFERROR(ROUND(AVERAGEIFS(ASSESSMENTS!H:H,ASSESSMENTS!B:B,A150,ASSESSMENTS!E:E,"English"),1),""))</f>
        <v/>
      </c>
      <c r="L150" s="5">
        <f>IF(A150="","",IFERROR(_xludf.XLOOKUP(A150,ATTENDANCE_SUMMARY!A:A,ATTENDANCE_SUMMARY!G:G,""),""))</f>
        <v/>
      </c>
      <c r="M150" s="4">
        <f>IF(A150="","",IF(OR(E150&lt;50,AND(L150&lt;0.75,L150&lt;&gt;"" )),"At Risk","On Track"))</f>
        <v/>
      </c>
    </row>
    <row r="151">
      <c r="A151">
        <f>IF(MASTER_REGISTER!E151="","",MASTER_REGISTER!E151)</f>
        <v/>
      </c>
      <c r="B151">
        <f>IF(A151="","",MASTER_REGISTER!F151)</f>
        <v/>
      </c>
      <c r="C151">
        <f>IF(A151="","",MASTER_REGISTER!C151)</f>
        <v/>
      </c>
      <c r="D151">
        <f>IF(A151="","",COUNTIF(ASSESSMENTS!B:B,A151))</f>
        <v/>
      </c>
      <c r="E151" s="4">
        <f>IF(D151=0,"",ROUND(AVERAGEIF(ASSESSMENTS!B:B,A151,ASSESSMENTS!H:H),1))</f>
        <v/>
      </c>
      <c r="F151" s="4">
        <f>IF(A151="","",IFERROR(ROUND(AVERAGEIFS(ASSESSMENTS!H:H,ASSESSMENTS!B:B,A151,ASSESSMENTS!E:E,"Mathematics"),1),""))</f>
        <v/>
      </c>
      <c r="G151" s="4">
        <f>IF(A151="","",IFERROR(ROUND(AVERAGEIFS(ASSESSMENTS!H:H,ASSESSMENTS!B:B,A151,ASSESSMENTS!E:E,"Mathematical Literacy"),1),""))</f>
        <v/>
      </c>
      <c r="H151" s="4">
        <f>IF(A151="","",IFERROR(ROUND(AVERAGEIFS(ASSESSMENTS!H:H,ASSESSMENTS!B:B,A151,ASSESSMENTS!E:E,"Physical Sciences"),1),""))</f>
        <v/>
      </c>
      <c r="I151" s="4">
        <f>IF(A151="","",IFERROR(ROUND(AVERAGEIFS(ASSESSMENTS!H:H,ASSESSMENTS!B:B,A151,ASSESSMENTS!E:E,"Geography"),1),""))</f>
        <v/>
      </c>
      <c r="J151" s="4">
        <f>IF(A151="","",IFERROR(ROUND(AVERAGEIFS(ASSESSMENTS!H:H,ASSESSMENTS!B:B,A151,ASSESSMENTS!E:E,"Accounting"),1),""))</f>
        <v/>
      </c>
      <c r="K151" s="4">
        <f>IF(A151="","",IFERROR(ROUND(AVERAGEIFS(ASSESSMENTS!H:H,ASSESSMENTS!B:B,A151,ASSESSMENTS!E:E,"English"),1),""))</f>
        <v/>
      </c>
      <c r="L151" s="5">
        <f>IF(A151="","",IFERROR(_xludf.XLOOKUP(A151,ATTENDANCE_SUMMARY!A:A,ATTENDANCE_SUMMARY!G:G,""),""))</f>
        <v/>
      </c>
      <c r="M151" s="4">
        <f>IF(A151="","",IF(OR(E151&lt;50,AND(L151&lt;0.75,L151&lt;&gt;"" )),"At Risk","On Track"))</f>
        <v/>
      </c>
    </row>
    <row r="152">
      <c r="A152">
        <f>IF(MASTER_REGISTER!E152="","",MASTER_REGISTER!E152)</f>
        <v/>
      </c>
      <c r="B152">
        <f>IF(A152="","",MASTER_REGISTER!F152)</f>
        <v/>
      </c>
      <c r="C152">
        <f>IF(A152="","",MASTER_REGISTER!C152)</f>
        <v/>
      </c>
      <c r="D152">
        <f>IF(A152="","",COUNTIF(ASSESSMENTS!B:B,A152))</f>
        <v/>
      </c>
      <c r="E152" s="4">
        <f>IF(D152=0,"",ROUND(AVERAGEIF(ASSESSMENTS!B:B,A152,ASSESSMENTS!H:H),1))</f>
        <v/>
      </c>
      <c r="F152" s="4">
        <f>IF(A152="","",IFERROR(ROUND(AVERAGEIFS(ASSESSMENTS!H:H,ASSESSMENTS!B:B,A152,ASSESSMENTS!E:E,"Mathematics"),1),""))</f>
        <v/>
      </c>
      <c r="G152" s="4">
        <f>IF(A152="","",IFERROR(ROUND(AVERAGEIFS(ASSESSMENTS!H:H,ASSESSMENTS!B:B,A152,ASSESSMENTS!E:E,"Mathematical Literacy"),1),""))</f>
        <v/>
      </c>
      <c r="H152" s="4">
        <f>IF(A152="","",IFERROR(ROUND(AVERAGEIFS(ASSESSMENTS!H:H,ASSESSMENTS!B:B,A152,ASSESSMENTS!E:E,"Physical Sciences"),1),""))</f>
        <v/>
      </c>
      <c r="I152" s="4">
        <f>IF(A152="","",IFERROR(ROUND(AVERAGEIFS(ASSESSMENTS!H:H,ASSESSMENTS!B:B,A152,ASSESSMENTS!E:E,"Geography"),1),""))</f>
        <v/>
      </c>
      <c r="J152" s="4">
        <f>IF(A152="","",IFERROR(ROUND(AVERAGEIFS(ASSESSMENTS!H:H,ASSESSMENTS!B:B,A152,ASSESSMENTS!E:E,"Accounting"),1),""))</f>
        <v/>
      </c>
      <c r="K152" s="4">
        <f>IF(A152="","",IFERROR(ROUND(AVERAGEIFS(ASSESSMENTS!H:H,ASSESSMENTS!B:B,A152,ASSESSMENTS!E:E,"English"),1),""))</f>
        <v/>
      </c>
      <c r="L152" s="5">
        <f>IF(A152="","",IFERROR(_xludf.XLOOKUP(A152,ATTENDANCE_SUMMARY!A:A,ATTENDANCE_SUMMARY!G:G,""),""))</f>
        <v/>
      </c>
      <c r="M152" s="4">
        <f>IF(A152="","",IF(OR(E152&lt;50,AND(L152&lt;0.75,L152&lt;&gt;"" )),"At Risk","On Track"))</f>
        <v/>
      </c>
    </row>
    <row r="153">
      <c r="A153">
        <f>IF(MASTER_REGISTER!E153="","",MASTER_REGISTER!E153)</f>
        <v/>
      </c>
      <c r="B153">
        <f>IF(A153="","",MASTER_REGISTER!F153)</f>
        <v/>
      </c>
      <c r="C153">
        <f>IF(A153="","",MASTER_REGISTER!C153)</f>
        <v/>
      </c>
      <c r="D153">
        <f>IF(A153="","",COUNTIF(ASSESSMENTS!B:B,A153))</f>
        <v/>
      </c>
      <c r="E153" s="4">
        <f>IF(D153=0,"",ROUND(AVERAGEIF(ASSESSMENTS!B:B,A153,ASSESSMENTS!H:H),1))</f>
        <v/>
      </c>
      <c r="F153" s="4">
        <f>IF(A153="","",IFERROR(ROUND(AVERAGEIFS(ASSESSMENTS!H:H,ASSESSMENTS!B:B,A153,ASSESSMENTS!E:E,"Mathematics"),1),""))</f>
        <v/>
      </c>
      <c r="G153" s="4">
        <f>IF(A153="","",IFERROR(ROUND(AVERAGEIFS(ASSESSMENTS!H:H,ASSESSMENTS!B:B,A153,ASSESSMENTS!E:E,"Mathematical Literacy"),1),""))</f>
        <v/>
      </c>
      <c r="H153" s="4">
        <f>IF(A153="","",IFERROR(ROUND(AVERAGEIFS(ASSESSMENTS!H:H,ASSESSMENTS!B:B,A153,ASSESSMENTS!E:E,"Physical Sciences"),1),""))</f>
        <v/>
      </c>
      <c r="I153" s="4">
        <f>IF(A153="","",IFERROR(ROUND(AVERAGEIFS(ASSESSMENTS!H:H,ASSESSMENTS!B:B,A153,ASSESSMENTS!E:E,"Geography"),1),""))</f>
        <v/>
      </c>
      <c r="J153" s="4">
        <f>IF(A153="","",IFERROR(ROUND(AVERAGEIFS(ASSESSMENTS!H:H,ASSESSMENTS!B:B,A153,ASSESSMENTS!E:E,"Accounting"),1),""))</f>
        <v/>
      </c>
      <c r="K153" s="4">
        <f>IF(A153="","",IFERROR(ROUND(AVERAGEIFS(ASSESSMENTS!H:H,ASSESSMENTS!B:B,A153,ASSESSMENTS!E:E,"English"),1),""))</f>
        <v/>
      </c>
      <c r="L153" s="5">
        <f>IF(A153="","",IFERROR(_xludf.XLOOKUP(A153,ATTENDANCE_SUMMARY!A:A,ATTENDANCE_SUMMARY!G:G,""),""))</f>
        <v/>
      </c>
      <c r="M153" s="4">
        <f>IF(A153="","",IF(OR(E153&lt;50,AND(L153&lt;0.75,L153&lt;&gt;"" )),"At Risk","On Track"))</f>
        <v/>
      </c>
    </row>
    <row r="154">
      <c r="A154">
        <f>IF(MASTER_REGISTER!E154="","",MASTER_REGISTER!E154)</f>
        <v/>
      </c>
      <c r="B154">
        <f>IF(A154="","",MASTER_REGISTER!F154)</f>
        <v/>
      </c>
      <c r="C154">
        <f>IF(A154="","",MASTER_REGISTER!C154)</f>
        <v/>
      </c>
      <c r="D154">
        <f>IF(A154="","",COUNTIF(ASSESSMENTS!B:B,A154))</f>
        <v/>
      </c>
      <c r="E154" s="4">
        <f>IF(D154=0,"",ROUND(AVERAGEIF(ASSESSMENTS!B:B,A154,ASSESSMENTS!H:H),1))</f>
        <v/>
      </c>
      <c r="F154" s="4">
        <f>IF(A154="","",IFERROR(ROUND(AVERAGEIFS(ASSESSMENTS!H:H,ASSESSMENTS!B:B,A154,ASSESSMENTS!E:E,"Mathematics"),1),""))</f>
        <v/>
      </c>
      <c r="G154" s="4">
        <f>IF(A154="","",IFERROR(ROUND(AVERAGEIFS(ASSESSMENTS!H:H,ASSESSMENTS!B:B,A154,ASSESSMENTS!E:E,"Mathematical Literacy"),1),""))</f>
        <v/>
      </c>
      <c r="H154" s="4">
        <f>IF(A154="","",IFERROR(ROUND(AVERAGEIFS(ASSESSMENTS!H:H,ASSESSMENTS!B:B,A154,ASSESSMENTS!E:E,"Physical Sciences"),1),""))</f>
        <v/>
      </c>
      <c r="I154" s="4">
        <f>IF(A154="","",IFERROR(ROUND(AVERAGEIFS(ASSESSMENTS!H:H,ASSESSMENTS!B:B,A154,ASSESSMENTS!E:E,"Geography"),1),""))</f>
        <v/>
      </c>
      <c r="J154" s="4">
        <f>IF(A154="","",IFERROR(ROUND(AVERAGEIFS(ASSESSMENTS!H:H,ASSESSMENTS!B:B,A154,ASSESSMENTS!E:E,"Accounting"),1),""))</f>
        <v/>
      </c>
      <c r="K154" s="4">
        <f>IF(A154="","",IFERROR(ROUND(AVERAGEIFS(ASSESSMENTS!H:H,ASSESSMENTS!B:B,A154,ASSESSMENTS!E:E,"English"),1),""))</f>
        <v/>
      </c>
      <c r="L154" s="5">
        <f>IF(A154="","",IFERROR(_xludf.XLOOKUP(A154,ATTENDANCE_SUMMARY!A:A,ATTENDANCE_SUMMARY!G:G,""),""))</f>
        <v/>
      </c>
      <c r="M154" s="4">
        <f>IF(A154="","",IF(OR(E154&lt;50,AND(L154&lt;0.75,L154&lt;&gt;"" )),"At Risk","On Track"))</f>
        <v/>
      </c>
    </row>
    <row r="155">
      <c r="A155">
        <f>IF(MASTER_REGISTER!E155="","",MASTER_REGISTER!E155)</f>
        <v/>
      </c>
      <c r="B155">
        <f>IF(A155="","",MASTER_REGISTER!F155)</f>
        <v/>
      </c>
      <c r="C155">
        <f>IF(A155="","",MASTER_REGISTER!C155)</f>
        <v/>
      </c>
      <c r="D155">
        <f>IF(A155="","",COUNTIF(ASSESSMENTS!B:B,A155))</f>
        <v/>
      </c>
      <c r="E155" s="4">
        <f>IF(D155=0,"",ROUND(AVERAGEIF(ASSESSMENTS!B:B,A155,ASSESSMENTS!H:H),1))</f>
        <v/>
      </c>
      <c r="F155" s="4">
        <f>IF(A155="","",IFERROR(ROUND(AVERAGEIFS(ASSESSMENTS!H:H,ASSESSMENTS!B:B,A155,ASSESSMENTS!E:E,"Mathematics"),1),""))</f>
        <v/>
      </c>
      <c r="G155" s="4">
        <f>IF(A155="","",IFERROR(ROUND(AVERAGEIFS(ASSESSMENTS!H:H,ASSESSMENTS!B:B,A155,ASSESSMENTS!E:E,"Mathematical Literacy"),1),""))</f>
        <v/>
      </c>
      <c r="H155" s="4">
        <f>IF(A155="","",IFERROR(ROUND(AVERAGEIFS(ASSESSMENTS!H:H,ASSESSMENTS!B:B,A155,ASSESSMENTS!E:E,"Physical Sciences"),1),""))</f>
        <v/>
      </c>
      <c r="I155" s="4">
        <f>IF(A155="","",IFERROR(ROUND(AVERAGEIFS(ASSESSMENTS!H:H,ASSESSMENTS!B:B,A155,ASSESSMENTS!E:E,"Geography"),1),""))</f>
        <v/>
      </c>
      <c r="J155" s="4">
        <f>IF(A155="","",IFERROR(ROUND(AVERAGEIFS(ASSESSMENTS!H:H,ASSESSMENTS!B:B,A155,ASSESSMENTS!E:E,"Accounting"),1),""))</f>
        <v/>
      </c>
      <c r="K155" s="4">
        <f>IF(A155="","",IFERROR(ROUND(AVERAGEIFS(ASSESSMENTS!H:H,ASSESSMENTS!B:B,A155,ASSESSMENTS!E:E,"English"),1),""))</f>
        <v/>
      </c>
      <c r="L155" s="5">
        <f>IF(A155="","",IFERROR(_xludf.XLOOKUP(A155,ATTENDANCE_SUMMARY!A:A,ATTENDANCE_SUMMARY!G:G,""),""))</f>
        <v/>
      </c>
      <c r="M155" s="4">
        <f>IF(A155="","",IF(OR(E155&lt;50,AND(L155&lt;0.75,L155&lt;&gt;"" )),"At Risk","On Track"))</f>
        <v/>
      </c>
    </row>
    <row r="156">
      <c r="A156">
        <f>IF(MASTER_REGISTER!E156="","",MASTER_REGISTER!E156)</f>
        <v/>
      </c>
      <c r="B156">
        <f>IF(A156="","",MASTER_REGISTER!F156)</f>
        <v/>
      </c>
      <c r="C156">
        <f>IF(A156="","",MASTER_REGISTER!C156)</f>
        <v/>
      </c>
      <c r="D156">
        <f>IF(A156="","",COUNTIF(ASSESSMENTS!B:B,A156))</f>
        <v/>
      </c>
      <c r="E156" s="4">
        <f>IF(D156=0,"",ROUND(AVERAGEIF(ASSESSMENTS!B:B,A156,ASSESSMENTS!H:H),1))</f>
        <v/>
      </c>
      <c r="F156" s="4">
        <f>IF(A156="","",IFERROR(ROUND(AVERAGEIFS(ASSESSMENTS!H:H,ASSESSMENTS!B:B,A156,ASSESSMENTS!E:E,"Mathematics"),1),""))</f>
        <v/>
      </c>
      <c r="G156" s="4">
        <f>IF(A156="","",IFERROR(ROUND(AVERAGEIFS(ASSESSMENTS!H:H,ASSESSMENTS!B:B,A156,ASSESSMENTS!E:E,"Mathematical Literacy"),1),""))</f>
        <v/>
      </c>
      <c r="H156" s="4">
        <f>IF(A156="","",IFERROR(ROUND(AVERAGEIFS(ASSESSMENTS!H:H,ASSESSMENTS!B:B,A156,ASSESSMENTS!E:E,"Physical Sciences"),1),""))</f>
        <v/>
      </c>
      <c r="I156" s="4">
        <f>IF(A156="","",IFERROR(ROUND(AVERAGEIFS(ASSESSMENTS!H:H,ASSESSMENTS!B:B,A156,ASSESSMENTS!E:E,"Geography"),1),""))</f>
        <v/>
      </c>
      <c r="J156" s="4">
        <f>IF(A156="","",IFERROR(ROUND(AVERAGEIFS(ASSESSMENTS!H:H,ASSESSMENTS!B:B,A156,ASSESSMENTS!E:E,"Accounting"),1),""))</f>
        <v/>
      </c>
      <c r="K156" s="4">
        <f>IF(A156="","",IFERROR(ROUND(AVERAGEIFS(ASSESSMENTS!H:H,ASSESSMENTS!B:B,A156,ASSESSMENTS!E:E,"English"),1),""))</f>
        <v/>
      </c>
      <c r="L156" s="5">
        <f>IF(A156="","",IFERROR(_xludf.XLOOKUP(A156,ATTENDANCE_SUMMARY!A:A,ATTENDANCE_SUMMARY!G:G,""),""))</f>
        <v/>
      </c>
      <c r="M156" s="4">
        <f>IF(A156="","",IF(OR(E156&lt;50,AND(L156&lt;0.75,L156&lt;&gt;"" )),"At Risk","On Track"))</f>
        <v/>
      </c>
    </row>
    <row r="157">
      <c r="A157">
        <f>IF(MASTER_REGISTER!E157="","",MASTER_REGISTER!E157)</f>
        <v/>
      </c>
      <c r="B157">
        <f>IF(A157="","",MASTER_REGISTER!F157)</f>
        <v/>
      </c>
      <c r="C157">
        <f>IF(A157="","",MASTER_REGISTER!C157)</f>
        <v/>
      </c>
      <c r="D157">
        <f>IF(A157="","",COUNTIF(ASSESSMENTS!B:B,A157))</f>
        <v/>
      </c>
      <c r="E157" s="4">
        <f>IF(D157=0,"",ROUND(AVERAGEIF(ASSESSMENTS!B:B,A157,ASSESSMENTS!H:H),1))</f>
        <v/>
      </c>
      <c r="F157" s="4">
        <f>IF(A157="","",IFERROR(ROUND(AVERAGEIFS(ASSESSMENTS!H:H,ASSESSMENTS!B:B,A157,ASSESSMENTS!E:E,"Mathematics"),1),""))</f>
        <v/>
      </c>
      <c r="G157" s="4">
        <f>IF(A157="","",IFERROR(ROUND(AVERAGEIFS(ASSESSMENTS!H:H,ASSESSMENTS!B:B,A157,ASSESSMENTS!E:E,"Mathematical Literacy"),1),""))</f>
        <v/>
      </c>
      <c r="H157" s="4">
        <f>IF(A157="","",IFERROR(ROUND(AVERAGEIFS(ASSESSMENTS!H:H,ASSESSMENTS!B:B,A157,ASSESSMENTS!E:E,"Physical Sciences"),1),""))</f>
        <v/>
      </c>
      <c r="I157" s="4">
        <f>IF(A157="","",IFERROR(ROUND(AVERAGEIFS(ASSESSMENTS!H:H,ASSESSMENTS!B:B,A157,ASSESSMENTS!E:E,"Geography"),1),""))</f>
        <v/>
      </c>
      <c r="J157" s="4">
        <f>IF(A157="","",IFERROR(ROUND(AVERAGEIFS(ASSESSMENTS!H:H,ASSESSMENTS!B:B,A157,ASSESSMENTS!E:E,"Accounting"),1),""))</f>
        <v/>
      </c>
      <c r="K157" s="4">
        <f>IF(A157="","",IFERROR(ROUND(AVERAGEIFS(ASSESSMENTS!H:H,ASSESSMENTS!B:B,A157,ASSESSMENTS!E:E,"English"),1),""))</f>
        <v/>
      </c>
      <c r="L157" s="5">
        <f>IF(A157="","",IFERROR(_xludf.XLOOKUP(A157,ATTENDANCE_SUMMARY!A:A,ATTENDANCE_SUMMARY!G:G,""),""))</f>
        <v/>
      </c>
      <c r="M157" s="4">
        <f>IF(A157="","",IF(OR(E157&lt;50,AND(L157&lt;0.75,L157&lt;&gt;"" )),"At Risk","On Track"))</f>
        <v/>
      </c>
    </row>
    <row r="158">
      <c r="A158">
        <f>IF(MASTER_REGISTER!E158="","",MASTER_REGISTER!E158)</f>
        <v/>
      </c>
      <c r="B158">
        <f>IF(A158="","",MASTER_REGISTER!F158)</f>
        <v/>
      </c>
      <c r="C158">
        <f>IF(A158="","",MASTER_REGISTER!C158)</f>
        <v/>
      </c>
      <c r="D158">
        <f>IF(A158="","",COUNTIF(ASSESSMENTS!B:B,A158))</f>
        <v/>
      </c>
      <c r="E158" s="4">
        <f>IF(D158=0,"",ROUND(AVERAGEIF(ASSESSMENTS!B:B,A158,ASSESSMENTS!H:H),1))</f>
        <v/>
      </c>
      <c r="F158" s="4">
        <f>IF(A158="","",IFERROR(ROUND(AVERAGEIFS(ASSESSMENTS!H:H,ASSESSMENTS!B:B,A158,ASSESSMENTS!E:E,"Mathematics"),1),""))</f>
        <v/>
      </c>
      <c r="G158" s="4">
        <f>IF(A158="","",IFERROR(ROUND(AVERAGEIFS(ASSESSMENTS!H:H,ASSESSMENTS!B:B,A158,ASSESSMENTS!E:E,"Mathematical Literacy"),1),""))</f>
        <v/>
      </c>
      <c r="H158" s="4">
        <f>IF(A158="","",IFERROR(ROUND(AVERAGEIFS(ASSESSMENTS!H:H,ASSESSMENTS!B:B,A158,ASSESSMENTS!E:E,"Physical Sciences"),1),""))</f>
        <v/>
      </c>
      <c r="I158" s="4">
        <f>IF(A158="","",IFERROR(ROUND(AVERAGEIFS(ASSESSMENTS!H:H,ASSESSMENTS!B:B,A158,ASSESSMENTS!E:E,"Geography"),1),""))</f>
        <v/>
      </c>
      <c r="J158" s="4">
        <f>IF(A158="","",IFERROR(ROUND(AVERAGEIFS(ASSESSMENTS!H:H,ASSESSMENTS!B:B,A158,ASSESSMENTS!E:E,"Accounting"),1),""))</f>
        <v/>
      </c>
      <c r="K158" s="4">
        <f>IF(A158="","",IFERROR(ROUND(AVERAGEIFS(ASSESSMENTS!H:H,ASSESSMENTS!B:B,A158,ASSESSMENTS!E:E,"English"),1),""))</f>
        <v/>
      </c>
      <c r="L158" s="5">
        <f>IF(A158="","",IFERROR(_xludf.XLOOKUP(A158,ATTENDANCE_SUMMARY!A:A,ATTENDANCE_SUMMARY!G:G,""),""))</f>
        <v/>
      </c>
      <c r="M158" s="4">
        <f>IF(A158="","",IF(OR(E158&lt;50,AND(L158&lt;0.75,L158&lt;&gt;"" )),"At Risk","On Track"))</f>
        <v/>
      </c>
    </row>
    <row r="159">
      <c r="A159">
        <f>IF(MASTER_REGISTER!E159="","",MASTER_REGISTER!E159)</f>
        <v/>
      </c>
      <c r="B159">
        <f>IF(A159="","",MASTER_REGISTER!F159)</f>
        <v/>
      </c>
      <c r="C159">
        <f>IF(A159="","",MASTER_REGISTER!C159)</f>
        <v/>
      </c>
      <c r="D159">
        <f>IF(A159="","",COUNTIF(ASSESSMENTS!B:B,A159))</f>
        <v/>
      </c>
      <c r="E159" s="4">
        <f>IF(D159=0,"",ROUND(AVERAGEIF(ASSESSMENTS!B:B,A159,ASSESSMENTS!H:H),1))</f>
        <v/>
      </c>
      <c r="F159" s="4">
        <f>IF(A159="","",IFERROR(ROUND(AVERAGEIFS(ASSESSMENTS!H:H,ASSESSMENTS!B:B,A159,ASSESSMENTS!E:E,"Mathematics"),1),""))</f>
        <v/>
      </c>
      <c r="G159" s="4">
        <f>IF(A159="","",IFERROR(ROUND(AVERAGEIFS(ASSESSMENTS!H:H,ASSESSMENTS!B:B,A159,ASSESSMENTS!E:E,"Mathematical Literacy"),1),""))</f>
        <v/>
      </c>
      <c r="H159" s="4">
        <f>IF(A159="","",IFERROR(ROUND(AVERAGEIFS(ASSESSMENTS!H:H,ASSESSMENTS!B:B,A159,ASSESSMENTS!E:E,"Physical Sciences"),1),""))</f>
        <v/>
      </c>
      <c r="I159" s="4">
        <f>IF(A159="","",IFERROR(ROUND(AVERAGEIFS(ASSESSMENTS!H:H,ASSESSMENTS!B:B,A159,ASSESSMENTS!E:E,"Geography"),1),""))</f>
        <v/>
      </c>
      <c r="J159" s="4">
        <f>IF(A159="","",IFERROR(ROUND(AVERAGEIFS(ASSESSMENTS!H:H,ASSESSMENTS!B:B,A159,ASSESSMENTS!E:E,"Accounting"),1),""))</f>
        <v/>
      </c>
      <c r="K159" s="4">
        <f>IF(A159="","",IFERROR(ROUND(AVERAGEIFS(ASSESSMENTS!H:H,ASSESSMENTS!B:B,A159,ASSESSMENTS!E:E,"English"),1),""))</f>
        <v/>
      </c>
      <c r="L159" s="5">
        <f>IF(A159="","",IFERROR(_xludf.XLOOKUP(A159,ATTENDANCE_SUMMARY!A:A,ATTENDANCE_SUMMARY!G:G,""),""))</f>
        <v/>
      </c>
      <c r="M159" s="4">
        <f>IF(A159="","",IF(OR(E159&lt;50,AND(L159&lt;0.75,L159&lt;&gt;"" )),"At Risk","On Track"))</f>
        <v/>
      </c>
    </row>
    <row r="160">
      <c r="A160">
        <f>IF(MASTER_REGISTER!E160="","",MASTER_REGISTER!E160)</f>
        <v/>
      </c>
      <c r="B160">
        <f>IF(A160="","",MASTER_REGISTER!F160)</f>
        <v/>
      </c>
      <c r="C160">
        <f>IF(A160="","",MASTER_REGISTER!C160)</f>
        <v/>
      </c>
      <c r="D160">
        <f>IF(A160="","",COUNTIF(ASSESSMENTS!B:B,A160))</f>
        <v/>
      </c>
      <c r="E160" s="4">
        <f>IF(D160=0,"",ROUND(AVERAGEIF(ASSESSMENTS!B:B,A160,ASSESSMENTS!H:H),1))</f>
        <v/>
      </c>
      <c r="F160" s="4">
        <f>IF(A160="","",IFERROR(ROUND(AVERAGEIFS(ASSESSMENTS!H:H,ASSESSMENTS!B:B,A160,ASSESSMENTS!E:E,"Mathematics"),1),""))</f>
        <v/>
      </c>
      <c r="G160" s="4">
        <f>IF(A160="","",IFERROR(ROUND(AVERAGEIFS(ASSESSMENTS!H:H,ASSESSMENTS!B:B,A160,ASSESSMENTS!E:E,"Mathematical Literacy"),1),""))</f>
        <v/>
      </c>
      <c r="H160" s="4">
        <f>IF(A160="","",IFERROR(ROUND(AVERAGEIFS(ASSESSMENTS!H:H,ASSESSMENTS!B:B,A160,ASSESSMENTS!E:E,"Physical Sciences"),1),""))</f>
        <v/>
      </c>
      <c r="I160" s="4">
        <f>IF(A160="","",IFERROR(ROUND(AVERAGEIFS(ASSESSMENTS!H:H,ASSESSMENTS!B:B,A160,ASSESSMENTS!E:E,"Geography"),1),""))</f>
        <v/>
      </c>
      <c r="J160" s="4">
        <f>IF(A160="","",IFERROR(ROUND(AVERAGEIFS(ASSESSMENTS!H:H,ASSESSMENTS!B:B,A160,ASSESSMENTS!E:E,"Accounting"),1),""))</f>
        <v/>
      </c>
      <c r="K160" s="4">
        <f>IF(A160="","",IFERROR(ROUND(AVERAGEIFS(ASSESSMENTS!H:H,ASSESSMENTS!B:B,A160,ASSESSMENTS!E:E,"English"),1),""))</f>
        <v/>
      </c>
      <c r="L160" s="5">
        <f>IF(A160="","",IFERROR(_xludf.XLOOKUP(A160,ATTENDANCE_SUMMARY!A:A,ATTENDANCE_SUMMARY!G:G,""),""))</f>
        <v/>
      </c>
      <c r="M160" s="4">
        <f>IF(A160="","",IF(OR(E160&lt;50,AND(L160&lt;0.75,L160&lt;&gt;"" )),"At Risk","On Track"))</f>
        <v/>
      </c>
    </row>
    <row r="161">
      <c r="A161">
        <f>IF(MASTER_REGISTER!E161="","",MASTER_REGISTER!E161)</f>
        <v/>
      </c>
      <c r="B161">
        <f>IF(A161="","",MASTER_REGISTER!F161)</f>
        <v/>
      </c>
      <c r="C161">
        <f>IF(A161="","",MASTER_REGISTER!C161)</f>
        <v/>
      </c>
      <c r="D161">
        <f>IF(A161="","",COUNTIF(ASSESSMENTS!B:B,A161))</f>
        <v/>
      </c>
      <c r="E161" s="4">
        <f>IF(D161=0,"",ROUND(AVERAGEIF(ASSESSMENTS!B:B,A161,ASSESSMENTS!H:H),1))</f>
        <v/>
      </c>
      <c r="F161" s="4">
        <f>IF(A161="","",IFERROR(ROUND(AVERAGEIFS(ASSESSMENTS!H:H,ASSESSMENTS!B:B,A161,ASSESSMENTS!E:E,"Mathematics"),1),""))</f>
        <v/>
      </c>
      <c r="G161" s="4">
        <f>IF(A161="","",IFERROR(ROUND(AVERAGEIFS(ASSESSMENTS!H:H,ASSESSMENTS!B:B,A161,ASSESSMENTS!E:E,"Mathematical Literacy"),1),""))</f>
        <v/>
      </c>
      <c r="H161" s="4">
        <f>IF(A161="","",IFERROR(ROUND(AVERAGEIFS(ASSESSMENTS!H:H,ASSESSMENTS!B:B,A161,ASSESSMENTS!E:E,"Physical Sciences"),1),""))</f>
        <v/>
      </c>
      <c r="I161" s="4">
        <f>IF(A161="","",IFERROR(ROUND(AVERAGEIFS(ASSESSMENTS!H:H,ASSESSMENTS!B:B,A161,ASSESSMENTS!E:E,"Geography"),1),""))</f>
        <v/>
      </c>
      <c r="J161" s="4">
        <f>IF(A161="","",IFERROR(ROUND(AVERAGEIFS(ASSESSMENTS!H:H,ASSESSMENTS!B:B,A161,ASSESSMENTS!E:E,"Accounting"),1),""))</f>
        <v/>
      </c>
      <c r="K161" s="4">
        <f>IF(A161="","",IFERROR(ROUND(AVERAGEIFS(ASSESSMENTS!H:H,ASSESSMENTS!B:B,A161,ASSESSMENTS!E:E,"English"),1),""))</f>
        <v/>
      </c>
      <c r="L161" s="5">
        <f>IF(A161="","",IFERROR(_xludf.XLOOKUP(A161,ATTENDANCE_SUMMARY!A:A,ATTENDANCE_SUMMARY!G:G,""),""))</f>
        <v/>
      </c>
      <c r="M161" s="4">
        <f>IF(A161="","",IF(OR(E161&lt;50,AND(L161&lt;0.75,L161&lt;&gt;"" )),"At Risk","On Track"))</f>
        <v/>
      </c>
    </row>
    <row r="162">
      <c r="A162">
        <f>IF(MASTER_REGISTER!E162="","",MASTER_REGISTER!E162)</f>
        <v/>
      </c>
      <c r="B162">
        <f>IF(A162="","",MASTER_REGISTER!F162)</f>
        <v/>
      </c>
      <c r="C162">
        <f>IF(A162="","",MASTER_REGISTER!C162)</f>
        <v/>
      </c>
      <c r="D162">
        <f>IF(A162="","",COUNTIF(ASSESSMENTS!B:B,A162))</f>
        <v/>
      </c>
      <c r="E162" s="4">
        <f>IF(D162=0,"",ROUND(AVERAGEIF(ASSESSMENTS!B:B,A162,ASSESSMENTS!H:H),1))</f>
        <v/>
      </c>
      <c r="F162" s="4">
        <f>IF(A162="","",IFERROR(ROUND(AVERAGEIFS(ASSESSMENTS!H:H,ASSESSMENTS!B:B,A162,ASSESSMENTS!E:E,"Mathematics"),1),""))</f>
        <v/>
      </c>
      <c r="G162" s="4">
        <f>IF(A162="","",IFERROR(ROUND(AVERAGEIFS(ASSESSMENTS!H:H,ASSESSMENTS!B:B,A162,ASSESSMENTS!E:E,"Mathematical Literacy"),1),""))</f>
        <v/>
      </c>
      <c r="H162" s="4">
        <f>IF(A162="","",IFERROR(ROUND(AVERAGEIFS(ASSESSMENTS!H:H,ASSESSMENTS!B:B,A162,ASSESSMENTS!E:E,"Physical Sciences"),1),""))</f>
        <v/>
      </c>
      <c r="I162" s="4">
        <f>IF(A162="","",IFERROR(ROUND(AVERAGEIFS(ASSESSMENTS!H:H,ASSESSMENTS!B:B,A162,ASSESSMENTS!E:E,"Geography"),1),""))</f>
        <v/>
      </c>
      <c r="J162" s="4">
        <f>IF(A162="","",IFERROR(ROUND(AVERAGEIFS(ASSESSMENTS!H:H,ASSESSMENTS!B:B,A162,ASSESSMENTS!E:E,"Accounting"),1),""))</f>
        <v/>
      </c>
      <c r="K162" s="4">
        <f>IF(A162="","",IFERROR(ROUND(AVERAGEIFS(ASSESSMENTS!H:H,ASSESSMENTS!B:B,A162,ASSESSMENTS!E:E,"English"),1),""))</f>
        <v/>
      </c>
      <c r="L162" s="5">
        <f>IF(A162="","",IFERROR(_xludf.XLOOKUP(A162,ATTENDANCE_SUMMARY!A:A,ATTENDANCE_SUMMARY!G:G,""),""))</f>
        <v/>
      </c>
      <c r="M162" s="4">
        <f>IF(A162="","",IF(OR(E162&lt;50,AND(L162&lt;0.75,L162&lt;&gt;"" )),"At Risk","On Track"))</f>
        <v/>
      </c>
    </row>
    <row r="163">
      <c r="A163">
        <f>IF(MASTER_REGISTER!E163="","",MASTER_REGISTER!E163)</f>
        <v/>
      </c>
      <c r="B163">
        <f>IF(A163="","",MASTER_REGISTER!F163)</f>
        <v/>
      </c>
      <c r="C163">
        <f>IF(A163="","",MASTER_REGISTER!C163)</f>
        <v/>
      </c>
      <c r="D163">
        <f>IF(A163="","",COUNTIF(ASSESSMENTS!B:B,A163))</f>
        <v/>
      </c>
      <c r="E163" s="4">
        <f>IF(D163=0,"",ROUND(AVERAGEIF(ASSESSMENTS!B:B,A163,ASSESSMENTS!H:H),1))</f>
        <v/>
      </c>
      <c r="F163" s="4">
        <f>IF(A163="","",IFERROR(ROUND(AVERAGEIFS(ASSESSMENTS!H:H,ASSESSMENTS!B:B,A163,ASSESSMENTS!E:E,"Mathematics"),1),""))</f>
        <v/>
      </c>
      <c r="G163" s="4">
        <f>IF(A163="","",IFERROR(ROUND(AVERAGEIFS(ASSESSMENTS!H:H,ASSESSMENTS!B:B,A163,ASSESSMENTS!E:E,"Mathematical Literacy"),1),""))</f>
        <v/>
      </c>
      <c r="H163" s="4">
        <f>IF(A163="","",IFERROR(ROUND(AVERAGEIFS(ASSESSMENTS!H:H,ASSESSMENTS!B:B,A163,ASSESSMENTS!E:E,"Physical Sciences"),1),""))</f>
        <v/>
      </c>
      <c r="I163" s="4">
        <f>IF(A163="","",IFERROR(ROUND(AVERAGEIFS(ASSESSMENTS!H:H,ASSESSMENTS!B:B,A163,ASSESSMENTS!E:E,"Geography"),1),""))</f>
        <v/>
      </c>
      <c r="J163" s="4">
        <f>IF(A163="","",IFERROR(ROUND(AVERAGEIFS(ASSESSMENTS!H:H,ASSESSMENTS!B:B,A163,ASSESSMENTS!E:E,"Accounting"),1),""))</f>
        <v/>
      </c>
      <c r="K163" s="4">
        <f>IF(A163="","",IFERROR(ROUND(AVERAGEIFS(ASSESSMENTS!H:H,ASSESSMENTS!B:B,A163,ASSESSMENTS!E:E,"English"),1),""))</f>
        <v/>
      </c>
      <c r="L163" s="5">
        <f>IF(A163="","",IFERROR(_xludf.XLOOKUP(A163,ATTENDANCE_SUMMARY!A:A,ATTENDANCE_SUMMARY!G:G,""),""))</f>
        <v/>
      </c>
      <c r="M163" s="4">
        <f>IF(A163="","",IF(OR(E163&lt;50,AND(L163&lt;0.75,L163&lt;&gt;"" )),"At Risk","On Track"))</f>
        <v/>
      </c>
    </row>
    <row r="164">
      <c r="A164">
        <f>IF(MASTER_REGISTER!E164="","",MASTER_REGISTER!E164)</f>
        <v/>
      </c>
      <c r="B164">
        <f>IF(A164="","",MASTER_REGISTER!F164)</f>
        <v/>
      </c>
      <c r="C164">
        <f>IF(A164="","",MASTER_REGISTER!C164)</f>
        <v/>
      </c>
      <c r="D164">
        <f>IF(A164="","",COUNTIF(ASSESSMENTS!B:B,A164))</f>
        <v/>
      </c>
      <c r="E164" s="4">
        <f>IF(D164=0,"",ROUND(AVERAGEIF(ASSESSMENTS!B:B,A164,ASSESSMENTS!H:H),1))</f>
        <v/>
      </c>
      <c r="F164" s="4">
        <f>IF(A164="","",IFERROR(ROUND(AVERAGEIFS(ASSESSMENTS!H:H,ASSESSMENTS!B:B,A164,ASSESSMENTS!E:E,"Mathematics"),1),""))</f>
        <v/>
      </c>
      <c r="G164" s="4">
        <f>IF(A164="","",IFERROR(ROUND(AVERAGEIFS(ASSESSMENTS!H:H,ASSESSMENTS!B:B,A164,ASSESSMENTS!E:E,"Mathematical Literacy"),1),""))</f>
        <v/>
      </c>
      <c r="H164" s="4">
        <f>IF(A164="","",IFERROR(ROUND(AVERAGEIFS(ASSESSMENTS!H:H,ASSESSMENTS!B:B,A164,ASSESSMENTS!E:E,"Physical Sciences"),1),""))</f>
        <v/>
      </c>
      <c r="I164" s="4">
        <f>IF(A164="","",IFERROR(ROUND(AVERAGEIFS(ASSESSMENTS!H:H,ASSESSMENTS!B:B,A164,ASSESSMENTS!E:E,"Geography"),1),""))</f>
        <v/>
      </c>
      <c r="J164" s="4">
        <f>IF(A164="","",IFERROR(ROUND(AVERAGEIFS(ASSESSMENTS!H:H,ASSESSMENTS!B:B,A164,ASSESSMENTS!E:E,"Accounting"),1),""))</f>
        <v/>
      </c>
      <c r="K164" s="4">
        <f>IF(A164="","",IFERROR(ROUND(AVERAGEIFS(ASSESSMENTS!H:H,ASSESSMENTS!B:B,A164,ASSESSMENTS!E:E,"English"),1),""))</f>
        <v/>
      </c>
      <c r="L164" s="5">
        <f>IF(A164="","",IFERROR(_xludf.XLOOKUP(A164,ATTENDANCE_SUMMARY!A:A,ATTENDANCE_SUMMARY!G:G,""),""))</f>
        <v/>
      </c>
      <c r="M164" s="4">
        <f>IF(A164="","",IF(OR(E164&lt;50,AND(L164&lt;0.75,L164&lt;&gt;"" )),"At Risk","On Track"))</f>
        <v/>
      </c>
    </row>
    <row r="165">
      <c r="A165">
        <f>IF(MASTER_REGISTER!E165="","",MASTER_REGISTER!E165)</f>
        <v/>
      </c>
      <c r="B165">
        <f>IF(A165="","",MASTER_REGISTER!F165)</f>
        <v/>
      </c>
      <c r="C165">
        <f>IF(A165="","",MASTER_REGISTER!C165)</f>
        <v/>
      </c>
      <c r="D165">
        <f>IF(A165="","",COUNTIF(ASSESSMENTS!B:B,A165))</f>
        <v/>
      </c>
      <c r="E165" s="4">
        <f>IF(D165=0,"",ROUND(AVERAGEIF(ASSESSMENTS!B:B,A165,ASSESSMENTS!H:H),1))</f>
        <v/>
      </c>
      <c r="F165" s="4">
        <f>IF(A165="","",IFERROR(ROUND(AVERAGEIFS(ASSESSMENTS!H:H,ASSESSMENTS!B:B,A165,ASSESSMENTS!E:E,"Mathematics"),1),""))</f>
        <v/>
      </c>
      <c r="G165" s="4">
        <f>IF(A165="","",IFERROR(ROUND(AVERAGEIFS(ASSESSMENTS!H:H,ASSESSMENTS!B:B,A165,ASSESSMENTS!E:E,"Mathematical Literacy"),1),""))</f>
        <v/>
      </c>
      <c r="H165" s="4">
        <f>IF(A165="","",IFERROR(ROUND(AVERAGEIFS(ASSESSMENTS!H:H,ASSESSMENTS!B:B,A165,ASSESSMENTS!E:E,"Physical Sciences"),1),""))</f>
        <v/>
      </c>
      <c r="I165" s="4">
        <f>IF(A165="","",IFERROR(ROUND(AVERAGEIFS(ASSESSMENTS!H:H,ASSESSMENTS!B:B,A165,ASSESSMENTS!E:E,"Geography"),1),""))</f>
        <v/>
      </c>
      <c r="J165" s="4">
        <f>IF(A165="","",IFERROR(ROUND(AVERAGEIFS(ASSESSMENTS!H:H,ASSESSMENTS!B:B,A165,ASSESSMENTS!E:E,"Accounting"),1),""))</f>
        <v/>
      </c>
      <c r="K165" s="4">
        <f>IF(A165="","",IFERROR(ROUND(AVERAGEIFS(ASSESSMENTS!H:H,ASSESSMENTS!B:B,A165,ASSESSMENTS!E:E,"English"),1),""))</f>
        <v/>
      </c>
      <c r="L165" s="5">
        <f>IF(A165="","",IFERROR(_xludf.XLOOKUP(A165,ATTENDANCE_SUMMARY!A:A,ATTENDANCE_SUMMARY!G:G,""),""))</f>
        <v/>
      </c>
      <c r="M165" s="4">
        <f>IF(A165="","",IF(OR(E165&lt;50,AND(L165&lt;0.75,L165&lt;&gt;"" )),"At Risk","On Track"))</f>
        <v/>
      </c>
    </row>
    <row r="166">
      <c r="A166">
        <f>IF(MASTER_REGISTER!E166="","",MASTER_REGISTER!E166)</f>
        <v/>
      </c>
      <c r="B166">
        <f>IF(A166="","",MASTER_REGISTER!F166)</f>
        <v/>
      </c>
      <c r="C166">
        <f>IF(A166="","",MASTER_REGISTER!C166)</f>
        <v/>
      </c>
      <c r="D166">
        <f>IF(A166="","",COUNTIF(ASSESSMENTS!B:B,A166))</f>
        <v/>
      </c>
      <c r="E166" s="4">
        <f>IF(D166=0,"",ROUND(AVERAGEIF(ASSESSMENTS!B:B,A166,ASSESSMENTS!H:H),1))</f>
        <v/>
      </c>
      <c r="F166" s="4">
        <f>IF(A166="","",IFERROR(ROUND(AVERAGEIFS(ASSESSMENTS!H:H,ASSESSMENTS!B:B,A166,ASSESSMENTS!E:E,"Mathematics"),1),""))</f>
        <v/>
      </c>
      <c r="G166" s="4">
        <f>IF(A166="","",IFERROR(ROUND(AVERAGEIFS(ASSESSMENTS!H:H,ASSESSMENTS!B:B,A166,ASSESSMENTS!E:E,"Mathematical Literacy"),1),""))</f>
        <v/>
      </c>
      <c r="H166" s="4">
        <f>IF(A166="","",IFERROR(ROUND(AVERAGEIFS(ASSESSMENTS!H:H,ASSESSMENTS!B:B,A166,ASSESSMENTS!E:E,"Physical Sciences"),1),""))</f>
        <v/>
      </c>
      <c r="I166" s="4">
        <f>IF(A166="","",IFERROR(ROUND(AVERAGEIFS(ASSESSMENTS!H:H,ASSESSMENTS!B:B,A166,ASSESSMENTS!E:E,"Geography"),1),""))</f>
        <v/>
      </c>
      <c r="J166" s="4">
        <f>IF(A166="","",IFERROR(ROUND(AVERAGEIFS(ASSESSMENTS!H:H,ASSESSMENTS!B:B,A166,ASSESSMENTS!E:E,"Accounting"),1),""))</f>
        <v/>
      </c>
      <c r="K166" s="4">
        <f>IF(A166="","",IFERROR(ROUND(AVERAGEIFS(ASSESSMENTS!H:H,ASSESSMENTS!B:B,A166,ASSESSMENTS!E:E,"English"),1),""))</f>
        <v/>
      </c>
      <c r="L166" s="5">
        <f>IF(A166="","",IFERROR(_xludf.XLOOKUP(A166,ATTENDANCE_SUMMARY!A:A,ATTENDANCE_SUMMARY!G:G,""),""))</f>
        <v/>
      </c>
      <c r="M166" s="4">
        <f>IF(A166="","",IF(OR(E166&lt;50,AND(L166&lt;0.75,L166&lt;&gt;"" )),"At Risk","On Track"))</f>
        <v/>
      </c>
    </row>
    <row r="167">
      <c r="A167">
        <f>IF(MASTER_REGISTER!E167="","",MASTER_REGISTER!E167)</f>
        <v/>
      </c>
      <c r="B167">
        <f>IF(A167="","",MASTER_REGISTER!F167)</f>
        <v/>
      </c>
      <c r="C167">
        <f>IF(A167="","",MASTER_REGISTER!C167)</f>
        <v/>
      </c>
      <c r="D167">
        <f>IF(A167="","",COUNTIF(ASSESSMENTS!B:B,A167))</f>
        <v/>
      </c>
      <c r="E167" s="4">
        <f>IF(D167=0,"",ROUND(AVERAGEIF(ASSESSMENTS!B:B,A167,ASSESSMENTS!H:H),1))</f>
        <v/>
      </c>
      <c r="F167" s="4">
        <f>IF(A167="","",IFERROR(ROUND(AVERAGEIFS(ASSESSMENTS!H:H,ASSESSMENTS!B:B,A167,ASSESSMENTS!E:E,"Mathematics"),1),""))</f>
        <v/>
      </c>
      <c r="G167" s="4">
        <f>IF(A167="","",IFERROR(ROUND(AVERAGEIFS(ASSESSMENTS!H:H,ASSESSMENTS!B:B,A167,ASSESSMENTS!E:E,"Mathematical Literacy"),1),""))</f>
        <v/>
      </c>
      <c r="H167" s="4">
        <f>IF(A167="","",IFERROR(ROUND(AVERAGEIFS(ASSESSMENTS!H:H,ASSESSMENTS!B:B,A167,ASSESSMENTS!E:E,"Physical Sciences"),1),""))</f>
        <v/>
      </c>
      <c r="I167" s="4">
        <f>IF(A167="","",IFERROR(ROUND(AVERAGEIFS(ASSESSMENTS!H:H,ASSESSMENTS!B:B,A167,ASSESSMENTS!E:E,"Geography"),1),""))</f>
        <v/>
      </c>
      <c r="J167" s="4">
        <f>IF(A167="","",IFERROR(ROUND(AVERAGEIFS(ASSESSMENTS!H:H,ASSESSMENTS!B:B,A167,ASSESSMENTS!E:E,"Accounting"),1),""))</f>
        <v/>
      </c>
      <c r="K167" s="4">
        <f>IF(A167="","",IFERROR(ROUND(AVERAGEIFS(ASSESSMENTS!H:H,ASSESSMENTS!B:B,A167,ASSESSMENTS!E:E,"English"),1),""))</f>
        <v/>
      </c>
      <c r="L167" s="5">
        <f>IF(A167="","",IFERROR(_xludf.XLOOKUP(A167,ATTENDANCE_SUMMARY!A:A,ATTENDANCE_SUMMARY!G:G,""),""))</f>
        <v/>
      </c>
      <c r="M167" s="4">
        <f>IF(A167="","",IF(OR(E167&lt;50,AND(L167&lt;0.75,L167&lt;&gt;"" )),"At Risk","On Track"))</f>
        <v/>
      </c>
    </row>
    <row r="168">
      <c r="A168">
        <f>IF(MASTER_REGISTER!E168="","",MASTER_REGISTER!E168)</f>
        <v/>
      </c>
      <c r="B168">
        <f>IF(A168="","",MASTER_REGISTER!F168)</f>
        <v/>
      </c>
      <c r="C168">
        <f>IF(A168="","",MASTER_REGISTER!C168)</f>
        <v/>
      </c>
      <c r="D168">
        <f>IF(A168="","",COUNTIF(ASSESSMENTS!B:B,A168))</f>
        <v/>
      </c>
      <c r="E168" s="4">
        <f>IF(D168=0,"",ROUND(AVERAGEIF(ASSESSMENTS!B:B,A168,ASSESSMENTS!H:H),1))</f>
        <v/>
      </c>
      <c r="F168" s="4">
        <f>IF(A168="","",IFERROR(ROUND(AVERAGEIFS(ASSESSMENTS!H:H,ASSESSMENTS!B:B,A168,ASSESSMENTS!E:E,"Mathematics"),1),""))</f>
        <v/>
      </c>
      <c r="G168" s="4">
        <f>IF(A168="","",IFERROR(ROUND(AVERAGEIFS(ASSESSMENTS!H:H,ASSESSMENTS!B:B,A168,ASSESSMENTS!E:E,"Mathematical Literacy"),1),""))</f>
        <v/>
      </c>
      <c r="H168" s="4">
        <f>IF(A168="","",IFERROR(ROUND(AVERAGEIFS(ASSESSMENTS!H:H,ASSESSMENTS!B:B,A168,ASSESSMENTS!E:E,"Physical Sciences"),1),""))</f>
        <v/>
      </c>
      <c r="I168" s="4">
        <f>IF(A168="","",IFERROR(ROUND(AVERAGEIFS(ASSESSMENTS!H:H,ASSESSMENTS!B:B,A168,ASSESSMENTS!E:E,"Geography"),1),""))</f>
        <v/>
      </c>
      <c r="J168" s="4">
        <f>IF(A168="","",IFERROR(ROUND(AVERAGEIFS(ASSESSMENTS!H:H,ASSESSMENTS!B:B,A168,ASSESSMENTS!E:E,"Accounting"),1),""))</f>
        <v/>
      </c>
      <c r="K168" s="4">
        <f>IF(A168="","",IFERROR(ROUND(AVERAGEIFS(ASSESSMENTS!H:H,ASSESSMENTS!B:B,A168,ASSESSMENTS!E:E,"English"),1),""))</f>
        <v/>
      </c>
      <c r="L168" s="5">
        <f>IF(A168="","",IFERROR(_xludf.XLOOKUP(A168,ATTENDANCE_SUMMARY!A:A,ATTENDANCE_SUMMARY!G:G,""),""))</f>
        <v/>
      </c>
      <c r="M168" s="4">
        <f>IF(A168="","",IF(OR(E168&lt;50,AND(L168&lt;0.75,L168&lt;&gt;"" )),"At Risk","On Track"))</f>
        <v/>
      </c>
    </row>
    <row r="169">
      <c r="A169">
        <f>IF(MASTER_REGISTER!E169="","",MASTER_REGISTER!E169)</f>
        <v/>
      </c>
      <c r="B169">
        <f>IF(A169="","",MASTER_REGISTER!F169)</f>
        <v/>
      </c>
      <c r="C169">
        <f>IF(A169="","",MASTER_REGISTER!C169)</f>
        <v/>
      </c>
      <c r="D169">
        <f>IF(A169="","",COUNTIF(ASSESSMENTS!B:B,A169))</f>
        <v/>
      </c>
      <c r="E169" s="4">
        <f>IF(D169=0,"",ROUND(AVERAGEIF(ASSESSMENTS!B:B,A169,ASSESSMENTS!H:H),1))</f>
        <v/>
      </c>
      <c r="F169" s="4">
        <f>IF(A169="","",IFERROR(ROUND(AVERAGEIFS(ASSESSMENTS!H:H,ASSESSMENTS!B:B,A169,ASSESSMENTS!E:E,"Mathematics"),1),""))</f>
        <v/>
      </c>
      <c r="G169" s="4">
        <f>IF(A169="","",IFERROR(ROUND(AVERAGEIFS(ASSESSMENTS!H:H,ASSESSMENTS!B:B,A169,ASSESSMENTS!E:E,"Mathematical Literacy"),1),""))</f>
        <v/>
      </c>
      <c r="H169" s="4">
        <f>IF(A169="","",IFERROR(ROUND(AVERAGEIFS(ASSESSMENTS!H:H,ASSESSMENTS!B:B,A169,ASSESSMENTS!E:E,"Physical Sciences"),1),""))</f>
        <v/>
      </c>
      <c r="I169" s="4">
        <f>IF(A169="","",IFERROR(ROUND(AVERAGEIFS(ASSESSMENTS!H:H,ASSESSMENTS!B:B,A169,ASSESSMENTS!E:E,"Geography"),1),""))</f>
        <v/>
      </c>
      <c r="J169" s="4">
        <f>IF(A169="","",IFERROR(ROUND(AVERAGEIFS(ASSESSMENTS!H:H,ASSESSMENTS!B:B,A169,ASSESSMENTS!E:E,"Accounting"),1),""))</f>
        <v/>
      </c>
      <c r="K169" s="4">
        <f>IF(A169="","",IFERROR(ROUND(AVERAGEIFS(ASSESSMENTS!H:H,ASSESSMENTS!B:B,A169,ASSESSMENTS!E:E,"English"),1),""))</f>
        <v/>
      </c>
      <c r="L169" s="5">
        <f>IF(A169="","",IFERROR(_xludf.XLOOKUP(A169,ATTENDANCE_SUMMARY!A:A,ATTENDANCE_SUMMARY!G:G,""),""))</f>
        <v/>
      </c>
      <c r="M169" s="4">
        <f>IF(A169="","",IF(OR(E169&lt;50,AND(L169&lt;0.75,L169&lt;&gt;"" )),"At Risk","On Track"))</f>
        <v/>
      </c>
    </row>
    <row r="170">
      <c r="A170">
        <f>IF(MASTER_REGISTER!E170="","",MASTER_REGISTER!E170)</f>
        <v/>
      </c>
      <c r="B170">
        <f>IF(A170="","",MASTER_REGISTER!F170)</f>
        <v/>
      </c>
      <c r="C170">
        <f>IF(A170="","",MASTER_REGISTER!C170)</f>
        <v/>
      </c>
      <c r="D170">
        <f>IF(A170="","",COUNTIF(ASSESSMENTS!B:B,A170))</f>
        <v/>
      </c>
      <c r="E170" s="4">
        <f>IF(D170=0,"",ROUND(AVERAGEIF(ASSESSMENTS!B:B,A170,ASSESSMENTS!H:H),1))</f>
        <v/>
      </c>
      <c r="F170" s="4">
        <f>IF(A170="","",IFERROR(ROUND(AVERAGEIFS(ASSESSMENTS!H:H,ASSESSMENTS!B:B,A170,ASSESSMENTS!E:E,"Mathematics"),1),""))</f>
        <v/>
      </c>
      <c r="G170" s="4">
        <f>IF(A170="","",IFERROR(ROUND(AVERAGEIFS(ASSESSMENTS!H:H,ASSESSMENTS!B:B,A170,ASSESSMENTS!E:E,"Mathematical Literacy"),1),""))</f>
        <v/>
      </c>
      <c r="H170" s="4">
        <f>IF(A170="","",IFERROR(ROUND(AVERAGEIFS(ASSESSMENTS!H:H,ASSESSMENTS!B:B,A170,ASSESSMENTS!E:E,"Physical Sciences"),1),""))</f>
        <v/>
      </c>
      <c r="I170" s="4">
        <f>IF(A170="","",IFERROR(ROUND(AVERAGEIFS(ASSESSMENTS!H:H,ASSESSMENTS!B:B,A170,ASSESSMENTS!E:E,"Geography"),1),""))</f>
        <v/>
      </c>
      <c r="J170" s="4">
        <f>IF(A170="","",IFERROR(ROUND(AVERAGEIFS(ASSESSMENTS!H:H,ASSESSMENTS!B:B,A170,ASSESSMENTS!E:E,"Accounting"),1),""))</f>
        <v/>
      </c>
      <c r="K170" s="4">
        <f>IF(A170="","",IFERROR(ROUND(AVERAGEIFS(ASSESSMENTS!H:H,ASSESSMENTS!B:B,A170,ASSESSMENTS!E:E,"English"),1),""))</f>
        <v/>
      </c>
      <c r="L170" s="5">
        <f>IF(A170="","",IFERROR(_xludf.XLOOKUP(A170,ATTENDANCE_SUMMARY!A:A,ATTENDANCE_SUMMARY!G:G,""),""))</f>
        <v/>
      </c>
      <c r="M170" s="4">
        <f>IF(A170="","",IF(OR(E170&lt;50,AND(L170&lt;0.75,L170&lt;&gt;"" )),"At Risk","On Track"))</f>
        <v/>
      </c>
    </row>
    <row r="171">
      <c r="A171">
        <f>IF(MASTER_REGISTER!E171="","",MASTER_REGISTER!E171)</f>
        <v/>
      </c>
      <c r="B171">
        <f>IF(A171="","",MASTER_REGISTER!F171)</f>
        <v/>
      </c>
      <c r="C171">
        <f>IF(A171="","",MASTER_REGISTER!C171)</f>
        <v/>
      </c>
      <c r="D171">
        <f>IF(A171="","",COUNTIF(ASSESSMENTS!B:B,A171))</f>
        <v/>
      </c>
      <c r="E171" s="4">
        <f>IF(D171=0,"",ROUND(AVERAGEIF(ASSESSMENTS!B:B,A171,ASSESSMENTS!H:H),1))</f>
        <v/>
      </c>
      <c r="F171" s="4">
        <f>IF(A171="","",IFERROR(ROUND(AVERAGEIFS(ASSESSMENTS!H:H,ASSESSMENTS!B:B,A171,ASSESSMENTS!E:E,"Mathematics"),1),""))</f>
        <v/>
      </c>
      <c r="G171" s="4">
        <f>IF(A171="","",IFERROR(ROUND(AVERAGEIFS(ASSESSMENTS!H:H,ASSESSMENTS!B:B,A171,ASSESSMENTS!E:E,"Mathematical Literacy"),1),""))</f>
        <v/>
      </c>
      <c r="H171" s="4">
        <f>IF(A171="","",IFERROR(ROUND(AVERAGEIFS(ASSESSMENTS!H:H,ASSESSMENTS!B:B,A171,ASSESSMENTS!E:E,"Physical Sciences"),1),""))</f>
        <v/>
      </c>
      <c r="I171" s="4">
        <f>IF(A171="","",IFERROR(ROUND(AVERAGEIFS(ASSESSMENTS!H:H,ASSESSMENTS!B:B,A171,ASSESSMENTS!E:E,"Geography"),1),""))</f>
        <v/>
      </c>
      <c r="J171" s="4">
        <f>IF(A171="","",IFERROR(ROUND(AVERAGEIFS(ASSESSMENTS!H:H,ASSESSMENTS!B:B,A171,ASSESSMENTS!E:E,"Accounting"),1),""))</f>
        <v/>
      </c>
      <c r="K171" s="4">
        <f>IF(A171="","",IFERROR(ROUND(AVERAGEIFS(ASSESSMENTS!H:H,ASSESSMENTS!B:B,A171,ASSESSMENTS!E:E,"English"),1),""))</f>
        <v/>
      </c>
      <c r="L171" s="5">
        <f>IF(A171="","",IFERROR(_xludf.XLOOKUP(A171,ATTENDANCE_SUMMARY!A:A,ATTENDANCE_SUMMARY!G:G,""),""))</f>
        <v/>
      </c>
      <c r="M171" s="4">
        <f>IF(A171="","",IF(OR(E171&lt;50,AND(L171&lt;0.75,L171&lt;&gt;"" )),"At Risk","On Track"))</f>
        <v/>
      </c>
    </row>
    <row r="172">
      <c r="A172">
        <f>IF(MASTER_REGISTER!E172="","",MASTER_REGISTER!E172)</f>
        <v/>
      </c>
      <c r="B172">
        <f>IF(A172="","",MASTER_REGISTER!F172)</f>
        <v/>
      </c>
      <c r="C172">
        <f>IF(A172="","",MASTER_REGISTER!C172)</f>
        <v/>
      </c>
      <c r="D172">
        <f>IF(A172="","",COUNTIF(ASSESSMENTS!B:B,A172))</f>
        <v/>
      </c>
      <c r="E172" s="4">
        <f>IF(D172=0,"",ROUND(AVERAGEIF(ASSESSMENTS!B:B,A172,ASSESSMENTS!H:H),1))</f>
        <v/>
      </c>
      <c r="F172" s="4">
        <f>IF(A172="","",IFERROR(ROUND(AVERAGEIFS(ASSESSMENTS!H:H,ASSESSMENTS!B:B,A172,ASSESSMENTS!E:E,"Mathematics"),1),""))</f>
        <v/>
      </c>
      <c r="G172" s="4">
        <f>IF(A172="","",IFERROR(ROUND(AVERAGEIFS(ASSESSMENTS!H:H,ASSESSMENTS!B:B,A172,ASSESSMENTS!E:E,"Mathematical Literacy"),1),""))</f>
        <v/>
      </c>
      <c r="H172" s="4">
        <f>IF(A172="","",IFERROR(ROUND(AVERAGEIFS(ASSESSMENTS!H:H,ASSESSMENTS!B:B,A172,ASSESSMENTS!E:E,"Physical Sciences"),1),""))</f>
        <v/>
      </c>
      <c r="I172" s="4">
        <f>IF(A172="","",IFERROR(ROUND(AVERAGEIFS(ASSESSMENTS!H:H,ASSESSMENTS!B:B,A172,ASSESSMENTS!E:E,"Geography"),1),""))</f>
        <v/>
      </c>
      <c r="J172" s="4">
        <f>IF(A172="","",IFERROR(ROUND(AVERAGEIFS(ASSESSMENTS!H:H,ASSESSMENTS!B:B,A172,ASSESSMENTS!E:E,"Accounting"),1),""))</f>
        <v/>
      </c>
      <c r="K172" s="4">
        <f>IF(A172="","",IFERROR(ROUND(AVERAGEIFS(ASSESSMENTS!H:H,ASSESSMENTS!B:B,A172,ASSESSMENTS!E:E,"English"),1),""))</f>
        <v/>
      </c>
      <c r="L172" s="5">
        <f>IF(A172="","",IFERROR(_xludf.XLOOKUP(A172,ATTENDANCE_SUMMARY!A:A,ATTENDANCE_SUMMARY!G:G,""),""))</f>
        <v/>
      </c>
      <c r="M172" s="4">
        <f>IF(A172="","",IF(OR(E172&lt;50,AND(L172&lt;0.75,L172&lt;&gt;"" )),"At Risk","On Track"))</f>
        <v/>
      </c>
    </row>
    <row r="173">
      <c r="A173">
        <f>IF(MASTER_REGISTER!E173="","",MASTER_REGISTER!E173)</f>
        <v/>
      </c>
      <c r="B173">
        <f>IF(A173="","",MASTER_REGISTER!F173)</f>
        <v/>
      </c>
      <c r="C173">
        <f>IF(A173="","",MASTER_REGISTER!C173)</f>
        <v/>
      </c>
      <c r="D173">
        <f>IF(A173="","",COUNTIF(ASSESSMENTS!B:B,A173))</f>
        <v/>
      </c>
      <c r="E173" s="4">
        <f>IF(D173=0,"",ROUND(AVERAGEIF(ASSESSMENTS!B:B,A173,ASSESSMENTS!H:H),1))</f>
        <v/>
      </c>
      <c r="F173" s="4">
        <f>IF(A173="","",IFERROR(ROUND(AVERAGEIFS(ASSESSMENTS!H:H,ASSESSMENTS!B:B,A173,ASSESSMENTS!E:E,"Mathematics"),1),""))</f>
        <v/>
      </c>
      <c r="G173" s="4">
        <f>IF(A173="","",IFERROR(ROUND(AVERAGEIFS(ASSESSMENTS!H:H,ASSESSMENTS!B:B,A173,ASSESSMENTS!E:E,"Mathematical Literacy"),1),""))</f>
        <v/>
      </c>
      <c r="H173" s="4">
        <f>IF(A173="","",IFERROR(ROUND(AVERAGEIFS(ASSESSMENTS!H:H,ASSESSMENTS!B:B,A173,ASSESSMENTS!E:E,"Physical Sciences"),1),""))</f>
        <v/>
      </c>
      <c r="I173" s="4">
        <f>IF(A173="","",IFERROR(ROUND(AVERAGEIFS(ASSESSMENTS!H:H,ASSESSMENTS!B:B,A173,ASSESSMENTS!E:E,"Geography"),1),""))</f>
        <v/>
      </c>
      <c r="J173" s="4">
        <f>IF(A173="","",IFERROR(ROUND(AVERAGEIFS(ASSESSMENTS!H:H,ASSESSMENTS!B:B,A173,ASSESSMENTS!E:E,"Accounting"),1),""))</f>
        <v/>
      </c>
      <c r="K173" s="4">
        <f>IF(A173="","",IFERROR(ROUND(AVERAGEIFS(ASSESSMENTS!H:H,ASSESSMENTS!B:B,A173,ASSESSMENTS!E:E,"English"),1),""))</f>
        <v/>
      </c>
      <c r="L173" s="5">
        <f>IF(A173="","",IFERROR(_xludf.XLOOKUP(A173,ATTENDANCE_SUMMARY!A:A,ATTENDANCE_SUMMARY!G:G,""),""))</f>
        <v/>
      </c>
      <c r="M173" s="4">
        <f>IF(A173="","",IF(OR(E173&lt;50,AND(L173&lt;0.75,L173&lt;&gt;"" )),"At Risk","On Track"))</f>
        <v/>
      </c>
    </row>
    <row r="174">
      <c r="A174">
        <f>IF(MASTER_REGISTER!E174="","",MASTER_REGISTER!E174)</f>
        <v/>
      </c>
      <c r="B174">
        <f>IF(A174="","",MASTER_REGISTER!F174)</f>
        <v/>
      </c>
      <c r="C174">
        <f>IF(A174="","",MASTER_REGISTER!C174)</f>
        <v/>
      </c>
      <c r="D174">
        <f>IF(A174="","",COUNTIF(ASSESSMENTS!B:B,A174))</f>
        <v/>
      </c>
      <c r="E174" s="4">
        <f>IF(D174=0,"",ROUND(AVERAGEIF(ASSESSMENTS!B:B,A174,ASSESSMENTS!H:H),1))</f>
        <v/>
      </c>
      <c r="F174" s="4">
        <f>IF(A174="","",IFERROR(ROUND(AVERAGEIFS(ASSESSMENTS!H:H,ASSESSMENTS!B:B,A174,ASSESSMENTS!E:E,"Mathematics"),1),""))</f>
        <v/>
      </c>
      <c r="G174" s="4">
        <f>IF(A174="","",IFERROR(ROUND(AVERAGEIFS(ASSESSMENTS!H:H,ASSESSMENTS!B:B,A174,ASSESSMENTS!E:E,"Mathematical Literacy"),1),""))</f>
        <v/>
      </c>
      <c r="H174" s="4">
        <f>IF(A174="","",IFERROR(ROUND(AVERAGEIFS(ASSESSMENTS!H:H,ASSESSMENTS!B:B,A174,ASSESSMENTS!E:E,"Physical Sciences"),1),""))</f>
        <v/>
      </c>
      <c r="I174" s="4">
        <f>IF(A174="","",IFERROR(ROUND(AVERAGEIFS(ASSESSMENTS!H:H,ASSESSMENTS!B:B,A174,ASSESSMENTS!E:E,"Geography"),1),""))</f>
        <v/>
      </c>
      <c r="J174" s="4">
        <f>IF(A174="","",IFERROR(ROUND(AVERAGEIFS(ASSESSMENTS!H:H,ASSESSMENTS!B:B,A174,ASSESSMENTS!E:E,"Accounting"),1),""))</f>
        <v/>
      </c>
      <c r="K174" s="4">
        <f>IF(A174="","",IFERROR(ROUND(AVERAGEIFS(ASSESSMENTS!H:H,ASSESSMENTS!B:B,A174,ASSESSMENTS!E:E,"English"),1),""))</f>
        <v/>
      </c>
      <c r="L174" s="5">
        <f>IF(A174="","",IFERROR(_xludf.XLOOKUP(A174,ATTENDANCE_SUMMARY!A:A,ATTENDANCE_SUMMARY!G:G,""),""))</f>
        <v/>
      </c>
      <c r="M174" s="4">
        <f>IF(A174="","",IF(OR(E174&lt;50,AND(L174&lt;0.75,L174&lt;&gt;"" )),"At Risk","On Track"))</f>
        <v/>
      </c>
    </row>
    <row r="175">
      <c r="A175">
        <f>IF(MASTER_REGISTER!E175="","",MASTER_REGISTER!E175)</f>
        <v/>
      </c>
      <c r="B175">
        <f>IF(A175="","",MASTER_REGISTER!F175)</f>
        <v/>
      </c>
      <c r="C175">
        <f>IF(A175="","",MASTER_REGISTER!C175)</f>
        <v/>
      </c>
      <c r="D175">
        <f>IF(A175="","",COUNTIF(ASSESSMENTS!B:B,A175))</f>
        <v/>
      </c>
      <c r="E175" s="4">
        <f>IF(D175=0,"",ROUND(AVERAGEIF(ASSESSMENTS!B:B,A175,ASSESSMENTS!H:H),1))</f>
        <v/>
      </c>
      <c r="F175" s="4">
        <f>IF(A175="","",IFERROR(ROUND(AVERAGEIFS(ASSESSMENTS!H:H,ASSESSMENTS!B:B,A175,ASSESSMENTS!E:E,"Mathematics"),1),""))</f>
        <v/>
      </c>
      <c r="G175" s="4">
        <f>IF(A175="","",IFERROR(ROUND(AVERAGEIFS(ASSESSMENTS!H:H,ASSESSMENTS!B:B,A175,ASSESSMENTS!E:E,"Mathematical Literacy"),1),""))</f>
        <v/>
      </c>
      <c r="H175" s="4">
        <f>IF(A175="","",IFERROR(ROUND(AVERAGEIFS(ASSESSMENTS!H:H,ASSESSMENTS!B:B,A175,ASSESSMENTS!E:E,"Physical Sciences"),1),""))</f>
        <v/>
      </c>
      <c r="I175" s="4">
        <f>IF(A175="","",IFERROR(ROUND(AVERAGEIFS(ASSESSMENTS!H:H,ASSESSMENTS!B:B,A175,ASSESSMENTS!E:E,"Geography"),1),""))</f>
        <v/>
      </c>
      <c r="J175" s="4">
        <f>IF(A175="","",IFERROR(ROUND(AVERAGEIFS(ASSESSMENTS!H:H,ASSESSMENTS!B:B,A175,ASSESSMENTS!E:E,"Accounting"),1),""))</f>
        <v/>
      </c>
      <c r="K175" s="4">
        <f>IF(A175="","",IFERROR(ROUND(AVERAGEIFS(ASSESSMENTS!H:H,ASSESSMENTS!B:B,A175,ASSESSMENTS!E:E,"English"),1),""))</f>
        <v/>
      </c>
      <c r="L175" s="5">
        <f>IF(A175="","",IFERROR(_xludf.XLOOKUP(A175,ATTENDANCE_SUMMARY!A:A,ATTENDANCE_SUMMARY!G:G,""),""))</f>
        <v/>
      </c>
      <c r="M175" s="4">
        <f>IF(A175="","",IF(OR(E175&lt;50,AND(L175&lt;0.75,L175&lt;&gt;"" )),"At Risk","On Track"))</f>
        <v/>
      </c>
    </row>
    <row r="176">
      <c r="A176">
        <f>IF(MASTER_REGISTER!E176="","",MASTER_REGISTER!E176)</f>
        <v/>
      </c>
      <c r="B176">
        <f>IF(A176="","",MASTER_REGISTER!F176)</f>
        <v/>
      </c>
      <c r="C176">
        <f>IF(A176="","",MASTER_REGISTER!C176)</f>
        <v/>
      </c>
      <c r="D176">
        <f>IF(A176="","",COUNTIF(ASSESSMENTS!B:B,A176))</f>
        <v/>
      </c>
      <c r="E176" s="4">
        <f>IF(D176=0,"",ROUND(AVERAGEIF(ASSESSMENTS!B:B,A176,ASSESSMENTS!H:H),1))</f>
        <v/>
      </c>
      <c r="F176" s="4">
        <f>IF(A176="","",IFERROR(ROUND(AVERAGEIFS(ASSESSMENTS!H:H,ASSESSMENTS!B:B,A176,ASSESSMENTS!E:E,"Mathematics"),1),""))</f>
        <v/>
      </c>
      <c r="G176" s="4">
        <f>IF(A176="","",IFERROR(ROUND(AVERAGEIFS(ASSESSMENTS!H:H,ASSESSMENTS!B:B,A176,ASSESSMENTS!E:E,"Mathematical Literacy"),1),""))</f>
        <v/>
      </c>
      <c r="H176" s="4">
        <f>IF(A176="","",IFERROR(ROUND(AVERAGEIFS(ASSESSMENTS!H:H,ASSESSMENTS!B:B,A176,ASSESSMENTS!E:E,"Physical Sciences"),1),""))</f>
        <v/>
      </c>
      <c r="I176" s="4">
        <f>IF(A176="","",IFERROR(ROUND(AVERAGEIFS(ASSESSMENTS!H:H,ASSESSMENTS!B:B,A176,ASSESSMENTS!E:E,"Geography"),1),""))</f>
        <v/>
      </c>
      <c r="J176" s="4">
        <f>IF(A176="","",IFERROR(ROUND(AVERAGEIFS(ASSESSMENTS!H:H,ASSESSMENTS!B:B,A176,ASSESSMENTS!E:E,"Accounting"),1),""))</f>
        <v/>
      </c>
      <c r="K176" s="4">
        <f>IF(A176="","",IFERROR(ROUND(AVERAGEIFS(ASSESSMENTS!H:H,ASSESSMENTS!B:B,A176,ASSESSMENTS!E:E,"English"),1),""))</f>
        <v/>
      </c>
      <c r="L176" s="5">
        <f>IF(A176="","",IFERROR(_xludf.XLOOKUP(A176,ATTENDANCE_SUMMARY!A:A,ATTENDANCE_SUMMARY!G:G,""),""))</f>
        <v/>
      </c>
      <c r="M176" s="4">
        <f>IF(A176="","",IF(OR(E176&lt;50,AND(L176&lt;0.75,L176&lt;&gt;"" )),"At Risk","On Track"))</f>
        <v/>
      </c>
    </row>
    <row r="177">
      <c r="A177">
        <f>IF(MASTER_REGISTER!E177="","",MASTER_REGISTER!E177)</f>
        <v/>
      </c>
      <c r="B177">
        <f>IF(A177="","",MASTER_REGISTER!F177)</f>
        <v/>
      </c>
      <c r="C177">
        <f>IF(A177="","",MASTER_REGISTER!C177)</f>
        <v/>
      </c>
      <c r="D177">
        <f>IF(A177="","",COUNTIF(ASSESSMENTS!B:B,A177))</f>
        <v/>
      </c>
      <c r="E177" s="4">
        <f>IF(D177=0,"",ROUND(AVERAGEIF(ASSESSMENTS!B:B,A177,ASSESSMENTS!H:H),1))</f>
        <v/>
      </c>
      <c r="F177" s="4">
        <f>IF(A177="","",IFERROR(ROUND(AVERAGEIFS(ASSESSMENTS!H:H,ASSESSMENTS!B:B,A177,ASSESSMENTS!E:E,"Mathematics"),1),""))</f>
        <v/>
      </c>
      <c r="G177" s="4">
        <f>IF(A177="","",IFERROR(ROUND(AVERAGEIFS(ASSESSMENTS!H:H,ASSESSMENTS!B:B,A177,ASSESSMENTS!E:E,"Mathematical Literacy"),1),""))</f>
        <v/>
      </c>
      <c r="H177" s="4">
        <f>IF(A177="","",IFERROR(ROUND(AVERAGEIFS(ASSESSMENTS!H:H,ASSESSMENTS!B:B,A177,ASSESSMENTS!E:E,"Physical Sciences"),1),""))</f>
        <v/>
      </c>
      <c r="I177" s="4">
        <f>IF(A177="","",IFERROR(ROUND(AVERAGEIFS(ASSESSMENTS!H:H,ASSESSMENTS!B:B,A177,ASSESSMENTS!E:E,"Geography"),1),""))</f>
        <v/>
      </c>
      <c r="J177" s="4">
        <f>IF(A177="","",IFERROR(ROUND(AVERAGEIFS(ASSESSMENTS!H:H,ASSESSMENTS!B:B,A177,ASSESSMENTS!E:E,"Accounting"),1),""))</f>
        <v/>
      </c>
      <c r="K177" s="4">
        <f>IF(A177="","",IFERROR(ROUND(AVERAGEIFS(ASSESSMENTS!H:H,ASSESSMENTS!B:B,A177,ASSESSMENTS!E:E,"English"),1),""))</f>
        <v/>
      </c>
      <c r="L177" s="5">
        <f>IF(A177="","",IFERROR(_xludf.XLOOKUP(A177,ATTENDANCE_SUMMARY!A:A,ATTENDANCE_SUMMARY!G:G,""),""))</f>
        <v/>
      </c>
      <c r="M177" s="4">
        <f>IF(A177="","",IF(OR(E177&lt;50,AND(L177&lt;0.75,L177&lt;&gt;"" )),"At Risk","On Track"))</f>
        <v/>
      </c>
    </row>
    <row r="178">
      <c r="A178">
        <f>IF(MASTER_REGISTER!E178="","",MASTER_REGISTER!E178)</f>
        <v/>
      </c>
      <c r="B178">
        <f>IF(A178="","",MASTER_REGISTER!F178)</f>
        <v/>
      </c>
      <c r="C178">
        <f>IF(A178="","",MASTER_REGISTER!C178)</f>
        <v/>
      </c>
      <c r="D178">
        <f>IF(A178="","",COUNTIF(ASSESSMENTS!B:B,A178))</f>
        <v/>
      </c>
      <c r="E178" s="4">
        <f>IF(D178=0,"",ROUND(AVERAGEIF(ASSESSMENTS!B:B,A178,ASSESSMENTS!H:H),1))</f>
        <v/>
      </c>
      <c r="F178" s="4">
        <f>IF(A178="","",IFERROR(ROUND(AVERAGEIFS(ASSESSMENTS!H:H,ASSESSMENTS!B:B,A178,ASSESSMENTS!E:E,"Mathematics"),1),""))</f>
        <v/>
      </c>
      <c r="G178" s="4">
        <f>IF(A178="","",IFERROR(ROUND(AVERAGEIFS(ASSESSMENTS!H:H,ASSESSMENTS!B:B,A178,ASSESSMENTS!E:E,"Mathematical Literacy"),1),""))</f>
        <v/>
      </c>
      <c r="H178" s="4">
        <f>IF(A178="","",IFERROR(ROUND(AVERAGEIFS(ASSESSMENTS!H:H,ASSESSMENTS!B:B,A178,ASSESSMENTS!E:E,"Physical Sciences"),1),""))</f>
        <v/>
      </c>
      <c r="I178" s="4">
        <f>IF(A178="","",IFERROR(ROUND(AVERAGEIFS(ASSESSMENTS!H:H,ASSESSMENTS!B:B,A178,ASSESSMENTS!E:E,"Geography"),1),""))</f>
        <v/>
      </c>
      <c r="J178" s="4">
        <f>IF(A178="","",IFERROR(ROUND(AVERAGEIFS(ASSESSMENTS!H:H,ASSESSMENTS!B:B,A178,ASSESSMENTS!E:E,"Accounting"),1),""))</f>
        <v/>
      </c>
      <c r="K178" s="4">
        <f>IF(A178="","",IFERROR(ROUND(AVERAGEIFS(ASSESSMENTS!H:H,ASSESSMENTS!B:B,A178,ASSESSMENTS!E:E,"English"),1),""))</f>
        <v/>
      </c>
      <c r="L178" s="5">
        <f>IF(A178="","",IFERROR(_xludf.XLOOKUP(A178,ATTENDANCE_SUMMARY!A:A,ATTENDANCE_SUMMARY!G:G,""),""))</f>
        <v/>
      </c>
      <c r="M178" s="4">
        <f>IF(A178="","",IF(OR(E178&lt;50,AND(L178&lt;0.75,L178&lt;&gt;"" )),"At Risk","On Track"))</f>
        <v/>
      </c>
    </row>
    <row r="179">
      <c r="A179">
        <f>IF(MASTER_REGISTER!E179="","",MASTER_REGISTER!E179)</f>
        <v/>
      </c>
      <c r="B179">
        <f>IF(A179="","",MASTER_REGISTER!F179)</f>
        <v/>
      </c>
      <c r="C179">
        <f>IF(A179="","",MASTER_REGISTER!C179)</f>
        <v/>
      </c>
      <c r="D179">
        <f>IF(A179="","",COUNTIF(ASSESSMENTS!B:B,A179))</f>
        <v/>
      </c>
      <c r="E179" s="4">
        <f>IF(D179=0,"",ROUND(AVERAGEIF(ASSESSMENTS!B:B,A179,ASSESSMENTS!H:H),1))</f>
        <v/>
      </c>
      <c r="F179" s="4">
        <f>IF(A179="","",IFERROR(ROUND(AVERAGEIFS(ASSESSMENTS!H:H,ASSESSMENTS!B:B,A179,ASSESSMENTS!E:E,"Mathematics"),1),""))</f>
        <v/>
      </c>
      <c r="G179" s="4">
        <f>IF(A179="","",IFERROR(ROUND(AVERAGEIFS(ASSESSMENTS!H:H,ASSESSMENTS!B:B,A179,ASSESSMENTS!E:E,"Mathematical Literacy"),1),""))</f>
        <v/>
      </c>
      <c r="H179" s="4">
        <f>IF(A179="","",IFERROR(ROUND(AVERAGEIFS(ASSESSMENTS!H:H,ASSESSMENTS!B:B,A179,ASSESSMENTS!E:E,"Physical Sciences"),1),""))</f>
        <v/>
      </c>
      <c r="I179" s="4">
        <f>IF(A179="","",IFERROR(ROUND(AVERAGEIFS(ASSESSMENTS!H:H,ASSESSMENTS!B:B,A179,ASSESSMENTS!E:E,"Geography"),1),""))</f>
        <v/>
      </c>
      <c r="J179" s="4">
        <f>IF(A179="","",IFERROR(ROUND(AVERAGEIFS(ASSESSMENTS!H:H,ASSESSMENTS!B:B,A179,ASSESSMENTS!E:E,"Accounting"),1),""))</f>
        <v/>
      </c>
      <c r="K179" s="4">
        <f>IF(A179="","",IFERROR(ROUND(AVERAGEIFS(ASSESSMENTS!H:H,ASSESSMENTS!B:B,A179,ASSESSMENTS!E:E,"English"),1),""))</f>
        <v/>
      </c>
      <c r="L179" s="5">
        <f>IF(A179="","",IFERROR(_xludf.XLOOKUP(A179,ATTENDANCE_SUMMARY!A:A,ATTENDANCE_SUMMARY!G:G,""),""))</f>
        <v/>
      </c>
      <c r="M179" s="4">
        <f>IF(A179="","",IF(OR(E179&lt;50,AND(L179&lt;0.75,L179&lt;&gt;"" )),"At Risk","On Track"))</f>
        <v/>
      </c>
    </row>
    <row r="180">
      <c r="A180">
        <f>IF(MASTER_REGISTER!E180="","",MASTER_REGISTER!E180)</f>
        <v/>
      </c>
      <c r="B180">
        <f>IF(A180="","",MASTER_REGISTER!F180)</f>
        <v/>
      </c>
      <c r="C180">
        <f>IF(A180="","",MASTER_REGISTER!C180)</f>
        <v/>
      </c>
      <c r="D180">
        <f>IF(A180="","",COUNTIF(ASSESSMENTS!B:B,A180))</f>
        <v/>
      </c>
      <c r="E180" s="4">
        <f>IF(D180=0,"",ROUND(AVERAGEIF(ASSESSMENTS!B:B,A180,ASSESSMENTS!H:H),1))</f>
        <v/>
      </c>
      <c r="F180" s="4">
        <f>IF(A180="","",IFERROR(ROUND(AVERAGEIFS(ASSESSMENTS!H:H,ASSESSMENTS!B:B,A180,ASSESSMENTS!E:E,"Mathematics"),1),""))</f>
        <v/>
      </c>
      <c r="G180" s="4">
        <f>IF(A180="","",IFERROR(ROUND(AVERAGEIFS(ASSESSMENTS!H:H,ASSESSMENTS!B:B,A180,ASSESSMENTS!E:E,"Mathematical Literacy"),1),""))</f>
        <v/>
      </c>
      <c r="H180" s="4">
        <f>IF(A180="","",IFERROR(ROUND(AVERAGEIFS(ASSESSMENTS!H:H,ASSESSMENTS!B:B,A180,ASSESSMENTS!E:E,"Physical Sciences"),1),""))</f>
        <v/>
      </c>
      <c r="I180" s="4">
        <f>IF(A180="","",IFERROR(ROUND(AVERAGEIFS(ASSESSMENTS!H:H,ASSESSMENTS!B:B,A180,ASSESSMENTS!E:E,"Geography"),1),""))</f>
        <v/>
      </c>
      <c r="J180" s="4">
        <f>IF(A180="","",IFERROR(ROUND(AVERAGEIFS(ASSESSMENTS!H:H,ASSESSMENTS!B:B,A180,ASSESSMENTS!E:E,"Accounting"),1),""))</f>
        <v/>
      </c>
      <c r="K180" s="4">
        <f>IF(A180="","",IFERROR(ROUND(AVERAGEIFS(ASSESSMENTS!H:H,ASSESSMENTS!B:B,A180,ASSESSMENTS!E:E,"English"),1),""))</f>
        <v/>
      </c>
      <c r="L180" s="5">
        <f>IF(A180="","",IFERROR(_xludf.XLOOKUP(A180,ATTENDANCE_SUMMARY!A:A,ATTENDANCE_SUMMARY!G:G,""),""))</f>
        <v/>
      </c>
      <c r="M180" s="4">
        <f>IF(A180="","",IF(OR(E180&lt;50,AND(L180&lt;0.75,L180&lt;&gt;"" )),"At Risk","On Track"))</f>
        <v/>
      </c>
    </row>
    <row r="181">
      <c r="A181">
        <f>IF(MASTER_REGISTER!E181="","",MASTER_REGISTER!E181)</f>
        <v/>
      </c>
      <c r="B181">
        <f>IF(A181="","",MASTER_REGISTER!F181)</f>
        <v/>
      </c>
      <c r="C181">
        <f>IF(A181="","",MASTER_REGISTER!C181)</f>
        <v/>
      </c>
      <c r="D181">
        <f>IF(A181="","",COUNTIF(ASSESSMENTS!B:B,A181))</f>
        <v/>
      </c>
      <c r="E181" s="4">
        <f>IF(D181=0,"",ROUND(AVERAGEIF(ASSESSMENTS!B:B,A181,ASSESSMENTS!H:H),1))</f>
        <v/>
      </c>
      <c r="F181" s="4">
        <f>IF(A181="","",IFERROR(ROUND(AVERAGEIFS(ASSESSMENTS!H:H,ASSESSMENTS!B:B,A181,ASSESSMENTS!E:E,"Mathematics"),1),""))</f>
        <v/>
      </c>
      <c r="G181" s="4">
        <f>IF(A181="","",IFERROR(ROUND(AVERAGEIFS(ASSESSMENTS!H:H,ASSESSMENTS!B:B,A181,ASSESSMENTS!E:E,"Mathematical Literacy"),1),""))</f>
        <v/>
      </c>
      <c r="H181" s="4">
        <f>IF(A181="","",IFERROR(ROUND(AVERAGEIFS(ASSESSMENTS!H:H,ASSESSMENTS!B:B,A181,ASSESSMENTS!E:E,"Physical Sciences"),1),""))</f>
        <v/>
      </c>
      <c r="I181" s="4">
        <f>IF(A181="","",IFERROR(ROUND(AVERAGEIFS(ASSESSMENTS!H:H,ASSESSMENTS!B:B,A181,ASSESSMENTS!E:E,"Geography"),1),""))</f>
        <v/>
      </c>
      <c r="J181" s="4">
        <f>IF(A181="","",IFERROR(ROUND(AVERAGEIFS(ASSESSMENTS!H:H,ASSESSMENTS!B:B,A181,ASSESSMENTS!E:E,"Accounting"),1),""))</f>
        <v/>
      </c>
      <c r="K181" s="4">
        <f>IF(A181="","",IFERROR(ROUND(AVERAGEIFS(ASSESSMENTS!H:H,ASSESSMENTS!B:B,A181,ASSESSMENTS!E:E,"English"),1),""))</f>
        <v/>
      </c>
      <c r="L181" s="5">
        <f>IF(A181="","",IFERROR(_xludf.XLOOKUP(A181,ATTENDANCE_SUMMARY!A:A,ATTENDANCE_SUMMARY!G:G,""),""))</f>
        <v/>
      </c>
      <c r="M181" s="4">
        <f>IF(A181="","",IF(OR(E181&lt;50,AND(L181&lt;0.75,L181&lt;&gt;"" )),"At Risk","On Track"))</f>
        <v/>
      </c>
    </row>
    <row r="182">
      <c r="A182">
        <f>IF(MASTER_REGISTER!E182="","",MASTER_REGISTER!E182)</f>
        <v/>
      </c>
      <c r="B182">
        <f>IF(A182="","",MASTER_REGISTER!F182)</f>
        <v/>
      </c>
      <c r="C182">
        <f>IF(A182="","",MASTER_REGISTER!C182)</f>
        <v/>
      </c>
      <c r="D182">
        <f>IF(A182="","",COUNTIF(ASSESSMENTS!B:B,A182))</f>
        <v/>
      </c>
      <c r="E182" s="4">
        <f>IF(D182=0,"",ROUND(AVERAGEIF(ASSESSMENTS!B:B,A182,ASSESSMENTS!H:H),1))</f>
        <v/>
      </c>
      <c r="F182" s="4">
        <f>IF(A182="","",IFERROR(ROUND(AVERAGEIFS(ASSESSMENTS!H:H,ASSESSMENTS!B:B,A182,ASSESSMENTS!E:E,"Mathematics"),1),""))</f>
        <v/>
      </c>
      <c r="G182" s="4">
        <f>IF(A182="","",IFERROR(ROUND(AVERAGEIFS(ASSESSMENTS!H:H,ASSESSMENTS!B:B,A182,ASSESSMENTS!E:E,"Mathematical Literacy"),1),""))</f>
        <v/>
      </c>
      <c r="H182" s="4">
        <f>IF(A182="","",IFERROR(ROUND(AVERAGEIFS(ASSESSMENTS!H:H,ASSESSMENTS!B:B,A182,ASSESSMENTS!E:E,"Physical Sciences"),1),""))</f>
        <v/>
      </c>
      <c r="I182" s="4">
        <f>IF(A182="","",IFERROR(ROUND(AVERAGEIFS(ASSESSMENTS!H:H,ASSESSMENTS!B:B,A182,ASSESSMENTS!E:E,"Geography"),1),""))</f>
        <v/>
      </c>
      <c r="J182" s="4">
        <f>IF(A182="","",IFERROR(ROUND(AVERAGEIFS(ASSESSMENTS!H:H,ASSESSMENTS!B:B,A182,ASSESSMENTS!E:E,"Accounting"),1),""))</f>
        <v/>
      </c>
      <c r="K182" s="4">
        <f>IF(A182="","",IFERROR(ROUND(AVERAGEIFS(ASSESSMENTS!H:H,ASSESSMENTS!B:B,A182,ASSESSMENTS!E:E,"English"),1),""))</f>
        <v/>
      </c>
      <c r="L182" s="5">
        <f>IF(A182="","",IFERROR(_xludf.XLOOKUP(A182,ATTENDANCE_SUMMARY!A:A,ATTENDANCE_SUMMARY!G:G,""),""))</f>
        <v/>
      </c>
      <c r="M182" s="4">
        <f>IF(A182="","",IF(OR(E182&lt;50,AND(L182&lt;0.75,L182&lt;&gt;"" )),"At Risk","On Track"))</f>
        <v/>
      </c>
    </row>
    <row r="183">
      <c r="A183">
        <f>IF(MASTER_REGISTER!E183="","",MASTER_REGISTER!E183)</f>
        <v/>
      </c>
      <c r="B183">
        <f>IF(A183="","",MASTER_REGISTER!F183)</f>
        <v/>
      </c>
      <c r="C183">
        <f>IF(A183="","",MASTER_REGISTER!C183)</f>
        <v/>
      </c>
      <c r="D183">
        <f>IF(A183="","",COUNTIF(ASSESSMENTS!B:B,A183))</f>
        <v/>
      </c>
      <c r="E183" s="4">
        <f>IF(D183=0,"",ROUND(AVERAGEIF(ASSESSMENTS!B:B,A183,ASSESSMENTS!H:H),1))</f>
        <v/>
      </c>
      <c r="F183" s="4">
        <f>IF(A183="","",IFERROR(ROUND(AVERAGEIFS(ASSESSMENTS!H:H,ASSESSMENTS!B:B,A183,ASSESSMENTS!E:E,"Mathematics"),1),""))</f>
        <v/>
      </c>
      <c r="G183" s="4">
        <f>IF(A183="","",IFERROR(ROUND(AVERAGEIFS(ASSESSMENTS!H:H,ASSESSMENTS!B:B,A183,ASSESSMENTS!E:E,"Mathematical Literacy"),1),""))</f>
        <v/>
      </c>
      <c r="H183" s="4">
        <f>IF(A183="","",IFERROR(ROUND(AVERAGEIFS(ASSESSMENTS!H:H,ASSESSMENTS!B:B,A183,ASSESSMENTS!E:E,"Physical Sciences"),1),""))</f>
        <v/>
      </c>
      <c r="I183" s="4">
        <f>IF(A183="","",IFERROR(ROUND(AVERAGEIFS(ASSESSMENTS!H:H,ASSESSMENTS!B:B,A183,ASSESSMENTS!E:E,"Geography"),1),""))</f>
        <v/>
      </c>
      <c r="J183" s="4">
        <f>IF(A183="","",IFERROR(ROUND(AVERAGEIFS(ASSESSMENTS!H:H,ASSESSMENTS!B:B,A183,ASSESSMENTS!E:E,"Accounting"),1),""))</f>
        <v/>
      </c>
      <c r="K183" s="4">
        <f>IF(A183="","",IFERROR(ROUND(AVERAGEIFS(ASSESSMENTS!H:H,ASSESSMENTS!B:B,A183,ASSESSMENTS!E:E,"English"),1),""))</f>
        <v/>
      </c>
      <c r="L183" s="5">
        <f>IF(A183="","",IFERROR(_xludf.XLOOKUP(A183,ATTENDANCE_SUMMARY!A:A,ATTENDANCE_SUMMARY!G:G,""),""))</f>
        <v/>
      </c>
      <c r="M183" s="4">
        <f>IF(A183="","",IF(OR(E183&lt;50,AND(L183&lt;0.75,L183&lt;&gt;"" )),"At Risk","On Track"))</f>
        <v/>
      </c>
    </row>
    <row r="184">
      <c r="A184">
        <f>IF(MASTER_REGISTER!E184="","",MASTER_REGISTER!E184)</f>
        <v/>
      </c>
      <c r="B184">
        <f>IF(A184="","",MASTER_REGISTER!F184)</f>
        <v/>
      </c>
      <c r="C184">
        <f>IF(A184="","",MASTER_REGISTER!C184)</f>
        <v/>
      </c>
      <c r="D184">
        <f>IF(A184="","",COUNTIF(ASSESSMENTS!B:B,A184))</f>
        <v/>
      </c>
      <c r="E184" s="4">
        <f>IF(D184=0,"",ROUND(AVERAGEIF(ASSESSMENTS!B:B,A184,ASSESSMENTS!H:H),1))</f>
        <v/>
      </c>
      <c r="F184" s="4">
        <f>IF(A184="","",IFERROR(ROUND(AVERAGEIFS(ASSESSMENTS!H:H,ASSESSMENTS!B:B,A184,ASSESSMENTS!E:E,"Mathematics"),1),""))</f>
        <v/>
      </c>
      <c r="G184" s="4">
        <f>IF(A184="","",IFERROR(ROUND(AVERAGEIFS(ASSESSMENTS!H:H,ASSESSMENTS!B:B,A184,ASSESSMENTS!E:E,"Mathematical Literacy"),1),""))</f>
        <v/>
      </c>
      <c r="H184" s="4">
        <f>IF(A184="","",IFERROR(ROUND(AVERAGEIFS(ASSESSMENTS!H:H,ASSESSMENTS!B:B,A184,ASSESSMENTS!E:E,"Physical Sciences"),1),""))</f>
        <v/>
      </c>
      <c r="I184" s="4">
        <f>IF(A184="","",IFERROR(ROUND(AVERAGEIFS(ASSESSMENTS!H:H,ASSESSMENTS!B:B,A184,ASSESSMENTS!E:E,"Geography"),1),""))</f>
        <v/>
      </c>
      <c r="J184" s="4">
        <f>IF(A184="","",IFERROR(ROUND(AVERAGEIFS(ASSESSMENTS!H:H,ASSESSMENTS!B:B,A184,ASSESSMENTS!E:E,"Accounting"),1),""))</f>
        <v/>
      </c>
      <c r="K184" s="4">
        <f>IF(A184="","",IFERROR(ROUND(AVERAGEIFS(ASSESSMENTS!H:H,ASSESSMENTS!B:B,A184,ASSESSMENTS!E:E,"English"),1),""))</f>
        <v/>
      </c>
      <c r="L184" s="5">
        <f>IF(A184="","",IFERROR(_xludf.XLOOKUP(A184,ATTENDANCE_SUMMARY!A:A,ATTENDANCE_SUMMARY!G:G,""),""))</f>
        <v/>
      </c>
      <c r="M184" s="4">
        <f>IF(A184="","",IF(OR(E184&lt;50,AND(L184&lt;0.75,L184&lt;&gt;"" )),"At Risk","On Track"))</f>
        <v/>
      </c>
    </row>
    <row r="185">
      <c r="A185">
        <f>IF(MASTER_REGISTER!E185="","",MASTER_REGISTER!E185)</f>
        <v/>
      </c>
      <c r="B185">
        <f>IF(A185="","",MASTER_REGISTER!F185)</f>
        <v/>
      </c>
      <c r="C185">
        <f>IF(A185="","",MASTER_REGISTER!C185)</f>
        <v/>
      </c>
      <c r="D185">
        <f>IF(A185="","",COUNTIF(ASSESSMENTS!B:B,A185))</f>
        <v/>
      </c>
      <c r="E185" s="4">
        <f>IF(D185=0,"",ROUND(AVERAGEIF(ASSESSMENTS!B:B,A185,ASSESSMENTS!H:H),1))</f>
        <v/>
      </c>
      <c r="F185" s="4">
        <f>IF(A185="","",IFERROR(ROUND(AVERAGEIFS(ASSESSMENTS!H:H,ASSESSMENTS!B:B,A185,ASSESSMENTS!E:E,"Mathematics"),1),""))</f>
        <v/>
      </c>
      <c r="G185" s="4">
        <f>IF(A185="","",IFERROR(ROUND(AVERAGEIFS(ASSESSMENTS!H:H,ASSESSMENTS!B:B,A185,ASSESSMENTS!E:E,"Mathematical Literacy"),1),""))</f>
        <v/>
      </c>
      <c r="H185" s="4">
        <f>IF(A185="","",IFERROR(ROUND(AVERAGEIFS(ASSESSMENTS!H:H,ASSESSMENTS!B:B,A185,ASSESSMENTS!E:E,"Physical Sciences"),1),""))</f>
        <v/>
      </c>
      <c r="I185" s="4">
        <f>IF(A185="","",IFERROR(ROUND(AVERAGEIFS(ASSESSMENTS!H:H,ASSESSMENTS!B:B,A185,ASSESSMENTS!E:E,"Geography"),1),""))</f>
        <v/>
      </c>
      <c r="J185" s="4">
        <f>IF(A185="","",IFERROR(ROUND(AVERAGEIFS(ASSESSMENTS!H:H,ASSESSMENTS!B:B,A185,ASSESSMENTS!E:E,"Accounting"),1),""))</f>
        <v/>
      </c>
      <c r="K185" s="4">
        <f>IF(A185="","",IFERROR(ROUND(AVERAGEIFS(ASSESSMENTS!H:H,ASSESSMENTS!B:B,A185,ASSESSMENTS!E:E,"English"),1),""))</f>
        <v/>
      </c>
      <c r="L185" s="5">
        <f>IF(A185="","",IFERROR(_xludf.XLOOKUP(A185,ATTENDANCE_SUMMARY!A:A,ATTENDANCE_SUMMARY!G:G,""),""))</f>
        <v/>
      </c>
      <c r="M185" s="4">
        <f>IF(A185="","",IF(OR(E185&lt;50,AND(L185&lt;0.75,L185&lt;&gt;"" )),"At Risk","On Track"))</f>
        <v/>
      </c>
    </row>
    <row r="186">
      <c r="A186">
        <f>IF(MASTER_REGISTER!E186="","",MASTER_REGISTER!E186)</f>
        <v/>
      </c>
      <c r="B186">
        <f>IF(A186="","",MASTER_REGISTER!F186)</f>
        <v/>
      </c>
      <c r="C186">
        <f>IF(A186="","",MASTER_REGISTER!C186)</f>
        <v/>
      </c>
      <c r="D186">
        <f>IF(A186="","",COUNTIF(ASSESSMENTS!B:B,A186))</f>
        <v/>
      </c>
      <c r="E186" s="4">
        <f>IF(D186=0,"",ROUND(AVERAGEIF(ASSESSMENTS!B:B,A186,ASSESSMENTS!H:H),1))</f>
        <v/>
      </c>
      <c r="F186" s="4">
        <f>IF(A186="","",IFERROR(ROUND(AVERAGEIFS(ASSESSMENTS!H:H,ASSESSMENTS!B:B,A186,ASSESSMENTS!E:E,"Mathematics"),1),""))</f>
        <v/>
      </c>
      <c r="G186" s="4">
        <f>IF(A186="","",IFERROR(ROUND(AVERAGEIFS(ASSESSMENTS!H:H,ASSESSMENTS!B:B,A186,ASSESSMENTS!E:E,"Mathematical Literacy"),1),""))</f>
        <v/>
      </c>
      <c r="H186" s="4">
        <f>IF(A186="","",IFERROR(ROUND(AVERAGEIFS(ASSESSMENTS!H:H,ASSESSMENTS!B:B,A186,ASSESSMENTS!E:E,"Physical Sciences"),1),""))</f>
        <v/>
      </c>
      <c r="I186" s="4">
        <f>IF(A186="","",IFERROR(ROUND(AVERAGEIFS(ASSESSMENTS!H:H,ASSESSMENTS!B:B,A186,ASSESSMENTS!E:E,"Geography"),1),""))</f>
        <v/>
      </c>
      <c r="J186" s="4">
        <f>IF(A186="","",IFERROR(ROUND(AVERAGEIFS(ASSESSMENTS!H:H,ASSESSMENTS!B:B,A186,ASSESSMENTS!E:E,"Accounting"),1),""))</f>
        <v/>
      </c>
      <c r="K186" s="4">
        <f>IF(A186="","",IFERROR(ROUND(AVERAGEIFS(ASSESSMENTS!H:H,ASSESSMENTS!B:B,A186,ASSESSMENTS!E:E,"English"),1),""))</f>
        <v/>
      </c>
      <c r="L186" s="5">
        <f>IF(A186="","",IFERROR(_xludf.XLOOKUP(A186,ATTENDANCE_SUMMARY!A:A,ATTENDANCE_SUMMARY!G:G,""),""))</f>
        <v/>
      </c>
      <c r="M186" s="4">
        <f>IF(A186="","",IF(OR(E186&lt;50,AND(L186&lt;0.75,L186&lt;&gt;"" )),"At Risk","On Track"))</f>
        <v/>
      </c>
    </row>
    <row r="187">
      <c r="A187">
        <f>IF(MASTER_REGISTER!E187="","",MASTER_REGISTER!E187)</f>
        <v/>
      </c>
      <c r="B187">
        <f>IF(A187="","",MASTER_REGISTER!F187)</f>
        <v/>
      </c>
      <c r="C187">
        <f>IF(A187="","",MASTER_REGISTER!C187)</f>
        <v/>
      </c>
      <c r="D187">
        <f>IF(A187="","",COUNTIF(ASSESSMENTS!B:B,A187))</f>
        <v/>
      </c>
      <c r="E187" s="4">
        <f>IF(D187=0,"",ROUND(AVERAGEIF(ASSESSMENTS!B:B,A187,ASSESSMENTS!H:H),1))</f>
        <v/>
      </c>
      <c r="F187" s="4">
        <f>IF(A187="","",IFERROR(ROUND(AVERAGEIFS(ASSESSMENTS!H:H,ASSESSMENTS!B:B,A187,ASSESSMENTS!E:E,"Mathematics"),1),""))</f>
        <v/>
      </c>
      <c r="G187" s="4">
        <f>IF(A187="","",IFERROR(ROUND(AVERAGEIFS(ASSESSMENTS!H:H,ASSESSMENTS!B:B,A187,ASSESSMENTS!E:E,"Mathematical Literacy"),1),""))</f>
        <v/>
      </c>
      <c r="H187" s="4">
        <f>IF(A187="","",IFERROR(ROUND(AVERAGEIFS(ASSESSMENTS!H:H,ASSESSMENTS!B:B,A187,ASSESSMENTS!E:E,"Physical Sciences"),1),""))</f>
        <v/>
      </c>
      <c r="I187" s="4">
        <f>IF(A187="","",IFERROR(ROUND(AVERAGEIFS(ASSESSMENTS!H:H,ASSESSMENTS!B:B,A187,ASSESSMENTS!E:E,"Geography"),1),""))</f>
        <v/>
      </c>
      <c r="J187" s="4">
        <f>IF(A187="","",IFERROR(ROUND(AVERAGEIFS(ASSESSMENTS!H:H,ASSESSMENTS!B:B,A187,ASSESSMENTS!E:E,"Accounting"),1),""))</f>
        <v/>
      </c>
      <c r="K187" s="4">
        <f>IF(A187="","",IFERROR(ROUND(AVERAGEIFS(ASSESSMENTS!H:H,ASSESSMENTS!B:B,A187,ASSESSMENTS!E:E,"English"),1),""))</f>
        <v/>
      </c>
      <c r="L187" s="5">
        <f>IF(A187="","",IFERROR(_xludf.XLOOKUP(A187,ATTENDANCE_SUMMARY!A:A,ATTENDANCE_SUMMARY!G:G,""),""))</f>
        <v/>
      </c>
      <c r="M187" s="4">
        <f>IF(A187="","",IF(OR(E187&lt;50,AND(L187&lt;0.75,L187&lt;&gt;"" )),"At Risk","On Track"))</f>
        <v/>
      </c>
    </row>
    <row r="188">
      <c r="A188">
        <f>IF(MASTER_REGISTER!E188="","",MASTER_REGISTER!E188)</f>
        <v/>
      </c>
      <c r="B188">
        <f>IF(A188="","",MASTER_REGISTER!F188)</f>
        <v/>
      </c>
      <c r="C188">
        <f>IF(A188="","",MASTER_REGISTER!C188)</f>
        <v/>
      </c>
      <c r="D188">
        <f>IF(A188="","",COUNTIF(ASSESSMENTS!B:B,A188))</f>
        <v/>
      </c>
      <c r="E188" s="4">
        <f>IF(D188=0,"",ROUND(AVERAGEIF(ASSESSMENTS!B:B,A188,ASSESSMENTS!H:H),1))</f>
        <v/>
      </c>
      <c r="F188" s="4">
        <f>IF(A188="","",IFERROR(ROUND(AVERAGEIFS(ASSESSMENTS!H:H,ASSESSMENTS!B:B,A188,ASSESSMENTS!E:E,"Mathematics"),1),""))</f>
        <v/>
      </c>
      <c r="G188" s="4">
        <f>IF(A188="","",IFERROR(ROUND(AVERAGEIFS(ASSESSMENTS!H:H,ASSESSMENTS!B:B,A188,ASSESSMENTS!E:E,"Mathematical Literacy"),1),""))</f>
        <v/>
      </c>
      <c r="H188" s="4">
        <f>IF(A188="","",IFERROR(ROUND(AVERAGEIFS(ASSESSMENTS!H:H,ASSESSMENTS!B:B,A188,ASSESSMENTS!E:E,"Physical Sciences"),1),""))</f>
        <v/>
      </c>
      <c r="I188" s="4">
        <f>IF(A188="","",IFERROR(ROUND(AVERAGEIFS(ASSESSMENTS!H:H,ASSESSMENTS!B:B,A188,ASSESSMENTS!E:E,"Geography"),1),""))</f>
        <v/>
      </c>
      <c r="J188" s="4">
        <f>IF(A188="","",IFERROR(ROUND(AVERAGEIFS(ASSESSMENTS!H:H,ASSESSMENTS!B:B,A188,ASSESSMENTS!E:E,"Accounting"),1),""))</f>
        <v/>
      </c>
      <c r="K188" s="4">
        <f>IF(A188="","",IFERROR(ROUND(AVERAGEIFS(ASSESSMENTS!H:H,ASSESSMENTS!B:B,A188,ASSESSMENTS!E:E,"English"),1),""))</f>
        <v/>
      </c>
      <c r="L188" s="5">
        <f>IF(A188="","",IFERROR(_xludf.XLOOKUP(A188,ATTENDANCE_SUMMARY!A:A,ATTENDANCE_SUMMARY!G:G,""),""))</f>
        <v/>
      </c>
      <c r="M188" s="4">
        <f>IF(A188="","",IF(OR(E188&lt;50,AND(L188&lt;0.75,L188&lt;&gt;"" )),"At Risk","On Track"))</f>
        <v/>
      </c>
    </row>
    <row r="189">
      <c r="A189">
        <f>IF(MASTER_REGISTER!E189="","",MASTER_REGISTER!E189)</f>
        <v/>
      </c>
      <c r="B189">
        <f>IF(A189="","",MASTER_REGISTER!F189)</f>
        <v/>
      </c>
      <c r="C189">
        <f>IF(A189="","",MASTER_REGISTER!C189)</f>
        <v/>
      </c>
      <c r="D189">
        <f>IF(A189="","",COUNTIF(ASSESSMENTS!B:B,A189))</f>
        <v/>
      </c>
      <c r="E189" s="4">
        <f>IF(D189=0,"",ROUND(AVERAGEIF(ASSESSMENTS!B:B,A189,ASSESSMENTS!H:H),1))</f>
        <v/>
      </c>
      <c r="F189" s="4">
        <f>IF(A189="","",IFERROR(ROUND(AVERAGEIFS(ASSESSMENTS!H:H,ASSESSMENTS!B:B,A189,ASSESSMENTS!E:E,"Mathematics"),1),""))</f>
        <v/>
      </c>
      <c r="G189" s="4">
        <f>IF(A189="","",IFERROR(ROUND(AVERAGEIFS(ASSESSMENTS!H:H,ASSESSMENTS!B:B,A189,ASSESSMENTS!E:E,"Mathematical Literacy"),1),""))</f>
        <v/>
      </c>
      <c r="H189" s="4">
        <f>IF(A189="","",IFERROR(ROUND(AVERAGEIFS(ASSESSMENTS!H:H,ASSESSMENTS!B:B,A189,ASSESSMENTS!E:E,"Physical Sciences"),1),""))</f>
        <v/>
      </c>
      <c r="I189" s="4">
        <f>IF(A189="","",IFERROR(ROUND(AVERAGEIFS(ASSESSMENTS!H:H,ASSESSMENTS!B:B,A189,ASSESSMENTS!E:E,"Geography"),1),""))</f>
        <v/>
      </c>
      <c r="J189" s="4">
        <f>IF(A189="","",IFERROR(ROUND(AVERAGEIFS(ASSESSMENTS!H:H,ASSESSMENTS!B:B,A189,ASSESSMENTS!E:E,"Accounting"),1),""))</f>
        <v/>
      </c>
      <c r="K189" s="4">
        <f>IF(A189="","",IFERROR(ROUND(AVERAGEIFS(ASSESSMENTS!H:H,ASSESSMENTS!B:B,A189,ASSESSMENTS!E:E,"English"),1),""))</f>
        <v/>
      </c>
      <c r="L189" s="5">
        <f>IF(A189="","",IFERROR(_xludf.XLOOKUP(A189,ATTENDANCE_SUMMARY!A:A,ATTENDANCE_SUMMARY!G:G,""),""))</f>
        <v/>
      </c>
      <c r="M189" s="4">
        <f>IF(A189="","",IF(OR(E189&lt;50,AND(L189&lt;0.75,L189&lt;&gt;"" )),"At Risk","On Track"))</f>
        <v/>
      </c>
    </row>
    <row r="190">
      <c r="A190">
        <f>IF(MASTER_REGISTER!E190="","",MASTER_REGISTER!E190)</f>
        <v/>
      </c>
      <c r="B190">
        <f>IF(A190="","",MASTER_REGISTER!F190)</f>
        <v/>
      </c>
      <c r="C190">
        <f>IF(A190="","",MASTER_REGISTER!C190)</f>
        <v/>
      </c>
      <c r="D190">
        <f>IF(A190="","",COUNTIF(ASSESSMENTS!B:B,A190))</f>
        <v/>
      </c>
      <c r="E190" s="4">
        <f>IF(D190=0,"",ROUND(AVERAGEIF(ASSESSMENTS!B:B,A190,ASSESSMENTS!H:H),1))</f>
        <v/>
      </c>
      <c r="F190" s="4">
        <f>IF(A190="","",IFERROR(ROUND(AVERAGEIFS(ASSESSMENTS!H:H,ASSESSMENTS!B:B,A190,ASSESSMENTS!E:E,"Mathematics"),1),""))</f>
        <v/>
      </c>
      <c r="G190" s="4">
        <f>IF(A190="","",IFERROR(ROUND(AVERAGEIFS(ASSESSMENTS!H:H,ASSESSMENTS!B:B,A190,ASSESSMENTS!E:E,"Mathematical Literacy"),1),""))</f>
        <v/>
      </c>
      <c r="H190" s="4">
        <f>IF(A190="","",IFERROR(ROUND(AVERAGEIFS(ASSESSMENTS!H:H,ASSESSMENTS!B:B,A190,ASSESSMENTS!E:E,"Physical Sciences"),1),""))</f>
        <v/>
      </c>
      <c r="I190" s="4">
        <f>IF(A190="","",IFERROR(ROUND(AVERAGEIFS(ASSESSMENTS!H:H,ASSESSMENTS!B:B,A190,ASSESSMENTS!E:E,"Geography"),1),""))</f>
        <v/>
      </c>
      <c r="J190" s="4">
        <f>IF(A190="","",IFERROR(ROUND(AVERAGEIFS(ASSESSMENTS!H:H,ASSESSMENTS!B:B,A190,ASSESSMENTS!E:E,"Accounting"),1),""))</f>
        <v/>
      </c>
      <c r="K190" s="4">
        <f>IF(A190="","",IFERROR(ROUND(AVERAGEIFS(ASSESSMENTS!H:H,ASSESSMENTS!B:B,A190,ASSESSMENTS!E:E,"English"),1),""))</f>
        <v/>
      </c>
      <c r="L190" s="5">
        <f>IF(A190="","",IFERROR(_xludf.XLOOKUP(A190,ATTENDANCE_SUMMARY!A:A,ATTENDANCE_SUMMARY!G:G,""),""))</f>
        <v/>
      </c>
      <c r="M190" s="4">
        <f>IF(A190="","",IF(OR(E190&lt;50,AND(L190&lt;0.75,L190&lt;&gt;"" )),"At Risk","On Track"))</f>
        <v/>
      </c>
    </row>
    <row r="191">
      <c r="A191">
        <f>IF(MASTER_REGISTER!E191="","",MASTER_REGISTER!E191)</f>
        <v/>
      </c>
      <c r="B191">
        <f>IF(A191="","",MASTER_REGISTER!F191)</f>
        <v/>
      </c>
      <c r="C191">
        <f>IF(A191="","",MASTER_REGISTER!C191)</f>
        <v/>
      </c>
      <c r="D191">
        <f>IF(A191="","",COUNTIF(ASSESSMENTS!B:B,A191))</f>
        <v/>
      </c>
      <c r="E191" s="4">
        <f>IF(D191=0,"",ROUND(AVERAGEIF(ASSESSMENTS!B:B,A191,ASSESSMENTS!H:H),1))</f>
        <v/>
      </c>
      <c r="F191" s="4">
        <f>IF(A191="","",IFERROR(ROUND(AVERAGEIFS(ASSESSMENTS!H:H,ASSESSMENTS!B:B,A191,ASSESSMENTS!E:E,"Mathematics"),1),""))</f>
        <v/>
      </c>
      <c r="G191" s="4">
        <f>IF(A191="","",IFERROR(ROUND(AVERAGEIFS(ASSESSMENTS!H:H,ASSESSMENTS!B:B,A191,ASSESSMENTS!E:E,"Mathematical Literacy"),1),""))</f>
        <v/>
      </c>
      <c r="H191" s="4">
        <f>IF(A191="","",IFERROR(ROUND(AVERAGEIFS(ASSESSMENTS!H:H,ASSESSMENTS!B:B,A191,ASSESSMENTS!E:E,"Physical Sciences"),1),""))</f>
        <v/>
      </c>
      <c r="I191" s="4">
        <f>IF(A191="","",IFERROR(ROUND(AVERAGEIFS(ASSESSMENTS!H:H,ASSESSMENTS!B:B,A191,ASSESSMENTS!E:E,"Geography"),1),""))</f>
        <v/>
      </c>
      <c r="J191" s="4">
        <f>IF(A191="","",IFERROR(ROUND(AVERAGEIFS(ASSESSMENTS!H:H,ASSESSMENTS!B:B,A191,ASSESSMENTS!E:E,"Accounting"),1),""))</f>
        <v/>
      </c>
      <c r="K191" s="4">
        <f>IF(A191="","",IFERROR(ROUND(AVERAGEIFS(ASSESSMENTS!H:H,ASSESSMENTS!B:B,A191,ASSESSMENTS!E:E,"English"),1),""))</f>
        <v/>
      </c>
      <c r="L191" s="5">
        <f>IF(A191="","",IFERROR(_xludf.XLOOKUP(A191,ATTENDANCE_SUMMARY!A:A,ATTENDANCE_SUMMARY!G:G,""),""))</f>
        <v/>
      </c>
      <c r="M191" s="4">
        <f>IF(A191="","",IF(OR(E191&lt;50,AND(L191&lt;0.75,L191&lt;&gt;"" )),"At Risk","On Track"))</f>
        <v/>
      </c>
    </row>
    <row r="192">
      <c r="A192">
        <f>IF(MASTER_REGISTER!E192="","",MASTER_REGISTER!E192)</f>
        <v/>
      </c>
      <c r="B192">
        <f>IF(A192="","",MASTER_REGISTER!F192)</f>
        <v/>
      </c>
      <c r="C192">
        <f>IF(A192="","",MASTER_REGISTER!C192)</f>
        <v/>
      </c>
      <c r="D192">
        <f>IF(A192="","",COUNTIF(ASSESSMENTS!B:B,A192))</f>
        <v/>
      </c>
      <c r="E192" s="4">
        <f>IF(D192=0,"",ROUND(AVERAGEIF(ASSESSMENTS!B:B,A192,ASSESSMENTS!H:H),1))</f>
        <v/>
      </c>
      <c r="F192" s="4">
        <f>IF(A192="","",IFERROR(ROUND(AVERAGEIFS(ASSESSMENTS!H:H,ASSESSMENTS!B:B,A192,ASSESSMENTS!E:E,"Mathematics"),1),""))</f>
        <v/>
      </c>
      <c r="G192" s="4">
        <f>IF(A192="","",IFERROR(ROUND(AVERAGEIFS(ASSESSMENTS!H:H,ASSESSMENTS!B:B,A192,ASSESSMENTS!E:E,"Mathematical Literacy"),1),""))</f>
        <v/>
      </c>
      <c r="H192" s="4">
        <f>IF(A192="","",IFERROR(ROUND(AVERAGEIFS(ASSESSMENTS!H:H,ASSESSMENTS!B:B,A192,ASSESSMENTS!E:E,"Physical Sciences"),1),""))</f>
        <v/>
      </c>
      <c r="I192" s="4">
        <f>IF(A192="","",IFERROR(ROUND(AVERAGEIFS(ASSESSMENTS!H:H,ASSESSMENTS!B:B,A192,ASSESSMENTS!E:E,"Geography"),1),""))</f>
        <v/>
      </c>
      <c r="J192" s="4">
        <f>IF(A192="","",IFERROR(ROUND(AVERAGEIFS(ASSESSMENTS!H:H,ASSESSMENTS!B:B,A192,ASSESSMENTS!E:E,"Accounting"),1),""))</f>
        <v/>
      </c>
      <c r="K192" s="4">
        <f>IF(A192="","",IFERROR(ROUND(AVERAGEIFS(ASSESSMENTS!H:H,ASSESSMENTS!B:B,A192,ASSESSMENTS!E:E,"English"),1),""))</f>
        <v/>
      </c>
      <c r="L192" s="5">
        <f>IF(A192="","",IFERROR(_xludf.XLOOKUP(A192,ATTENDANCE_SUMMARY!A:A,ATTENDANCE_SUMMARY!G:G,""),""))</f>
        <v/>
      </c>
      <c r="M192" s="4">
        <f>IF(A192="","",IF(OR(E192&lt;50,AND(L192&lt;0.75,L192&lt;&gt;"" )),"At Risk","On Track"))</f>
        <v/>
      </c>
    </row>
    <row r="193">
      <c r="A193">
        <f>IF(MASTER_REGISTER!E193="","",MASTER_REGISTER!E193)</f>
        <v/>
      </c>
      <c r="B193">
        <f>IF(A193="","",MASTER_REGISTER!F193)</f>
        <v/>
      </c>
      <c r="C193">
        <f>IF(A193="","",MASTER_REGISTER!C193)</f>
        <v/>
      </c>
      <c r="D193">
        <f>IF(A193="","",COUNTIF(ASSESSMENTS!B:B,A193))</f>
        <v/>
      </c>
      <c r="E193" s="4">
        <f>IF(D193=0,"",ROUND(AVERAGEIF(ASSESSMENTS!B:B,A193,ASSESSMENTS!H:H),1))</f>
        <v/>
      </c>
      <c r="F193" s="4">
        <f>IF(A193="","",IFERROR(ROUND(AVERAGEIFS(ASSESSMENTS!H:H,ASSESSMENTS!B:B,A193,ASSESSMENTS!E:E,"Mathematics"),1),""))</f>
        <v/>
      </c>
      <c r="G193" s="4">
        <f>IF(A193="","",IFERROR(ROUND(AVERAGEIFS(ASSESSMENTS!H:H,ASSESSMENTS!B:B,A193,ASSESSMENTS!E:E,"Mathematical Literacy"),1),""))</f>
        <v/>
      </c>
      <c r="H193" s="4">
        <f>IF(A193="","",IFERROR(ROUND(AVERAGEIFS(ASSESSMENTS!H:H,ASSESSMENTS!B:B,A193,ASSESSMENTS!E:E,"Physical Sciences"),1),""))</f>
        <v/>
      </c>
      <c r="I193" s="4">
        <f>IF(A193="","",IFERROR(ROUND(AVERAGEIFS(ASSESSMENTS!H:H,ASSESSMENTS!B:B,A193,ASSESSMENTS!E:E,"Geography"),1),""))</f>
        <v/>
      </c>
      <c r="J193" s="4">
        <f>IF(A193="","",IFERROR(ROUND(AVERAGEIFS(ASSESSMENTS!H:H,ASSESSMENTS!B:B,A193,ASSESSMENTS!E:E,"Accounting"),1),""))</f>
        <v/>
      </c>
      <c r="K193" s="4">
        <f>IF(A193="","",IFERROR(ROUND(AVERAGEIFS(ASSESSMENTS!H:H,ASSESSMENTS!B:B,A193,ASSESSMENTS!E:E,"English"),1),""))</f>
        <v/>
      </c>
      <c r="L193" s="5">
        <f>IF(A193="","",IFERROR(_xludf.XLOOKUP(A193,ATTENDANCE_SUMMARY!A:A,ATTENDANCE_SUMMARY!G:G,""),""))</f>
        <v/>
      </c>
      <c r="M193" s="4">
        <f>IF(A193="","",IF(OR(E193&lt;50,AND(L193&lt;0.75,L193&lt;&gt;"" )),"At Risk","On Track"))</f>
        <v/>
      </c>
    </row>
    <row r="194">
      <c r="A194">
        <f>IF(MASTER_REGISTER!E194="","",MASTER_REGISTER!E194)</f>
        <v/>
      </c>
      <c r="B194">
        <f>IF(A194="","",MASTER_REGISTER!F194)</f>
        <v/>
      </c>
      <c r="C194">
        <f>IF(A194="","",MASTER_REGISTER!C194)</f>
        <v/>
      </c>
      <c r="D194">
        <f>IF(A194="","",COUNTIF(ASSESSMENTS!B:B,A194))</f>
        <v/>
      </c>
      <c r="E194" s="4">
        <f>IF(D194=0,"",ROUND(AVERAGEIF(ASSESSMENTS!B:B,A194,ASSESSMENTS!H:H),1))</f>
        <v/>
      </c>
      <c r="F194" s="4">
        <f>IF(A194="","",IFERROR(ROUND(AVERAGEIFS(ASSESSMENTS!H:H,ASSESSMENTS!B:B,A194,ASSESSMENTS!E:E,"Mathematics"),1),""))</f>
        <v/>
      </c>
      <c r="G194" s="4">
        <f>IF(A194="","",IFERROR(ROUND(AVERAGEIFS(ASSESSMENTS!H:H,ASSESSMENTS!B:B,A194,ASSESSMENTS!E:E,"Mathematical Literacy"),1),""))</f>
        <v/>
      </c>
      <c r="H194" s="4">
        <f>IF(A194="","",IFERROR(ROUND(AVERAGEIFS(ASSESSMENTS!H:H,ASSESSMENTS!B:B,A194,ASSESSMENTS!E:E,"Physical Sciences"),1),""))</f>
        <v/>
      </c>
      <c r="I194" s="4">
        <f>IF(A194="","",IFERROR(ROUND(AVERAGEIFS(ASSESSMENTS!H:H,ASSESSMENTS!B:B,A194,ASSESSMENTS!E:E,"Geography"),1),""))</f>
        <v/>
      </c>
      <c r="J194" s="4">
        <f>IF(A194="","",IFERROR(ROUND(AVERAGEIFS(ASSESSMENTS!H:H,ASSESSMENTS!B:B,A194,ASSESSMENTS!E:E,"Accounting"),1),""))</f>
        <v/>
      </c>
      <c r="K194" s="4">
        <f>IF(A194="","",IFERROR(ROUND(AVERAGEIFS(ASSESSMENTS!H:H,ASSESSMENTS!B:B,A194,ASSESSMENTS!E:E,"English"),1),""))</f>
        <v/>
      </c>
      <c r="L194" s="5">
        <f>IF(A194="","",IFERROR(_xludf.XLOOKUP(A194,ATTENDANCE_SUMMARY!A:A,ATTENDANCE_SUMMARY!G:G,""),""))</f>
        <v/>
      </c>
      <c r="M194" s="4">
        <f>IF(A194="","",IF(OR(E194&lt;50,AND(L194&lt;0.75,L194&lt;&gt;"" )),"At Risk","On Track"))</f>
        <v/>
      </c>
    </row>
    <row r="195">
      <c r="A195">
        <f>IF(MASTER_REGISTER!E195="","",MASTER_REGISTER!E195)</f>
        <v/>
      </c>
      <c r="B195">
        <f>IF(A195="","",MASTER_REGISTER!F195)</f>
        <v/>
      </c>
      <c r="C195">
        <f>IF(A195="","",MASTER_REGISTER!C195)</f>
        <v/>
      </c>
      <c r="D195">
        <f>IF(A195="","",COUNTIF(ASSESSMENTS!B:B,A195))</f>
        <v/>
      </c>
      <c r="E195" s="4">
        <f>IF(D195=0,"",ROUND(AVERAGEIF(ASSESSMENTS!B:B,A195,ASSESSMENTS!H:H),1))</f>
        <v/>
      </c>
      <c r="F195" s="4">
        <f>IF(A195="","",IFERROR(ROUND(AVERAGEIFS(ASSESSMENTS!H:H,ASSESSMENTS!B:B,A195,ASSESSMENTS!E:E,"Mathematics"),1),""))</f>
        <v/>
      </c>
      <c r="G195" s="4">
        <f>IF(A195="","",IFERROR(ROUND(AVERAGEIFS(ASSESSMENTS!H:H,ASSESSMENTS!B:B,A195,ASSESSMENTS!E:E,"Mathematical Literacy"),1),""))</f>
        <v/>
      </c>
      <c r="H195" s="4">
        <f>IF(A195="","",IFERROR(ROUND(AVERAGEIFS(ASSESSMENTS!H:H,ASSESSMENTS!B:B,A195,ASSESSMENTS!E:E,"Physical Sciences"),1),""))</f>
        <v/>
      </c>
      <c r="I195" s="4">
        <f>IF(A195="","",IFERROR(ROUND(AVERAGEIFS(ASSESSMENTS!H:H,ASSESSMENTS!B:B,A195,ASSESSMENTS!E:E,"Geography"),1),""))</f>
        <v/>
      </c>
      <c r="J195" s="4">
        <f>IF(A195="","",IFERROR(ROUND(AVERAGEIFS(ASSESSMENTS!H:H,ASSESSMENTS!B:B,A195,ASSESSMENTS!E:E,"Accounting"),1),""))</f>
        <v/>
      </c>
      <c r="K195" s="4">
        <f>IF(A195="","",IFERROR(ROUND(AVERAGEIFS(ASSESSMENTS!H:H,ASSESSMENTS!B:B,A195,ASSESSMENTS!E:E,"English"),1),""))</f>
        <v/>
      </c>
      <c r="L195" s="5">
        <f>IF(A195="","",IFERROR(_xludf.XLOOKUP(A195,ATTENDANCE_SUMMARY!A:A,ATTENDANCE_SUMMARY!G:G,""),""))</f>
        <v/>
      </c>
      <c r="M195" s="4">
        <f>IF(A195="","",IF(OR(E195&lt;50,AND(L195&lt;0.75,L195&lt;&gt;"" )),"At Risk","On Track"))</f>
        <v/>
      </c>
    </row>
    <row r="196">
      <c r="A196">
        <f>IF(MASTER_REGISTER!E196="","",MASTER_REGISTER!E196)</f>
        <v/>
      </c>
      <c r="B196">
        <f>IF(A196="","",MASTER_REGISTER!F196)</f>
        <v/>
      </c>
      <c r="C196">
        <f>IF(A196="","",MASTER_REGISTER!C196)</f>
        <v/>
      </c>
      <c r="D196">
        <f>IF(A196="","",COUNTIF(ASSESSMENTS!B:B,A196))</f>
        <v/>
      </c>
      <c r="E196" s="4">
        <f>IF(D196=0,"",ROUND(AVERAGEIF(ASSESSMENTS!B:B,A196,ASSESSMENTS!H:H),1))</f>
        <v/>
      </c>
      <c r="F196" s="4">
        <f>IF(A196="","",IFERROR(ROUND(AVERAGEIFS(ASSESSMENTS!H:H,ASSESSMENTS!B:B,A196,ASSESSMENTS!E:E,"Mathematics"),1),""))</f>
        <v/>
      </c>
      <c r="G196" s="4">
        <f>IF(A196="","",IFERROR(ROUND(AVERAGEIFS(ASSESSMENTS!H:H,ASSESSMENTS!B:B,A196,ASSESSMENTS!E:E,"Mathematical Literacy"),1),""))</f>
        <v/>
      </c>
      <c r="H196" s="4">
        <f>IF(A196="","",IFERROR(ROUND(AVERAGEIFS(ASSESSMENTS!H:H,ASSESSMENTS!B:B,A196,ASSESSMENTS!E:E,"Physical Sciences"),1),""))</f>
        <v/>
      </c>
      <c r="I196" s="4">
        <f>IF(A196="","",IFERROR(ROUND(AVERAGEIFS(ASSESSMENTS!H:H,ASSESSMENTS!B:B,A196,ASSESSMENTS!E:E,"Geography"),1),""))</f>
        <v/>
      </c>
      <c r="J196" s="4">
        <f>IF(A196="","",IFERROR(ROUND(AVERAGEIFS(ASSESSMENTS!H:H,ASSESSMENTS!B:B,A196,ASSESSMENTS!E:E,"Accounting"),1),""))</f>
        <v/>
      </c>
      <c r="K196" s="4">
        <f>IF(A196="","",IFERROR(ROUND(AVERAGEIFS(ASSESSMENTS!H:H,ASSESSMENTS!B:B,A196,ASSESSMENTS!E:E,"English"),1),""))</f>
        <v/>
      </c>
      <c r="L196" s="5">
        <f>IF(A196="","",IFERROR(_xludf.XLOOKUP(A196,ATTENDANCE_SUMMARY!A:A,ATTENDANCE_SUMMARY!G:G,""),""))</f>
        <v/>
      </c>
      <c r="M196" s="4">
        <f>IF(A196="","",IF(OR(E196&lt;50,AND(L196&lt;0.75,L196&lt;&gt;"" )),"At Risk","On Track"))</f>
        <v/>
      </c>
    </row>
    <row r="197">
      <c r="A197">
        <f>IF(MASTER_REGISTER!E197="","",MASTER_REGISTER!E197)</f>
        <v/>
      </c>
      <c r="B197">
        <f>IF(A197="","",MASTER_REGISTER!F197)</f>
        <v/>
      </c>
      <c r="C197">
        <f>IF(A197="","",MASTER_REGISTER!C197)</f>
        <v/>
      </c>
      <c r="D197">
        <f>IF(A197="","",COUNTIF(ASSESSMENTS!B:B,A197))</f>
        <v/>
      </c>
      <c r="E197" s="4">
        <f>IF(D197=0,"",ROUND(AVERAGEIF(ASSESSMENTS!B:B,A197,ASSESSMENTS!H:H),1))</f>
        <v/>
      </c>
      <c r="F197" s="4">
        <f>IF(A197="","",IFERROR(ROUND(AVERAGEIFS(ASSESSMENTS!H:H,ASSESSMENTS!B:B,A197,ASSESSMENTS!E:E,"Mathematics"),1),""))</f>
        <v/>
      </c>
      <c r="G197" s="4">
        <f>IF(A197="","",IFERROR(ROUND(AVERAGEIFS(ASSESSMENTS!H:H,ASSESSMENTS!B:B,A197,ASSESSMENTS!E:E,"Mathematical Literacy"),1),""))</f>
        <v/>
      </c>
      <c r="H197" s="4">
        <f>IF(A197="","",IFERROR(ROUND(AVERAGEIFS(ASSESSMENTS!H:H,ASSESSMENTS!B:B,A197,ASSESSMENTS!E:E,"Physical Sciences"),1),""))</f>
        <v/>
      </c>
      <c r="I197" s="4">
        <f>IF(A197="","",IFERROR(ROUND(AVERAGEIFS(ASSESSMENTS!H:H,ASSESSMENTS!B:B,A197,ASSESSMENTS!E:E,"Geography"),1),""))</f>
        <v/>
      </c>
      <c r="J197" s="4">
        <f>IF(A197="","",IFERROR(ROUND(AVERAGEIFS(ASSESSMENTS!H:H,ASSESSMENTS!B:B,A197,ASSESSMENTS!E:E,"Accounting"),1),""))</f>
        <v/>
      </c>
      <c r="K197" s="4">
        <f>IF(A197="","",IFERROR(ROUND(AVERAGEIFS(ASSESSMENTS!H:H,ASSESSMENTS!B:B,A197,ASSESSMENTS!E:E,"English"),1),""))</f>
        <v/>
      </c>
      <c r="L197" s="5">
        <f>IF(A197="","",IFERROR(_xludf.XLOOKUP(A197,ATTENDANCE_SUMMARY!A:A,ATTENDANCE_SUMMARY!G:G,""),""))</f>
        <v/>
      </c>
      <c r="M197" s="4">
        <f>IF(A197="","",IF(OR(E197&lt;50,AND(L197&lt;0.75,L197&lt;&gt;"" )),"At Risk","On Track"))</f>
        <v/>
      </c>
    </row>
    <row r="198">
      <c r="A198">
        <f>IF(MASTER_REGISTER!E198="","",MASTER_REGISTER!E198)</f>
        <v/>
      </c>
      <c r="B198">
        <f>IF(A198="","",MASTER_REGISTER!F198)</f>
        <v/>
      </c>
      <c r="C198">
        <f>IF(A198="","",MASTER_REGISTER!C198)</f>
        <v/>
      </c>
      <c r="D198">
        <f>IF(A198="","",COUNTIF(ASSESSMENTS!B:B,A198))</f>
        <v/>
      </c>
      <c r="E198" s="4">
        <f>IF(D198=0,"",ROUND(AVERAGEIF(ASSESSMENTS!B:B,A198,ASSESSMENTS!H:H),1))</f>
        <v/>
      </c>
      <c r="F198" s="4">
        <f>IF(A198="","",IFERROR(ROUND(AVERAGEIFS(ASSESSMENTS!H:H,ASSESSMENTS!B:B,A198,ASSESSMENTS!E:E,"Mathematics"),1),""))</f>
        <v/>
      </c>
      <c r="G198" s="4">
        <f>IF(A198="","",IFERROR(ROUND(AVERAGEIFS(ASSESSMENTS!H:H,ASSESSMENTS!B:B,A198,ASSESSMENTS!E:E,"Mathematical Literacy"),1),""))</f>
        <v/>
      </c>
      <c r="H198" s="4">
        <f>IF(A198="","",IFERROR(ROUND(AVERAGEIFS(ASSESSMENTS!H:H,ASSESSMENTS!B:B,A198,ASSESSMENTS!E:E,"Physical Sciences"),1),""))</f>
        <v/>
      </c>
      <c r="I198" s="4">
        <f>IF(A198="","",IFERROR(ROUND(AVERAGEIFS(ASSESSMENTS!H:H,ASSESSMENTS!B:B,A198,ASSESSMENTS!E:E,"Geography"),1),""))</f>
        <v/>
      </c>
      <c r="J198" s="4">
        <f>IF(A198="","",IFERROR(ROUND(AVERAGEIFS(ASSESSMENTS!H:H,ASSESSMENTS!B:B,A198,ASSESSMENTS!E:E,"Accounting"),1),""))</f>
        <v/>
      </c>
      <c r="K198" s="4">
        <f>IF(A198="","",IFERROR(ROUND(AVERAGEIFS(ASSESSMENTS!H:H,ASSESSMENTS!B:B,A198,ASSESSMENTS!E:E,"English"),1),""))</f>
        <v/>
      </c>
      <c r="L198" s="5">
        <f>IF(A198="","",IFERROR(_xludf.XLOOKUP(A198,ATTENDANCE_SUMMARY!A:A,ATTENDANCE_SUMMARY!G:G,""),""))</f>
        <v/>
      </c>
      <c r="M198" s="4">
        <f>IF(A198="","",IF(OR(E198&lt;50,AND(L198&lt;0.75,L198&lt;&gt;"" )),"At Risk","On Track"))</f>
        <v/>
      </c>
    </row>
    <row r="199">
      <c r="A199">
        <f>IF(MASTER_REGISTER!E199="","",MASTER_REGISTER!E199)</f>
        <v/>
      </c>
      <c r="B199">
        <f>IF(A199="","",MASTER_REGISTER!F199)</f>
        <v/>
      </c>
      <c r="C199">
        <f>IF(A199="","",MASTER_REGISTER!C199)</f>
        <v/>
      </c>
      <c r="D199">
        <f>IF(A199="","",COUNTIF(ASSESSMENTS!B:B,A199))</f>
        <v/>
      </c>
      <c r="E199" s="4">
        <f>IF(D199=0,"",ROUND(AVERAGEIF(ASSESSMENTS!B:B,A199,ASSESSMENTS!H:H),1))</f>
        <v/>
      </c>
      <c r="F199" s="4">
        <f>IF(A199="","",IFERROR(ROUND(AVERAGEIFS(ASSESSMENTS!H:H,ASSESSMENTS!B:B,A199,ASSESSMENTS!E:E,"Mathematics"),1),""))</f>
        <v/>
      </c>
      <c r="G199" s="4">
        <f>IF(A199="","",IFERROR(ROUND(AVERAGEIFS(ASSESSMENTS!H:H,ASSESSMENTS!B:B,A199,ASSESSMENTS!E:E,"Mathematical Literacy"),1),""))</f>
        <v/>
      </c>
      <c r="H199" s="4">
        <f>IF(A199="","",IFERROR(ROUND(AVERAGEIFS(ASSESSMENTS!H:H,ASSESSMENTS!B:B,A199,ASSESSMENTS!E:E,"Physical Sciences"),1),""))</f>
        <v/>
      </c>
      <c r="I199" s="4">
        <f>IF(A199="","",IFERROR(ROUND(AVERAGEIFS(ASSESSMENTS!H:H,ASSESSMENTS!B:B,A199,ASSESSMENTS!E:E,"Geography"),1),""))</f>
        <v/>
      </c>
      <c r="J199" s="4">
        <f>IF(A199="","",IFERROR(ROUND(AVERAGEIFS(ASSESSMENTS!H:H,ASSESSMENTS!B:B,A199,ASSESSMENTS!E:E,"Accounting"),1),""))</f>
        <v/>
      </c>
      <c r="K199" s="4">
        <f>IF(A199="","",IFERROR(ROUND(AVERAGEIFS(ASSESSMENTS!H:H,ASSESSMENTS!B:B,A199,ASSESSMENTS!E:E,"English"),1),""))</f>
        <v/>
      </c>
      <c r="L199" s="5">
        <f>IF(A199="","",IFERROR(_xludf.XLOOKUP(A199,ATTENDANCE_SUMMARY!A:A,ATTENDANCE_SUMMARY!G:G,""),""))</f>
        <v/>
      </c>
      <c r="M199" s="4">
        <f>IF(A199="","",IF(OR(E199&lt;50,AND(L199&lt;0.75,L199&lt;&gt;"" )),"At Risk","On Track"))</f>
        <v/>
      </c>
    </row>
    <row r="200">
      <c r="A200">
        <f>IF(MASTER_REGISTER!E200="","",MASTER_REGISTER!E200)</f>
        <v/>
      </c>
      <c r="B200">
        <f>IF(A200="","",MASTER_REGISTER!F200)</f>
        <v/>
      </c>
      <c r="C200">
        <f>IF(A200="","",MASTER_REGISTER!C200)</f>
        <v/>
      </c>
      <c r="D200">
        <f>IF(A200="","",COUNTIF(ASSESSMENTS!B:B,A200))</f>
        <v/>
      </c>
      <c r="E200" s="4">
        <f>IF(D200=0,"",ROUND(AVERAGEIF(ASSESSMENTS!B:B,A200,ASSESSMENTS!H:H),1))</f>
        <v/>
      </c>
      <c r="F200" s="4">
        <f>IF(A200="","",IFERROR(ROUND(AVERAGEIFS(ASSESSMENTS!H:H,ASSESSMENTS!B:B,A200,ASSESSMENTS!E:E,"Mathematics"),1),""))</f>
        <v/>
      </c>
      <c r="G200" s="4">
        <f>IF(A200="","",IFERROR(ROUND(AVERAGEIFS(ASSESSMENTS!H:H,ASSESSMENTS!B:B,A200,ASSESSMENTS!E:E,"Mathematical Literacy"),1),""))</f>
        <v/>
      </c>
      <c r="H200" s="4">
        <f>IF(A200="","",IFERROR(ROUND(AVERAGEIFS(ASSESSMENTS!H:H,ASSESSMENTS!B:B,A200,ASSESSMENTS!E:E,"Physical Sciences"),1),""))</f>
        <v/>
      </c>
      <c r="I200" s="4">
        <f>IF(A200="","",IFERROR(ROUND(AVERAGEIFS(ASSESSMENTS!H:H,ASSESSMENTS!B:B,A200,ASSESSMENTS!E:E,"Geography"),1),""))</f>
        <v/>
      </c>
      <c r="J200" s="4">
        <f>IF(A200="","",IFERROR(ROUND(AVERAGEIFS(ASSESSMENTS!H:H,ASSESSMENTS!B:B,A200,ASSESSMENTS!E:E,"Accounting"),1),""))</f>
        <v/>
      </c>
      <c r="K200" s="4">
        <f>IF(A200="","",IFERROR(ROUND(AVERAGEIFS(ASSESSMENTS!H:H,ASSESSMENTS!B:B,A200,ASSESSMENTS!E:E,"English"),1),""))</f>
        <v/>
      </c>
      <c r="L200" s="5">
        <f>IF(A200="","",IFERROR(_xludf.XLOOKUP(A200,ATTENDANCE_SUMMARY!A:A,ATTENDANCE_SUMMARY!G:G,""),""))</f>
        <v/>
      </c>
      <c r="M200" s="4">
        <f>IF(A200="","",IF(OR(E200&lt;50,AND(L200&lt;0.75,L200&lt;&gt;"" )),"At Risk","On Track"))</f>
        <v/>
      </c>
    </row>
    <row r="201">
      <c r="A201">
        <f>IF(MASTER_REGISTER!E201="","",MASTER_REGISTER!E201)</f>
        <v/>
      </c>
      <c r="B201">
        <f>IF(A201="","",MASTER_REGISTER!F201)</f>
        <v/>
      </c>
      <c r="C201">
        <f>IF(A201="","",MASTER_REGISTER!C201)</f>
        <v/>
      </c>
      <c r="D201">
        <f>IF(A201="","",COUNTIF(ASSESSMENTS!B:B,A201))</f>
        <v/>
      </c>
      <c r="E201" s="4">
        <f>IF(D201=0,"",ROUND(AVERAGEIF(ASSESSMENTS!B:B,A201,ASSESSMENTS!H:H),1))</f>
        <v/>
      </c>
      <c r="F201" s="4">
        <f>IF(A201="","",IFERROR(ROUND(AVERAGEIFS(ASSESSMENTS!H:H,ASSESSMENTS!B:B,A201,ASSESSMENTS!E:E,"Mathematics"),1),""))</f>
        <v/>
      </c>
      <c r="G201" s="4">
        <f>IF(A201="","",IFERROR(ROUND(AVERAGEIFS(ASSESSMENTS!H:H,ASSESSMENTS!B:B,A201,ASSESSMENTS!E:E,"Mathematical Literacy"),1),""))</f>
        <v/>
      </c>
      <c r="H201" s="4">
        <f>IF(A201="","",IFERROR(ROUND(AVERAGEIFS(ASSESSMENTS!H:H,ASSESSMENTS!B:B,A201,ASSESSMENTS!E:E,"Physical Sciences"),1),""))</f>
        <v/>
      </c>
      <c r="I201" s="4">
        <f>IF(A201="","",IFERROR(ROUND(AVERAGEIFS(ASSESSMENTS!H:H,ASSESSMENTS!B:B,A201,ASSESSMENTS!E:E,"Geography"),1),""))</f>
        <v/>
      </c>
      <c r="J201" s="4">
        <f>IF(A201="","",IFERROR(ROUND(AVERAGEIFS(ASSESSMENTS!H:H,ASSESSMENTS!B:B,A201,ASSESSMENTS!E:E,"Accounting"),1),""))</f>
        <v/>
      </c>
      <c r="K201" s="4">
        <f>IF(A201="","",IFERROR(ROUND(AVERAGEIFS(ASSESSMENTS!H:H,ASSESSMENTS!B:B,A201,ASSESSMENTS!E:E,"English"),1),""))</f>
        <v/>
      </c>
      <c r="L201" s="5">
        <f>IF(A201="","",IFERROR(_xludf.XLOOKUP(A201,ATTENDANCE_SUMMARY!A:A,ATTENDANCE_SUMMARY!G:G,""),""))</f>
        <v/>
      </c>
      <c r="M201" s="4">
        <f>IF(A201="","",IF(OR(E201&lt;50,AND(L201&lt;0.75,L201&lt;&gt;"" )),"At Risk","On Track"))</f>
        <v/>
      </c>
    </row>
    <row r="202">
      <c r="A202">
        <f>IF(MASTER_REGISTER!E202="","",MASTER_REGISTER!E202)</f>
        <v/>
      </c>
      <c r="B202">
        <f>IF(A202="","",MASTER_REGISTER!F202)</f>
        <v/>
      </c>
      <c r="C202">
        <f>IF(A202="","",MASTER_REGISTER!C202)</f>
        <v/>
      </c>
      <c r="D202">
        <f>IF(A202="","",COUNTIF(ASSESSMENTS!B:B,A202))</f>
        <v/>
      </c>
      <c r="E202" s="4">
        <f>IF(D202=0,"",ROUND(AVERAGEIF(ASSESSMENTS!B:B,A202,ASSESSMENTS!H:H),1))</f>
        <v/>
      </c>
      <c r="F202" s="4">
        <f>IF(A202="","",IFERROR(ROUND(AVERAGEIFS(ASSESSMENTS!H:H,ASSESSMENTS!B:B,A202,ASSESSMENTS!E:E,"Mathematics"),1),""))</f>
        <v/>
      </c>
      <c r="G202" s="4">
        <f>IF(A202="","",IFERROR(ROUND(AVERAGEIFS(ASSESSMENTS!H:H,ASSESSMENTS!B:B,A202,ASSESSMENTS!E:E,"Mathematical Literacy"),1),""))</f>
        <v/>
      </c>
      <c r="H202" s="4">
        <f>IF(A202="","",IFERROR(ROUND(AVERAGEIFS(ASSESSMENTS!H:H,ASSESSMENTS!B:B,A202,ASSESSMENTS!E:E,"Physical Sciences"),1),""))</f>
        <v/>
      </c>
      <c r="I202" s="4">
        <f>IF(A202="","",IFERROR(ROUND(AVERAGEIFS(ASSESSMENTS!H:H,ASSESSMENTS!B:B,A202,ASSESSMENTS!E:E,"Geography"),1),""))</f>
        <v/>
      </c>
      <c r="J202" s="4">
        <f>IF(A202="","",IFERROR(ROUND(AVERAGEIFS(ASSESSMENTS!H:H,ASSESSMENTS!B:B,A202,ASSESSMENTS!E:E,"Accounting"),1),""))</f>
        <v/>
      </c>
      <c r="K202" s="4">
        <f>IF(A202="","",IFERROR(ROUND(AVERAGEIFS(ASSESSMENTS!H:H,ASSESSMENTS!B:B,A202,ASSESSMENTS!E:E,"English"),1),""))</f>
        <v/>
      </c>
      <c r="L202" s="5">
        <f>IF(A202="","",IFERROR(_xludf.XLOOKUP(A202,ATTENDANCE_SUMMARY!A:A,ATTENDANCE_SUMMARY!G:G,""),""))</f>
        <v/>
      </c>
      <c r="M202" s="4">
        <f>IF(A202="","",IF(OR(E202&lt;50,AND(L202&lt;0.75,L202&lt;&gt;"" )),"At Risk","On Track"))</f>
        <v/>
      </c>
    </row>
    <row r="203">
      <c r="A203">
        <f>IF(MASTER_REGISTER!E203="","",MASTER_REGISTER!E203)</f>
        <v/>
      </c>
      <c r="B203">
        <f>IF(A203="","",MASTER_REGISTER!F203)</f>
        <v/>
      </c>
      <c r="C203">
        <f>IF(A203="","",MASTER_REGISTER!C203)</f>
        <v/>
      </c>
      <c r="D203">
        <f>IF(A203="","",COUNTIF(ASSESSMENTS!B:B,A203))</f>
        <v/>
      </c>
      <c r="E203" s="4">
        <f>IF(D203=0,"",ROUND(AVERAGEIF(ASSESSMENTS!B:B,A203,ASSESSMENTS!H:H),1))</f>
        <v/>
      </c>
      <c r="F203" s="4">
        <f>IF(A203="","",IFERROR(ROUND(AVERAGEIFS(ASSESSMENTS!H:H,ASSESSMENTS!B:B,A203,ASSESSMENTS!E:E,"Mathematics"),1),""))</f>
        <v/>
      </c>
      <c r="G203" s="4">
        <f>IF(A203="","",IFERROR(ROUND(AVERAGEIFS(ASSESSMENTS!H:H,ASSESSMENTS!B:B,A203,ASSESSMENTS!E:E,"Mathematical Literacy"),1),""))</f>
        <v/>
      </c>
      <c r="H203" s="4">
        <f>IF(A203="","",IFERROR(ROUND(AVERAGEIFS(ASSESSMENTS!H:H,ASSESSMENTS!B:B,A203,ASSESSMENTS!E:E,"Physical Sciences"),1),""))</f>
        <v/>
      </c>
      <c r="I203" s="4">
        <f>IF(A203="","",IFERROR(ROUND(AVERAGEIFS(ASSESSMENTS!H:H,ASSESSMENTS!B:B,A203,ASSESSMENTS!E:E,"Geography"),1),""))</f>
        <v/>
      </c>
      <c r="J203" s="4">
        <f>IF(A203="","",IFERROR(ROUND(AVERAGEIFS(ASSESSMENTS!H:H,ASSESSMENTS!B:B,A203,ASSESSMENTS!E:E,"Accounting"),1),""))</f>
        <v/>
      </c>
      <c r="K203" s="4">
        <f>IF(A203="","",IFERROR(ROUND(AVERAGEIFS(ASSESSMENTS!H:H,ASSESSMENTS!B:B,A203,ASSESSMENTS!E:E,"English"),1),""))</f>
        <v/>
      </c>
      <c r="L203" s="5">
        <f>IF(A203="","",IFERROR(_xludf.XLOOKUP(A203,ATTENDANCE_SUMMARY!A:A,ATTENDANCE_SUMMARY!G:G,""),""))</f>
        <v/>
      </c>
      <c r="M203" s="4">
        <f>IF(A203="","",IF(OR(E203&lt;50,AND(L203&lt;0.75,L203&lt;&gt;"" )),"At Risk","On Track"))</f>
        <v/>
      </c>
    </row>
    <row r="204">
      <c r="A204">
        <f>IF(MASTER_REGISTER!E204="","",MASTER_REGISTER!E204)</f>
        <v/>
      </c>
      <c r="B204">
        <f>IF(A204="","",MASTER_REGISTER!F204)</f>
        <v/>
      </c>
      <c r="C204">
        <f>IF(A204="","",MASTER_REGISTER!C204)</f>
        <v/>
      </c>
      <c r="D204">
        <f>IF(A204="","",COUNTIF(ASSESSMENTS!B:B,A204))</f>
        <v/>
      </c>
      <c r="E204" s="4">
        <f>IF(D204=0,"",ROUND(AVERAGEIF(ASSESSMENTS!B:B,A204,ASSESSMENTS!H:H),1))</f>
        <v/>
      </c>
      <c r="F204" s="4">
        <f>IF(A204="","",IFERROR(ROUND(AVERAGEIFS(ASSESSMENTS!H:H,ASSESSMENTS!B:B,A204,ASSESSMENTS!E:E,"Mathematics"),1),""))</f>
        <v/>
      </c>
      <c r="G204" s="4">
        <f>IF(A204="","",IFERROR(ROUND(AVERAGEIFS(ASSESSMENTS!H:H,ASSESSMENTS!B:B,A204,ASSESSMENTS!E:E,"Mathematical Literacy"),1),""))</f>
        <v/>
      </c>
      <c r="H204" s="4">
        <f>IF(A204="","",IFERROR(ROUND(AVERAGEIFS(ASSESSMENTS!H:H,ASSESSMENTS!B:B,A204,ASSESSMENTS!E:E,"Physical Sciences"),1),""))</f>
        <v/>
      </c>
      <c r="I204" s="4">
        <f>IF(A204="","",IFERROR(ROUND(AVERAGEIFS(ASSESSMENTS!H:H,ASSESSMENTS!B:B,A204,ASSESSMENTS!E:E,"Geography"),1),""))</f>
        <v/>
      </c>
      <c r="J204" s="4">
        <f>IF(A204="","",IFERROR(ROUND(AVERAGEIFS(ASSESSMENTS!H:H,ASSESSMENTS!B:B,A204,ASSESSMENTS!E:E,"Accounting"),1),""))</f>
        <v/>
      </c>
      <c r="K204" s="4">
        <f>IF(A204="","",IFERROR(ROUND(AVERAGEIFS(ASSESSMENTS!H:H,ASSESSMENTS!B:B,A204,ASSESSMENTS!E:E,"English"),1),""))</f>
        <v/>
      </c>
      <c r="L204" s="5">
        <f>IF(A204="","",IFERROR(_xludf.XLOOKUP(A204,ATTENDANCE_SUMMARY!A:A,ATTENDANCE_SUMMARY!G:G,""),""))</f>
        <v/>
      </c>
      <c r="M204" s="4">
        <f>IF(A204="","",IF(OR(E204&lt;50,AND(L204&lt;0.75,L204&lt;&gt;"" )),"At Risk","On Track"))</f>
        <v/>
      </c>
    </row>
    <row r="205">
      <c r="A205">
        <f>IF(MASTER_REGISTER!E205="","",MASTER_REGISTER!E205)</f>
        <v/>
      </c>
      <c r="B205">
        <f>IF(A205="","",MASTER_REGISTER!F205)</f>
        <v/>
      </c>
      <c r="C205">
        <f>IF(A205="","",MASTER_REGISTER!C205)</f>
        <v/>
      </c>
      <c r="D205">
        <f>IF(A205="","",COUNTIF(ASSESSMENTS!B:B,A205))</f>
        <v/>
      </c>
      <c r="E205" s="4">
        <f>IF(D205=0,"",ROUND(AVERAGEIF(ASSESSMENTS!B:B,A205,ASSESSMENTS!H:H),1))</f>
        <v/>
      </c>
      <c r="F205" s="4">
        <f>IF(A205="","",IFERROR(ROUND(AVERAGEIFS(ASSESSMENTS!H:H,ASSESSMENTS!B:B,A205,ASSESSMENTS!E:E,"Mathematics"),1),""))</f>
        <v/>
      </c>
      <c r="G205" s="4">
        <f>IF(A205="","",IFERROR(ROUND(AVERAGEIFS(ASSESSMENTS!H:H,ASSESSMENTS!B:B,A205,ASSESSMENTS!E:E,"Mathematical Literacy"),1),""))</f>
        <v/>
      </c>
      <c r="H205" s="4">
        <f>IF(A205="","",IFERROR(ROUND(AVERAGEIFS(ASSESSMENTS!H:H,ASSESSMENTS!B:B,A205,ASSESSMENTS!E:E,"Physical Sciences"),1),""))</f>
        <v/>
      </c>
      <c r="I205" s="4">
        <f>IF(A205="","",IFERROR(ROUND(AVERAGEIFS(ASSESSMENTS!H:H,ASSESSMENTS!B:B,A205,ASSESSMENTS!E:E,"Geography"),1),""))</f>
        <v/>
      </c>
      <c r="J205" s="4">
        <f>IF(A205="","",IFERROR(ROUND(AVERAGEIFS(ASSESSMENTS!H:H,ASSESSMENTS!B:B,A205,ASSESSMENTS!E:E,"Accounting"),1),""))</f>
        <v/>
      </c>
      <c r="K205" s="4">
        <f>IF(A205="","",IFERROR(ROUND(AVERAGEIFS(ASSESSMENTS!H:H,ASSESSMENTS!B:B,A205,ASSESSMENTS!E:E,"English"),1),""))</f>
        <v/>
      </c>
      <c r="L205" s="5">
        <f>IF(A205="","",IFERROR(_xludf.XLOOKUP(A205,ATTENDANCE_SUMMARY!A:A,ATTENDANCE_SUMMARY!G:G,""),""))</f>
        <v/>
      </c>
      <c r="M205" s="4">
        <f>IF(A205="","",IF(OR(E205&lt;50,AND(L205&lt;0.75,L205&lt;&gt;"" )),"At Risk","On Track"))</f>
        <v/>
      </c>
    </row>
    <row r="206">
      <c r="A206">
        <f>IF(MASTER_REGISTER!E206="","",MASTER_REGISTER!E206)</f>
        <v/>
      </c>
      <c r="B206">
        <f>IF(A206="","",MASTER_REGISTER!F206)</f>
        <v/>
      </c>
      <c r="C206">
        <f>IF(A206="","",MASTER_REGISTER!C206)</f>
        <v/>
      </c>
      <c r="D206">
        <f>IF(A206="","",COUNTIF(ASSESSMENTS!B:B,A206))</f>
        <v/>
      </c>
      <c r="E206" s="4">
        <f>IF(D206=0,"",ROUND(AVERAGEIF(ASSESSMENTS!B:B,A206,ASSESSMENTS!H:H),1))</f>
        <v/>
      </c>
      <c r="F206" s="4">
        <f>IF(A206="","",IFERROR(ROUND(AVERAGEIFS(ASSESSMENTS!H:H,ASSESSMENTS!B:B,A206,ASSESSMENTS!E:E,"Mathematics"),1),""))</f>
        <v/>
      </c>
      <c r="G206" s="4">
        <f>IF(A206="","",IFERROR(ROUND(AVERAGEIFS(ASSESSMENTS!H:H,ASSESSMENTS!B:B,A206,ASSESSMENTS!E:E,"Mathematical Literacy"),1),""))</f>
        <v/>
      </c>
      <c r="H206" s="4">
        <f>IF(A206="","",IFERROR(ROUND(AVERAGEIFS(ASSESSMENTS!H:H,ASSESSMENTS!B:B,A206,ASSESSMENTS!E:E,"Physical Sciences"),1),""))</f>
        <v/>
      </c>
      <c r="I206" s="4">
        <f>IF(A206="","",IFERROR(ROUND(AVERAGEIFS(ASSESSMENTS!H:H,ASSESSMENTS!B:B,A206,ASSESSMENTS!E:E,"Geography"),1),""))</f>
        <v/>
      </c>
      <c r="J206" s="4">
        <f>IF(A206="","",IFERROR(ROUND(AVERAGEIFS(ASSESSMENTS!H:H,ASSESSMENTS!B:B,A206,ASSESSMENTS!E:E,"Accounting"),1),""))</f>
        <v/>
      </c>
      <c r="K206" s="4">
        <f>IF(A206="","",IFERROR(ROUND(AVERAGEIFS(ASSESSMENTS!H:H,ASSESSMENTS!B:B,A206,ASSESSMENTS!E:E,"English"),1),""))</f>
        <v/>
      </c>
      <c r="L206" s="5">
        <f>IF(A206="","",IFERROR(_xludf.XLOOKUP(A206,ATTENDANCE_SUMMARY!A:A,ATTENDANCE_SUMMARY!G:G,""),""))</f>
        <v/>
      </c>
      <c r="M206" s="4">
        <f>IF(A206="","",IF(OR(E206&lt;50,AND(L206&lt;0.75,L206&lt;&gt;"" )),"At Risk","On Track"))</f>
        <v/>
      </c>
    </row>
    <row r="207">
      <c r="A207">
        <f>IF(MASTER_REGISTER!E207="","",MASTER_REGISTER!E207)</f>
        <v/>
      </c>
      <c r="B207">
        <f>IF(A207="","",MASTER_REGISTER!F207)</f>
        <v/>
      </c>
      <c r="C207">
        <f>IF(A207="","",MASTER_REGISTER!C207)</f>
        <v/>
      </c>
      <c r="D207">
        <f>IF(A207="","",COUNTIF(ASSESSMENTS!B:B,A207))</f>
        <v/>
      </c>
      <c r="E207" s="4">
        <f>IF(D207=0,"",ROUND(AVERAGEIF(ASSESSMENTS!B:B,A207,ASSESSMENTS!H:H),1))</f>
        <v/>
      </c>
      <c r="F207" s="4">
        <f>IF(A207="","",IFERROR(ROUND(AVERAGEIFS(ASSESSMENTS!H:H,ASSESSMENTS!B:B,A207,ASSESSMENTS!E:E,"Mathematics"),1),""))</f>
        <v/>
      </c>
      <c r="G207" s="4">
        <f>IF(A207="","",IFERROR(ROUND(AVERAGEIFS(ASSESSMENTS!H:H,ASSESSMENTS!B:B,A207,ASSESSMENTS!E:E,"Mathematical Literacy"),1),""))</f>
        <v/>
      </c>
      <c r="H207" s="4">
        <f>IF(A207="","",IFERROR(ROUND(AVERAGEIFS(ASSESSMENTS!H:H,ASSESSMENTS!B:B,A207,ASSESSMENTS!E:E,"Physical Sciences"),1),""))</f>
        <v/>
      </c>
      <c r="I207" s="4">
        <f>IF(A207="","",IFERROR(ROUND(AVERAGEIFS(ASSESSMENTS!H:H,ASSESSMENTS!B:B,A207,ASSESSMENTS!E:E,"Geography"),1),""))</f>
        <v/>
      </c>
      <c r="J207" s="4">
        <f>IF(A207="","",IFERROR(ROUND(AVERAGEIFS(ASSESSMENTS!H:H,ASSESSMENTS!B:B,A207,ASSESSMENTS!E:E,"Accounting"),1),""))</f>
        <v/>
      </c>
      <c r="K207" s="4">
        <f>IF(A207="","",IFERROR(ROUND(AVERAGEIFS(ASSESSMENTS!H:H,ASSESSMENTS!B:B,A207,ASSESSMENTS!E:E,"English"),1),""))</f>
        <v/>
      </c>
      <c r="L207" s="5">
        <f>IF(A207="","",IFERROR(_xludf.XLOOKUP(A207,ATTENDANCE_SUMMARY!A:A,ATTENDANCE_SUMMARY!G:G,""),""))</f>
        <v/>
      </c>
      <c r="M207" s="4">
        <f>IF(A207="","",IF(OR(E207&lt;50,AND(L207&lt;0.75,L207&lt;&gt;"" )),"At Risk","On Track"))</f>
        <v/>
      </c>
    </row>
    <row r="208">
      <c r="A208">
        <f>IF(MASTER_REGISTER!E208="","",MASTER_REGISTER!E208)</f>
        <v/>
      </c>
      <c r="B208">
        <f>IF(A208="","",MASTER_REGISTER!F208)</f>
        <v/>
      </c>
      <c r="C208">
        <f>IF(A208="","",MASTER_REGISTER!C208)</f>
        <v/>
      </c>
      <c r="D208">
        <f>IF(A208="","",COUNTIF(ASSESSMENTS!B:B,A208))</f>
        <v/>
      </c>
      <c r="E208" s="4">
        <f>IF(D208=0,"",ROUND(AVERAGEIF(ASSESSMENTS!B:B,A208,ASSESSMENTS!H:H),1))</f>
        <v/>
      </c>
      <c r="F208" s="4">
        <f>IF(A208="","",IFERROR(ROUND(AVERAGEIFS(ASSESSMENTS!H:H,ASSESSMENTS!B:B,A208,ASSESSMENTS!E:E,"Mathematics"),1),""))</f>
        <v/>
      </c>
      <c r="G208" s="4">
        <f>IF(A208="","",IFERROR(ROUND(AVERAGEIFS(ASSESSMENTS!H:H,ASSESSMENTS!B:B,A208,ASSESSMENTS!E:E,"Mathematical Literacy"),1),""))</f>
        <v/>
      </c>
      <c r="H208" s="4">
        <f>IF(A208="","",IFERROR(ROUND(AVERAGEIFS(ASSESSMENTS!H:H,ASSESSMENTS!B:B,A208,ASSESSMENTS!E:E,"Physical Sciences"),1),""))</f>
        <v/>
      </c>
      <c r="I208" s="4">
        <f>IF(A208="","",IFERROR(ROUND(AVERAGEIFS(ASSESSMENTS!H:H,ASSESSMENTS!B:B,A208,ASSESSMENTS!E:E,"Geography"),1),""))</f>
        <v/>
      </c>
      <c r="J208" s="4">
        <f>IF(A208="","",IFERROR(ROUND(AVERAGEIFS(ASSESSMENTS!H:H,ASSESSMENTS!B:B,A208,ASSESSMENTS!E:E,"Accounting"),1),""))</f>
        <v/>
      </c>
      <c r="K208" s="4">
        <f>IF(A208="","",IFERROR(ROUND(AVERAGEIFS(ASSESSMENTS!H:H,ASSESSMENTS!B:B,A208,ASSESSMENTS!E:E,"English"),1),""))</f>
        <v/>
      </c>
      <c r="L208" s="5">
        <f>IF(A208="","",IFERROR(_xludf.XLOOKUP(A208,ATTENDANCE_SUMMARY!A:A,ATTENDANCE_SUMMARY!G:G,""),""))</f>
        <v/>
      </c>
      <c r="M208" s="4">
        <f>IF(A208="","",IF(OR(E208&lt;50,AND(L208&lt;0.75,L208&lt;&gt;"" )),"At Risk","On Track"))</f>
        <v/>
      </c>
    </row>
    <row r="209">
      <c r="A209">
        <f>IF(MASTER_REGISTER!E209="","",MASTER_REGISTER!E209)</f>
        <v/>
      </c>
      <c r="B209">
        <f>IF(A209="","",MASTER_REGISTER!F209)</f>
        <v/>
      </c>
      <c r="C209">
        <f>IF(A209="","",MASTER_REGISTER!C209)</f>
        <v/>
      </c>
      <c r="D209">
        <f>IF(A209="","",COUNTIF(ASSESSMENTS!B:B,A209))</f>
        <v/>
      </c>
      <c r="E209" s="4">
        <f>IF(D209=0,"",ROUND(AVERAGEIF(ASSESSMENTS!B:B,A209,ASSESSMENTS!H:H),1))</f>
        <v/>
      </c>
      <c r="F209" s="4">
        <f>IF(A209="","",IFERROR(ROUND(AVERAGEIFS(ASSESSMENTS!H:H,ASSESSMENTS!B:B,A209,ASSESSMENTS!E:E,"Mathematics"),1),""))</f>
        <v/>
      </c>
      <c r="G209" s="4">
        <f>IF(A209="","",IFERROR(ROUND(AVERAGEIFS(ASSESSMENTS!H:H,ASSESSMENTS!B:B,A209,ASSESSMENTS!E:E,"Mathematical Literacy"),1),""))</f>
        <v/>
      </c>
      <c r="H209" s="4">
        <f>IF(A209="","",IFERROR(ROUND(AVERAGEIFS(ASSESSMENTS!H:H,ASSESSMENTS!B:B,A209,ASSESSMENTS!E:E,"Physical Sciences"),1),""))</f>
        <v/>
      </c>
      <c r="I209" s="4">
        <f>IF(A209="","",IFERROR(ROUND(AVERAGEIFS(ASSESSMENTS!H:H,ASSESSMENTS!B:B,A209,ASSESSMENTS!E:E,"Geography"),1),""))</f>
        <v/>
      </c>
      <c r="J209" s="4">
        <f>IF(A209="","",IFERROR(ROUND(AVERAGEIFS(ASSESSMENTS!H:H,ASSESSMENTS!B:B,A209,ASSESSMENTS!E:E,"Accounting"),1),""))</f>
        <v/>
      </c>
      <c r="K209" s="4">
        <f>IF(A209="","",IFERROR(ROUND(AVERAGEIFS(ASSESSMENTS!H:H,ASSESSMENTS!B:B,A209,ASSESSMENTS!E:E,"English"),1),""))</f>
        <v/>
      </c>
      <c r="L209" s="5">
        <f>IF(A209="","",IFERROR(_xludf.XLOOKUP(A209,ATTENDANCE_SUMMARY!A:A,ATTENDANCE_SUMMARY!G:G,""),""))</f>
        <v/>
      </c>
      <c r="M209" s="4">
        <f>IF(A209="","",IF(OR(E209&lt;50,AND(L209&lt;0.75,L209&lt;&gt;"" )),"At Risk","On Track"))</f>
        <v/>
      </c>
    </row>
    <row r="210">
      <c r="A210">
        <f>IF(MASTER_REGISTER!E210="","",MASTER_REGISTER!E210)</f>
        <v/>
      </c>
      <c r="B210">
        <f>IF(A210="","",MASTER_REGISTER!F210)</f>
        <v/>
      </c>
      <c r="C210">
        <f>IF(A210="","",MASTER_REGISTER!C210)</f>
        <v/>
      </c>
      <c r="D210">
        <f>IF(A210="","",COUNTIF(ASSESSMENTS!B:B,A210))</f>
        <v/>
      </c>
      <c r="E210" s="4">
        <f>IF(D210=0,"",ROUND(AVERAGEIF(ASSESSMENTS!B:B,A210,ASSESSMENTS!H:H),1))</f>
        <v/>
      </c>
      <c r="F210" s="4">
        <f>IF(A210="","",IFERROR(ROUND(AVERAGEIFS(ASSESSMENTS!H:H,ASSESSMENTS!B:B,A210,ASSESSMENTS!E:E,"Mathematics"),1),""))</f>
        <v/>
      </c>
      <c r="G210" s="4">
        <f>IF(A210="","",IFERROR(ROUND(AVERAGEIFS(ASSESSMENTS!H:H,ASSESSMENTS!B:B,A210,ASSESSMENTS!E:E,"Mathematical Literacy"),1),""))</f>
        <v/>
      </c>
      <c r="H210" s="4">
        <f>IF(A210="","",IFERROR(ROUND(AVERAGEIFS(ASSESSMENTS!H:H,ASSESSMENTS!B:B,A210,ASSESSMENTS!E:E,"Physical Sciences"),1),""))</f>
        <v/>
      </c>
      <c r="I210" s="4">
        <f>IF(A210="","",IFERROR(ROUND(AVERAGEIFS(ASSESSMENTS!H:H,ASSESSMENTS!B:B,A210,ASSESSMENTS!E:E,"Geography"),1),""))</f>
        <v/>
      </c>
      <c r="J210" s="4">
        <f>IF(A210="","",IFERROR(ROUND(AVERAGEIFS(ASSESSMENTS!H:H,ASSESSMENTS!B:B,A210,ASSESSMENTS!E:E,"Accounting"),1),""))</f>
        <v/>
      </c>
      <c r="K210" s="4">
        <f>IF(A210="","",IFERROR(ROUND(AVERAGEIFS(ASSESSMENTS!H:H,ASSESSMENTS!B:B,A210,ASSESSMENTS!E:E,"English"),1),""))</f>
        <v/>
      </c>
      <c r="L210" s="5">
        <f>IF(A210="","",IFERROR(_xludf.XLOOKUP(A210,ATTENDANCE_SUMMARY!A:A,ATTENDANCE_SUMMARY!G:G,""),""))</f>
        <v/>
      </c>
      <c r="M210" s="4">
        <f>IF(A210="","",IF(OR(E210&lt;50,AND(L210&lt;0.75,L210&lt;&gt;"" )),"At Risk","On Track"))</f>
        <v/>
      </c>
    </row>
    <row r="211">
      <c r="A211">
        <f>IF(MASTER_REGISTER!E211="","",MASTER_REGISTER!E211)</f>
        <v/>
      </c>
      <c r="B211">
        <f>IF(A211="","",MASTER_REGISTER!F211)</f>
        <v/>
      </c>
      <c r="C211">
        <f>IF(A211="","",MASTER_REGISTER!C211)</f>
        <v/>
      </c>
      <c r="D211">
        <f>IF(A211="","",COUNTIF(ASSESSMENTS!B:B,A211))</f>
        <v/>
      </c>
      <c r="E211" s="4">
        <f>IF(D211=0,"",ROUND(AVERAGEIF(ASSESSMENTS!B:B,A211,ASSESSMENTS!H:H),1))</f>
        <v/>
      </c>
      <c r="F211" s="4">
        <f>IF(A211="","",IFERROR(ROUND(AVERAGEIFS(ASSESSMENTS!H:H,ASSESSMENTS!B:B,A211,ASSESSMENTS!E:E,"Mathematics"),1),""))</f>
        <v/>
      </c>
      <c r="G211" s="4">
        <f>IF(A211="","",IFERROR(ROUND(AVERAGEIFS(ASSESSMENTS!H:H,ASSESSMENTS!B:B,A211,ASSESSMENTS!E:E,"Mathematical Literacy"),1),""))</f>
        <v/>
      </c>
      <c r="H211" s="4">
        <f>IF(A211="","",IFERROR(ROUND(AVERAGEIFS(ASSESSMENTS!H:H,ASSESSMENTS!B:B,A211,ASSESSMENTS!E:E,"Physical Sciences"),1),""))</f>
        <v/>
      </c>
      <c r="I211" s="4">
        <f>IF(A211="","",IFERROR(ROUND(AVERAGEIFS(ASSESSMENTS!H:H,ASSESSMENTS!B:B,A211,ASSESSMENTS!E:E,"Geography"),1),""))</f>
        <v/>
      </c>
      <c r="J211" s="4">
        <f>IF(A211="","",IFERROR(ROUND(AVERAGEIFS(ASSESSMENTS!H:H,ASSESSMENTS!B:B,A211,ASSESSMENTS!E:E,"Accounting"),1),""))</f>
        <v/>
      </c>
      <c r="K211" s="4">
        <f>IF(A211="","",IFERROR(ROUND(AVERAGEIFS(ASSESSMENTS!H:H,ASSESSMENTS!B:B,A211,ASSESSMENTS!E:E,"English"),1),""))</f>
        <v/>
      </c>
      <c r="L211" s="5">
        <f>IF(A211="","",IFERROR(_xludf.XLOOKUP(A211,ATTENDANCE_SUMMARY!A:A,ATTENDANCE_SUMMARY!G:G,""),""))</f>
        <v/>
      </c>
      <c r="M211" s="4">
        <f>IF(A211="","",IF(OR(E211&lt;50,AND(L211&lt;0.75,L211&lt;&gt;"" )),"At Risk","On Track"))</f>
        <v/>
      </c>
    </row>
    <row r="212">
      <c r="A212">
        <f>IF(MASTER_REGISTER!E212="","",MASTER_REGISTER!E212)</f>
        <v/>
      </c>
      <c r="B212">
        <f>IF(A212="","",MASTER_REGISTER!F212)</f>
        <v/>
      </c>
      <c r="C212">
        <f>IF(A212="","",MASTER_REGISTER!C212)</f>
        <v/>
      </c>
      <c r="D212">
        <f>IF(A212="","",COUNTIF(ASSESSMENTS!B:B,A212))</f>
        <v/>
      </c>
      <c r="E212" s="4">
        <f>IF(D212=0,"",ROUND(AVERAGEIF(ASSESSMENTS!B:B,A212,ASSESSMENTS!H:H),1))</f>
        <v/>
      </c>
      <c r="F212" s="4">
        <f>IF(A212="","",IFERROR(ROUND(AVERAGEIFS(ASSESSMENTS!H:H,ASSESSMENTS!B:B,A212,ASSESSMENTS!E:E,"Mathematics"),1),""))</f>
        <v/>
      </c>
      <c r="G212" s="4">
        <f>IF(A212="","",IFERROR(ROUND(AVERAGEIFS(ASSESSMENTS!H:H,ASSESSMENTS!B:B,A212,ASSESSMENTS!E:E,"Mathematical Literacy"),1),""))</f>
        <v/>
      </c>
      <c r="H212" s="4">
        <f>IF(A212="","",IFERROR(ROUND(AVERAGEIFS(ASSESSMENTS!H:H,ASSESSMENTS!B:B,A212,ASSESSMENTS!E:E,"Physical Sciences"),1),""))</f>
        <v/>
      </c>
      <c r="I212" s="4">
        <f>IF(A212="","",IFERROR(ROUND(AVERAGEIFS(ASSESSMENTS!H:H,ASSESSMENTS!B:B,A212,ASSESSMENTS!E:E,"Geography"),1),""))</f>
        <v/>
      </c>
      <c r="J212" s="4">
        <f>IF(A212="","",IFERROR(ROUND(AVERAGEIFS(ASSESSMENTS!H:H,ASSESSMENTS!B:B,A212,ASSESSMENTS!E:E,"Accounting"),1),""))</f>
        <v/>
      </c>
      <c r="K212" s="4">
        <f>IF(A212="","",IFERROR(ROUND(AVERAGEIFS(ASSESSMENTS!H:H,ASSESSMENTS!B:B,A212,ASSESSMENTS!E:E,"English"),1),""))</f>
        <v/>
      </c>
      <c r="L212" s="5">
        <f>IF(A212="","",IFERROR(_xludf.XLOOKUP(A212,ATTENDANCE_SUMMARY!A:A,ATTENDANCE_SUMMARY!G:G,""),""))</f>
        <v/>
      </c>
      <c r="M212" s="4">
        <f>IF(A212="","",IF(OR(E212&lt;50,AND(L212&lt;0.75,L212&lt;&gt;"" )),"At Risk","On Track"))</f>
        <v/>
      </c>
    </row>
    <row r="213">
      <c r="A213">
        <f>IF(MASTER_REGISTER!E213="","",MASTER_REGISTER!E213)</f>
        <v/>
      </c>
      <c r="B213">
        <f>IF(A213="","",MASTER_REGISTER!F213)</f>
        <v/>
      </c>
      <c r="C213">
        <f>IF(A213="","",MASTER_REGISTER!C213)</f>
        <v/>
      </c>
      <c r="D213">
        <f>IF(A213="","",COUNTIF(ASSESSMENTS!B:B,A213))</f>
        <v/>
      </c>
      <c r="E213" s="4">
        <f>IF(D213=0,"",ROUND(AVERAGEIF(ASSESSMENTS!B:B,A213,ASSESSMENTS!H:H),1))</f>
        <v/>
      </c>
      <c r="F213" s="4">
        <f>IF(A213="","",IFERROR(ROUND(AVERAGEIFS(ASSESSMENTS!H:H,ASSESSMENTS!B:B,A213,ASSESSMENTS!E:E,"Mathematics"),1),""))</f>
        <v/>
      </c>
      <c r="G213" s="4">
        <f>IF(A213="","",IFERROR(ROUND(AVERAGEIFS(ASSESSMENTS!H:H,ASSESSMENTS!B:B,A213,ASSESSMENTS!E:E,"Mathematical Literacy"),1),""))</f>
        <v/>
      </c>
      <c r="H213" s="4">
        <f>IF(A213="","",IFERROR(ROUND(AVERAGEIFS(ASSESSMENTS!H:H,ASSESSMENTS!B:B,A213,ASSESSMENTS!E:E,"Physical Sciences"),1),""))</f>
        <v/>
      </c>
      <c r="I213" s="4">
        <f>IF(A213="","",IFERROR(ROUND(AVERAGEIFS(ASSESSMENTS!H:H,ASSESSMENTS!B:B,A213,ASSESSMENTS!E:E,"Geography"),1),""))</f>
        <v/>
      </c>
      <c r="J213" s="4">
        <f>IF(A213="","",IFERROR(ROUND(AVERAGEIFS(ASSESSMENTS!H:H,ASSESSMENTS!B:B,A213,ASSESSMENTS!E:E,"Accounting"),1),""))</f>
        <v/>
      </c>
      <c r="K213" s="4">
        <f>IF(A213="","",IFERROR(ROUND(AVERAGEIFS(ASSESSMENTS!H:H,ASSESSMENTS!B:B,A213,ASSESSMENTS!E:E,"English"),1),""))</f>
        <v/>
      </c>
      <c r="L213" s="5">
        <f>IF(A213="","",IFERROR(_xludf.XLOOKUP(A213,ATTENDANCE_SUMMARY!A:A,ATTENDANCE_SUMMARY!G:G,""),""))</f>
        <v/>
      </c>
      <c r="M213" s="4">
        <f>IF(A213="","",IF(OR(E213&lt;50,AND(L213&lt;0.75,L213&lt;&gt;"" )),"At Risk","On Track"))</f>
        <v/>
      </c>
    </row>
    <row r="214">
      <c r="A214">
        <f>IF(MASTER_REGISTER!E214="","",MASTER_REGISTER!E214)</f>
        <v/>
      </c>
      <c r="B214">
        <f>IF(A214="","",MASTER_REGISTER!F214)</f>
        <v/>
      </c>
      <c r="C214">
        <f>IF(A214="","",MASTER_REGISTER!C214)</f>
        <v/>
      </c>
      <c r="D214">
        <f>IF(A214="","",COUNTIF(ASSESSMENTS!B:B,A214))</f>
        <v/>
      </c>
      <c r="E214" s="4">
        <f>IF(D214=0,"",ROUND(AVERAGEIF(ASSESSMENTS!B:B,A214,ASSESSMENTS!H:H),1))</f>
        <v/>
      </c>
      <c r="F214" s="4">
        <f>IF(A214="","",IFERROR(ROUND(AVERAGEIFS(ASSESSMENTS!H:H,ASSESSMENTS!B:B,A214,ASSESSMENTS!E:E,"Mathematics"),1),""))</f>
        <v/>
      </c>
      <c r="G214" s="4">
        <f>IF(A214="","",IFERROR(ROUND(AVERAGEIFS(ASSESSMENTS!H:H,ASSESSMENTS!B:B,A214,ASSESSMENTS!E:E,"Mathematical Literacy"),1),""))</f>
        <v/>
      </c>
      <c r="H214" s="4">
        <f>IF(A214="","",IFERROR(ROUND(AVERAGEIFS(ASSESSMENTS!H:H,ASSESSMENTS!B:B,A214,ASSESSMENTS!E:E,"Physical Sciences"),1),""))</f>
        <v/>
      </c>
      <c r="I214" s="4">
        <f>IF(A214="","",IFERROR(ROUND(AVERAGEIFS(ASSESSMENTS!H:H,ASSESSMENTS!B:B,A214,ASSESSMENTS!E:E,"Geography"),1),""))</f>
        <v/>
      </c>
      <c r="J214" s="4">
        <f>IF(A214="","",IFERROR(ROUND(AVERAGEIFS(ASSESSMENTS!H:H,ASSESSMENTS!B:B,A214,ASSESSMENTS!E:E,"Accounting"),1),""))</f>
        <v/>
      </c>
      <c r="K214" s="4">
        <f>IF(A214="","",IFERROR(ROUND(AVERAGEIFS(ASSESSMENTS!H:H,ASSESSMENTS!B:B,A214,ASSESSMENTS!E:E,"English"),1),""))</f>
        <v/>
      </c>
      <c r="L214" s="5">
        <f>IF(A214="","",IFERROR(_xludf.XLOOKUP(A214,ATTENDANCE_SUMMARY!A:A,ATTENDANCE_SUMMARY!G:G,""),""))</f>
        <v/>
      </c>
      <c r="M214" s="4">
        <f>IF(A214="","",IF(OR(E214&lt;50,AND(L214&lt;0.75,L214&lt;&gt;"" )),"At Risk","On Track"))</f>
        <v/>
      </c>
    </row>
    <row r="215">
      <c r="A215">
        <f>IF(MASTER_REGISTER!E215="","",MASTER_REGISTER!E215)</f>
        <v/>
      </c>
      <c r="B215">
        <f>IF(A215="","",MASTER_REGISTER!F215)</f>
        <v/>
      </c>
      <c r="C215">
        <f>IF(A215="","",MASTER_REGISTER!C215)</f>
        <v/>
      </c>
      <c r="D215">
        <f>IF(A215="","",COUNTIF(ASSESSMENTS!B:B,A215))</f>
        <v/>
      </c>
      <c r="E215" s="4">
        <f>IF(D215=0,"",ROUND(AVERAGEIF(ASSESSMENTS!B:B,A215,ASSESSMENTS!H:H),1))</f>
        <v/>
      </c>
      <c r="F215" s="4">
        <f>IF(A215="","",IFERROR(ROUND(AVERAGEIFS(ASSESSMENTS!H:H,ASSESSMENTS!B:B,A215,ASSESSMENTS!E:E,"Mathematics"),1),""))</f>
        <v/>
      </c>
      <c r="G215" s="4">
        <f>IF(A215="","",IFERROR(ROUND(AVERAGEIFS(ASSESSMENTS!H:H,ASSESSMENTS!B:B,A215,ASSESSMENTS!E:E,"Mathematical Literacy"),1),""))</f>
        <v/>
      </c>
      <c r="H215" s="4">
        <f>IF(A215="","",IFERROR(ROUND(AVERAGEIFS(ASSESSMENTS!H:H,ASSESSMENTS!B:B,A215,ASSESSMENTS!E:E,"Physical Sciences"),1),""))</f>
        <v/>
      </c>
      <c r="I215" s="4">
        <f>IF(A215="","",IFERROR(ROUND(AVERAGEIFS(ASSESSMENTS!H:H,ASSESSMENTS!B:B,A215,ASSESSMENTS!E:E,"Geography"),1),""))</f>
        <v/>
      </c>
      <c r="J215" s="4">
        <f>IF(A215="","",IFERROR(ROUND(AVERAGEIFS(ASSESSMENTS!H:H,ASSESSMENTS!B:B,A215,ASSESSMENTS!E:E,"Accounting"),1),""))</f>
        <v/>
      </c>
      <c r="K215" s="4">
        <f>IF(A215="","",IFERROR(ROUND(AVERAGEIFS(ASSESSMENTS!H:H,ASSESSMENTS!B:B,A215,ASSESSMENTS!E:E,"English"),1),""))</f>
        <v/>
      </c>
      <c r="L215" s="5">
        <f>IF(A215="","",IFERROR(_xludf.XLOOKUP(A215,ATTENDANCE_SUMMARY!A:A,ATTENDANCE_SUMMARY!G:G,""),""))</f>
        <v/>
      </c>
      <c r="M215" s="4">
        <f>IF(A215="","",IF(OR(E215&lt;50,AND(L215&lt;0.75,L215&lt;&gt;"" )),"At Risk","On Track"))</f>
        <v/>
      </c>
    </row>
    <row r="216">
      <c r="A216">
        <f>IF(MASTER_REGISTER!E216="","",MASTER_REGISTER!E216)</f>
        <v/>
      </c>
      <c r="B216">
        <f>IF(A216="","",MASTER_REGISTER!F216)</f>
        <v/>
      </c>
      <c r="C216">
        <f>IF(A216="","",MASTER_REGISTER!C216)</f>
        <v/>
      </c>
      <c r="D216">
        <f>IF(A216="","",COUNTIF(ASSESSMENTS!B:B,A216))</f>
        <v/>
      </c>
      <c r="E216" s="4">
        <f>IF(D216=0,"",ROUND(AVERAGEIF(ASSESSMENTS!B:B,A216,ASSESSMENTS!H:H),1))</f>
        <v/>
      </c>
      <c r="F216" s="4">
        <f>IF(A216="","",IFERROR(ROUND(AVERAGEIFS(ASSESSMENTS!H:H,ASSESSMENTS!B:B,A216,ASSESSMENTS!E:E,"Mathematics"),1),""))</f>
        <v/>
      </c>
      <c r="G216" s="4">
        <f>IF(A216="","",IFERROR(ROUND(AVERAGEIFS(ASSESSMENTS!H:H,ASSESSMENTS!B:B,A216,ASSESSMENTS!E:E,"Mathematical Literacy"),1),""))</f>
        <v/>
      </c>
      <c r="H216" s="4">
        <f>IF(A216="","",IFERROR(ROUND(AVERAGEIFS(ASSESSMENTS!H:H,ASSESSMENTS!B:B,A216,ASSESSMENTS!E:E,"Physical Sciences"),1),""))</f>
        <v/>
      </c>
      <c r="I216" s="4">
        <f>IF(A216="","",IFERROR(ROUND(AVERAGEIFS(ASSESSMENTS!H:H,ASSESSMENTS!B:B,A216,ASSESSMENTS!E:E,"Geography"),1),""))</f>
        <v/>
      </c>
      <c r="J216" s="4">
        <f>IF(A216="","",IFERROR(ROUND(AVERAGEIFS(ASSESSMENTS!H:H,ASSESSMENTS!B:B,A216,ASSESSMENTS!E:E,"Accounting"),1),""))</f>
        <v/>
      </c>
      <c r="K216" s="4">
        <f>IF(A216="","",IFERROR(ROUND(AVERAGEIFS(ASSESSMENTS!H:H,ASSESSMENTS!B:B,A216,ASSESSMENTS!E:E,"English"),1),""))</f>
        <v/>
      </c>
      <c r="L216" s="5">
        <f>IF(A216="","",IFERROR(_xludf.XLOOKUP(A216,ATTENDANCE_SUMMARY!A:A,ATTENDANCE_SUMMARY!G:G,""),""))</f>
        <v/>
      </c>
      <c r="M216" s="4">
        <f>IF(A216="","",IF(OR(E216&lt;50,AND(L216&lt;0.75,L216&lt;&gt;"" )),"At Risk","On Track"))</f>
        <v/>
      </c>
    </row>
    <row r="217">
      <c r="A217">
        <f>IF(MASTER_REGISTER!E217="","",MASTER_REGISTER!E217)</f>
        <v/>
      </c>
      <c r="B217">
        <f>IF(A217="","",MASTER_REGISTER!F217)</f>
        <v/>
      </c>
      <c r="C217">
        <f>IF(A217="","",MASTER_REGISTER!C217)</f>
        <v/>
      </c>
      <c r="D217">
        <f>IF(A217="","",COUNTIF(ASSESSMENTS!B:B,A217))</f>
        <v/>
      </c>
      <c r="E217" s="4">
        <f>IF(D217=0,"",ROUND(AVERAGEIF(ASSESSMENTS!B:B,A217,ASSESSMENTS!H:H),1))</f>
        <v/>
      </c>
      <c r="F217" s="4">
        <f>IF(A217="","",IFERROR(ROUND(AVERAGEIFS(ASSESSMENTS!H:H,ASSESSMENTS!B:B,A217,ASSESSMENTS!E:E,"Mathematics"),1),""))</f>
        <v/>
      </c>
      <c r="G217" s="4">
        <f>IF(A217="","",IFERROR(ROUND(AVERAGEIFS(ASSESSMENTS!H:H,ASSESSMENTS!B:B,A217,ASSESSMENTS!E:E,"Mathematical Literacy"),1),""))</f>
        <v/>
      </c>
      <c r="H217" s="4">
        <f>IF(A217="","",IFERROR(ROUND(AVERAGEIFS(ASSESSMENTS!H:H,ASSESSMENTS!B:B,A217,ASSESSMENTS!E:E,"Physical Sciences"),1),""))</f>
        <v/>
      </c>
      <c r="I217" s="4">
        <f>IF(A217="","",IFERROR(ROUND(AVERAGEIFS(ASSESSMENTS!H:H,ASSESSMENTS!B:B,A217,ASSESSMENTS!E:E,"Geography"),1),""))</f>
        <v/>
      </c>
      <c r="J217" s="4">
        <f>IF(A217="","",IFERROR(ROUND(AVERAGEIFS(ASSESSMENTS!H:H,ASSESSMENTS!B:B,A217,ASSESSMENTS!E:E,"Accounting"),1),""))</f>
        <v/>
      </c>
      <c r="K217" s="4">
        <f>IF(A217="","",IFERROR(ROUND(AVERAGEIFS(ASSESSMENTS!H:H,ASSESSMENTS!B:B,A217,ASSESSMENTS!E:E,"English"),1),""))</f>
        <v/>
      </c>
      <c r="L217" s="5">
        <f>IF(A217="","",IFERROR(_xludf.XLOOKUP(A217,ATTENDANCE_SUMMARY!A:A,ATTENDANCE_SUMMARY!G:G,""),""))</f>
        <v/>
      </c>
      <c r="M217" s="4">
        <f>IF(A217="","",IF(OR(E217&lt;50,AND(L217&lt;0.75,L217&lt;&gt;"" )),"At Risk","On Track"))</f>
        <v/>
      </c>
    </row>
    <row r="218">
      <c r="A218">
        <f>IF(MASTER_REGISTER!E218="","",MASTER_REGISTER!E218)</f>
        <v/>
      </c>
      <c r="B218">
        <f>IF(A218="","",MASTER_REGISTER!F218)</f>
        <v/>
      </c>
      <c r="C218">
        <f>IF(A218="","",MASTER_REGISTER!C218)</f>
        <v/>
      </c>
      <c r="D218">
        <f>IF(A218="","",COUNTIF(ASSESSMENTS!B:B,A218))</f>
        <v/>
      </c>
      <c r="E218" s="4">
        <f>IF(D218=0,"",ROUND(AVERAGEIF(ASSESSMENTS!B:B,A218,ASSESSMENTS!H:H),1))</f>
        <v/>
      </c>
      <c r="F218" s="4">
        <f>IF(A218="","",IFERROR(ROUND(AVERAGEIFS(ASSESSMENTS!H:H,ASSESSMENTS!B:B,A218,ASSESSMENTS!E:E,"Mathematics"),1),""))</f>
        <v/>
      </c>
      <c r="G218" s="4">
        <f>IF(A218="","",IFERROR(ROUND(AVERAGEIFS(ASSESSMENTS!H:H,ASSESSMENTS!B:B,A218,ASSESSMENTS!E:E,"Mathematical Literacy"),1),""))</f>
        <v/>
      </c>
      <c r="H218" s="4">
        <f>IF(A218="","",IFERROR(ROUND(AVERAGEIFS(ASSESSMENTS!H:H,ASSESSMENTS!B:B,A218,ASSESSMENTS!E:E,"Physical Sciences"),1),""))</f>
        <v/>
      </c>
      <c r="I218" s="4">
        <f>IF(A218="","",IFERROR(ROUND(AVERAGEIFS(ASSESSMENTS!H:H,ASSESSMENTS!B:B,A218,ASSESSMENTS!E:E,"Geography"),1),""))</f>
        <v/>
      </c>
      <c r="J218" s="4">
        <f>IF(A218="","",IFERROR(ROUND(AVERAGEIFS(ASSESSMENTS!H:H,ASSESSMENTS!B:B,A218,ASSESSMENTS!E:E,"Accounting"),1),""))</f>
        <v/>
      </c>
      <c r="K218" s="4">
        <f>IF(A218="","",IFERROR(ROUND(AVERAGEIFS(ASSESSMENTS!H:H,ASSESSMENTS!B:B,A218,ASSESSMENTS!E:E,"English"),1),""))</f>
        <v/>
      </c>
      <c r="L218" s="5">
        <f>IF(A218="","",IFERROR(_xludf.XLOOKUP(A218,ATTENDANCE_SUMMARY!A:A,ATTENDANCE_SUMMARY!G:G,""),""))</f>
        <v/>
      </c>
      <c r="M218" s="4">
        <f>IF(A218="","",IF(OR(E218&lt;50,AND(L218&lt;0.75,L218&lt;&gt;"" )),"At Risk","On Track"))</f>
        <v/>
      </c>
    </row>
    <row r="219">
      <c r="A219">
        <f>IF(MASTER_REGISTER!E219="","",MASTER_REGISTER!E219)</f>
        <v/>
      </c>
      <c r="B219">
        <f>IF(A219="","",MASTER_REGISTER!F219)</f>
        <v/>
      </c>
      <c r="C219">
        <f>IF(A219="","",MASTER_REGISTER!C219)</f>
        <v/>
      </c>
      <c r="D219">
        <f>IF(A219="","",COUNTIF(ASSESSMENTS!B:B,A219))</f>
        <v/>
      </c>
      <c r="E219" s="4">
        <f>IF(D219=0,"",ROUND(AVERAGEIF(ASSESSMENTS!B:B,A219,ASSESSMENTS!H:H),1))</f>
        <v/>
      </c>
      <c r="F219" s="4">
        <f>IF(A219="","",IFERROR(ROUND(AVERAGEIFS(ASSESSMENTS!H:H,ASSESSMENTS!B:B,A219,ASSESSMENTS!E:E,"Mathematics"),1),""))</f>
        <v/>
      </c>
      <c r="G219" s="4">
        <f>IF(A219="","",IFERROR(ROUND(AVERAGEIFS(ASSESSMENTS!H:H,ASSESSMENTS!B:B,A219,ASSESSMENTS!E:E,"Mathematical Literacy"),1),""))</f>
        <v/>
      </c>
      <c r="H219" s="4">
        <f>IF(A219="","",IFERROR(ROUND(AVERAGEIFS(ASSESSMENTS!H:H,ASSESSMENTS!B:B,A219,ASSESSMENTS!E:E,"Physical Sciences"),1),""))</f>
        <v/>
      </c>
      <c r="I219" s="4">
        <f>IF(A219="","",IFERROR(ROUND(AVERAGEIFS(ASSESSMENTS!H:H,ASSESSMENTS!B:B,A219,ASSESSMENTS!E:E,"Geography"),1),""))</f>
        <v/>
      </c>
      <c r="J219" s="4">
        <f>IF(A219="","",IFERROR(ROUND(AVERAGEIFS(ASSESSMENTS!H:H,ASSESSMENTS!B:B,A219,ASSESSMENTS!E:E,"Accounting"),1),""))</f>
        <v/>
      </c>
      <c r="K219" s="4">
        <f>IF(A219="","",IFERROR(ROUND(AVERAGEIFS(ASSESSMENTS!H:H,ASSESSMENTS!B:B,A219,ASSESSMENTS!E:E,"English"),1),""))</f>
        <v/>
      </c>
      <c r="L219" s="5">
        <f>IF(A219="","",IFERROR(_xludf.XLOOKUP(A219,ATTENDANCE_SUMMARY!A:A,ATTENDANCE_SUMMARY!G:G,""),""))</f>
        <v/>
      </c>
      <c r="M219" s="4">
        <f>IF(A219="","",IF(OR(E219&lt;50,AND(L219&lt;0.75,L219&lt;&gt;"" )),"At Risk","On Track"))</f>
        <v/>
      </c>
    </row>
    <row r="220">
      <c r="A220">
        <f>IF(MASTER_REGISTER!E220="","",MASTER_REGISTER!E220)</f>
        <v/>
      </c>
      <c r="B220">
        <f>IF(A220="","",MASTER_REGISTER!F220)</f>
        <v/>
      </c>
      <c r="C220">
        <f>IF(A220="","",MASTER_REGISTER!C220)</f>
        <v/>
      </c>
      <c r="D220">
        <f>IF(A220="","",COUNTIF(ASSESSMENTS!B:B,A220))</f>
        <v/>
      </c>
      <c r="E220" s="4">
        <f>IF(D220=0,"",ROUND(AVERAGEIF(ASSESSMENTS!B:B,A220,ASSESSMENTS!H:H),1))</f>
        <v/>
      </c>
      <c r="F220" s="4">
        <f>IF(A220="","",IFERROR(ROUND(AVERAGEIFS(ASSESSMENTS!H:H,ASSESSMENTS!B:B,A220,ASSESSMENTS!E:E,"Mathematics"),1),""))</f>
        <v/>
      </c>
      <c r="G220" s="4">
        <f>IF(A220="","",IFERROR(ROUND(AVERAGEIFS(ASSESSMENTS!H:H,ASSESSMENTS!B:B,A220,ASSESSMENTS!E:E,"Mathematical Literacy"),1),""))</f>
        <v/>
      </c>
      <c r="H220" s="4">
        <f>IF(A220="","",IFERROR(ROUND(AVERAGEIFS(ASSESSMENTS!H:H,ASSESSMENTS!B:B,A220,ASSESSMENTS!E:E,"Physical Sciences"),1),""))</f>
        <v/>
      </c>
      <c r="I220" s="4">
        <f>IF(A220="","",IFERROR(ROUND(AVERAGEIFS(ASSESSMENTS!H:H,ASSESSMENTS!B:B,A220,ASSESSMENTS!E:E,"Geography"),1),""))</f>
        <v/>
      </c>
      <c r="J220" s="4">
        <f>IF(A220="","",IFERROR(ROUND(AVERAGEIFS(ASSESSMENTS!H:H,ASSESSMENTS!B:B,A220,ASSESSMENTS!E:E,"Accounting"),1),""))</f>
        <v/>
      </c>
      <c r="K220" s="4">
        <f>IF(A220="","",IFERROR(ROUND(AVERAGEIFS(ASSESSMENTS!H:H,ASSESSMENTS!B:B,A220,ASSESSMENTS!E:E,"English"),1),""))</f>
        <v/>
      </c>
      <c r="L220" s="5">
        <f>IF(A220="","",IFERROR(_xludf.XLOOKUP(A220,ATTENDANCE_SUMMARY!A:A,ATTENDANCE_SUMMARY!G:G,""),""))</f>
        <v/>
      </c>
      <c r="M220" s="4">
        <f>IF(A220="","",IF(OR(E220&lt;50,AND(L220&lt;0.75,L220&lt;&gt;"" )),"At Risk","On Track"))</f>
        <v/>
      </c>
    </row>
    <row r="221">
      <c r="A221">
        <f>IF(MASTER_REGISTER!E221="","",MASTER_REGISTER!E221)</f>
        <v/>
      </c>
      <c r="B221">
        <f>IF(A221="","",MASTER_REGISTER!F221)</f>
        <v/>
      </c>
      <c r="C221">
        <f>IF(A221="","",MASTER_REGISTER!C221)</f>
        <v/>
      </c>
      <c r="D221">
        <f>IF(A221="","",COUNTIF(ASSESSMENTS!B:B,A221))</f>
        <v/>
      </c>
      <c r="E221" s="4">
        <f>IF(D221=0,"",ROUND(AVERAGEIF(ASSESSMENTS!B:B,A221,ASSESSMENTS!H:H),1))</f>
        <v/>
      </c>
      <c r="F221" s="4">
        <f>IF(A221="","",IFERROR(ROUND(AVERAGEIFS(ASSESSMENTS!H:H,ASSESSMENTS!B:B,A221,ASSESSMENTS!E:E,"Mathematics"),1),""))</f>
        <v/>
      </c>
      <c r="G221" s="4">
        <f>IF(A221="","",IFERROR(ROUND(AVERAGEIFS(ASSESSMENTS!H:H,ASSESSMENTS!B:B,A221,ASSESSMENTS!E:E,"Mathematical Literacy"),1),""))</f>
        <v/>
      </c>
      <c r="H221" s="4">
        <f>IF(A221="","",IFERROR(ROUND(AVERAGEIFS(ASSESSMENTS!H:H,ASSESSMENTS!B:B,A221,ASSESSMENTS!E:E,"Physical Sciences"),1),""))</f>
        <v/>
      </c>
      <c r="I221" s="4">
        <f>IF(A221="","",IFERROR(ROUND(AVERAGEIFS(ASSESSMENTS!H:H,ASSESSMENTS!B:B,A221,ASSESSMENTS!E:E,"Geography"),1),""))</f>
        <v/>
      </c>
      <c r="J221" s="4">
        <f>IF(A221="","",IFERROR(ROUND(AVERAGEIFS(ASSESSMENTS!H:H,ASSESSMENTS!B:B,A221,ASSESSMENTS!E:E,"Accounting"),1),""))</f>
        <v/>
      </c>
      <c r="K221" s="4">
        <f>IF(A221="","",IFERROR(ROUND(AVERAGEIFS(ASSESSMENTS!H:H,ASSESSMENTS!B:B,A221,ASSESSMENTS!E:E,"English"),1),""))</f>
        <v/>
      </c>
      <c r="L221" s="5">
        <f>IF(A221="","",IFERROR(_xludf.XLOOKUP(A221,ATTENDANCE_SUMMARY!A:A,ATTENDANCE_SUMMARY!G:G,""),""))</f>
        <v/>
      </c>
      <c r="M221" s="4">
        <f>IF(A221="","",IF(OR(E221&lt;50,AND(L221&lt;0.75,L221&lt;&gt;"" )),"At Risk","On Track"))</f>
        <v/>
      </c>
    </row>
    <row r="222">
      <c r="A222">
        <f>IF(MASTER_REGISTER!E222="","",MASTER_REGISTER!E222)</f>
        <v/>
      </c>
      <c r="B222">
        <f>IF(A222="","",MASTER_REGISTER!F222)</f>
        <v/>
      </c>
      <c r="C222">
        <f>IF(A222="","",MASTER_REGISTER!C222)</f>
        <v/>
      </c>
      <c r="D222">
        <f>IF(A222="","",COUNTIF(ASSESSMENTS!B:B,A222))</f>
        <v/>
      </c>
      <c r="E222" s="4">
        <f>IF(D222=0,"",ROUND(AVERAGEIF(ASSESSMENTS!B:B,A222,ASSESSMENTS!H:H),1))</f>
        <v/>
      </c>
      <c r="F222" s="4">
        <f>IF(A222="","",IFERROR(ROUND(AVERAGEIFS(ASSESSMENTS!H:H,ASSESSMENTS!B:B,A222,ASSESSMENTS!E:E,"Mathematics"),1),""))</f>
        <v/>
      </c>
      <c r="G222" s="4">
        <f>IF(A222="","",IFERROR(ROUND(AVERAGEIFS(ASSESSMENTS!H:H,ASSESSMENTS!B:B,A222,ASSESSMENTS!E:E,"Mathematical Literacy"),1),""))</f>
        <v/>
      </c>
      <c r="H222" s="4">
        <f>IF(A222="","",IFERROR(ROUND(AVERAGEIFS(ASSESSMENTS!H:H,ASSESSMENTS!B:B,A222,ASSESSMENTS!E:E,"Physical Sciences"),1),""))</f>
        <v/>
      </c>
      <c r="I222" s="4">
        <f>IF(A222="","",IFERROR(ROUND(AVERAGEIFS(ASSESSMENTS!H:H,ASSESSMENTS!B:B,A222,ASSESSMENTS!E:E,"Geography"),1),""))</f>
        <v/>
      </c>
      <c r="J222" s="4">
        <f>IF(A222="","",IFERROR(ROUND(AVERAGEIFS(ASSESSMENTS!H:H,ASSESSMENTS!B:B,A222,ASSESSMENTS!E:E,"Accounting"),1),""))</f>
        <v/>
      </c>
      <c r="K222" s="4">
        <f>IF(A222="","",IFERROR(ROUND(AVERAGEIFS(ASSESSMENTS!H:H,ASSESSMENTS!B:B,A222,ASSESSMENTS!E:E,"English"),1),""))</f>
        <v/>
      </c>
      <c r="L222" s="5">
        <f>IF(A222="","",IFERROR(_xludf.XLOOKUP(A222,ATTENDANCE_SUMMARY!A:A,ATTENDANCE_SUMMARY!G:G,""),""))</f>
        <v/>
      </c>
      <c r="M222" s="4">
        <f>IF(A222="","",IF(OR(E222&lt;50,AND(L222&lt;0.75,L222&lt;&gt;"" )),"At Risk","On Track"))</f>
        <v/>
      </c>
    </row>
    <row r="223">
      <c r="A223">
        <f>IF(MASTER_REGISTER!E223="","",MASTER_REGISTER!E223)</f>
        <v/>
      </c>
      <c r="B223">
        <f>IF(A223="","",MASTER_REGISTER!F223)</f>
        <v/>
      </c>
      <c r="C223">
        <f>IF(A223="","",MASTER_REGISTER!C223)</f>
        <v/>
      </c>
      <c r="D223">
        <f>IF(A223="","",COUNTIF(ASSESSMENTS!B:B,A223))</f>
        <v/>
      </c>
      <c r="E223" s="4">
        <f>IF(D223=0,"",ROUND(AVERAGEIF(ASSESSMENTS!B:B,A223,ASSESSMENTS!H:H),1))</f>
        <v/>
      </c>
      <c r="F223" s="4">
        <f>IF(A223="","",IFERROR(ROUND(AVERAGEIFS(ASSESSMENTS!H:H,ASSESSMENTS!B:B,A223,ASSESSMENTS!E:E,"Mathematics"),1),""))</f>
        <v/>
      </c>
      <c r="G223" s="4">
        <f>IF(A223="","",IFERROR(ROUND(AVERAGEIFS(ASSESSMENTS!H:H,ASSESSMENTS!B:B,A223,ASSESSMENTS!E:E,"Mathematical Literacy"),1),""))</f>
        <v/>
      </c>
      <c r="H223" s="4">
        <f>IF(A223="","",IFERROR(ROUND(AVERAGEIFS(ASSESSMENTS!H:H,ASSESSMENTS!B:B,A223,ASSESSMENTS!E:E,"Physical Sciences"),1),""))</f>
        <v/>
      </c>
      <c r="I223" s="4">
        <f>IF(A223="","",IFERROR(ROUND(AVERAGEIFS(ASSESSMENTS!H:H,ASSESSMENTS!B:B,A223,ASSESSMENTS!E:E,"Geography"),1),""))</f>
        <v/>
      </c>
      <c r="J223" s="4">
        <f>IF(A223="","",IFERROR(ROUND(AVERAGEIFS(ASSESSMENTS!H:H,ASSESSMENTS!B:B,A223,ASSESSMENTS!E:E,"Accounting"),1),""))</f>
        <v/>
      </c>
      <c r="K223" s="4">
        <f>IF(A223="","",IFERROR(ROUND(AVERAGEIFS(ASSESSMENTS!H:H,ASSESSMENTS!B:B,A223,ASSESSMENTS!E:E,"English"),1),""))</f>
        <v/>
      </c>
      <c r="L223" s="5">
        <f>IF(A223="","",IFERROR(_xludf.XLOOKUP(A223,ATTENDANCE_SUMMARY!A:A,ATTENDANCE_SUMMARY!G:G,""),""))</f>
        <v/>
      </c>
      <c r="M223" s="4">
        <f>IF(A223="","",IF(OR(E223&lt;50,AND(L223&lt;0.75,L223&lt;&gt;"" )),"At Risk","On Track"))</f>
        <v/>
      </c>
    </row>
    <row r="224">
      <c r="A224">
        <f>IF(MASTER_REGISTER!E224="","",MASTER_REGISTER!E224)</f>
        <v/>
      </c>
      <c r="B224">
        <f>IF(A224="","",MASTER_REGISTER!F224)</f>
        <v/>
      </c>
      <c r="C224">
        <f>IF(A224="","",MASTER_REGISTER!C224)</f>
        <v/>
      </c>
      <c r="D224">
        <f>IF(A224="","",COUNTIF(ASSESSMENTS!B:B,A224))</f>
        <v/>
      </c>
      <c r="E224" s="4">
        <f>IF(D224=0,"",ROUND(AVERAGEIF(ASSESSMENTS!B:B,A224,ASSESSMENTS!H:H),1))</f>
        <v/>
      </c>
      <c r="F224" s="4">
        <f>IF(A224="","",IFERROR(ROUND(AVERAGEIFS(ASSESSMENTS!H:H,ASSESSMENTS!B:B,A224,ASSESSMENTS!E:E,"Mathematics"),1),""))</f>
        <v/>
      </c>
      <c r="G224" s="4">
        <f>IF(A224="","",IFERROR(ROUND(AVERAGEIFS(ASSESSMENTS!H:H,ASSESSMENTS!B:B,A224,ASSESSMENTS!E:E,"Mathematical Literacy"),1),""))</f>
        <v/>
      </c>
      <c r="H224" s="4">
        <f>IF(A224="","",IFERROR(ROUND(AVERAGEIFS(ASSESSMENTS!H:H,ASSESSMENTS!B:B,A224,ASSESSMENTS!E:E,"Physical Sciences"),1),""))</f>
        <v/>
      </c>
      <c r="I224" s="4">
        <f>IF(A224="","",IFERROR(ROUND(AVERAGEIFS(ASSESSMENTS!H:H,ASSESSMENTS!B:B,A224,ASSESSMENTS!E:E,"Geography"),1),""))</f>
        <v/>
      </c>
      <c r="J224" s="4">
        <f>IF(A224="","",IFERROR(ROUND(AVERAGEIFS(ASSESSMENTS!H:H,ASSESSMENTS!B:B,A224,ASSESSMENTS!E:E,"Accounting"),1),""))</f>
        <v/>
      </c>
      <c r="K224" s="4">
        <f>IF(A224="","",IFERROR(ROUND(AVERAGEIFS(ASSESSMENTS!H:H,ASSESSMENTS!B:B,A224,ASSESSMENTS!E:E,"English"),1),""))</f>
        <v/>
      </c>
      <c r="L224" s="5">
        <f>IF(A224="","",IFERROR(_xludf.XLOOKUP(A224,ATTENDANCE_SUMMARY!A:A,ATTENDANCE_SUMMARY!G:G,""),""))</f>
        <v/>
      </c>
      <c r="M224" s="4">
        <f>IF(A224="","",IF(OR(E224&lt;50,AND(L224&lt;0.75,L224&lt;&gt;"" )),"At Risk","On Track"))</f>
        <v/>
      </c>
    </row>
    <row r="225">
      <c r="A225">
        <f>IF(MASTER_REGISTER!E225="","",MASTER_REGISTER!E225)</f>
        <v/>
      </c>
      <c r="B225">
        <f>IF(A225="","",MASTER_REGISTER!F225)</f>
        <v/>
      </c>
      <c r="C225">
        <f>IF(A225="","",MASTER_REGISTER!C225)</f>
        <v/>
      </c>
      <c r="D225">
        <f>IF(A225="","",COUNTIF(ASSESSMENTS!B:B,A225))</f>
        <v/>
      </c>
      <c r="E225" s="4">
        <f>IF(D225=0,"",ROUND(AVERAGEIF(ASSESSMENTS!B:B,A225,ASSESSMENTS!H:H),1))</f>
        <v/>
      </c>
      <c r="F225" s="4">
        <f>IF(A225="","",IFERROR(ROUND(AVERAGEIFS(ASSESSMENTS!H:H,ASSESSMENTS!B:B,A225,ASSESSMENTS!E:E,"Mathematics"),1),""))</f>
        <v/>
      </c>
      <c r="G225" s="4">
        <f>IF(A225="","",IFERROR(ROUND(AVERAGEIFS(ASSESSMENTS!H:H,ASSESSMENTS!B:B,A225,ASSESSMENTS!E:E,"Mathematical Literacy"),1),""))</f>
        <v/>
      </c>
      <c r="H225" s="4">
        <f>IF(A225="","",IFERROR(ROUND(AVERAGEIFS(ASSESSMENTS!H:H,ASSESSMENTS!B:B,A225,ASSESSMENTS!E:E,"Physical Sciences"),1),""))</f>
        <v/>
      </c>
      <c r="I225" s="4">
        <f>IF(A225="","",IFERROR(ROUND(AVERAGEIFS(ASSESSMENTS!H:H,ASSESSMENTS!B:B,A225,ASSESSMENTS!E:E,"Geography"),1),""))</f>
        <v/>
      </c>
      <c r="J225" s="4">
        <f>IF(A225="","",IFERROR(ROUND(AVERAGEIFS(ASSESSMENTS!H:H,ASSESSMENTS!B:B,A225,ASSESSMENTS!E:E,"Accounting"),1),""))</f>
        <v/>
      </c>
      <c r="K225" s="4">
        <f>IF(A225="","",IFERROR(ROUND(AVERAGEIFS(ASSESSMENTS!H:H,ASSESSMENTS!B:B,A225,ASSESSMENTS!E:E,"English"),1),""))</f>
        <v/>
      </c>
      <c r="L225" s="5">
        <f>IF(A225="","",IFERROR(_xludf.XLOOKUP(A225,ATTENDANCE_SUMMARY!A:A,ATTENDANCE_SUMMARY!G:G,""),""))</f>
        <v/>
      </c>
      <c r="M225" s="4">
        <f>IF(A225="","",IF(OR(E225&lt;50,AND(L225&lt;0.75,L225&lt;&gt;"" )),"At Risk","On Track"))</f>
        <v/>
      </c>
    </row>
    <row r="226">
      <c r="A226">
        <f>IF(MASTER_REGISTER!E226="","",MASTER_REGISTER!E226)</f>
        <v/>
      </c>
      <c r="B226">
        <f>IF(A226="","",MASTER_REGISTER!F226)</f>
        <v/>
      </c>
      <c r="C226">
        <f>IF(A226="","",MASTER_REGISTER!C226)</f>
        <v/>
      </c>
      <c r="D226">
        <f>IF(A226="","",COUNTIF(ASSESSMENTS!B:B,A226))</f>
        <v/>
      </c>
      <c r="E226" s="4">
        <f>IF(D226=0,"",ROUND(AVERAGEIF(ASSESSMENTS!B:B,A226,ASSESSMENTS!H:H),1))</f>
        <v/>
      </c>
      <c r="F226" s="4">
        <f>IF(A226="","",IFERROR(ROUND(AVERAGEIFS(ASSESSMENTS!H:H,ASSESSMENTS!B:B,A226,ASSESSMENTS!E:E,"Mathematics"),1),""))</f>
        <v/>
      </c>
      <c r="G226" s="4">
        <f>IF(A226="","",IFERROR(ROUND(AVERAGEIFS(ASSESSMENTS!H:H,ASSESSMENTS!B:B,A226,ASSESSMENTS!E:E,"Mathematical Literacy"),1),""))</f>
        <v/>
      </c>
      <c r="H226" s="4">
        <f>IF(A226="","",IFERROR(ROUND(AVERAGEIFS(ASSESSMENTS!H:H,ASSESSMENTS!B:B,A226,ASSESSMENTS!E:E,"Physical Sciences"),1),""))</f>
        <v/>
      </c>
      <c r="I226" s="4">
        <f>IF(A226="","",IFERROR(ROUND(AVERAGEIFS(ASSESSMENTS!H:H,ASSESSMENTS!B:B,A226,ASSESSMENTS!E:E,"Geography"),1),""))</f>
        <v/>
      </c>
      <c r="J226" s="4">
        <f>IF(A226="","",IFERROR(ROUND(AVERAGEIFS(ASSESSMENTS!H:H,ASSESSMENTS!B:B,A226,ASSESSMENTS!E:E,"Accounting"),1),""))</f>
        <v/>
      </c>
      <c r="K226" s="4">
        <f>IF(A226="","",IFERROR(ROUND(AVERAGEIFS(ASSESSMENTS!H:H,ASSESSMENTS!B:B,A226,ASSESSMENTS!E:E,"English"),1),""))</f>
        <v/>
      </c>
      <c r="L226" s="5">
        <f>IF(A226="","",IFERROR(_xludf.XLOOKUP(A226,ATTENDANCE_SUMMARY!A:A,ATTENDANCE_SUMMARY!G:G,""),""))</f>
        <v/>
      </c>
      <c r="M226" s="4">
        <f>IF(A226="","",IF(OR(E226&lt;50,AND(L226&lt;0.75,L226&lt;&gt;"" )),"At Risk","On Track"))</f>
        <v/>
      </c>
    </row>
    <row r="227">
      <c r="A227">
        <f>IF(MASTER_REGISTER!E227="","",MASTER_REGISTER!E227)</f>
        <v/>
      </c>
      <c r="B227">
        <f>IF(A227="","",MASTER_REGISTER!F227)</f>
        <v/>
      </c>
      <c r="C227">
        <f>IF(A227="","",MASTER_REGISTER!C227)</f>
        <v/>
      </c>
      <c r="D227">
        <f>IF(A227="","",COUNTIF(ASSESSMENTS!B:B,A227))</f>
        <v/>
      </c>
      <c r="E227" s="4">
        <f>IF(D227=0,"",ROUND(AVERAGEIF(ASSESSMENTS!B:B,A227,ASSESSMENTS!H:H),1))</f>
        <v/>
      </c>
      <c r="F227" s="4">
        <f>IF(A227="","",IFERROR(ROUND(AVERAGEIFS(ASSESSMENTS!H:H,ASSESSMENTS!B:B,A227,ASSESSMENTS!E:E,"Mathematics"),1),""))</f>
        <v/>
      </c>
      <c r="G227" s="4">
        <f>IF(A227="","",IFERROR(ROUND(AVERAGEIFS(ASSESSMENTS!H:H,ASSESSMENTS!B:B,A227,ASSESSMENTS!E:E,"Mathematical Literacy"),1),""))</f>
        <v/>
      </c>
      <c r="H227" s="4">
        <f>IF(A227="","",IFERROR(ROUND(AVERAGEIFS(ASSESSMENTS!H:H,ASSESSMENTS!B:B,A227,ASSESSMENTS!E:E,"Physical Sciences"),1),""))</f>
        <v/>
      </c>
      <c r="I227" s="4">
        <f>IF(A227="","",IFERROR(ROUND(AVERAGEIFS(ASSESSMENTS!H:H,ASSESSMENTS!B:B,A227,ASSESSMENTS!E:E,"Geography"),1),""))</f>
        <v/>
      </c>
      <c r="J227" s="4">
        <f>IF(A227="","",IFERROR(ROUND(AVERAGEIFS(ASSESSMENTS!H:H,ASSESSMENTS!B:B,A227,ASSESSMENTS!E:E,"Accounting"),1),""))</f>
        <v/>
      </c>
      <c r="K227" s="4">
        <f>IF(A227="","",IFERROR(ROUND(AVERAGEIFS(ASSESSMENTS!H:H,ASSESSMENTS!B:B,A227,ASSESSMENTS!E:E,"English"),1),""))</f>
        <v/>
      </c>
      <c r="L227" s="5">
        <f>IF(A227="","",IFERROR(_xludf.XLOOKUP(A227,ATTENDANCE_SUMMARY!A:A,ATTENDANCE_SUMMARY!G:G,""),""))</f>
        <v/>
      </c>
      <c r="M227" s="4">
        <f>IF(A227="","",IF(OR(E227&lt;50,AND(L227&lt;0.75,L227&lt;&gt;"" )),"At Risk","On Track"))</f>
        <v/>
      </c>
    </row>
    <row r="228">
      <c r="A228">
        <f>IF(MASTER_REGISTER!E228="","",MASTER_REGISTER!E228)</f>
        <v/>
      </c>
      <c r="B228">
        <f>IF(A228="","",MASTER_REGISTER!F228)</f>
        <v/>
      </c>
      <c r="C228">
        <f>IF(A228="","",MASTER_REGISTER!C228)</f>
        <v/>
      </c>
      <c r="D228">
        <f>IF(A228="","",COUNTIF(ASSESSMENTS!B:B,A228))</f>
        <v/>
      </c>
      <c r="E228" s="4">
        <f>IF(D228=0,"",ROUND(AVERAGEIF(ASSESSMENTS!B:B,A228,ASSESSMENTS!H:H),1))</f>
        <v/>
      </c>
      <c r="F228" s="4">
        <f>IF(A228="","",IFERROR(ROUND(AVERAGEIFS(ASSESSMENTS!H:H,ASSESSMENTS!B:B,A228,ASSESSMENTS!E:E,"Mathematics"),1),""))</f>
        <v/>
      </c>
      <c r="G228" s="4">
        <f>IF(A228="","",IFERROR(ROUND(AVERAGEIFS(ASSESSMENTS!H:H,ASSESSMENTS!B:B,A228,ASSESSMENTS!E:E,"Mathematical Literacy"),1),""))</f>
        <v/>
      </c>
      <c r="H228" s="4">
        <f>IF(A228="","",IFERROR(ROUND(AVERAGEIFS(ASSESSMENTS!H:H,ASSESSMENTS!B:B,A228,ASSESSMENTS!E:E,"Physical Sciences"),1),""))</f>
        <v/>
      </c>
      <c r="I228" s="4">
        <f>IF(A228="","",IFERROR(ROUND(AVERAGEIFS(ASSESSMENTS!H:H,ASSESSMENTS!B:B,A228,ASSESSMENTS!E:E,"Geography"),1),""))</f>
        <v/>
      </c>
      <c r="J228" s="4">
        <f>IF(A228="","",IFERROR(ROUND(AVERAGEIFS(ASSESSMENTS!H:H,ASSESSMENTS!B:B,A228,ASSESSMENTS!E:E,"Accounting"),1),""))</f>
        <v/>
      </c>
      <c r="K228" s="4">
        <f>IF(A228="","",IFERROR(ROUND(AVERAGEIFS(ASSESSMENTS!H:H,ASSESSMENTS!B:B,A228,ASSESSMENTS!E:E,"English"),1),""))</f>
        <v/>
      </c>
      <c r="L228" s="5">
        <f>IF(A228="","",IFERROR(_xludf.XLOOKUP(A228,ATTENDANCE_SUMMARY!A:A,ATTENDANCE_SUMMARY!G:G,""),""))</f>
        <v/>
      </c>
      <c r="M228" s="4">
        <f>IF(A228="","",IF(OR(E228&lt;50,AND(L228&lt;0.75,L228&lt;&gt;"" )),"At Risk","On Track"))</f>
        <v/>
      </c>
    </row>
    <row r="229">
      <c r="A229">
        <f>IF(MASTER_REGISTER!E229="","",MASTER_REGISTER!E229)</f>
        <v/>
      </c>
      <c r="B229">
        <f>IF(A229="","",MASTER_REGISTER!F229)</f>
        <v/>
      </c>
      <c r="C229">
        <f>IF(A229="","",MASTER_REGISTER!C229)</f>
        <v/>
      </c>
      <c r="D229">
        <f>IF(A229="","",COUNTIF(ASSESSMENTS!B:B,A229))</f>
        <v/>
      </c>
      <c r="E229" s="4">
        <f>IF(D229=0,"",ROUND(AVERAGEIF(ASSESSMENTS!B:B,A229,ASSESSMENTS!H:H),1))</f>
        <v/>
      </c>
      <c r="F229" s="4">
        <f>IF(A229="","",IFERROR(ROUND(AVERAGEIFS(ASSESSMENTS!H:H,ASSESSMENTS!B:B,A229,ASSESSMENTS!E:E,"Mathematics"),1),""))</f>
        <v/>
      </c>
      <c r="G229" s="4">
        <f>IF(A229="","",IFERROR(ROUND(AVERAGEIFS(ASSESSMENTS!H:H,ASSESSMENTS!B:B,A229,ASSESSMENTS!E:E,"Mathematical Literacy"),1),""))</f>
        <v/>
      </c>
      <c r="H229" s="4">
        <f>IF(A229="","",IFERROR(ROUND(AVERAGEIFS(ASSESSMENTS!H:H,ASSESSMENTS!B:B,A229,ASSESSMENTS!E:E,"Physical Sciences"),1),""))</f>
        <v/>
      </c>
      <c r="I229" s="4">
        <f>IF(A229="","",IFERROR(ROUND(AVERAGEIFS(ASSESSMENTS!H:H,ASSESSMENTS!B:B,A229,ASSESSMENTS!E:E,"Geography"),1),""))</f>
        <v/>
      </c>
      <c r="J229" s="4">
        <f>IF(A229="","",IFERROR(ROUND(AVERAGEIFS(ASSESSMENTS!H:H,ASSESSMENTS!B:B,A229,ASSESSMENTS!E:E,"Accounting"),1),""))</f>
        <v/>
      </c>
      <c r="K229" s="4">
        <f>IF(A229="","",IFERROR(ROUND(AVERAGEIFS(ASSESSMENTS!H:H,ASSESSMENTS!B:B,A229,ASSESSMENTS!E:E,"English"),1),""))</f>
        <v/>
      </c>
      <c r="L229" s="5">
        <f>IF(A229="","",IFERROR(_xludf.XLOOKUP(A229,ATTENDANCE_SUMMARY!A:A,ATTENDANCE_SUMMARY!G:G,""),""))</f>
        <v/>
      </c>
      <c r="M229" s="4">
        <f>IF(A229="","",IF(OR(E229&lt;50,AND(L229&lt;0.75,L229&lt;&gt;"" )),"At Risk","On Track"))</f>
        <v/>
      </c>
    </row>
    <row r="230">
      <c r="A230">
        <f>IF(MASTER_REGISTER!E230="","",MASTER_REGISTER!E230)</f>
        <v/>
      </c>
      <c r="B230">
        <f>IF(A230="","",MASTER_REGISTER!F230)</f>
        <v/>
      </c>
      <c r="C230">
        <f>IF(A230="","",MASTER_REGISTER!C230)</f>
        <v/>
      </c>
      <c r="D230">
        <f>IF(A230="","",COUNTIF(ASSESSMENTS!B:B,A230))</f>
        <v/>
      </c>
      <c r="E230" s="4">
        <f>IF(D230=0,"",ROUND(AVERAGEIF(ASSESSMENTS!B:B,A230,ASSESSMENTS!H:H),1))</f>
        <v/>
      </c>
      <c r="F230" s="4">
        <f>IF(A230="","",IFERROR(ROUND(AVERAGEIFS(ASSESSMENTS!H:H,ASSESSMENTS!B:B,A230,ASSESSMENTS!E:E,"Mathematics"),1),""))</f>
        <v/>
      </c>
      <c r="G230" s="4">
        <f>IF(A230="","",IFERROR(ROUND(AVERAGEIFS(ASSESSMENTS!H:H,ASSESSMENTS!B:B,A230,ASSESSMENTS!E:E,"Mathematical Literacy"),1),""))</f>
        <v/>
      </c>
      <c r="H230" s="4">
        <f>IF(A230="","",IFERROR(ROUND(AVERAGEIFS(ASSESSMENTS!H:H,ASSESSMENTS!B:B,A230,ASSESSMENTS!E:E,"Physical Sciences"),1),""))</f>
        <v/>
      </c>
      <c r="I230" s="4">
        <f>IF(A230="","",IFERROR(ROUND(AVERAGEIFS(ASSESSMENTS!H:H,ASSESSMENTS!B:B,A230,ASSESSMENTS!E:E,"Geography"),1),""))</f>
        <v/>
      </c>
      <c r="J230" s="4">
        <f>IF(A230="","",IFERROR(ROUND(AVERAGEIFS(ASSESSMENTS!H:H,ASSESSMENTS!B:B,A230,ASSESSMENTS!E:E,"Accounting"),1),""))</f>
        <v/>
      </c>
      <c r="K230" s="4">
        <f>IF(A230="","",IFERROR(ROUND(AVERAGEIFS(ASSESSMENTS!H:H,ASSESSMENTS!B:B,A230,ASSESSMENTS!E:E,"English"),1),""))</f>
        <v/>
      </c>
      <c r="L230" s="5">
        <f>IF(A230="","",IFERROR(_xludf.XLOOKUP(A230,ATTENDANCE_SUMMARY!A:A,ATTENDANCE_SUMMARY!G:G,""),""))</f>
        <v/>
      </c>
      <c r="M230" s="4">
        <f>IF(A230="","",IF(OR(E230&lt;50,AND(L230&lt;0.75,L230&lt;&gt;"" )),"At Risk","On Track"))</f>
        <v/>
      </c>
    </row>
    <row r="231">
      <c r="A231">
        <f>IF(MASTER_REGISTER!E231="","",MASTER_REGISTER!E231)</f>
        <v/>
      </c>
      <c r="B231">
        <f>IF(A231="","",MASTER_REGISTER!F231)</f>
        <v/>
      </c>
      <c r="C231">
        <f>IF(A231="","",MASTER_REGISTER!C231)</f>
        <v/>
      </c>
      <c r="D231">
        <f>IF(A231="","",COUNTIF(ASSESSMENTS!B:B,A231))</f>
        <v/>
      </c>
      <c r="E231" s="4">
        <f>IF(D231=0,"",ROUND(AVERAGEIF(ASSESSMENTS!B:B,A231,ASSESSMENTS!H:H),1))</f>
        <v/>
      </c>
      <c r="F231" s="4">
        <f>IF(A231="","",IFERROR(ROUND(AVERAGEIFS(ASSESSMENTS!H:H,ASSESSMENTS!B:B,A231,ASSESSMENTS!E:E,"Mathematics"),1),""))</f>
        <v/>
      </c>
      <c r="G231" s="4">
        <f>IF(A231="","",IFERROR(ROUND(AVERAGEIFS(ASSESSMENTS!H:H,ASSESSMENTS!B:B,A231,ASSESSMENTS!E:E,"Mathematical Literacy"),1),""))</f>
        <v/>
      </c>
      <c r="H231" s="4">
        <f>IF(A231="","",IFERROR(ROUND(AVERAGEIFS(ASSESSMENTS!H:H,ASSESSMENTS!B:B,A231,ASSESSMENTS!E:E,"Physical Sciences"),1),""))</f>
        <v/>
      </c>
      <c r="I231" s="4">
        <f>IF(A231="","",IFERROR(ROUND(AVERAGEIFS(ASSESSMENTS!H:H,ASSESSMENTS!B:B,A231,ASSESSMENTS!E:E,"Geography"),1),""))</f>
        <v/>
      </c>
      <c r="J231" s="4">
        <f>IF(A231="","",IFERROR(ROUND(AVERAGEIFS(ASSESSMENTS!H:H,ASSESSMENTS!B:B,A231,ASSESSMENTS!E:E,"Accounting"),1),""))</f>
        <v/>
      </c>
      <c r="K231" s="4">
        <f>IF(A231="","",IFERROR(ROUND(AVERAGEIFS(ASSESSMENTS!H:H,ASSESSMENTS!B:B,A231,ASSESSMENTS!E:E,"English"),1),""))</f>
        <v/>
      </c>
      <c r="L231" s="5">
        <f>IF(A231="","",IFERROR(_xludf.XLOOKUP(A231,ATTENDANCE_SUMMARY!A:A,ATTENDANCE_SUMMARY!G:G,""),""))</f>
        <v/>
      </c>
      <c r="M231" s="4">
        <f>IF(A231="","",IF(OR(E231&lt;50,AND(L231&lt;0.75,L231&lt;&gt;"" )),"At Risk","On Track"))</f>
        <v/>
      </c>
    </row>
    <row r="232">
      <c r="A232">
        <f>IF(MASTER_REGISTER!E232="","",MASTER_REGISTER!E232)</f>
        <v/>
      </c>
      <c r="B232">
        <f>IF(A232="","",MASTER_REGISTER!F232)</f>
        <v/>
      </c>
      <c r="C232">
        <f>IF(A232="","",MASTER_REGISTER!C232)</f>
        <v/>
      </c>
      <c r="D232">
        <f>IF(A232="","",COUNTIF(ASSESSMENTS!B:B,A232))</f>
        <v/>
      </c>
      <c r="E232" s="4">
        <f>IF(D232=0,"",ROUND(AVERAGEIF(ASSESSMENTS!B:B,A232,ASSESSMENTS!H:H),1))</f>
        <v/>
      </c>
      <c r="F232" s="4">
        <f>IF(A232="","",IFERROR(ROUND(AVERAGEIFS(ASSESSMENTS!H:H,ASSESSMENTS!B:B,A232,ASSESSMENTS!E:E,"Mathematics"),1),""))</f>
        <v/>
      </c>
      <c r="G232" s="4">
        <f>IF(A232="","",IFERROR(ROUND(AVERAGEIFS(ASSESSMENTS!H:H,ASSESSMENTS!B:B,A232,ASSESSMENTS!E:E,"Mathematical Literacy"),1),""))</f>
        <v/>
      </c>
      <c r="H232" s="4">
        <f>IF(A232="","",IFERROR(ROUND(AVERAGEIFS(ASSESSMENTS!H:H,ASSESSMENTS!B:B,A232,ASSESSMENTS!E:E,"Physical Sciences"),1),""))</f>
        <v/>
      </c>
      <c r="I232" s="4">
        <f>IF(A232="","",IFERROR(ROUND(AVERAGEIFS(ASSESSMENTS!H:H,ASSESSMENTS!B:B,A232,ASSESSMENTS!E:E,"Geography"),1),""))</f>
        <v/>
      </c>
      <c r="J232" s="4">
        <f>IF(A232="","",IFERROR(ROUND(AVERAGEIFS(ASSESSMENTS!H:H,ASSESSMENTS!B:B,A232,ASSESSMENTS!E:E,"Accounting"),1),""))</f>
        <v/>
      </c>
      <c r="K232" s="4">
        <f>IF(A232="","",IFERROR(ROUND(AVERAGEIFS(ASSESSMENTS!H:H,ASSESSMENTS!B:B,A232,ASSESSMENTS!E:E,"English"),1),""))</f>
        <v/>
      </c>
      <c r="L232" s="5">
        <f>IF(A232="","",IFERROR(_xludf.XLOOKUP(A232,ATTENDANCE_SUMMARY!A:A,ATTENDANCE_SUMMARY!G:G,""),""))</f>
        <v/>
      </c>
      <c r="M232" s="4">
        <f>IF(A232="","",IF(OR(E232&lt;50,AND(L232&lt;0.75,L232&lt;&gt;"" )),"At Risk","On Track"))</f>
        <v/>
      </c>
    </row>
    <row r="233">
      <c r="A233">
        <f>IF(MASTER_REGISTER!E233="","",MASTER_REGISTER!E233)</f>
        <v/>
      </c>
      <c r="B233">
        <f>IF(A233="","",MASTER_REGISTER!F233)</f>
        <v/>
      </c>
      <c r="C233">
        <f>IF(A233="","",MASTER_REGISTER!C233)</f>
        <v/>
      </c>
      <c r="D233">
        <f>IF(A233="","",COUNTIF(ASSESSMENTS!B:B,A233))</f>
        <v/>
      </c>
      <c r="E233" s="4">
        <f>IF(D233=0,"",ROUND(AVERAGEIF(ASSESSMENTS!B:B,A233,ASSESSMENTS!H:H),1))</f>
        <v/>
      </c>
      <c r="F233" s="4">
        <f>IF(A233="","",IFERROR(ROUND(AVERAGEIFS(ASSESSMENTS!H:H,ASSESSMENTS!B:B,A233,ASSESSMENTS!E:E,"Mathematics"),1),""))</f>
        <v/>
      </c>
      <c r="G233" s="4">
        <f>IF(A233="","",IFERROR(ROUND(AVERAGEIFS(ASSESSMENTS!H:H,ASSESSMENTS!B:B,A233,ASSESSMENTS!E:E,"Mathematical Literacy"),1),""))</f>
        <v/>
      </c>
      <c r="H233" s="4">
        <f>IF(A233="","",IFERROR(ROUND(AVERAGEIFS(ASSESSMENTS!H:H,ASSESSMENTS!B:B,A233,ASSESSMENTS!E:E,"Physical Sciences"),1),""))</f>
        <v/>
      </c>
      <c r="I233" s="4">
        <f>IF(A233="","",IFERROR(ROUND(AVERAGEIFS(ASSESSMENTS!H:H,ASSESSMENTS!B:B,A233,ASSESSMENTS!E:E,"Geography"),1),""))</f>
        <v/>
      </c>
      <c r="J233" s="4">
        <f>IF(A233="","",IFERROR(ROUND(AVERAGEIFS(ASSESSMENTS!H:H,ASSESSMENTS!B:B,A233,ASSESSMENTS!E:E,"Accounting"),1),""))</f>
        <v/>
      </c>
      <c r="K233" s="4">
        <f>IF(A233="","",IFERROR(ROUND(AVERAGEIFS(ASSESSMENTS!H:H,ASSESSMENTS!B:B,A233,ASSESSMENTS!E:E,"English"),1),""))</f>
        <v/>
      </c>
      <c r="L233" s="5">
        <f>IF(A233="","",IFERROR(_xludf.XLOOKUP(A233,ATTENDANCE_SUMMARY!A:A,ATTENDANCE_SUMMARY!G:G,""),""))</f>
        <v/>
      </c>
      <c r="M233" s="4">
        <f>IF(A233="","",IF(OR(E233&lt;50,AND(L233&lt;0.75,L233&lt;&gt;"" )),"At Risk","On Track"))</f>
        <v/>
      </c>
    </row>
    <row r="234">
      <c r="A234">
        <f>IF(MASTER_REGISTER!E234="","",MASTER_REGISTER!E234)</f>
        <v/>
      </c>
      <c r="B234">
        <f>IF(A234="","",MASTER_REGISTER!F234)</f>
        <v/>
      </c>
      <c r="C234">
        <f>IF(A234="","",MASTER_REGISTER!C234)</f>
        <v/>
      </c>
      <c r="D234">
        <f>IF(A234="","",COUNTIF(ASSESSMENTS!B:B,A234))</f>
        <v/>
      </c>
      <c r="E234" s="4">
        <f>IF(D234=0,"",ROUND(AVERAGEIF(ASSESSMENTS!B:B,A234,ASSESSMENTS!H:H),1))</f>
        <v/>
      </c>
      <c r="F234" s="4">
        <f>IF(A234="","",IFERROR(ROUND(AVERAGEIFS(ASSESSMENTS!H:H,ASSESSMENTS!B:B,A234,ASSESSMENTS!E:E,"Mathematics"),1),""))</f>
        <v/>
      </c>
      <c r="G234" s="4">
        <f>IF(A234="","",IFERROR(ROUND(AVERAGEIFS(ASSESSMENTS!H:H,ASSESSMENTS!B:B,A234,ASSESSMENTS!E:E,"Mathematical Literacy"),1),""))</f>
        <v/>
      </c>
      <c r="H234" s="4">
        <f>IF(A234="","",IFERROR(ROUND(AVERAGEIFS(ASSESSMENTS!H:H,ASSESSMENTS!B:B,A234,ASSESSMENTS!E:E,"Physical Sciences"),1),""))</f>
        <v/>
      </c>
      <c r="I234" s="4">
        <f>IF(A234="","",IFERROR(ROUND(AVERAGEIFS(ASSESSMENTS!H:H,ASSESSMENTS!B:B,A234,ASSESSMENTS!E:E,"Geography"),1),""))</f>
        <v/>
      </c>
      <c r="J234" s="4">
        <f>IF(A234="","",IFERROR(ROUND(AVERAGEIFS(ASSESSMENTS!H:H,ASSESSMENTS!B:B,A234,ASSESSMENTS!E:E,"Accounting"),1),""))</f>
        <v/>
      </c>
      <c r="K234" s="4">
        <f>IF(A234="","",IFERROR(ROUND(AVERAGEIFS(ASSESSMENTS!H:H,ASSESSMENTS!B:B,A234,ASSESSMENTS!E:E,"English"),1),""))</f>
        <v/>
      </c>
      <c r="L234" s="5">
        <f>IF(A234="","",IFERROR(_xludf.XLOOKUP(A234,ATTENDANCE_SUMMARY!A:A,ATTENDANCE_SUMMARY!G:G,""),""))</f>
        <v/>
      </c>
      <c r="M234" s="4">
        <f>IF(A234="","",IF(OR(E234&lt;50,AND(L234&lt;0.75,L234&lt;&gt;"" )),"At Risk","On Track"))</f>
        <v/>
      </c>
    </row>
    <row r="235">
      <c r="A235">
        <f>IF(MASTER_REGISTER!E235="","",MASTER_REGISTER!E235)</f>
        <v/>
      </c>
      <c r="B235">
        <f>IF(A235="","",MASTER_REGISTER!F235)</f>
        <v/>
      </c>
      <c r="C235">
        <f>IF(A235="","",MASTER_REGISTER!C235)</f>
        <v/>
      </c>
      <c r="D235">
        <f>IF(A235="","",COUNTIF(ASSESSMENTS!B:B,A235))</f>
        <v/>
      </c>
      <c r="E235" s="4">
        <f>IF(D235=0,"",ROUND(AVERAGEIF(ASSESSMENTS!B:B,A235,ASSESSMENTS!H:H),1))</f>
        <v/>
      </c>
      <c r="F235" s="4">
        <f>IF(A235="","",IFERROR(ROUND(AVERAGEIFS(ASSESSMENTS!H:H,ASSESSMENTS!B:B,A235,ASSESSMENTS!E:E,"Mathematics"),1),""))</f>
        <v/>
      </c>
      <c r="G235" s="4">
        <f>IF(A235="","",IFERROR(ROUND(AVERAGEIFS(ASSESSMENTS!H:H,ASSESSMENTS!B:B,A235,ASSESSMENTS!E:E,"Mathematical Literacy"),1),""))</f>
        <v/>
      </c>
      <c r="H235" s="4">
        <f>IF(A235="","",IFERROR(ROUND(AVERAGEIFS(ASSESSMENTS!H:H,ASSESSMENTS!B:B,A235,ASSESSMENTS!E:E,"Physical Sciences"),1),""))</f>
        <v/>
      </c>
      <c r="I235" s="4">
        <f>IF(A235="","",IFERROR(ROUND(AVERAGEIFS(ASSESSMENTS!H:H,ASSESSMENTS!B:B,A235,ASSESSMENTS!E:E,"Geography"),1),""))</f>
        <v/>
      </c>
      <c r="J235" s="4">
        <f>IF(A235="","",IFERROR(ROUND(AVERAGEIFS(ASSESSMENTS!H:H,ASSESSMENTS!B:B,A235,ASSESSMENTS!E:E,"Accounting"),1),""))</f>
        <v/>
      </c>
      <c r="K235" s="4">
        <f>IF(A235="","",IFERROR(ROUND(AVERAGEIFS(ASSESSMENTS!H:H,ASSESSMENTS!B:B,A235,ASSESSMENTS!E:E,"English"),1),""))</f>
        <v/>
      </c>
      <c r="L235" s="5">
        <f>IF(A235="","",IFERROR(_xludf.XLOOKUP(A235,ATTENDANCE_SUMMARY!A:A,ATTENDANCE_SUMMARY!G:G,""),""))</f>
        <v/>
      </c>
      <c r="M235" s="4">
        <f>IF(A235="","",IF(OR(E235&lt;50,AND(L235&lt;0.75,L235&lt;&gt;"" )),"At Risk","On Track"))</f>
        <v/>
      </c>
    </row>
    <row r="236">
      <c r="A236">
        <f>IF(MASTER_REGISTER!E236="","",MASTER_REGISTER!E236)</f>
        <v/>
      </c>
      <c r="B236">
        <f>IF(A236="","",MASTER_REGISTER!F236)</f>
        <v/>
      </c>
      <c r="C236">
        <f>IF(A236="","",MASTER_REGISTER!C236)</f>
        <v/>
      </c>
      <c r="D236">
        <f>IF(A236="","",COUNTIF(ASSESSMENTS!B:B,A236))</f>
        <v/>
      </c>
      <c r="E236" s="4">
        <f>IF(D236=0,"",ROUND(AVERAGEIF(ASSESSMENTS!B:B,A236,ASSESSMENTS!H:H),1))</f>
        <v/>
      </c>
      <c r="F236" s="4">
        <f>IF(A236="","",IFERROR(ROUND(AVERAGEIFS(ASSESSMENTS!H:H,ASSESSMENTS!B:B,A236,ASSESSMENTS!E:E,"Mathematics"),1),""))</f>
        <v/>
      </c>
      <c r="G236" s="4">
        <f>IF(A236="","",IFERROR(ROUND(AVERAGEIFS(ASSESSMENTS!H:H,ASSESSMENTS!B:B,A236,ASSESSMENTS!E:E,"Mathematical Literacy"),1),""))</f>
        <v/>
      </c>
      <c r="H236" s="4">
        <f>IF(A236="","",IFERROR(ROUND(AVERAGEIFS(ASSESSMENTS!H:H,ASSESSMENTS!B:B,A236,ASSESSMENTS!E:E,"Physical Sciences"),1),""))</f>
        <v/>
      </c>
      <c r="I236" s="4">
        <f>IF(A236="","",IFERROR(ROUND(AVERAGEIFS(ASSESSMENTS!H:H,ASSESSMENTS!B:B,A236,ASSESSMENTS!E:E,"Geography"),1),""))</f>
        <v/>
      </c>
      <c r="J236" s="4">
        <f>IF(A236="","",IFERROR(ROUND(AVERAGEIFS(ASSESSMENTS!H:H,ASSESSMENTS!B:B,A236,ASSESSMENTS!E:E,"Accounting"),1),""))</f>
        <v/>
      </c>
      <c r="K236" s="4">
        <f>IF(A236="","",IFERROR(ROUND(AVERAGEIFS(ASSESSMENTS!H:H,ASSESSMENTS!B:B,A236,ASSESSMENTS!E:E,"English"),1),""))</f>
        <v/>
      </c>
      <c r="L236" s="5">
        <f>IF(A236="","",IFERROR(_xludf.XLOOKUP(A236,ATTENDANCE_SUMMARY!A:A,ATTENDANCE_SUMMARY!G:G,""),""))</f>
        <v/>
      </c>
      <c r="M236" s="4">
        <f>IF(A236="","",IF(OR(E236&lt;50,AND(L236&lt;0.75,L236&lt;&gt;"" )),"At Risk","On Track"))</f>
        <v/>
      </c>
    </row>
    <row r="237">
      <c r="A237">
        <f>IF(MASTER_REGISTER!E237="","",MASTER_REGISTER!E237)</f>
        <v/>
      </c>
      <c r="B237">
        <f>IF(A237="","",MASTER_REGISTER!F237)</f>
        <v/>
      </c>
      <c r="C237">
        <f>IF(A237="","",MASTER_REGISTER!C237)</f>
        <v/>
      </c>
      <c r="D237">
        <f>IF(A237="","",COUNTIF(ASSESSMENTS!B:B,A237))</f>
        <v/>
      </c>
      <c r="E237" s="4">
        <f>IF(D237=0,"",ROUND(AVERAGEIF(ASSESSMENTS!B:B,A237,ASSESSMENTS!H:H),1))</f>
        <v/>
      </c>
      <c r="F237" s="4">
        <f>IF(A237="","",IFERROR(ROUND(AVERAGEIFS(ASSESSMENTS!H:H,ASSESSMENTS!B:B,A237,ASSESSMENTS!E:E,"Mathematics"),1),""))</f>
        <v/>
      </c>
      <c r="G237" s="4">
        <f>IF(A237="","",IFERROR(ROUND(AVERAGEIFS(ASSESSMENTS!H:H,ASSESSMENTS!B:B,A237,ASSESSMENTS!E:E,"Mathematical Literacy"),1),""))</f>
        <v/>
      </c>
      <c r="H237" s="4">
        <f>IF(A237="","",IFERROR(ROUND(AVERAGEIFS(ASSESSMENTS!H:H,ASSESSMENTS!B:B,A237,ASSESSMENTS!E:E,"Physical Sciences"),1),""))</f>
        <v/>
      </c>
      <c r="I237" s="4">
        <f>IF(A237="","",IFERROR(ROUND(AVERAGEIFS(ASSESSMENTS!H:H,ASSESSMENTS!B:B,A237,ASSESSMENTS!E:E,"Geography"),1),""))</f>
        <v/>
      </c>
      <c r="J237" s="4">
        <f>IF(A237="","",IFERROR(ROUND(AVERAGEIFS(ASSESSMENTS!H:H,ASSESSMENTS!B:B,A237,ASSESSMENTS!E:E,"Accounting"),1),""))</f>
        <v/>
      </c>
      <c r="K237" s="4">
        <f>IF(A237="","",IFERROR(ROUND(AVERAGEIFS(ASSESSMENTS!H:H,ASSESSMENTS!B:B,A237,ASSESSMENTS!E:E,"English"),1),""))</f>
        <v/>
      </c>
      <c r="L237" s="5">
        <f>IF(A237="","",IFERROR(_xludf.XLOOKUP(A237,ATTENDANCE_SUMMARY!A:A,ATTENDANCE_SUMMARY!G:G,""),""))</f>
        <v/>
      </c>
      <c r="M237" s="4">
        <f>IF(A237="","",IF(OR(E237&lt;50,AND(L237&lt;0.75,L237&lt;&gt;"" )),"At Risk","On Track"))</f>
        <v/>
      </c>
    </row>
    <row r="238">
      <c r="A238">
        <f>IF(MASTER_REGISTER!E238="","",MASTER_REGISTER!E238)</f>
        <v/>
      </c>
      <c r="B238">
        <f>IF(A238="","",MASTER_REGISTER!F238)</f>
        <v/>
      </c>
      <c r="C238">
        <f>IF(A238="","",MASTER_REGISTER!C238)</f>
        <v/>
      </c>
      <c r="D238">
        <f>IF(A238="","",COUNTIF(ASSESSMENTS!B:B,A238))</f>
        <v/>
      </c>
      <c r="E238" s="4">
        <f>IF(D238=0,"",ROUND(AVERAGEIF(ASSESSMENTS!B:B,A238,ASSESSMENTS!H:H),1))</f>
        <v/>
      </c>
      <c r="F238" s="4">
        <f>IF(A238="","",IFERROR(ROUND(AVERAGEIFS(ASSESSMENTS!H:H,ASSESSMENTS!B:B,A238,ASSESSMENTS!E:E,"Mathematics"),1),""))</f>
        <v/>
      </c>
      <c r="G238" s="4">
        <f>IF(A238="","",IFERROR(ROUND(AVERAGEIFS(ASSESSMENTS!H:H,ASSESSMENTS!B:B,A238,ASSESSMENTS!E:E,"Mathematical Literacy"),1),""))</f>
        <v/>
      </c>
      <c r="H238" s="4">
        <f>IF(A238="","",IFERROR(ROUND(AVERAGEIFS(ASSESSMENTS!H:H,ASSESSMENTS!B:B,A238,ASSESSMENTS!E:E,"Physical Sciences"),1),""))</f>
        <v/>
      </c>
      <c r="I238" s="4">
        <f>IF(A238="","",IFERROR(ROUND(AVERAGEIFS(ASSESSMENTS!H:H,ASSESSMENTS!B:B,A238,ASSESSMENTS!E:E,"Geography"),1),""))</f>
        <v/>
      </c>
      <c r="J238" s="4">
        <f>IF(A238="","",IFERROR(ROUND(AVERAGEIFS(ASSESSMENTS!H:H,ASSESSMENTS!B:B,A238,ASSESSMENTS!E:E,"Accounting"),1),""))</f>
        <v/>
      </c>
      <c r="K238" s="4">
        <f>IF(A238="","",IFERROR(ROUND(AVERAGEIFS(ASSESSMENTS!H:H,ASSESSMENTS!B:B,A238,ASSESSMENTS!E:E,"English"),1),""))</f>
        <v/>
      </c>
      <c r="L238" s="5">
        <f>IF(A238="","",IFERROR(_xludf.XLOOKUP(A238,ATTENDANCE_SUMMARY!A:A,ATTENDANCE_SUMMARY!G:G,""),""))</f>
        <v/>
      </c>
      <c r="M238" s="4">
        <f>IF(A238="","",IF(OR(E238&lt;50,AND(L238&lt;0.75,L238&lt;&gt;"" )),"At Risk","On Track"))</f>
        <v/>
      </c>
    </row>
    <row r="239">
      <c r="A239">
        <f>IF(MASTER_REGISTER!E239="","",MASTER_REGISTER!E239)</f>
        <v/>
      </c>
      <c r="B239">
        <f>IF(A239="","",MASTER_REGISTER!F239)</f>
        <v/>
      </c>
      <c r="C239">
        <f>IF(A239="","",MASTER_REGISTER!C239)</f>
        <v/>
      </c>
      <c r="D239">
        <f>IF(A239="","",COUNTIF(ASSESSMENTS!B:B,A239))</f>
        <v/>
      </c>
      <c r="E239" s="4">
        <f>IF(D239=0,"",ROUND(AVERAGEIF(ASSESSMENTS!B:B,A239,ASSESSMENTS!H:H),1))</f>
        <v/>
      </c>
      <c r="F239" s="4">
        <f>IF(A239="","",IFERROR(ROUND(AVERAGEIFS(ASSESSMENTS!H:H,ASSESSMENTS!B:B,A239,ASSESSMENTS!E:E,"Mathematics"),1),""))</f>
        <v/>
      </c>
      <c r="G239" s="4">
        <f>IF(A239="","",IFERROR(ROUND(AVERAGEIFS(ASSESSMENTS!H:H,ASSESSMENTS!B:B,A239,ASSESSMENTS!E:E,"Mathematical Literacy"),1),""))</f>
        <v/>
      </c>
      <c r="H239" s="4">
        <f>IF(A239="","",IFERROR(ROUND(AVERAGEIFS(ASSESSMENTS!H:H,ASSESSMENTS!B:B,A239,ASSESSMENTS!E:E,"Physical Sciences"),1),""))</f>
        <v/>
      </c>
      <c r="I239" s="4">
        <f>IF(A239="","",IFERROR(ROUND(AVERAGEIFS(ASSESSMENTS!H:H,ASSESSMENTS!B:B,A239,ASSESSMENTS!E:E,"Geography"),1),""))</f>
        <v/>
      </c>
      <c r="J239" s="4">
        <f>IF(A239="","",IFERROR(ROUND(AVERAGEIFS(ASSESSMENTS!H:H,ASSESSMENTS!B:B,A239,ASSESSMENTS!E:E,"Accounting"),1),""))</f>
        <v/>
      </c>
      <c r="K239" s="4">
        <f>IF(A239="","",IFERROR(ROUND(AVERAGEIFS(ASSESSMENTS!H:H,ASSESSMENTS!B:B,A239,ASSESSMENTS!E:E,"English"),1),""))</f>
        <v/>
      </c>
      <c r="L239" s="5">
        <f>IF(A239="","",IFERROR(_xludf.XLOOKUP(A239,ATTENDANCE_SUMMARY!A:A,ATTENDANCE_SUMMARY!G:G,""),""))</f>
        <v/>
      </c>
      <c r="M239" s="4">
        <f>IF(A239="","",IF(OR(E239&lt;50,AND(L239&lt;0.75,L239&lt;&gt;"" )),"At Risk","On Track"))</f>
        <v/>
      </c>
    </row>
    <row r="240">
      <c r="A240">
        <f>IF(MASTER_REGISTER!E240="","",MASTER_REGISTER!E240)</f>
        <v/>
      </c>
      <c r="B240">
        <f>IF(A240="","",MASTER_REGISTER!F240)</f>
        <v/>
      </c>
      <c r="C240">
        <f>IF(A240="","",MASTER_REGISTER!C240)</f>
        <v/>
      </c>
      <c r="D240">
        <f>IF(A240="","",COUNTIF(ASSESSMENTS!B:B,A240))</f>
        <v/>
      </c>
      <c r="E240" s="4">
        <f>IF(D240=0,"",ROUND(AVERAGEIF(ASSESSMENTS!B:B,A240,ASSESSMENTS!H:H),1))</f>
        <v/>
      </c>
      <c r="F240" s="4">
        <f>IF(A240="","",IFERROR(ROUND(AVERAGEIFS(ASSESSMENTS!H:H,ASSESSMENTS!B:B,A240,ASSESSMENTS!E:E,"Mathematics"),1),""))</f>
        <v/>
      </c>
      <c r="G240" s="4">
        <f>IF(A240="","",IFERROR(ROUND(AVERAGEIFS(ASSESSMENTS!H:H,ASSESSMENTS!B:B,A240,ASSESSMENTS!E:E,"Mathematical Literacy"),1),""))</f>
        <v/>
      </c>
      <c r="H240" s="4">
        <f>IF(A240="","",IFERROR(ROUND(AVERAGEIFS(ASSESSMENTS!H:H,ASSESSMENTS!B:B,A240,ASSESSMENTS!E:E,"Physical Sciences"),1),""))</f>
        <v/>
      </c>
      <c r="I240" s="4">
        <f>IF(A240="","",IFERROR(ROUND(AVERAGEIFS(ASSESSMENTS!H:H,ASSESSMENTS!B:B,A240,ASSESSMENTS!E:E,"Geography"),1),""))</f>
        <v/>
      </c>
      <c r="J240" s="4">
        <f>IF(A240="","",IFERROR(ROUND(AVERAGEIFS(ASSESSMENTS!H:H,ASSESSMENTS!B:B,A240,ASSESSMENTS!E:E,"Accounting"),1),""))</f>
        <v/>
      </c>
      <c r="K240" s="4">
        <f>IF(A240="","",IFERROR(ROUND(AVERAGEIFS(ASSESSMENTS!H:H,ASSESSMENTS!B:B,A240,ASSESSMENTS!E:E,"English"),1),""))</f>
        <v/>
      </c>
      <c r="L240" s="5">
        <f>IF(A240="","",IFERROR(_xludf.XLOOKUP(A240,ATTENDANCE_SUMMARY!A:A,ATTENDANCE_SUMMARY!G:G,""),""))</f>
        <v/>
      </c>
      <c r="M240" s="4">
        <f>IF(A240="","",IF(OR(E240&lt;50,AND(L240&lt;0.75,L240&lt;&gt;"" )),"At Risk","On Track"))</f>
        <v/>
      </c>
    </row>
    <row r="241">
      <c r="A241">
        <f>IF(MASTER_REGISTER!E241="","",MASTER_REGISTER!E241)</f>
        <v/>
      </c>
      <c r="B241">
        <f>IF(A241="","",MASTER_REGISTER!F241)</f>
        <v/>
      </c>
      <c r="C241">
        <f>IF(A241="","",MASTER_REGISTER!C241)</f>
        <v/>
      </c>
      <c r="D241">
        <f>IF(A241="","",COUNTIF(ASSESSMENTS!B:B,A241))</f>
        <v/>
      </c>
      <c r="E241" s="4">
        <f>IF(D241=0,"",ROUND(AVERAGEIF(ASSESSMENTS!B:B,A241,ASSESSMENTS!H:H),1))</f>
        <v/>
      </c>
      <c r="F241" s="4">
        <f>IF(A241="","",IFERROR(ROUND(AVERAGEIFS(ASSESSMENTS!H:H,ASSESSMENTS!B:B,A241,ASSESSMENTS!E:E,"Mathematics"),1),""))</f>
        <v/>
      </c>
      <c r="G241" s="4">
        <f>IF(A241="","",IFERROR(ROUND(AVERAGEIFS(ASSESSMENTS!H:H,ASSESSMENTS!B:B,A241,ASSESSMENTS!E:E,"Mathematical Literacy"),1),""))</f>
        <v/>
      </c>
      <c r="H241" s="4">
        <f>IF(A241="","",IFERROR(ROUND(AVERAGEIFS(ASSESSMENTS!H:H,ASSESSMENTS!B:B,A241,ASSESSMENTS!E:E,"Physical Sciences"),1),""))</f>
        <v/>
      </c>
      <c r="I241" s="4">
        <f>IF(A241="","",IFERROR(ROUND(AVERAGEIFS(ASSESSMENTS!H:H,ASSESSMENTS!B:B,A241,ASSESSMENTS!E:E,"Geography"),1),""))</f>
        <v/>
      </c>
      <c r="J241" s="4">
        <f>IF(A241="","",IFERROR(ROUND(AVERAGEIFS(ASSESSMENTS!H:H,ASSESSMENTS!B:B,A241,ASSESSMENTS!E:E,"Accounting"),1),""))</f>
        <v/>
      </c>
      <c r="K241" s="4">
        <f>IF(A241="","",IFERROR(ROUND(AVERAGEIFS(ASSESSMENTS!H:H,ASSESSMENTS!B:B,A241,ASSESSMENTS!E:E,"English"),1),""))</f>
        <v/>
      </c>
      <c r="L241" s="5">
        <f>IF(A241="","",IFERROR(_xludf.XLOOKUP(A241,ATTENDANCE_SUMMARY!A:A,ATTENDANCE_SUMMARY!G:G,""),""))</f>
        <v/>
      </c>
      <c r="M241" s="4">
        <f>IF(A241="","",IF(OR(E241&lt;50,AND(L241&lt;0.75,L241&lt;&gt;"" )),"At Risk","On Track"))</f>
        <v/>
      </c>
    </row>
    <row r="242">
      <c r="A242">
        <f>IF(MASTER_REGISTER!E242="","",MASTER_REGISTER!E242)</f>
        <v/>
      </c>
      <c r="B242">
        <f>IF(A242="","",MASTER_REGISTER!F242)</f>
        <v/>
      </c>
      <c r="C242">
        <f>IF(A242="","",MASTER_REGISTER!C242)</f>
        <v/>
      </c>
      <c r="D242">
        <f>IF(A242="","",COUNTIF(ASSESSMENTS!B:B,A242))</f>
        <v/>
      </c>
      <c r="E242" s="4">
        <f>IF(D242=0,"",ROUND(AVERAGEIF(ASSESSMENTS!B:B,A242,ASSESSMENTS!H:H),1))</f>
        <v/>
      </c>
      <c r="F242" s="4">
        <f>IF(A242="","",IFERROR(ROUND(AVERAGEIFS(ASSESSMENTS!H:H,ASSESSMENTS!B:B,A242,ASSESSMENTS!E:E,"Mathematics"),1),""))</f>
        <v/>
      </c>
      <c r="G242" s="4">
        <f>IF(A242="","",IFERROR(ROUND(AVERAGEIFS(ASSESSMENTS!H:H,ASSESSMENTS!B:B,A242,ASSESSMENTS!E:E,"Mathematical Literacy"),1),""))</f>
        <v/>
      </c>
      <c r="H242" s="4">
        <f>IF(A242="","",IFERROR(ROUND(AVERAGEIFS(ASSESSMENTS!H:H,ASSESSMENTS!B:B,A242,ASSESSMENTS!E:E,"Physical Sciences"),1),""))</f>
        <v/>
      </c>
      <c r="I242" s="4">
        <f>IF(A242="","",IFERROR(ROUND(AVERAGEIFS(ASSESSMENTS!H:H,ASSESSMENTS!B:B,A242,ASSESSMENTS!E:E,"Geography"),1),""))</f>
        <v/>
      </c>
      <c r="J242" s="4">
        <f>IF(A242="","",IFERROR(ROUND(AVERAGEIFS(ASSESSMENTS!H:H,ASSESSMENTS!B:B,A242,ASSESSMENTS!E:E,"Accounting"),1),""))</f>
        <v/>
      </c>
      <c r="K242" s="4">
        <f>IF(A242="","",IFERROR(ROUND(AVERAGEIFS(ASSESSMENTS!H:H,ASSESSMENTS!B:B,A242,ASSESSMENTS!E:E,"English"),1),""))</f>
        <v/>
      </c>
      <c r="L242" s="5">
        <f>IF(A242="","",IFERROR(_xludf.XLOOKUP(A242,ATTENDANCE_SUMMARY!A:A,ATTENDANCE_SUMMARY!G:G,""),""))</f>
        <v/>
      </c>
      <c r="M242" s="4">
        <f>IF(A242="","",IF(OR(E242&lt;50,AND(L242&lt;0.75,L242&lt;&gt;"" )),"At Risk","On Track"))</f>
        <v/>
      </c>
    </row>
    <row r="243">
      <c r="A243">
        <f>IF(MASTER_REGISTER!E243="","",MASTER_REGISTER!E243)</f>
        <v/>
      </c>
      <c r="B243">
        <f>IF(A243="","",MASTER_REGISTER!F243)</f>
        <v/>
      </c>
      <c r="C243">
        <f>IF(A243="","",MASTER_REGISTER!C243)</f>
        <v/>
      </c>
      <c r="D243">
        <f>IF(A243="","",COUNTIF(ASSESSMENTS!B:B,A243))</f>
        <v/>
      </c>
      <c r="E243" s="4">
        <f>IF(D243=0,"",ROUND(AVERAGEIF(ASSESSMENTS!B:B,A243,ASSESSMENTS!H:H),1))</f>
        <v/>
      </c>
      <c r="F243" s="4">
        <f>IF(A243="","",IFERROR(ROUND(AVERAGEIFS(ASSESSMENTS!H:H,ASSESSMENTS!B:B,A243,ASSESSMENTS!E:E,"Mathematics"),1),""))</f>
        <v/>
      </c>
      <c r="G243" s="4">
        <f>IF(A243="","",IFERROR(ROUND(AVERAGEIFS(ASSESSMENTS!H:H,ASSESSMENTS!B:B,A243,ASSESSMENTS!E:E,"Mathematical Literacy"),1),""))</f>
        <v/>
      </c>
      <c r="H243" s="4">
        <f>IF(A243="","",IFERROR(ROUND(AVERAGEIFS(ASSESSMENTS!H:H,ASSESSMENTS!B:B,A243,ASSESSMENTS!E:E,"Physical Sciences"),1),""))</f>
        <v/>
      </c>
      <c r="I243" s="4">
        <f>IF(A243="","",IFERROR(ROUND(AVERAGEIFS(ASSESSMENTS!H:H,ASSESSMENTS!B:B,A243,ASSESSMENTS!E:E,"Geography"),1),""))</f>
        <v/>
      </c>
      <c r="J243" s="4">
        <f>IF(A243="","",IFERROR(ROUND(AVERAGEIFS(ASSESSMENTS!H:H,ASSESSMENTS!B:B,A243,ASSESSMENTS!E:E,"Accounting"),1),""))</f>
        <v/>
      </c>
      <c r="K243" s="4">
        <f>IF(A243="","",IFERROR(ROUND(AVERAGEIFS(ASSESSMENTS!H:H,ASSESSMENTS!B:B,A243,ASSESSMENTS!E:E,"English"),1),""))</f>
        <v/>
      </c>
      <c r="L243" s="5">
        <f>IF(A243="","",IFERROR(_xludf.XLOOKUP(A243,ATTENDANCE_SUMMARY!A:A,ATTENDANCE_SUMMARY!G:G,""),""))</f>
        <v/>
      </c>
      <c r="M243" s="4">
        <f>IF(A243="","",IF(OR(E243&lt;50,AND(L243&lt;0.75,L243&lt;&gt;"" )),"At Risk","On Track"))</f>
        <v/>
      </c>
    </row>
    <row r="244">
      <c r="A244">
        <f>IF(MASTER_REGISTER!E244="","",MASTER_REGISTER!E244)</f>
        <v/>
      </c>
      <c r="B244">
        <f>IF(A244="","",MASTER_REGISTER!F244)</f>
        <v/>
      </c>
      <c r="C244">
        <f>IF(A244="","",MASTER_REGISTER!C244)</f>
        <v/>
      </c>
      <c r="D244">
        <f>IF(A244="","",COUNTIF(ASSESSMENTS!B:B,A244))</f>
        <v/>
      </c>
      <c r="E244" s="4">
        <f>IF(D244=0,"",ROUND(AVERAGEIF(ASSESSMENTS!B:B,A244,ASSESSMENTS!H:H),1))</f>
        <v/>
      </c>
      <c r="F244" s="4">
        <f>IF(A244="","",IFERROR(ROUND(AVERAGEIFS(ASSESSMENTS!H:H,ASSESSMENTS!B:B,A244,ASSESSMENTS!E:E,"Mathematics"),1),""))</f>
        <v/>
      </c>
      <c r="G244" s="4">
        <f>IF(A244="","",IFERROR(ROUND(AVERAGEIFS(ASSESSMENTS!H:H,ASSESSMENTS!B:B,A244,ASSESSMENTS!E:E,"Mathematical Literacy"),1),""))</f>
        <v/>
      </c>
      <c r="H244" s="4">
        <f>IF(A244="","",IFERROR(ROUND(AVERAGEIFS(ASSESSMENTS!H:H,ASSESSMENTS!B:B,A244,ASSESSMENTS!E:E,"Physical Sciences"),1),""))</f>
        <v/>
      </c>
      <c r="I244" s="4">
        <f>IF(A244="","",IFERROR(ROUND(AVERAGEIFS(ASSESSMENTS!H:H,ASSESSMENTS!B:B,A244,ASSESSMENTS!E:E,"Geography"),1),""))</f>
        <v/>
      </c>
      <c r="J244" s="4">
        <f>IF(A244="","",IFERROR(ROUND(AVERAGEIFS(ASSESSMENTS!H:H,ASSESSMENTS!B:B,A244,ASSESSMENTS!E:E,"Accounting"),1),""))</f>
        <v/>
      </c>
      <c r="K244" s="4">
        <f>IF(A244="","",IFERROR(ROUND(AVERAGEIFS(ASSESSMENTS!H:H,ASSESSMENTS!B:B,A244,ASSESSMENTS!E:E,"English"),1),""))</f>
        <v/>
      </c>
      <c r="L244" s="5">
        <f>IF(A244="","",IFERROR(_xludf.XLOOKUP(A244,ATTENDANCE_SUMMARY!A:A,ATTENDANCE_SUMMARY!G:G,""),""))</f>
        <v/>
      </c>
      <c r="M244" s="4">
        <f>IF(A244="","",IF(OR(E244&lt;50,AND(L244&lt;0.75,L244&lt;&gt;"" )),"At Risk","On Track"))</f>
        <v/>
      </c>
    </row>
    <row r="245">
      <c r="A245">
        <f>IF(MASTER_REGISTER!E245="","",MASTER_REGISTER!E245)</f>
        <v/>
      </c>
      <c r="B245">
        <f>IF(A245="","",MASTER_REGISTER!F245)</f>
        <v/>
      </c>
      <c r="C245">
        <f>IF(A245="","",MASTER_REGISTER!C245)</f>
        <v/>
      </c>
      <c r="D245">
        <f>IF(A245="","",COUNTIF(ASSESSMENTS!B:B,A245))</f>
        <v/>
      </c>
      <c r="E245" s="4">
        <f>IF(D245=0,"",ROUND(AVERAGEIF(ASSESSMENTS!B:B,A245,ASSESSMENTS!H:H),1))</f>
        <v/>
      </c>
      <c r="F245" s="4">
        <f>IF(A245="","",IFERROR(ROUND(AVERAGEIFS(ASSESSMENTS!H:H,ASSESSMENTS!B:B,A245,ASSESSMENTS!E:E,"Mathematics"),1),""))</f>
        <v/>
      </c>
      <c r="G245" s="4">
        <f>IF(A245="","",IFERROR(ROUND(AVERAGEIFS(ASSESSMENTS!H:H,ASSESSMENTS!B:B,A245,ASSESSMENTS!E:E,"Mathematical Literacy"),1),""))</f>
        <v/>
      </c>
      <c r="H245" s="4">
        <f>IF(A245="","",IFERROR(ROUND(AVERAGEIFS(ASSESSMENTS!H:H,ASSESSMENTS!B:B,A245,ASSESSMENTS!E:E,"Physical Sciences"),1),""))</f>
        <v/>
      </c>
      <c r="I245" s="4">
        <f>IF(A245="","",IFERROR(ROUND(AVERAGEIFS(ASSESSMENTS!H:H,ASSESSMENTS!B:B,A245,ASSESSMENTS!E:E,"Geography"),1),""))</f>
        <v/>
      </c>
      <c r="J245" s="4">
        <f>IF(A245="","",IFERROR(ROUND(AVERAGEIFS(ASSESSMENTS!H:H,ASSESSMENTS!B:B,A245,ASSESSMENTS!E:E,"Accounting"),1),""))</f>
        <v/>
      </c>
      <c r="K245" s="4">
        <f>IF(A245="","",IFERROR(ROUND(AVERAGEIFS(ASSESSMENTS!H:H,ASSESSMENTS!B:B,A245,ASSESSMENTS!E:E,"English"),1),""))</f>
        <v/>
      </c>
      <c r="L245" s="5">
        <f>IF(A245="","",IFERROR(_xludf.XLOOKUP(A245,ATTENDANCE_SUMMARY!A:A,ATTENDANCE_SUMMARY!G:G,""),""))</f>
        <v/>
      </c>
      <c r="M245" s="4">
        <f>IF(A245="","",IF(OR(E245&lt;50,AND(L245&lt;0.75,L245&lt;&gt;"" )),"At Risk","On Track"))</f>
        <v/>
      </c>
    </row>
    <row r="246">
      <c r="A246">
        <f>IF(MASTER_REGISTER!E246="","",MASTER_REGISTER!E246)</f>
        <v/>
      </c>
      <c r="B246">
        <f>IF(A246="","",MASTER_REGISTER!F246)</f>
        <v/>
      </c>
      <c r="C246">
        <f>IF(A246="","",MASTER_REGISTER!C246)</f>
        <v/>
      </c>
      <c r="D246">
        <f>IF(A246="","",COUNTIF(ASSESSMENTS!B:B,A246))</f>
        <v/>
      </c>
      <c r="E246" s="4">
        <f>IF(D246=0,"",ROUND(AVERAGEIF(ASSESSMENTS!B:B,A246,ASSESSMENTS!H:H),1))</f>
        <v/>
      </c>
      <c r="F246" s="4">
        <f>IF(A246="","",IFERROR(ROUND(AVERAGEIFS(ASSESSMENTS!H:H,ASSESSMENTS!B:B,A246,ASSESSMENTS!E:E,"Mathematics"),1),""))</f>
        <v/>
      </c>
      <c r="G246" s="4">
        <f>IF(A246="","",IFERROR(ROUND(AVERAGEIFS(ASSESSMENTS!H:H,ASSESSMENTS!B:B,A246,ASSESSMENTS!E:E,"Mathematical Literacy"),1),""))</f>
        <v/>
      </c>
      <c r="H246" s="4">
        <f>IF(A246="","",IFERROR(ROUND(AVERAGEIFS(ASSESSMENTS!H:H,ASSESSMENTS!B:B,A246,ASSESSMENTS!E:E,"Physical Sciences"),1),""))</f>
        <v/>
      </c>
      <c r="I246" s="4">
        <f>IF(A246="","",IFERROR(ROUND(AVERAGEIFS(ASSESSMENTS!H:H,ASSESSMENTS!B:B,A246,ASSESSMENTS!E:E,"Geography"),1),""))</f>
        <v/>
      </c>
      <c r="J246" s="4">
        <f>IF(A246="","",IFERROR(ROUND(AVERAGEIFS(ASSESSMENTS!H:H,ASSESSMENTS!B:B,A246,ASSESSMENTS!E:E,"Accounting"),1),""))</f>
        <v/>
      </c>
      <c r="K246" s="4">
        <f>IF(A246="","",IFERROR(ROUND(AVERAGEIFS(ASSESSMENTS!H:H,ASSESSMENTS!B:B,A246,ASSESSMENTS!E:E,"English"),1),""))</f>
        <v/>
      </c>
      <c r="L246" s="5">
        <f>IF(A246="","",IFERROR(_xludf.XLOOKUP(A246,ATTENDANCE_SUMMARY!A:A,ATTENDANCE_SUMMARY!G:G,""),""))</f>
        <v/>
      </c>
      <c r="M246" s="4">
        <f>IF(A246="","",IF(OR(E246&lt;50,AND(L246&lt;0.75,L246&lt;&gt;"" )),"At Risk","On Track"))</f>
        <v/>
      </c>
    </row>
    <row r="247">
      <c r="A247">
        <f>IF(MASTER_REGISTER!E247="","",MASTER_REGISTER!E247)</f>
        <v/>
      </c>
      <c r="B247">
        <f>IF(A247="","",MASTER_REGISTER!F247)</f>
        <v/>
      </c>
      <c r="C247">
        <f>IF(A247="","",MASTER_REGISTER!C247)</f>
        <v/>
      </c>
      <c r="D247">
        <f>IF(A247="","",COUNTIF(ASSESSMENTS!B:B,A247))</f>
        <v/>
      </c>
      <c r="E247" s="4">
        <f>IF(D247=0,"",ROUND(AVERAGEIF(ASSESSMENTS!B:B,A247,ASSESSMENTS!H:H),1))</f>
        <v/>
      </c>
      <c r="F247" s="4">
        <f>IF(A247="","",IFERROR(ROUND(AVERAGEIFS(ASSESSMENTS!H:H,ASSESSMENTS!B:B,A247,ASSESSMENTS!E:E,"Mathematics"),1),""))</f>
        <v/>
      </c>
      <c r="G247" s="4">
        <f>IF(A247="","",IFERROR(ROUND(AVERAGEIFS(ASSESSMENTS!H:H,ASSESSMENTS!B:B,A247,ASSESSMENTS!E:E,"Mathematical Literacy"),1),""))</f>
        <v/>
      </c>
      <c r="H247" s="4">
        <f>IF(A247="","",IFERROR(ROUND(AVERAGEIFS(ASSESSMENTS!H:H,ASSESSMENTS!B:B,A247,ASSESSMENTS!E:E,"Physical Sciences"),1),""))</f>
        <v/>
      </c>
      <c r="I247" s="4">
        <f>IF(A247="","",IFERROR(ROUND(AVERAGEIFS(ASSESSMENTS!H:H,ASSESSMENTS!B:B,A247,ASSESSMENTS!E:E,"Geography"),1),""))</f>
        <v/>
      </c>
      <c r="J247" s="4">
        <f>IF(A247="","",IFERROR(ROUND(AVERAGEIFS(ASSESSMENTS!H:H,ASSESSMENTS!B:B,A247,ASSESSMENTS!E:E,"Accounting"),1),""))</f>
        <v/>
      </c>
      <c r="K247" s="4">
        <f>IF(A247="","",IFERROR(ROUND(AVERAGEIFS(ASSESSMENTS!H:H,ASSESSMENTS!B:B,A247,ASSESSMENTS!E:E,"English"),1),""))</f>
        <v/>
      </c>
      <c r="L247" s="5">
        <f>IF(A247="","",IFERROR(_xludf.XLOOKUP(A247,ATTENDANCE_SUMMARY!A:A,ATTENDANCE_SUMMARY!G:G,""),""))</f>
        <v/>
      </c>
      <c r="M247" s="4">
        <f>IF(A247="","",IF(OR(E247&lt;50,AND(L247&lt;0.75,L247&lt;&gt;"" )),"At Risk","On Track"))</f>
        <v/>
      </c>
    </row>
    <row r="248">
      <c r="A248">
        <f>IF(MASTER_REGISTER!E248="","",MASTER_REGISTER!E248)</f>
        <v/>
      </c>
      <c r="B248">
        <f>IF(A248="","",MASTER_REGISTER!F248)</f>
        <v/>
      </c>
      <c r="C248">
        <f>IF(A248="","",MASTER_REGISTER!C248)</f>
        <v/>
      </c>
      <c r="D248">
        <f>IF(A248="","",COUNTIF(ASSESSMENTS!B:B,A248))</f>
        <v/>
      </c>
      <c r="E248" s="4">
        <f>IF(D248=0,"",ROUND(AVERAGEIF(ASSESSMENTS!B:B,A248,ASSESSMENTS!H:H),1))</f>
        <v/>
      </c>
      <c r="F248" s="4">
        <f>IF(A248="","",IFERROR(ROUND(AVERAGEIFS(ASSESSMENTS!H:H,ASSESSMENTS!B:B,A248,ASSESSMENTS!E:E,"Mathematics"),1),""))</f>
        <v/>
      </c>
      <c r="G248" s="4">
        <f>IF(A248="","",IFERROR(ROUND(AVERAGEIFS(ASSESSMENTS!H:H,ASSESSMENTS!B:B,A248,ASSESSMENTS!E:E,"Mathematical Literacy"),1),""))</f>
        <v/>
      </c>
      <c r="H248" s="4">
        <f>IF(A248="","",IFERROR(ROUND(AVERAGEIFS(ASSESSMENTS!H:H,ASSESSMENTS!B:B,A248,ASSESSMENTS!E:E,"Physical Sciences"),1),""))</f>
        <v/>
      </c>
      <c r="I248" s="4">
        <f>IF(A248="","",IFERROR(ROUND(AVERAGEIFS(ASSESSMENTS!H:H,ASSESSMENTS!B:B,A248,ASSESSMENTS!E:E,"Geography"),1),""))</f>
        <v/>
      </c>
      <c r="J248" s="4">
        <f>IF(A248="","",IFERROR(ROUND(AVERAGEIFS(ASSESSMENTS!H:H,ASSESSMENTS!B:B,A248,ASSESSMENTS!E:E,"Accounting"),1),""))</f>
        <v/>
      </c>
      <c r="K248" s="4">
        <f>IF(A248="","",IFERROR(ROUND(AVERAGEIFS(ASSESSMENTS!H:H,ASSESSMENTS!B:B,A248,ASSESSMENTS!E:E,"English"),1),""))</f>
        <v/>
      </c>
      <c r="L248" s="5">
        <f>IF(A248="","",IFERROR(_xludf.XLOOKUP(A248,ATTENDANCE_SUMMARY!A:A,ATTENDANCE_SUMMARY!G:G,""),""))</f>
        <v/>
      </c>
      <c r="M248" s="4">
        <f>IF(A248="","",IF(OR(E248&lt;50,AND(L248&lt;0.75,L248&lt;&gt;"" )),"At Risk","On Track"))</f>
        <v/>
      </c>
    </row>
    <row r="249">
      <c r="A249">
        <f>IF(MASTER_REGISTER!E249="","",MASTER_REGISTER!E249)</f>
        <v/>
      </c>
      <c r="B249">
        <f>IF(A249="","",MASTER_REGISTER!F249)</f>
        <v/>
      </c>
      <c r="C249">
        <f>IF(A249="","",MASTER_REGISTER!C249)</f>
        <v/>
      </c>
      <c r="D249">
        <f>IF(A249="","",COUNTIF(ASSESSMENTS!B:B,A249))</f>
        <v/>
      </c>
      <c r="E249" s="4">
        <f>IF(D249=0,"",ROUND(AVERAGEIF(ASSESSMENTS!B:B,A249,ASSESSMENTS!H:H),1))</f>
        <v/>
      </c>
      <c r="F249" s="4">
        <f>IF(A249="","",IFERROR(ROUND(AVERAGEIFS(ASSESSMENTS!H:H,ASSESSMENTS!B:B,A249,ASSESSMENTS!E:E,"Mathematics"),1),""))</f>
        <v/>
      </c>
      <c r="G249" s="4">
        <f>IF(A249="","",IFERROR(ROUND(AVERAGEIFS(ASSESSMENTS!H:H,ASSESSMENTS!B:B,A249,ASSESSMENTS!E:E,"Mathematical Literacy"),1),""))</f>
        <v/>
      </c>
      <c r="H249" s="4">
        <f>IF(A249="","",IFERROR(ROUND(AVERAGEIFS(ASSESSMENTS!H:H,ASSESSMENTS!B:B,A249,ASSESSMENTS!E:E,"Physical Sciences"),1),""))</f>
        <v/>
      </c>
      <c r="I249" s="4">
        <f>IF(A249="","",IFERROR(ROUND(AVERAGEIFS(ASSESSMENTS!H:H,ASSESSMENTS!B:B,A249,ASSESSMENTS!E:E,"Geography"),1),""))</f>
        <v/>
      </c>
      <c r="J249" s="4">
        <f>IF(A249="","",IFERROR(ROUND(AVERAGEIFS(ASSESSMENTS!H:H,ASSESSMENTS!B:B,A249,ASSESSMENTS!E:E,"Accounting"),1),""))</f>
        <v/>
      </c>
      <c r="K249" s="4">
        <f>IF(A249="","",IFERROR(ROUND(AVERAGEIFS(ASSESSMENTS!H:H,ASSESSMENTS!B:B,A249,ASSESSMENTS!E:E,"English"),1),""))</f>
        <v/>
      </c>
      <c r="L249" s="5">
        <f>IF(A249="","",IFERROR(_xludf.XLOOKUP(A249,ATTENDANCE_SUMMARY!A:A,ATTENDANCE_SUMMARY!G:G,""),""))</f>
        <v/>
      </c>
      <c r="M249" s="4">
        <f>IF(A249="","",IF(OR(E249&lt;50,AND(L249&lt;0.75,L249&lt;&gt;"" )),"At Risk","On Track"))</f>
        <v/>
      </c>
    </row>
    <row r="250">
      <c r="A250">
        <f>IF(MASTER_REGISTER!E250="","",MASTER_REGISTER!E250)</f>
        <v/>
      </c>
      <c r="B250">
        <f>IF(A250="","",MASTER_REGISTER!F250)</f>
        <v/>
      </c>
      <c r="C250">
        <f>IF(A250="","",MASTER_REGISTER!C250)</f>
        <v/>
      </c>
      <c r="D250">
        <f>IF(A250="","",COUNTIF(ASSESSMENTS!B:B,A250))</f>
        <v/>
      </c>
      <c r="E250" s="4">
        <f>IF(D250=0,"",ROUND(AVERAGEIF(ASSESSMENTS!B:B,A250,ASSESSMENTS!H:H),1))</f>
        <v/>
      </c>
      <c r="F250" s="4">
        <f>IF(A250="","",IFERROR(ROUND(AVERAGEIFS(ASSESSMENTS!H:H,ASSESSMENTS!B:B,A250,ASSESSMENTS!E:E,"Mathematics"),1),""))</f>
        <v/>
      </c>
      <c r="G250" s="4">
        <f>IF(A250="","",IFERROR(ROUND(AVERAGEIFS(ASSESSMENTS!H:H,ASSESSMENTS!B:B,A250,ASSESSMENTS!E:E,"Mathematical Literacy"),1),""))</f>
        <v/>
      </c>
      <c r="H250" s="4">
        <f>IF(A250="","",IFERROR(ROUND(AVERAGEIFS(ASSESSMENTS!H:H,ASSESSMENTS!B:B,A250,ASSESSMENTS!E:E,"Physical Sciences"),1),""))</f>
        <v/>
      </c>
      <c r="I250" s="4">
        <f>IF(A250="","",IFERROR(ROUND(AVERAGEIFS(ASSESSMENTS!H:H,ASSESSMENTS!B:B,A250,ASSESSMENTS!E:E,"Geography"),1),""))</f>
        <v/>
      </c>
      <c r="J250" s="4">
        <f>IF(A250="","",IFERROR(ROUND(AVERAGEIFS(ASSESSMENTS!H:H,ASSESSMENTS!B:B,A250,ASSESSMENTS!E:E,"Accounting"),1),""))</f>
        <v/>
      </c>
      <c r="K250" s="4">
        <f>IF(A250="","",IFERROR(ROUND(AVERAGEIFS(ASSESSMENTS!H:H,ASSESSMENTS!B:B,A250,ASSESSMENTS!E:E,"English"),1),""))</f>
        <v/>
      </c>
      <c r="L250" s="5">
        <f>IF(A250="","",IFERROR(_xludf.XLOOKUP(A250,ATTENDANCE_SUMMARY!A:A,ATTENDANCE_SUMMARY!G:G,""),""))</f>
        <v/>
      </c>
      <c r="M250" s="4">
        <f>IF(A250="","",IF(OR(E250&lt;50,AND(L250&lt;0.75,L250&lt;&gt;"" )),"At Risk","On Track"))</f>
        <v/>
      </c>
    </row>
    <row r="251">
      <c r="A251">
        <f>IF(MASTER_REGISTER!E251="","",MASTER_REGISTER!E251)</f>
        <v/>
      </c>
      <c r="B251">
        <f>IF(A251="","",MASTER_REGISTER!F251)</f>
        <v/>
      </c>
      <c r="C251">
        <f>IF(A251="","",MASTER_REGISTER!C251)</f>
        <v/>
      </c>
      <c r="D251">
        <f>IF(A251="","",COUNTIF(ASSESSMENTS!B:B,A251))</f>
        <v/>
      </c>
      <c r="E251" s="4">
        <f>IF(D251=0,"",ROUND(AVERAGEIF(ASSESSMENTS!B:B,A251,ASSESSMENTS!H:H),1))</f>
        <v/>
      </c>
      <c r="F251" s="4">
        <f>IF(A251="","",IFERROR(ROUND(AVERAGEIFS(ASSESSMENTS!H:H,ASSESSMENTS!B:B,A251,ASSESSMENTS!E:E,"Mathematics"),1),""))</f>
        <v/>
      </c>
      <c r="G251" s="4">
        <f>IF(A251="","",IFERROR(ROUND(AVERAGEIFS(ASSESSMENTS!H:H,ASSESSMENTS!B:B,A251,ASSESSMENTS!E:E,"Mathematical Literacy"),1),""))</f>
        <v/>
      </c>
      <c r="H251" s="4">
        <f>IF(A251="","",IFERROR(ROUND(AVERAGEIFS(ASSESSMENTS!H:H,ASSESSMENTS!B:B,A251,ASSESSMENTS!E:E,"Physical Sciences"),1),""))</f>
        <v/>
      </c>
      <c r="I251" s="4">
        <f>IF(A251="","",IFERROR(ROUND(AVERAGEIFS(ASSESSMENTS!H:H,ASSESSMENTS!B:B,A251,ASSESSMENTS!E:E,"Geography"),1),""))</f>
        <v/>
      </c>
      <c r="J251" s="4">
        <f>IF(A251="","",IFERROR(ROUND(AVERAGEIFS(ASSESSMENTS!H:H,ASSESSMENTS!B:B,A251,ASSESSMENTS!E:E,"Accounting"),1),""))</f>
        <v/>
      </c>
      <c r="K251" s="4">
        <f>IF(A251="","",IFERROR(ROUND(AVERAGEIFS(ASSESSMENTS!H:H,ASSESSMENTS!B:B,A251,ASSESSMENTS!E:E,"English"),1),""))</f>
        <v/>
      </c>
      <c r="L251" s="5">
        <f>IF(A251="","",IFERROR(_xludf.XLOOKUP(A251,ATTENDANCE_SUMMARY!A:A,ATTENDANCE_SUMMARY!G:G,""),""))</f>
        <v/>
      </c>
      <c r="M251" s="4">
        <f>IF(A251="","",IF(OR(E251&lt;50,AND(L251&lt;0.75,L251&lt;&gt;"" )),"At Risk","On Track"))</f>
        <v/>
      </c>
    </row>
    <row r="252">
      <c r="A252">
        <f>IF(MASTER_REGISTER!E252="","",MASTER_REGISTER!E252)</f>
        <v/>
      </c>
      <c r="B252">
        <f>IF(A252="","",MASTER_REGISTER!F252)</f>
        <v/>
      </c>
      <c r="C252">
        <f>IF(A252="","",MASTER_REGISTER!C252)</f>
        <v/>
      </c>
      <c r="D252">
        <f>IF(A252="","",COUNTIF(ASSESSMENTS!B:B,A252))</f>
        <v/>
      </c>
      <c r="E252" s="4">
        <f>IF(D252=0,"",ROUND(AVERAGEIF(ASSESSMENTS!B:B,A252,ASSESSMENTS!H:H),1))</f>
        <v/>
      </c>
      <c r="F252" s="4">
        <f>IF(A252="","",IFERROR(ROUND(AVERAGEIFS(ASSESSMENTS!H:H,ASSESSMENTS!B:B,A252,ASSESSMENTS!E:E,"Mathematics"),1),""))</f>
        <v/>
      </c>
      <c r="G252" s="4">
        <f>IF(A252="","",IFERROR(ROUND(AVERAGEIFS(ASSESSMENTS!H:H,ASSESSMENTS!B:B,A252,ASSESSMENTS!E:E,"Mathematical Literacy"),1),""))</f>
        <v/>
      </c>
      <c r="H252" s="4">
        <f>IF(A252="","",IFERROR(ROUND(AVERAGEIFS(ASSESSMENTS!H:H,ASSESSMENTS!B:B,A252,ASSESSMENTS!E:E,"Physical Sciences"),1),""))</f>
        <v/>
      </c>
      <c r="I252" s="4">
        <f>IF(A252="","",IFERROR(ROUND(AVERAGEIFS(ASSESSMENTS!H:H,ASSESSMENTS!B:B,A252,ASSESSMENTS!E:E,"Geography"),1),""))</f>
        <v/>
      </c>
      <c r="J252" s="4">
        <f>IF(A252="","",IFERROR(ROUND(AVERAGEIFS(ASSESSMENTS!H:H,ASSESSMENTS!B:B,A252,ASSESSMENTS!E:E,"Accounting"),1),""))</f>
        <v/>
      </c>
      <c r="K252" s="4">
        <f>IF(A252="","",IFERROR(ROUND(AVERAGEIFS(ASSESSMENTS!H:H,ASSESSMENTS!B:B,A252,ASSESSMENTS!E:E,"English"),1),""))</f>
        <v/>
      </c>
      <c r="L252" s="5">
        <f>IF(A252="","",IFERROR(_xludf.XLOOKUP(A252,ATTENDANCE_SUMMARY!A:A,ATTENDANCE_SUMMARY!G:G,""),""))</f>
        <v/>
      </c>
      <c r="M252" s="4">
        <f>IF(A252="","",IF(OR(E252&lt;50,AND(L252&lt;0.75,L252&lt;&gt;"" )),"At Risk","On Track"))</f>
        <v/>
      </c>
    </row>
    <row r="253">
      <c r="A253">
        <f>IF(MASTER_REGISTER!E253="","",MASTER_REGISTER!E253)</f>
        <v/>
      </c>
      <c r="B253">
        <f>IF(A253="","",MASTER_REGISTER!F253)</f>
        <v/>
      </c>
      <c r="C253">
        <f>IF(A253="","",MASTER_REGISTER!C253)</f>
        <v/>
      </c>
      <c r="D253">
        <f>IF(A253="","",COUNTIF(ASSESSMENTS!B:B,A253))</f>
        <v/>
      </c>
      <c r="E253" s="4">
        <f>IF(D253=0,"",ROUND(AVERAGEIF(ASSESSMENTS!B:B,A253,ASSESSMENTS!H:H),1))</f>
        <v/>
      </c>
      <c r="F253" s="4">
        <f>IF(A253="","",IFERROR(ROUND(AVERAGEIFS(ASSESSMENTS!H:H,ASSESSMENTS!B:B,A253,ASSESSMENTS!E:E,"Mathematics"),1),""))</f>
        <v/>
      </c>
      <c r="G253" s="4">
        <f>IF(A253="","",IFERROR(ROUND(AVERAGEIFS(ASSESSMENTS!H:H,ASSESSMENTS!B:B,A253,ASSESSMENTS!E:E,"Mathematical Literacy"),1),""))</f>
        <v/>
      </c>
      <c r="H253" s="4">
        <f>IF(A253="","",IFERROR(ROUND(AVERAGEIFS(ASSESSMENTS!H:H,ASSESSMENTS!B:B,A253,ASSESSMENTS!E:E,"Physical Sciences"),1),""))</f>
        <v/>
      </c>
      <c r="I253" s="4">
        <f>IF(A253="","",IFERROR(ROUND(AVERAGEIFS(ASSESSMENTS!H:H,ASSESSMENTS!B:B,A253,ASSESSMENTS!E:E,"Geography"),1),""))</f>
        <v/>
      </c>
      <c r="J253" s="4">
        <f>IF(A253="","",IFERROR(ROUND(AVERAGEIFS(ASSESSMENTS!H:H,ASSESSMENTS!B:B,A253,ASSESSMENTS!E:E,"Accounting"),1),""))</f>
        <v/>
      </c>
      <c r="K253" s="4">
        <f>IF(A253="","",IFERROR(ROUND(AVERAGEIFS(ASSESSMENTS!H:H,ASSESSMENTS!B:B,A253,ASSESSMENTS!E:E,"English"),1),""))</f>
        <v/>
      </c>
      <c r="L253" s="5">
        <f>IF(A253="","",IFERROR(_xludf.XLOOKUP(A253,ATTENDANCE_SUMMARY!A:A,ATTENDANCE_SUMMARY!G:G,""),""))</f>
        <v/>
      </c>
      <c r="M253" s="4">
        <f>IF(A253="","",IF(OR(E253&lt;50,AND(L253&lt;0.75,L253&lt;&gt;"" )),"At Risk","On Track"))</f>
        <v/>
      </c>
    </row>
    <row r="254">
      <c r="A254">
        <f>IF(MASTER_REGISTER!E254="","",MASTER_REGISTER!E254)</f>
        <v/>
      </c>
      <c r="B254">
        <f>IF(A254="","",MASTER_REGISTER!F254)</f>
        <v/>
      </c>
      <c r="C254">
        <f>IF(A254="","",MASTER_REGISTER!C254)</f>
        <v/>
      </c>
      <c r="D254">
        <f>IF(A254="","",COUNTIF(ASSESSMENTS!B:B,A254))</f>
        <v/>
      </c>
      <c r="E254" s="4">
        <f>IF(D254=0,"",ROUND(AVERAGEIF(ASSESSMENTS!B:B,A254,ASSESSMENTS!H:H),1))</f>
        <v/>
      </c>
      <c r="F254" s="4">
        <f>IF(A254="","",IFERROR(ROUND(AVERAGEIFS(ASSESSMENTS!H:H,ASSESSMENTS!B:B,A254,ASSESSMENTS!E:E,"Mathematics"),1),""))</f>
        <v/>
      </c>
      <c r="G254" s="4">
        <f>IF(A254="","",IFERROR(ROUND(AVERAGEIFS(ASSESSMENTS!H:H,ASSESSMENTS!B:B,A254,ASSESSMENTS!E:E,"Mathematical Literacy"),1),""))</f>
        <v/>
      </c>
      <c r="H254" s="4">
        <f>IF(A254="","",IFERROR(ROUND(AVERAGEIFS(ASSESSMENTS!H:H,ASSESSMENTS!B:B,A254,ASSESSMENTS!E:E,"Physical Sciences"),1),""))</f>
        <v/>
      </c>
      <c r="I254" s="4">
        <f>IF(A254="","",IFERROR(ROUND(AVERAGEIFS(ASSESSMENTS!H:H,ASSESSMENTS!B:B,A254,ASSESSMENTS!E:E,"Geography"),1),""))</f>
        <v/>
      </c>
      <c r="J254" s="4">
        <f>IF(A254="","",IFERROR(ROUND(AVERAGEIFS(ASSESSMENTS!H:H,ASSESSMENTS!B:B,A254,ASSESSMENTS!E:E,"Accounting"),1),""))</f>
        <v/>
      </c>
      <c r="K254" s="4">
        <f>IF(A254="","",IFERROR(ROUND(AVERAGEIFS(ASSESSMENTS!H:H,ASSESSMENTS!B:B,A254,ASSESSMENTS!E:E,"English"),1),""))</f>
        <v/>
      </c>
      <c r="L254" s="5">
        <f>IF(A254="","",IFERROR(_xludf.XLOOKUP(A254,ATTENDANCE_SUMMARY!A:A,ATTENDANCE_SUMMARY!G:G,""),""))</f>
        <v/>
      </c>
      <c r="M254" s="4">
        <f>IF(A254="","",IF(OR(E254&lt;50,AND(L254&lt;0.75,L254&lt;&gt;"" )),"At Risk","On Track"))</f>
        <v/>
      </c>
    </row>
    <row r="255">
      <c r="A255">
        <f>IF(MASTER_REGISTER!E255="","",MASTER_REGISTER!E255)</f>
        <v/>
      </c>
      <c r="B255">
        <f>IF(A255="","",MASTER_REGISTER!F255)</f>
        <v/>
      </c>
      <c r="C255">
        <f>IF(A255="","",MASTER_REGISTER!C255)</f>
        <v/>
      </c>
      <c r="D255">
        <f>IF(A255="","",COUNTIF(ASSESSMENTS!B:B,A255))</f>
        <v/>
      </c>
      <c r="E255" s="4">
        <f>IF(D255=0,"",ROUND(AVERAGEIF(ASSESSMENTS!B:B,A255,ASSESSMENTS!H:H),1))</f>
        <v/>
      </c>
      <c r="F255" s="4">
        <f>IF(A255="","",IFERROR(ROUND(AVERAGEIFS(ASSESSMENTS!H:H,ASSESSMENTS!B:B,A255,ASSESSMENTS!E:E,"Mathematics"),1),""))</f>
        <v/>
      </c>
      <c r="G255" s="4">
        <f>IF(A255="","",IFERROR(ROUND(AVERAGEIFS(ASSESSMENTS!H:H,ASSESSMENTS!B:B,A255,ASSESSMENTS!E:E,"Mathematical Literacy"),1),""))</f>
        <v/>
      </c>
      <c r="H255" s="4">
        <f>IF(A255="","",IFERROR(ROUND(AVERAGEIFS(ASSESSMENTS!H:H,ASSESSMENTS!B:B,A255,ASSESSMENTS!E:E,"Physical Sciences"),1),""))</f>
        <v/>
      </c>
      <c r="I255" s="4">
        <f>IF(A255="","",IFERROR(ROUND(AVERAGEIFS(ASSESSMENTS!H:H,ASSESSMENTS!B:B,A255,ASSESSMENTS!E:E,"Geography"),1),""))</f>
        <v/>
      </c>
      <c r="J255" s="4">
        <f>IF(A255="","",IFERROR(ROUND(AVERAGEIFS(ASSESSMENTS!H:H,ASSESSMENTS!B:B,A255,ASSESSMENTS!E:E,"Accounting"),1),""))</f>
        <v/>
      </c>
      <c r="K255" s="4">
        <f>IF(A255="","",IFERROR(ROUND(AVERAGEIFS(ASSESSMENTS!H:H,ASSESSMENTS!B:B,A255,ASSESSMENTS!E:E,"English"),1),""))</f>
        <v/>
      </c>
      <c r="L255" s="5">
        <f>IF(A255="","",IFERROR(_xludf.XLOOKUP(A255,ATTENDANCE_SUMMARY!A:A,ATTENDANCE_SUMMARY!G:G,""),""))</f>
        <v/>
      </c>
      <c r="M255" s="4">
        <f>IF(A255="","",IF(OR(E255&lt;50,AND(L255&lt;0.75,L255&lt;&gt;"" )),"At Risk","On Track"))</f>
        <v/>
      </c>
    </row>
    <row r="256">
      <c r="A256">
        <f>IF(MASTER_REGISTER!E256="","",MASTER_REGISTER!E256)</f>
        <v/>
      </c>
      <c r="B256">
        <f>IF(A256="","",MASTER_REGISTER!F256)</f>
        <v/>
      </c>
      <c r="C256">
        <f>IF(A256="","",MASTER_REGISTER!C256)</f>
        <v/>
      </c>
      <c r="D256">
        <f>IF(A256="","",COUNTIF(ASSESSMENTS!B:B,A256))</f>
        <v/>
      </c>
      <c r="E256" s="4">
        <f>IF(D256=0,"",ROUND(AVERAGEIF(ASSESSMENTS!B:B,A256,ASSESSMENTS!H:H),1))</f>
        <v/>
      </c>
      <c r="F256" s="4">
        <f>IF(A256="","",IFERROR(ROUND(AVERAGEIFS(ASSESSMENTS!H:H,ASSESSMENTS!B:B,A256,ASSESSMENTS!E:E,"Mathematics"),1),""))</f>
        <v/>
      </c>
      <c r="G256" s="4">
        <f>IF(A256="","",IFERROR(ROUND(AVERAGEIFS(ASSESSMENTS!H:H,ASSESSMENTS!B:B,A256,ASSESSMENTS!E:E,"Mathematical Literacy"),1),""))</f>
        <v/>
      </c>
      <c r="H256" s="4">
        <f>IF(A256="","",IFERROR(ROUND(AVERAGEIFS(ASSESSMENTS!H:H,ASSESSMENTS!B:B,A256,ASSESSMENTS!E:E,"Physical Sciences"),1),""))</f>
        <v/>
      </c>
      <c r="I256" s="4">
        <f>IF(A256="","",IFERROR(ROUND(AVERAGEIFS(ASSESSMENTS!H:H,ASSESSMENTS!B:B,A256,ASSESSMENTS!E:E,"Geography"),1),""))</f>
        <v/>
      </c>
      <c r="J256" s="4">
        <f>IF(A256="","",IFERROR(ROUND(AVERAGEIFS(ASSESSMENTS!H:H,ASSESSMENTS!B:B,A256,ASSESSMENTS!E:E,"Accounting"),1),""))</f>
        <v/>
      </c>
      <c r="K256" s="4">
        <f>IF(A256="","",IFERROR(ROUND(AVERAGEIFS(ASSESSMENTS!H:H,ASSESSMENTS!B:B,A256,ASSESSMENTS!E:E,"English"),1),""))</f>
        <v/>
      </c>
      <c r="L256" s="5">
        <f>IF(A256="","",IFERROR(_xludf.XLOOKUP(A256,ATTENDANCE_SUMMARY!A:A,ATTENDANCE_SUMMARY!G:G,""),""))</f>
        <v/>
      </c>
      <c r="M256" s="4">
        <f>IF(A256="","",IF(OR(E256&lt;50,AND(L256&lt;0.75,L256&lt;&gt;"" )),"At Risk","On Track"))</f>
        <v/>
      </c>
    </row>
    <row r="257">
      <c r="A257">
        <f>IF(MASTER_REGISTER!E257="","",MASTER_REGISTER!E257)</f>
        <v/>
      </c>
      <c r="B257">
        <f>IF(A257="","",MASTER_REGISTER!F257)</f>
        <v/>
      </c>
      <c r="C257">
        <f>IF(A257="","",MASTER_REGISTER!C257)</f>
        <v/>
      </c>
      <c r="D257">
        <f>IF(A257="","",COUNTIF(ASSESSMENTS!B:B,A257))</f>
        <v/>
      </c>
      <c r="E257" s="4">
        <f>IF(D257=0,"",ROUND(AVERAGEIF(ASSESSMENTS!B:B,A257,ASSESSMENTS!H:H),1))</f>
        <v/>
      </c>
      <c r="F257" s="4">
        <f>IF(A257="","",IFERROR(ROUND(AVERAGEIFS(ASSESSMENTS!H:H,ASSESSMENTS!B:B,A257,ASSESSMENTS!E:E,"Mathematics"),1),""))</f>
        <v/>
      </c>
      <c r="G257" s="4">
        <f>IF(A257="","",IFERROR(ROUND(AVERAGEIFS(ASSESSMENTS!H:H,ASSESSMENTS!B:B,A257,ASSESSMENTS!E:E,"Mathematical Literacy"),1),""))</f>
        <v/>
      </c>
      <c r="H257" s="4">
        <f>IF(A257="","",IFERROR(ROUND(AVERAGEIFS(ASSESSMENTS!H:H,ASSESSMENTS!B:B,A257,ASSESSMENTS!E:E,"Physical Sciences"),1),""))</f>
        <v/>
      </c>
      <c r="I257" s="4">
        <f>IF(A257="","",IFERROR(ROUND(AVERAGEIFS(ASSESSMENTS!H:H,ASSESSMENTS!B:B,A257,ASSESSMENTS!E:E,"Geography"),1),""))</f>
        <v/>
      </c>
      <c r="J257" s="4">
        <f>IF(A257="","",IFERROR(ROUND(AVERAGEIFS(ASSESSMENTS!H:H,ASSESSMENTS!B:B,A257,ASSESSMENTS!E:E,"Accounting"),1),""))</f>
        <v/>
      </c>
      <c r="K257" s="4">
        <f>IF(A257="","",IFERROR(ROUND(AVERAGEIFS(ASSESSMENTS!H:H,ASSESSMENTS!B:B,A257,ASSESSMENTS!E:E,"English"),1),""))</f>
        <v/>
      </c>
      <c r="L257" s="5">
        <f>IF(A257="","",IFERROR(_xludf.XLOOKUP(A257,ATTENDANCE_SUMMARY!A:A,ATTENDANCE_SUMMARY!G:G,""),""))</f>
        <v/>
      </c>
      <c r="M257" s="4">
        <f>IF(A257="","",IF(OR(E257&lt;50,AND(L257&lt;0.75,L257&lt;&gt;"" )),"At Risk","On Track"))</f>
        <v/>
      </c>
    </row>
    <row r="258">
      <c r="A258">
        <f>IF(MASTER_REGISTER!E258="","",MASTER_REGISTER!E258)</f>
        <v/>
      </c>
      <c r="B258">
        <f>IF(A258="","",MASTER_REGISTER!F258)</f>
        <v/>
      </c>
      <c r="C258">
        <f>IF(A258="","",MASTER_REGISTER!C258)</f>
        <v/>
      </c>
      <c r="D258">
        <f>IF(A258="","",COUNTIF(ASSESSMENTS!B:B,A258))</f>
        <v/>
      </c>
      <c r="E258" s="4">
        <f>IF(D258=0,"",ROUND(AVERAGEIF(ASSESSMENTS!B:B,A258,ASSESSMENTS!H:H),1))</f>
        <v/>
      </c>
      <c r="F258" s="4">
        <f>IF(A258="","",IFERROR(ROUND(AVERAGEIFS(ASSESSMENTS!H:H,ASSESSMENTS!B:B,A258,ASSESSMENTS!E:E,"Mathematics"),1),""))</f>
        <v/>
      </c>
      <c r="G258" s="4">
        <f>IF(A258="","",IFERROR(ROUND(AVERAGEIFS(ASSESSMENTS!H:H,ASSESSMENTS!B:B,A258,ASSESSMENTS!E:E,"Mathematical Literacy"),1),""))</f>
        <v/>
      </c>
      <c r="H258" s="4">
        <f>IF(A258="","",IFERROR(ROUND(AVERAGEIFS(ASSESSMENTS!H:H,ASSESSMENTS!B:B,A258,ASSESSMENTS!E:E,"Physical Sciences"),1),""))</f>
        <v/>
      </c>
      <c r="I258" s="4">
        <f>IF(A258="","",IFERROR(ROUND(AVERAGEIFS(ASSESSMENTS!H:H,ASSESSMENTS!B:B,A258,ASSESSMENTS!E:E,"Geography"),1),""))</f>
        <v/>
      </c>
      <c r="J258" s="4">
        <f>IF(A258="","",IFERROR(ROUND(AVERAGEIFS(ASSESSMENTS!H:H,ASSESSMENTS!B:B,A258,ASSESSMENTS!E:E,"Accounting"),1),""))</f>
        <v/>
      </c>
      <c r="K258" s="4">
        <f>IF(A258="","",IFERROR(ROUND(AVERAGEIFS(ASSESSMENTS!H:H,ASSESSMENTS!B:B,A258,ASSESSMENTS!E:E,"English"),1),""))</f>
        <v/>
      </c>
      <c r="L258" s="5">
        <f>IF(A258="","",IFERROR(_xludf.XLOOKUP(A258,ATTENDANCE_SUMMARY!A:A,ATTENDANCE_SUMMARY!G:G,""),""))</f>
        <v/>
      </c>
      <c r="M258" s="4">
        <f>IF(A258="","",IF(OR(E258&lt;50,AND(L258&lt;0.75,L258&lt;&gt;"" )),"At Risk","On Track"))</f>
        <v/>
      </c>
    </row>
    <row r="259">
      <c r="A259">
        <f>IF(MASTER_REGISTER!E259="","",MASTER_REGISTER!E259)</f>
        <v/>
      </c>
      <c r="B259">
        <f>IF(A259="","",MASTER_REGISTER!F259)</f>
        <v/>
      </c>
      <c r="C259">
        <f>IF(A259="","",MASTER_REGISTER!C259)</f>
        <v/>
      </c>
      <c r="D259">
        <f>IF(A259="","",COUNTIF(ASSESSMENTS!B:B,A259))</f>
        <v/>
      </c>
      <c r="E259" s="4">
        <f>IF(D259=0,"",ROUND(AVERAGEIF(ASSESSMENTS!B:B,A259,ASSESSMENTS!H:H),1))</f>
        <v/>
      </c>
      <c r="F259" s="4">
        <f>IF(A259="","",IFERROR(ROUND(AVERAGEIFS(ASSESSMENTS!H:H,ASSESSMENTS!B:B,A259,ASSESSMENTS!E:E,"Mathematics"),1),""))</f>
        <v/>
      </c>
      <c r="G259" s="4">
        <f>IF(A259="","",IFERROR(ROUND(AVERAGEIFS(ASSESSMENTS!H:H,ASSESSMENTS!B:B,A259,ASSESSMENTS!E:E,"Mathematical Literacy"),1),""))</f>
        <v/>
      </c>
      <c r="H259" s="4">
        <f>IF(A259="","",IFERROR(ROUND(AVERAGEIFS(ASSESSMENTS!H:H,ASSESSMENTS!B:B,A259,ASSESSMENTS!E:E,"Physical Sciences"),1),""))</f>
        <v/>
      </c>
      <c r="I259" s="4">
        <f>IF(A259="","",IFERROR(ROUND(AVERAGEIFS(ASSESSMENTS!H:H,ASSESSMENTS!B:B,A259,ASSESSMENTS!E:E,"Geography"),1),""))</f>
        <v/>
      </c>
      <c r="J259" s="4">
        <f>IF(A259="","",IFERROR(ROUND(AVERAGEIFS(ASSESSMENTS!H:H,ASSESSMENTS!B:B,A259,ASSESSMENTS!E:E,"Accounting"),1),""))</f>
        <v/>
      </c>
      <c r="K259" s="4">
        <f>IF(A259="","",IFERROR(ROUND(AVERAGEIFS(ASSESSMENTS!H:H,ASSESSMENTS!B:B,A259,ASSESSMENTS!E:E,"English"),1),""))</f>
        <v/>
      </c>
      <c r="L259" s="5">
        <f>IF(A259="","",IFERROR(_xludf.XLOOKUP(A259,ATTENDANCE_SUMMARY!A:A,ATTENDANCE_SUMMARY!G:G,""),""))</f>
        <v/>
      </c>
      <c r="M259" s="4">
        <f>IF(A259="","",IF(OR(E259&lt;50,AND(L259&lt;0.75,L259&lt;&gt;"" )),"At Risk","On Track"))</f>
        <v/>
      </c>
    </row>
    <row r="260">
      <c r="A260">
        <f>IF(MASTER_REGISTER!E260="","",MASTER_REGISTER!E260)</f>
        <v/>
      </c>
      <c r="B260">
        <f>IF(A260="","",MASTER_REGISTER!F260)</f>
        <v/>
      </c>
      <c r="C260">
        <f>IF(A260="","",MASTER_REGISTER!C260)</f>
        <v/>
      </c>
      <c r="D260">
        <f>IF(A260="","",COUNTIF(ASSESSMENTS!B:B,A260))</f>
        <v/>
      </c>
      <c r="E260" s="4">
        <f>IF(D260=0,"",ROUND(AVERAGEIF(ASSESSMENTS!B:B,A260,ASSESSMENTS!H:H),1))</f>
        <v/>
      </c>
      <c r="F260" s="4">
        <f>IF(A260="","",IFERROR(ROUND(AVERAGEIFS(ASSESSMENTS!H:H,ASSESSMENTS!B:B,A260,ASSESSMENTS!E:E,"Mathematics"),1),""))</f>
        <v/>
      </c>
      <c r="G260" s="4">
        <f>IF(A260="","",IFERROR(ROUND(AVERAGEIFS(ASSESSMENTS!H:H,ASSESSMENTS!B:B,A260,ASSESSMENTS!E:E,"Mathematical Literacy"),1),""))</f>
        <v/>
      </c>
      <c r="H260" s="4">
        <f>IF(A260="","",IFERROR(ROUND(AVERAGEIFS(ASSESSMENTS!H:H,ASSESSMENTS!B:B,A260,ASSESSMENTS!E:E,"Physical Sciences"),1),""))</f>
        <v/>
      </c>
      <c r="I260" s="4">
        <f>IF(A260="","",IFERROR(ROUND(AVERAGEIFS(ASSESSMENTS!H:H,ASSESSMENTS!B:B,A260,ASSESSMENTS!E:E,"Geography"),1),""))</f>
        <v/>
      </c>
      <c r="J260" s="4">
        <f>IF(A260="","",IFERROR(ROUND(AVERAGEIFS(ASSESSMENTS!H:H,ASSESSMENTS!B:B,A260,ASSESSMENTS!E:E,"Accounting"),1),""))</f>
        <v/>
      </c>
      <c r="K260" s="4">
        <f>IF(A260="","",IFERROR(ROUND(AVERAGEIFS(ASSESSMENTS!H:H,ASSESSMENTS!B:B,A260,ASSESSMENTS!E:E,"English"),1),""))</f>
        <v/>
      </c>
      <c r="L260" s="5">
        <f>IF(A260="","",IFERROR(_xludf.XLOOKUP(A260,ATTENDANCE_SUMMARY!A:A,ATTENDANCE_SUMMARY!G:G,""),""))</f>
        <v/>
      </c>
      <c r="M260" s="4">
        <f>IF(A260="","",IF(OR(E260&lt;50,AND(L260&lt;0.75,L260&lt;&gt;"" )),"At Risk","On Track"))</f>
        <v/>
      </c>
    </row>
    <row r="261">
      <c r="A261">
        <f>IF(MASTER_REGISTER!E261="","",MASTER_REGISTER!E261)</f>
        <v/>
      </c>
      <c r="B261">
        <f>IF(A261="","",MASTER_REGISTER!F261)</f>
        <v/>
      </c>
      <c r="C261">
        <f>IF(A261="","",MASTER_REGISTER!C261)</f>
        <v/>
      </c>
      <c r="D261">
        <f>IF(A261="","",COUNTIF(ASSESSMENTS!B:B,A261))</f>
        <v/>
      </c>
      <c r="E261" s="4">
        <f>IF(D261=0,"",ROUND(AVERAGEIF(ASSESSMENTS!B:B,A261,ASSESSMENTS!H:H),1))</f>
        <v/>
      </c>
      <c r="F261" s="4">
        <f>IF(A261="","",IFERROR(ROUND(AVERAGEIFS(ASSESSMENTS!H:H,ASSESSMENTS!B:B,A261,ASSESSMENTS!E:E,"Mathematics"),1),""))</f>
        <v/>
      </c>
      <c r="G261" s="4">
        <f>IF(A261="","",IFERROR(ROUND(AVERAGEIFS(ASSESSMENTS!H:H,ASSESSMENTS!B:B,A261,ASSESSMENTS!E:E,"Mathematical Literacy"),1),""))</f>
        <v/>
      </c>
      <c r="H261" s="4">
        <f>IF(A261="","",IFERROR(ROUND(AVERAGEIFS(ASSESSMENTS!H:H,ASSESSMENTS!B:B,A261,ASSESSMENTS!E:E,"Physical Sciences"),1),""))</f>
        <v/>
      </c>
      <c r="I261" s="4">
        <f>IF(A261="","",IFERROR(ROUND(AVERAGEIFS(ASSESSMENTS!H:H,ASSESSMENTS!B:B,A261,ASSESSMENTS!E:E,"Geography"),1),""))</f>
        <v/>
      </c>
      <c r="J261" s="4">
        <f>IF(A261="","",IFERROR(ROUND(AVERAGEIFS(ASSESSMENTS!H:H,ASSESSMENTS!B:B,A261,ASSESSMENTS!E:E,"Accounting"),1),""))</f>
        <v/>
      </c>
      <c r="K261" s="4">
        <f>IF(A261="","",IFERROR(ROUND(AVERAGEIFS(ASSESSMENTS!H:H,ASSESSMENTS!B:B,A261,ASSESSMENTS!E:E,"English"),1),""))</f>
        <v/>
      </c>
      <c r="L261" s="5">
        <f>IF(A261="","",IFERROR(_xludf.XLOOKUP(A261,ATTENDANCE_SUMMARY!A:A,ATTENDANCE_SUMMARY!G:G,""),""))</f>
        <v/>
      </c>
      <c r="M261" s="4">
        <f>IF(A261="","",IF(OR(E261&lt;50,AND(L261&lt;0.75,L261&lt;&gt;"" )),"At Risk","On Track"))</f>
        <v/>
      </c>
    </row>
    <row r="262">
      <c r="A262">
        <f>IF(MASTER_REGISTER!E262="","",MASTER_REGISTER!E262)</f>
        <v/>
      </c>
      <c r="B262">
        <f>IF(A262="","",MASTER_REGISTER!F262)</f>
        <v/>
      </c>
      <c r="C262">
        <f>IF(A262="","",MASTER_REGISTER!C262)</f>
        <v/>
      </c>
      <c r="D262">
        <f>IF(A262="","",COUNTIF(ASSESSMENTS!B:B,A262))</f>
        <v/>
      </c>
      <c r="E262" s="4">
        <f>IF(D262=0,"",ROUND(AVERAGEIF(ASSESSMENTS!B:B,A262,ASSESSMENTS!H:H),1))</f>
        <v/>
      </c>
      <c r="F262" s="4">
        <f>IF(A262="","",IFERROR(ROUND(AVERAGEIFS(ASSESSMENTS!H:H,ASSESSMENTS!B:B,A262,ASSESSMENTS!E:E,"Mathematics"),1),""))</f>
        <v/>
      </c>
      <c r="G262" s="4">
        <f>IF(A262="","",IFERROR(ROUND(AVERAGEIFS(ASSESSMENTS!H:H,ASSESSMENTS!B:B,A262,ASSESSMENTS!E:E,"Mathematical Literacy"),1),""))</f>
        <v/>
      </c>
      <c r="H262" s="4">
        <f>IF(A262="","",IFERROR(ROUND(AVERAGEIFS(ASSESSMENTS!H:H,ASSESSMENTS!B:B,A262,ASSESSMENTS!E:E,"Physical Sciences"),1),""))</f>
        <v/>
      </c>
      <c r="I262" s="4">
        <f>IF(A262="","",IFERROR(ROUND(AVERAGEIFS(ASSESSMENTS!H:H,ASSESSMENTS!B:B,A262,ASSESSMENTS!E:E,"Geography"),1),""))</f>
        <v/>
      </c>
      <c r="J262" s="4">
        <f>IF(A262="","",IFERROR(ROUND(AVERAGEIFS(ASSESSMENTS!H:H,ASSESSMENTS!B:B,A262,ASSESSMENTS!E:E,"Accounting"),1),""))</f>
        <v/>
      </c>
      <c r="K262" s="4">
        <f>IF(A262="","",IFERROR(ROUND(AVERAGEIFS(ASSESSMENTS!H:H,ASSESSMENTS!B:B,A262,ASSESSMENTS!E:E,"English"),1),""))</f>
        <v/>
      </c>
      <c r="L262" s="5">
        <f>IF(A262="","",IFERROR(_xludf.XLOOKUP(A262,ATTENDANCE_SUMMARY!A:A,ATTENDANCE_SUMMARY!G:G,""),""))</f>
        <v/>
      </c>
      <c r="M262" s="4">
        <f>IF(A262="","",IF(OR(E262&lt;50,AND(L262&lt;0.75,L262&lt;&gt;"" )),"At Risk","On Track"))</f>
        <v/>
      </c>
    </row>
    <row r="263">
      <c r="A263">
        <f>IF(MASTER_REGISTER!E263="","",MASTER_REGISTER!E263)</f>
        <v/>
      </c>
      <c r="B263">
        <f>IF(A263="","",MASTER_REGISTER!F263)</f>
        <v/>
      </c>
      <c r="C263">
        <f>IF(A263="","",MASTER_REGISTER!C263)</f>
        <v/>
      </c>
      <c r="D263">
        <f>IF(A263="","",COUNTIF(ASSESSMENTS!B:B,A263))</f>
        <v/>
      </c>
      <c r="E263" s="4">
        <f>IF(D263=0,"",ROUND(AVERAGEIF(ASSESSMENTS!B:B,A263,ASSESSMENTS!H:H),1))</f>
        <v/>
      </c>
      <c r="F263" s="4">
        <f>IF(A263="","",IFERROR(ROUND(AVERAGEIFS(ASSESSMENTS!H:H,ASSESSMENTS!B:B,A263,ASSESSMENTS!E:E,"Mathematics"),1),""))</f>
        <v/>
      </c>
      <c r="G263" s="4">
        <f>IF(A263="","",IFERROR(ROUND(AVERAGEIFS(ASSESSMENTS!H:H,ASSESSMENTS!B:B,A263,ASSESSMENTS!E:E,"Mathematical Literacy"),1),""))</f>
        <v/>
      </c>
      <c r="H263" s="4">
        <f>IF(A263="","",IFERROR(ROUND(AVERAGEIFS(ASSESSMENTS!H:H,ASSESSMENTS!B:B,A263,ASSESSMENTS!E:E,"Physical Sciences"),1),""))</f>
        <v/>
      </c>
      <c r="I263" s="4">
        <f>IF(A263="","",IFERROR(ROUND(AVERAGEIFS(ASSESSMENTS!H:H,ASSESSMENTS!B:B,A263,ASSESSMENTS!E:E,"Geography"),1),""))</f>
        <v/>
      </c>
      <c r="J263" s="4">
        <f>IF(A263="","",IFERROR(ROUND(AVERAGEIFS(ASSESSMENTS!H:H,ASSESSMENTS!B:B,A263,ASSESSMENTS!E:E,"Accounting"),1),""))</f>
        <v/>
      </c>
      <c r="K263" s="4">
        <f>IF(A263="","",IFERROR(ROUND(AVERAGEIFS(ASSESSMENTS!H:H,ASSESSMENTS!B:B,A263,ASSESSMENTS!E:E,"English"),1),""))</f>
        <v/>
      </c>
      <c r="L263" s="5">
        <f>IF(A263="","",IFERROR(_xludf.XLOOKUP(A263,ATTENDANCE_SUMMARY!A:A,ATTENDANCE_SUMMARY!G:G,""),""))</f>
        <v/>
      </c>
      <c r="M263" s="4">
        <f>IF(A263="","",IF(OR(E263&lt;50,AND(L263&lt;0.75,L263&lt;&gt;"" )),"At Risk","On Track"))</f>
        <v/>
      </c>
    </row>
    <row r="264">
      <c r="A264">
        <f>IF(MASTER_REGISTER!E264="","",MASTER_REGISTER!E264)</f>
        <v/>
      </c>
      <c r="B264">
        <f>IF(A264="","",MASTER_REGISTER!F264)</f>
        <v/>
      </c>
      <c r="C264">
        <f>IF(A264="","",MASTER_REGISTER!C264)</f>
        <v/>
      </c>
      <c r="D264">
        <f>IF(A264="","",COUNTIF(ASSESSMENTS!B:B,A264))</f>
        <v/>
      </c>
      <c r="E264" s="4">
        <f>IF(D264=0,"",ROUND(AVERAGEIF(ASSESSMENTS!B:B,A264,ASSESSMENTS!H:H),1))</f>
        <v/>
      </c>
      <c r="F264" s="4">
        <f>IF(A264="","",IFERROR(ROUND(AVERAGEIFS(ASSESSMENTS!H:H,ASSESSMENTS!B:B,A264,ASSESSMENTS!E:E,"Mathematics"),1),""))</f>
        <v/>
      </c>
      <c r="G264" s="4">
        <f>IF(A264="","",IFERROR(ROUND(AVERAGEIFS(ASSESSMENTS!H:H,ASSESSMENTS!B:B,A264,ASSESSMENTS!E:E,"Mathematical Literacy"),1),""))</f>
        <v/>
      </c>
      <c r="H264" s="4">
        <f>IF(A264="","",IFERROR(ROUND(AVERAGEIFS(ASSESSMENTS!H:H,ASSESSMENTS!B:B,A264,ASSESSMENTS!E:E,"Physical Sciences"),1),""))</f>
        <v/>
      </c>
      <c r="I264" s="4">
        <f>IF(A264="","",IFERROR(ROUND(AVERAGEIFS(ASSESSMENTS!H:H,ASSESSMENTS!B:B,A264,ASSESSMENTS!E:E,"Geography"),1),""))</f>
        <v/>
      </c>
      <c r="J264" s="4">
        <f>IF(A264="","",IFERROR(ROUND(AVERAGEIFS(ASSESSMENTS!H:H,ASSESSMENTS!B:B,A264,ASSESSMENTS!E:E,"Accounting"),1),""))</f>
        <v/>
      </c>
      <c r="K264" s="4">
        <f>IF(A264="","",IFERROR(ROUND(AVERAGEIFS(ASSESSMENTS!H:H,ASSESSMENTS!B:B,A264,ASSESSMENTS!E:E,"English"),1),""))</f>
        <v/>
      </c>
      <c r="L264" s="5">
        <f>IF(A264="","",IFERROR(_xludf.XLOOKUP(A264,ATTENDANCE_SUMMARY!A:A,ATTENDANCE_SUMMARY!G:G,""),""))</f>
        <v/>
      </c>
      <c r="M264" s="4">
        <f>IF(A264="","",IF(OR(E264&lt;50,AND(L264&lt;0.75,L264&lt;&gt;"" )),"At Risk","On Track"))</f>
        <v/>
      </c>
    </row>
    <row r="265">
      <c r="A265">
        <f>IF(MASTER_REGISTER!E265="","",MASTER_REGISTER!E265)</f>
        <v/>
      </c>
      <c r="B265">
        <f>IF(A265="","",MASTER_REGISTER!F265)</f>
        <v/>
      </c>
      <c r="C265">
        <f>IF(A265="","",MASTER_REGISTER!C265)</f>
        <v/>
      </c>
      <c r="D265">
        <f>IF(A265="","",COUNTIF(ASSESSMENTS!B:B,A265))</f>
        <v/>
      </c>
      <c r="E265" s="4">
        <f>IF(D265=0,"",ROUND(AVERAGEIF(ASSESSMENTS!B:B,A265,ASSESSMENTS!H:H),1))</f>
        <v/>
      </c>
      <c r="F265" s="4">
        <f>IF(A265="","",IFERROR(ROUND(AVERAGEIFS(ASSESSMENTS!H:H,ASSESSMENTS!B:B,A265,ASSESSMENTS!E:E,"Mathematics"),1),""))</f>
        <v/>
      </c>
      <c r="G265" s="4">
        <f>IF(A265="","",IFERROR(ROUND(AVERAGEIFS(ASSESSMENTS!H:H,ASSESSMENTS!B:B,A265,ASSESSMENTS!E:E,"Mathematical Literacy"),1),""))</f>
        <v/>
      </c>
      <c r="H265" s="4">
        <f>IF(A265="","",IFERROR(ROUND(AVERAGEIFS(ASSESSMENTS!H:H,ASSESSMENTS!B:B,A265,ASSESSMENTS!E:E,"Physical Sciences"),1),""))</f>
        <v/>
      </c>
      <c r="I265" s="4">
        <f>IF(A265="","",IFERROR(ROUND(AVERAGEIFS(ASSESSMENTS!H:H,ASSESSMENTS!B:B,A265,ASSESSMENTS!E:E,"Geography"),1),""))</f>
        <v/>
      </c>
      <c r="J265" s="4">
        <f>IF(A265="","",IFERROR(ROUND(AVERAGEIFS(ASSESSMENTS!H:H,ASSESSMENTS!B:B,A265,ASSESSMENTS!E:E,"Accounting"),1),""))</f>
        <v/>
      </c>
      <c r="K265" s="4">
        <f>IF(A265="","",IFERROR(ROUND(AVERAGEIFS(ASSESSMENTS!H:H,ASSESSMENTS!B:B,A265,ASSESSMENTS!E:E,"English"),1),""))</f>
        <v/>
      </c>
      <c r="L265" s="5">
        <f>IF(A265="","",IFERROR(_xludf.XLOOKUP(A265,ATTENDANCE_SUMMARY!A:A,ATTENDANCE_SUMMARY!G:G,""),""))</f>
        <v/>
      </c>
      <c r="M265" s="4">
        <f>IF(A265="","",IF(OR(E265&lt;50,AND(L265&lt;0.75,L265&lt;&gt;"" )),"At Risk","On Track"))</f>
        <v/>
      </c>
    </row>
    <row r="266">
      <c r="A266">
        <f>IF(MASTER_REGISTER!E266="","",MASTER_REGISTER!E266)</f>
        <v/>
      </c>
      <c r="B266">
        <f>IF(A266="","",MASTER_REGISTER!F266)</f>
        <v/>
      </c>
      <c r="C266">
        <f>IF(A266="","",MASTER_REGISTER!C266)</f>
        <v/>
      </c>
      <c r="D266">
        <f>IF(A266="","",COUNTIF(ASSESSMENTS!B:B,A266))</f>
        <v/>
      </c>
      <c r="E266" s="4">
        <f>IF(D266=0,"",ROUND(AVERAGEIF(ASSESSMENTS!B:B,A266,ASSESSMENTS!H:H),1))</f>
        <v/>
      </c>
      <c r="F266" s="4">
        <f>IF(A266="","",IFERROR(ROUND(AVERAGEIFS(ASSESSMENTS!H:H,ASSESSMENTS!B:B,A266,ASSESSMENTS!E:E,"Mathematics"),1),""))</f>
        <v/>
      </c>
      <c r="G266" s="4">
        <f>IF(A266="","",IFERROR(ROUND(AVERAGEIFS(ASSESSMENTS!H:H,ASSESSMENTS!B:B,A266,ASSESSMENTS!E:E,"Mathematical Literacy"),1),""))</f>
        <v/>
      </c>
      <c r="H266" s="4">
        <f>IF(A266="","",IFERROR(ROUND(AVERAGEIFS(ASSESSMENTS!H:H,ASSESSMENTS!B:B,A266,ASSESSMENTS!E:E,"Physical Sciences"),1),""))</f>
        <v/>
      </c>
      <c r="I266" s="4">
        <f>IF(A266="","",IFERROR(ROUND(AVERAGEIFS(ASSESSMENTS!H:H,ASSESSMENTS!B:B,A266,ASSESSMENTS!E:E,"Geography"),1),""))</f>
        <v/>
      </c>
      <c r="J266" s="4">
        <f>IF(A266="","",IFERROR(ROUND(AVERAGEIFS(ASSESSMENTS!H:H,ASSESSMENTS!B:B,A266,ASSESSMENTS!E:E,"Accounting"),1),""))</f>
        <v/>
      </c>
      <c r="K266" s="4">
        <f>IF(A266="","",IFERROR(ROUND(AVERAGEIFS(ASSESSMENTS!H:H,ASSESSMENTS!B:B,A266,ASSESSMENTS!E:E,"English"),1),""))</f>
        <v/>
      </c>
      <c r="L266" s="5">
        <f>IF(A266="","",IFERROR(_xludf.XLOOKUP(A266,ATTENDANCE_SUMMARY!A:A,ATTENDANCE_SUMMARY!G:G,""),""))</f>
        <v/>
      </c>
      <c r="M266" s="4">
        <f>IF(A266="","",IF(OR(E266&lt;50,AND(L266&lt;0.75,L266&lt;&gt;"" )),"At Risk","On Track"))</f>
        <v/>
      </c>
    </row>
    <row r="267">
      <c r="A267">
        <f>IF(MASTER_REGISTER!E267="","",MASTER_REGISTER!E267)</f>
        <v/>
      </c>
      <c r="B267">
        <f>IF(A267="","",MASTER_REGISTER!F267)</f>
        <v/>
      </c>
      <c r="C267">
        <f>IF(A267="","",MASTER_REGISTER!C267)</f>
        <v/>
      </c>
      <c r="D267">
        <f>IF(A267="","",COUNTIF(ASSESSMENTS!B:B,A267))</f>
        <v/>
      </c>
      <c r="E267" s="4">
        <f>IF(D267=0,"",ROUND(AVERAGEIF(ASSESSMENTS!B:B,A267,ASSESSMENTS!H:H),1))</f>
        <v/>
      </c>
      <c r="F267" s="4">
        <f>IF(A267="","",IFERROR(ROUND(AVERAGEIFS(ASSESSMENTS!H:H,ASSESSMENTS!B:B,A267,ASSESSMENTS!E:E,"Mathematics"),1),""))</f>
        <v/>
      </c>
      <c r="G267" s="4">
        <f>IF(A267="","",IFERROR(ROUND(AVERAGEIFS(ASSESSMENTS!H:H,ASSESSMENTS!B:B,A267,ASSESSMENTS!E:E,"Mathematical Literacy"),1),""))</f>
        <v/>
      </c>
      <c r="H267" s="4">
        <f>IF(A267="","",IFERROR(ROUND(AVERAGEIFS(ASSESSMENTS!H:H,ASSESSMENTS!B:B,A267,ASSESSMENTS!E:E,"Physical Sciences"),1),""))</f>
        <v/>
      </c>
      <c r="I267" s="4">
        <f>IF(A267="","",IFERROR(ROUND(AVERAGEIFS(ASSESSMENTS!H:H,ASSESSMENTS!B:B,A267,ASSESSMENTS!E:E,"Geography"),1),""))</f>
        <v/>
      </c>
      <c r="J267" s="4">
        <f>IF(A267="","",IFERROR(ROUND(AVERAGEIFS(ASSESSMENTS!H:H,ASSESSMENTS!B:B,A267,ASSESSMENTS!E:E,"Accounting"),1),""))</f>
        <v/>
      </c>
      <c r="K267" s="4">
        <f>IF(A267="","",IFERROR(ROUND(AVERAGEIFS(ASSESSMENTS!H:H,ASSESSMENTS!B:B,A267,ASSESSMENTS!E:E,"English"),1),""))</f>
        <v/>
      </c>
      <c r="L267" s="5">
        <f>IF(A267="","",IFERROR(_xludf.XLOOKUP(A267,ATTENDANCE_SUMMARY!A:A,ATTENDANCE_SUMMARY!G:G,""),""))</f>
        <v/>
      </c>
      <c r="M267" s="4">
        <f>IF(A267="","",IF(OR(E267&lt;50,AND(L267&lt;0.75,L267&lt;&gt;"" )),"At Risk","On Track"))</f>
        <v/>
      </c>
    </row>
    <row r="268">
      <c r="A268">
        <f>IF(MASTER_REGISTER!E268="","",MASTER_REGISTER!E268)</f>
        <v/>
      </c>
      <c r="B268">
        <f>IF(A268="","",MASTER_REGISTER!F268)</f>
        <v/>
      </c>
      <c r="C268">
        <f>IF(A268="","",MASTER_REGISTER!C268)</f>
        <v/>
      </c>
      <c r="D268">
        <f>IF(A268="","",COUNTIF(ASSESSMENTS!B:B,A268))</f>
        <v/>
      </c>
      <c r="E268" s="4">
        <f>IF(D268=0,"",ROUND(AVERAGEIF(ASSESSMENTS!B:B,A268,ASSESSMENTS!H:H),1))</f>
        <v/>
      </c>
      <c r="F268" s="4">
        <f>IF(A268="","",IFERROR(ROUND(AVERAGEIFS(ASSESSMENTS!H:H,ASSESSMENTS!B:B,A268,ASSESSMENTS!E:E,"Mathematics"),1),""))</f>
        <v/>
      </c>
      <c r="G268" s="4">
        <f>IF(A268="","",IFERROR(ROUND(AVERAGEIFS(ASSESSMENTS!H:H,ASSESSMENTS!B:B,A268,ASSESSMENTS!E:E,"Mathematical Literacy"),1),""))</f>
        <v/>
      </c>
      <c r="H268" s="4">
        <f>IF(A268="","",IFERROR(ROUND(AVERAGEIFS(ASSESSMENTS!H:H,ASSESSMENTS!B:B,A268,ASSESSMENTS!E:E,"Physical Sciences"),1),""))</f>
        <v/>
      </c>
      <c r="I268" s="4">
        <f>IF(A268="","",IFERROR(ROUND(AVERAGEIFS(ASSESSMENTS!H:H,ASSESSMENTS!B:B,A268,ASSESSMENTS!E:E,"Geography"),1),""))</f>
        <v/>
      </c>
      <c r="J268" s="4">
        <f>IF(A268="","",IFERROR(ROUND(AVERAGEIFS(ASSESSMENTS!H:H,ASSESSMENTS!B:B,A268,ASSESSMENTS!E:E,"Accounting"),1),""))</f>
        <v/>
      </c>
      <c r="K268" s="4">
        <f>IF(A268="","",IFERROR(ROUND(AVERAGEIFS(ASSESSMENTS!H:H,ASSESSMENTS!B:B,A268,ASSESSMENTS!E:E,"English"),1),""))</f>
        <v/>
      </c>
      <c r="L268" s="5">
        <f>IF(A268="","",IFERROR(_xludf.XLOOKUP(A268,ATTENDANCE_SUMMARY!A:A,ATTENDANCE_SUMMARY!G:G,""),""))</f>
        <v/>
      </c>
      <c r="M268" s="4">
        <f>IF(A268="","",IF(OR(E268&lt;50,AND(L268&lt;0.75,L268&lt;&gt;"" )),"At Risk","On Track"))</f>
        <v/>
      </c>
    </row>
    <row r="269">
      <c r="A269">
        <f>IF(MASTER_REGISTER!E269="","",MASTER_REGISTER!E269)</f>
        <v/>
      </c>
      <c r="B269">
        <f>IF(A269="","",MASTER_REGISTER!F269)</f>
        <v/>
      </c>
      <c r="C269">
        <f>IF(A269="","",MASTER_REGISTER!C269)</f>
        <v/>
      </c>
      <c r="D269">
        <f>IF(A269="","",COUNTIF(ASSESSMENTS!B:B,A269))</f>
        <v/>
      </c>
      <c r="E269" s="4">
        <f>IF(D269=0,"",ROUND(AVERAGEIF(ASSESSMENTS!B:B,A269,ASSESSMENTS!H:H),1))</f>
        <v/>
      </c>
      <c r="F269" s="4">
        <f>IF(A269="","",IFERROR(ROUND(AVERAGEIFS(ASSESSMENTS!H:H,ASSESSMENTS!B:B,A269,ASSESSMENTS!E:E,"Mathematics"),1),""))</f>
        <v/>
      </c>
      <c r="G269" s="4">
        <f>IF(A269="","",IFERROR(ROUND(AVERAGEIFS(ASSESSMENTS!H:H,ASSESSMENTS!B:B,A269,ASSESSMENTS!E:E,"Mathematical Literacy"),1),""))</f>
        <v/>
      </c>
      <c r="H269" s="4">
        <f>IF(A269="","",IFERROR(ROUND(AVERAGEIFS(ASSESSMENTS!H:H,ASSESSMENTS!B:B,A269,ASSESSMENTS!E:E,"Physical Sciences"),1),""))</f>
        <v/>
      </c>
      <c r="I269" s="4">
        <f>IF(A269="","",IFERROR(ROUND(AVERAGEIFS(ASSESSMENTS!H:H,ASSESSMENTS!B:B,A269,ASSESSMENTS!E:E,"Geography"),1),""))</f>
        <v/>
      </c>
      <c r="J269" s="4">
        <f>IF(A269="","",IFERROR(ROUND(AVERAGEIFS(ASSESSMENTS!H:H,ASSESSMENTS!B:B,A269,ASSESSMENTS!E:E,"Accounting"),1),""))</f>
        <v/>
      </c>
      <c r="K269" s="4">
        <f>IF(A269="","",IFERROR(ROUND(AVERAGEIFS(ASSESSMENTS!H:H,ASSESSMENTS!B:B,A269,ASSESSMENTS!E:E,"English"),1),""))</f>
        <v/>
      </c>
      <c r="L269" s="5">
        <f>IF(A269="","",IFERROR(_xludf.XLOOKUP(A269,ATTENDANCE_SUMMARY!A:A,ATTENDANCE_SUMMARY!G:G,""),""))</f>
        <v/>
      </c>
      <c r="M269" s="4">
        <f>IF(A269="","",IF(OR(E269&lt;50,AND(L269&lt;0.75,L269&lt;&gt;"" )),"At Risk","On Track"))</f>
        <v/>
      </c>
    </row>
    <row r="270">
      <c r="A270">
        <f>IF(MASTER_REGISTER!E270="","",MASTER_REGISTER!E270)</f>
        <v/>
      </c>
      <c r="B270">
        <f>IF(A270="","",MASTER_REGISTER!F270)</f>
        <v/>
      </c>
      <c r="C270">
        <f>IF(A270="","",MASTER_REGISTER!C270)</f>
        <v/>
      </c>
      <c r="D270">
        <f>IF(A270="","",COUNTIF(ASSESSMENTS!B:B,A270))</f>
        <v/>
      </c>
      <c r="E270" s="4">
        <f>IF(D270=0,"",ROUND(AVERAGEIF(ASSESSMENTS!B:B,A270,ASSESSMENTS!H:H),1))</f>
        <v/>
      </c>
      <c r="F270" s="4">
        <f>IF(A270="","",IFERROR(ROUND(AVERAGEIFS(ASSESSMENTS!H:H,ASSESSMENTS!B:B,A270,ASSESSMENTS!E:E,"Mathematics"),1),""))</f>
        <v/>
      </c>
      <c r="G270" s="4">
        <f>IF(A270="","",IFERROR(ROUND(AVERAGEIFS(ASSESSMENTS!H:H,ASSESSMENTS!B:B,A270,ASSESSMENTS!E:E,"Mathematical Literacy"),1),""))</f>
        <v/>
      </c>
      <c r="H270" s="4">
        <f>IF(A270="","",IFERROR(ROUND(AVERAGEIFS(ASSESSMENTS!H:H,ASSESSMENTS!B:B,A270,ASSESSMENTS!E:E,"Physical Sciences"),1),""))</f>
        <v/>
      </c>
      <c r="I270" s="4">
        <f>IF(A270="","",IFERROR(ROUND(AVERAGEIFS(ASSESSMENTS!H:H,ASSESSMENTS!B:B,A270,ASSESSMENTS!E:E,"Geography"),1),""))</f>
        <v/>
      </c>
      <c r="J270" s="4">
        <f>IF(A270="","",IFERROR(ROUND(AVERAGEIFS(ASSESSMENTS!H:H,ASSESSMENTS!B:B,A270,ASSESSMENTS!E:E,"Accounting"),1),""))</f>
        <v/>
      </c>
      <c r="K270" s="4">
        <f>IF(A270="","",IFERROR(ROUND(AVERAGEIFS(ASSESSMENTS!H:H,ASSESSMENTS!B:B,A270,ASSESSMENTS!E:E,"English"),1),""))</f>
        <v/>
      </c>
      <c r="L270" s="5">
        <f>IF(A270="","",IFERROR(_xludf.XLOOKUP(A270,ATTENDANCE_SUMMARY!A:A,ATTENDANCE_SUMMARY!G:G,""),""))</f>
        <v/>
      </c>
      <c r="M270" s="4">
        <f>IF(A270="","",IF(OR(E270&lt;50,AND(L270&lt;0.75,L270&lt;&gt;"" )),"At Risk","On Track"))</f>
        <v/>
      </c>
    </row>
    <row r="271">
      <c r="A271">
        <f>IF(MASTER_REGISTER!E271="","",MASTER_REGISTER!E271)</f>
        <v/>
      </c>
      <c r="B271">
        <f>IF(A271="","",MASTER_REGISTER!F271)</f>
        <v/>
      </c>
      <c r="C271">
        <f>IF(A271="","",MASTER_REGISTER!C271)</f>
        <v/>
      </c>
      <c r="D271">
        <f>IF(A271="","",COUNTIF(ASSESSMENTS!B:B,A271))</f>
        <v/>
      </c>
      <c r="E271" s="4">
        <f>IF(D271=0,"",ROUND(AVERAGEIF(ASSESSMENTS!B:B,A271,ASSESSMENTS!H:H),1))</f>
        <v/>
      </c>
      <c r="F271" s="4">
        <f>IF(A271="","",IFERROR(ROUND(AVERAGEIFS(ASSESSMENTS!H:H,ASSESSMENTS!B:B,A271,ASSESSMENTS!E:E,"Mathematics"),1),""))</f>
        <v/>
      </c>
      <c r="G271" s="4">
        <f>IF(A271="","",IFERROR(ROUND(AVERAGEIFS(ASSESSMENTS!H:H,ASSESSMENTS!B:B,A271,ASSESSMENTS!E:E,"Mathematical Literacy"),1),""))</f>
        <v/>
      </c>
      <c r="H271" s="4">
        <f>IF(A271="","",IFERROR(ROUND(AVERAGEIFS(ASSESSMENTS!H:H,ASSESSMENTS!B:B,A271,ASSESSMENTS!E:E,"Physical Sciences"),1),""))</f>
        <v/>
      </c>
      <c r="I271" s="4">
        <f>IF(A271="","",IFERROR(ROUND(AVERAGEIFS(ASSESSMENTS!H:H,ASSESSMENTS!B:B,A271,ASSESSMENTS!E:E,"Geography"),1),""))</f>
        <v/>
      </c>
      <c r="J271" s="4">
        <f>IF(A271="","",IFERROR(ROUND(AVERAGEIFS(ASSESSMENTS!H:H,ASSESSMENTS!B:B,A271,ASSESSMENTS!E:E,"Accounting"),1),""))</f>
        <v/>
      </c>
      <c r="K271" s="4">
        <f>IF(A271="","",IFERROR(ROUND(AVERAGEIFS(ASSESSMENTS!H:H,ASSESSMENTS!B:B,A271,ASSESSMENTS!E:E,"English"),1),""))</f>
        <v/>
      </c>
      <c r="L271" s="5">
        <f>IF(A271="","",IFERROR(_xludf.XLOOKUP(A271,ATTENDANCE_SUMMARY!A:A,ATTENDANCE_SUMMARY!G:G,""),""))</f>
        <v/>
      </c>
      <c r="M271" s="4">
        <f>IF(A271="","",IF(OR(E271&lt;50,AND(L271&lt;0.75,L271&lt;&gt;"" )),"At Risk","On Track"))</f>
        <v/>
      </c>
    </row>
    <row r="272">
      <c r="A272">
        <f>IF(MASTER_REGISTER!E272="","",MASTER_REGISTER!E272)</f>
        <v/>
      </c>
      <c r="B272">
        <f>IF(A272="","",MASTER_REGISTER!F272)</f>
        <v/>
      </c>
      <c r="C272">
        <f>IF(A272="","",MASTER_REGISTER!C272)</f>
        <v/>
      </c>
      <c r="D272">
        <f>IF(A272="","",COUNTIF(ASSESSMENTS!B:B,A272))</f>
        <v/>
      </c>
      <c r="E272" s="4">
        <f>IF(D272=0,"",ROUND(AVERAGEIF(ASSESSMENTS!B:B,A272,ASSESSMENTS!H:H),1))</f>
        <v/>
      </c>
      <c r="F272" s="4">
        <f>IF(A272="","",IFERROR(ROUND(AVERAGEIFS(ASSESSMENTS!H:H,ASSESSMENTS!B:B,A272,ASSESSMENTS!E:E,"Mathematics"),1),""))</f>
        <v/>
      </c>
      <c r="G272" s="4">
        <f>IF(A272="","",IFERROR(ROUND(AVERAGEIFS(ASSESSMENTS!H:H,ASSESSMENTS!B:B,A272,ASSESSMENTS!E:E,"Mathematical Literacy"),1),""))</f>
        <v/>
      </c>
      <c r="H272" s="4">
        <f>IF(A272="","",IFERROR(ROUND(AVERAGEIFS(ASSESSMENTS!H:H,ASSESSMENTS!B:B,A272,ASSESSMENTS!E:E,"Physical Sciences"),1),""))</f>
        <v/>
      </c>
      <c r="I272" s="4">
        <f>IF(A272="","",IFERROR(ROUND(AVERAGEIFS(ASSESSMENTS!H:H,ASSESSMENTS!B:B,A272,ASSESSMENTS!E:E,"Geography"),1),""))</f>
        <v/>
      </c>
      <c r="J272" s="4">
        <f>IF(A272="","",IFERROR(ROUND(AVERAGEIFS(ASSESSMENTS!H:H,ASSESSMENTS!B:B,A272,ASSESSMENTS!E:E,"Accounting"),1),""))</f>
        <v/>
      </c>
      <c r="K272" s="4">
        <f>IF(A272="","",IFERROR(ROUND(AVERAGEIFS(ASSESSMENTS!H:H,ASSESSMENTS!B:B,A272,ASSESSMENTS!E:E,"English"),1),""))</f>
        <v/>
      </c>
      <c r="L272" s="5">
        <f>IF(A272="","",IFERROR(_xludf.XLOOKUP(A272,ATTENDANCE_SUMMARY!A:A,ATTENDANCE_SUMMARY!G:G,""),""))</f>
        <v/>
      </c>
      <c r="M272" s="4">
        <f>IF(A272="","",IF(OR(E272&lt;50,AND(L272&lt;0.75,L272&lt;&gt;"" )),"At Risk","On Track"))</f>
        <v/>
      </c>
    </row>
    <row r="273">
      <c r="A273">
        <f>IF(MASTER_REGISTER!E273="","",MASTER_REGISTER!E273)</f>
        <v/>
      </c>
      <c r="B273">
        <f>IF(A273="","",MASTER_REGISTER!F273)</f>
        <v/>
      </c>
      <c r="C273">
        <f>IF(A273="","",MASTER_REGISTER!C273)</f>
        <v/>
      </c>
      <c r="D273">
        <f>IF(A273="","",COUNTIF(ASSESSMENTS!B:B,A273))</f>
        <v/>
      </c>
      <c r="E273" s="4">
        <f>IF(D273=0,"",ROUND(AVERAGEIF(ASSESSMENTS!B:B,A273,ASSESSMENTS!H:H),1))</f>
        <v/>
      </c>
      <c r="F273" s="4">
        <f>IF(A273="","",IFERROR(ROUND(AVERAGEIFS(ASSESSMENTS!H:H,ASSESSMENTS!B:B,A273,ASSESSMENTS!E:E,"Mathematics"),1),""))</f>
        <v/>
      </c>
      <c r="G273" s="4">
        <f>IF(A273="","",IFERROR(ROUND(AVERAGEIFS(ASSESSMENTS!H:H,ASSESSMENTS!B:B,A273,ASSESSMENTS!E:E,"Mathematical Literacy"),1),""))</f>
        <v/>
      </c>
      <c r="H273" s="4">
        <f>IF(A273="","",IFERROR(ROUND(AVERAGEIFS(ASSESSMENTS!H:H,ASSESSMENTS!B:B,A273,ASSESSMENTS!E:E,"Physical Sciences"),1),""))</f>
        <v/>
      </c>
      <c r="I273" s="4">
        <f>IF(A273="","",IFERROR(ROUND(AVERAGEIFS(ASSESSMENTS!H:H,ASSESSMENTS!B:B,A273,ASSESSMENTS!E:E,"Geography"),1),""))</f>
        <v/>
      </c>
      <c r="J273" s="4">
        <f>IF(A273="","",IFERROR(ROUND(AVERAGEIFS(ASSESSMENTS!H:H,ASSESSMENTS!B:B,A273,ASSESSMENTS!E:E,"Accounting"),1),""))</f>
        <v/>
      </c>
      <c r="K273" s="4">
        <f>IF(A273="","",IFERROR(ROUND(AVERAGEIFS(ASSESSMENTS!H:H,ASSESSMENTS!B:B,A273,ASSESSMENTS!E:E,"English"),1),""))</f>
        <v/>
      </c>
      <c r="L273" s="5">
        <f>IF(A273="","",IFERROR(_xludf.XLOOKUP(A273,ATTENDANCE_SUMMARY!A:A,ATTENDANCE_SUMMARY!G:G,""),""))</f>
        <v/>
      </c>
      <c r="M273" s="4">
        <f>IF(A273="","",IF(OR(E273&lt;50,AND(L273&lt;0.75,L273&lt;&gt;"" )),"At Risk","On Track"))</f>
        <v/>
      </c>
    </row>
    <row r="274">
      <c r="A274">
        <f>IF(MASTER_REGISTER!E274="","",MASTER_REGISTER!E274)</f>
        <v/>
      </c>
      <c r="B274">
        <f>IF(A274="","",MASTER_REGISTER!F274)</f>
        <v/>
      </c>
      <c r="C274">
        <f>IF(A274="","",MASTER_REGISTER!C274)</f>
        <v/>
      </c>
      <c r="D274">
        <f>IF(A274="","",COUNTIF(ASSESSMENTS!B:B,A274))</f>
        <v/>
      </c>
      <c r="E274" s="4">
        <f>IF(D274=0,"",ROUND(AVERAGEIF(ASSESSMENTS!B:B,A274,ASSESSMENTS!H:H),1))</f>
        <v/>
      </c>
      <c r="F274" s="4">
        <f>IF(A274="","",IFERROR(ROUND(AVERAGEIFS(ASSESSMENTS!H:H,ASSESSMENTS!B:B,A274,ASSESSMENTS!E:E,"Mathematics"),1),""))</f>
        <v/>
      </c>
      <c r="G274" s="4">
        <f>IF(A274="","",IFERROR(ROUND(AVERAGEIFS(ASSESSMENTS!H:H,ASSESSMENTS!B:B,A274,ASSESSMENTS!E:E,"Mathematical Literacy"),1),""))</f>
        <v/>
      </c>
      <c r="H274" s="4">
        <f>IF(A274="","",IFERROR(ROUND(AVERAGEIFS(ASSESSMENTS!H:H,ASSESSMENTS!B:B,A274,ASSESSMENTS!E:E,"Physical Sciences"),1),""))</f>
        <v/>
      </c>
      <c r="I274" s="4">
        <f>IF(A274="","",IFERROR(ROUND(AVERAGEIFS(ASSESSMENTS!H:H,ASSESSMENTS!B:B,A274,ASSESSMENTS!E:E,"Geography"),1),""))</f>
        <v/>
      </c>
      <c r="J274" s="4">
        <f>IF(A274="","",IFERROR(ROUND(AVERAGEIFS(ASSESSMENTS!H:H,ASSESSMENTS!B:B,A274,ASSESSMENTS!E:E,"Accounting"),1),""))</f>
        <v/>
      </c>
      <c r="K274" s="4">
        <f>IF(A274="","",IFERROR(ROUND(AVERAGEIFS(ASSESSMENTS!H:H,ASSESSMENTS!B:B,A274,ASSESSMENTS!E:E,"English"),1),""))</f>
        <v/>
      </c>
      <c r="L274" s="5">
        <f>IF(A274="","",IFERROR(_xludf.XLOOKUP(A274,ATTENDANCE_SUMMARY!A:A,ATTENDANCE_SUMMARY!G:G,""),""))</f>
        <v/>
      </c>
      <c r="M274" s="4">
        <f>IF(A274="","",IF(OR(E274&lt;50,AND(L274&lt;0.75,L274&lt;&gt;"" )),"At Risk","On Track"))</f>
        <v/>
      </c>
    </row>
    <row r="275">
      <c r="A275">
        <f>IF(MASTER_REGISTER!E275="","",MASTER_REGISTER!E275)</f>
        <v/>
      </c>
      <c r="B275">
        <f>IF(A275="","",MASTER_REGISTER!F275)</f>
        <v/>
      </c>
      <c r="C275">
        <f>IF(A275="","",MASTER_REGISTER!C275)</f>
        <v/>
      </c>
      <c r="D275">
        <f>IF(A275="","",COUNTIF(ASSESSMENTS!B:B,A275))</f>
        <v/>
      </c>
      <c r="E275" s="4">
        <f>IF(D275=0,"",ROUND(AVERAGEIF(ASSESSMENTS!B:B,A275,ASSESSMENTS!H:H),1))</f>
        <v/>
      </c>
      <c r="F275" s="4">
        <f>IF(A275="","",IFERROR(ROUND(AVERAGEIFS(ASSESSMENTS!H:H,ASSESSMENTS!B:B,A275,ASSESSMENTS!E:E,"Mathematics"),1),""))</f>
        <v/>
      </c>
      <c r="G275" s="4">
        <f>IF(A275="","",IFERROR(ROUND(AVERAGEIFS(ASSESSMENTS!H:H,ASSESSMENTS!B:B,A275,ASSESSMENTS!E:E,"Mathematical Literacy"),1),""))</f>
        <v/>
      </c>
      <c r="H275" s="4">
        <f>IF(A275="","",IFERROR(ROUND(AVERAGEIFS(ASSESSMENTS!H:H,ASSESSMENTS!B:B,A275,ASSESSMENTS!E:E,"Physical Sciences"),1),""))</f>
        <v/>
      </c>
      <c r="I275" s="4">
        <f>IF(A275="","",IFERROR(ROUND(AVERAGEIFS(ASSESSMENTS!H:H,ASSESSMENTS!B:B,A275,ASSESSMENTS!E:E,"Geography"),1),""))</f>
        <v/>
      </c>
      <c r="J275" s="4">
        <f>IF(A275="","",IFERROR(ROUND(AVERAGEIFS(ASSESSMENTS!H:H,ASSESSMENTS!B:B,A275,ASSESSMENTS!E:E,"Accounting"),1),""))</f>
        <v/>
      </c>
      <c r="K275" s="4">
        <f>IF(A275="","",IFERROR(ROUND(AVERAGEIFS(ASSESSMENTS!H:H,ASSESSMENTS!B:B,A275,ASSESSMENTS!E:E,"English"),1),""))</f>
        <v/>
      </c>
      <c r="L275" s="5">
        <f>IF(A275="","",IFERROR(_xludf.XLOOKUP(A275,ATTENDANCE_SUMMARY!A:A,ATTENDANCE_SUMMARY!G:G,""),""))</f>
        <v/>
      </c>
      <c r="M275" s="4">
        <f>IF(A275="","",IF(OR(E275&lt;50,AND(L275&lt;0.75,L275&lt;&gt;"" )),"At Risk","On Track"))</f>
        <v/>
      </c>
    </row>
    <row r="276">
      <c r="A276">
        <f>IF(MASTER_REGISTER!E276="","",MASTER_REGISTER!E276)</f>
        <v/>
      </c>
      <c r="B276">
        <f>IF(A276="","",MASTER_REGISTER!F276)</f>
        <v/>
      </c>
      <c r="C276">
        <f>IF(A276="","",MASTER_REGISTER!C276)</f>
        <v/>
      </c>
      <c r="D276">
        <f>IF(A276="","",COUNTIF(ASSESSMENTS!B:B,A276))</f>
        <v/>
      </c>
      <c r="E276" s="4">
        <f>IF(D276=0,"",ROUND(AVERAGEIF(ASSESSMENTS!B:B,A276,ASSESSMENTS!H:H),1))</f>
        <v/>
      </c>
      <c r="F276" s="4">
        <f>IF(A276="","",IFERROR(ROUND(AVERAGEIFS(ASSESSMENTS!H:H,ASSESSMENTS!B:B,A276,ASSESSMENTS!E:E,"Mathematics"),1),""))</f>
        <v/>
      </c>
      <c r="G276" s="4">
        <f>IF(A276="","",IFERROR(ROUND(AVERAGEIFS(ASSESSMENTS!H:H,ASSESSMENTS!B:B,A276,ASSESSMENTS!E:E,"Mathematical Literacy"),1),""))</f>
        <v/>
      </c>
      <c r="H276" s="4">
        <f>IF(A276="","",IFERROR(ROUND(AVERAGEIFS(ASSESSMENTS!H:H,ASSESSMENTS!B:B,A276,ASSESSMENTS!E:E,"Physical Sciences"),1),""))</f>
        <v/>
      </c>
      <c r="I276" s="4">
        <f>IF(A276="","",IFERROR(ROUND(AVERAGEIFS(ASSESSMENTS!H:H,ASSESSMENTS!B:B,A276,ASSESSMENTS!E:E,"Geography"),1),""))</f>
        <v/>
      </c>
      <c r="J276" s="4">
        <f>IF(A276="","",IFERROR(ROUND(AVERAGEIFS(ASSESSMENTS!H:H,ASSESSMENTS!B:B,A276,ASSESSMENTS!E:E,"Accounting"),1),""))</f>
        <v/>
      </c>
      <c r="K276" s="4">
        <f>IF(A276="","",IFERROR(ROUND(AVERAGEIFS(ASSESSMENTS!H:H,ASSESSMENTS!B:B,A276,ASSESSMENTS!E:E,"English"),1),""))</f>
        <v/>
      </c>
      <c r="L276" s="5">
        <f>IF(A276="","",IFERROR(_xludf.XLOOKUP(A276,ATTENDANCE_SUMMARY!A:A,ATTENDANCE_SUMMARY!G:G,""),""))</f>
        <v/>
      </c>
      <c r="M276" s="4">
        <f>IF(A276="","",IF(OR(E276&lt;50,AND(L276&lt;0.75,L276&lt;&gt;"" )),"At Risk","On Track"))</f>
        <v/>
      </c>
    </row>
    <row r="277">
      <c r="A277">
        <f>IF(MASTER_REGISTER!E277="","",MASTER_REGISTER!E277)</f>
        <v/>
      </c>
      <c r="B277">
        <f>IF(A277="","",MASTER_REGISTER!F277)</f>
        <v/>
      </c>
      <c r="C277">
        <f>IF(A277="","",MASTER_REGISTER!C277)</f>
        <v/>
      </c>
      <c r="D277">
        <f>IF(A277="","",COUNTIF(ASSESSMENTS!B:B,A277))</f>
        <v/>
      </c>
      <c r="E277" s="4">
        <f>IF(D277=0,"",ROUND(AVERAGEIF(ASSESSMENTS!B:B,A277,ASSESSMENTS!H:H),1))</f>
        <v/>
      </c>
      <c r="F277" s="4">
        <f>IF(A277="","",IFERROR(ROUND(AVERAGEIFS(ASSESSMENTS!H:H,ASSESSMENTS!B:B,A277,ASSESSMENTS!E:E,"Mathematics"),1),""))</f>
        <v/>
      </c>
      <c r="G277" s="4">
        <f>IF(A277="","",IFERROR(ROUND(AVERAGEIFS(ASSESSMENTS!H:H,ASSESSMENTS!B:B,A277,ASSESSMENTS!E:E,"Mathematical Literacy"),1),""))</f>
        <v/>
      </c>
      <c r="H277" s="4">
        <f>IF(A277="","",IFERROR(ROUND(AVERAGEIFS(ASSESSMENTS!H:H,ASSESSMENTS!B:B,A277,ASSESSMENTS!E:E,"Physical Sciences"),1),""))</f>
        <v/>
      </c>
      <c r="I277" s="4">
        <f>IF(A277="","",IFERROR(ROUND(AVERAGEIFS(ASSESSMENTS!H:H,ASSESSMENTS!B:B,A277,ASSESSMENTS!E:E,"Geography"),1),""))</f>
        <v/>
      </c>
      <c r="J277" s="4">
        <f>IF(A277="","",IFERROR(ROUND(AVERAGEIFS(ASSESSMENTS!H:H,ASSESSMENTS!B:B,A277,ASSESSMENTS!E:E,"Accounting"),1),""))</f>
        <v/>
      </c>
      <c r="K277" s="4">
        <f>IF(A277="","",IFERROR(ROUND(AVERAGEIFS(ASSESSMENTS!H:H,ASSESSMENTS!B:B,A277,ASSESSMENTS!E:E,"English"),1),""))</f>
        <v/>
      </c>
      <c r="L277" s="5">
        <f>IF(A277="","",IFERROR(_xludf.XLOOKUP(A277,ATTENDANCE_SUMMARY!A:A,ATTENDANCE_SUMMARY!G:G,""),""))</f>
        <v/>
      </c>
      <c r="M277" s="4">
        <f>IF(A277="","",IF(OR(E277&lt;50,AND(L277&lt;0.75,L277&lt;&gt;"" )),"At Risk","On Track"))</f>
        <v/>
      </c>
    </row>
    <row r="278">
      <c r="A278">
        <f>IF(MASTER_REGISTER!E278="","",MASTER_REGISTER!E278)</f>
        <v/>
      </c>
      <c r="B278">
        <f>IF(A278="","",MASTER_REGISTER!F278)</f>
        <v/>
      </c>
      <c r="C278">
        <f>IF(A278="","",MASTER_REGISTER!C278)</f>
        <v/>
      </c>
      <c r="D278">
        <f>IF(A278="","",COUNTIF(ASSESSMENTS!B:B,A278))</f>
        <v/>
      </c>
      <c r="E278" s="4">
        <f>IF(D278=0,"",ROUND(AVERAGEIF(ASSESSMENTS!B:B,A278,ASSESSMENTS!H:H),1))</f>
        <v/>
      </c>
      <c r="F278" s="4">
        <f>IF(A278="","",IFERROR(ROUND(AVERAGEIFS(ASSESSMENTS!H:H,ASSESSMENTS!B:B,A278,ASSESSMENTS!E:E,"Mathematics"),1),""))</f>
        <v/>
      </c>
      <c r="G278" s="4">
        <f>IF(A278="","",IFERROR(ROUND(AVERAGEIFS(ASSESSMENTS!H:H,ASSESSMENTS!B:B,A278,ASSESSMENTS!E:E,"Mathematical Literacy"),1),""))</f>
        <v/>
      </c>
      <c r="H278" s="4">
        <f>IF(A278="","",IFERROR(ROUND(AVERAGEIFS(ASSESSMENTS!H:H,ASSESSMENTS!B:B,A278,ASSESSMENTS!E:E,"Physical Sciences"),1),""))</f>
        <v/>
      </c>
      <c r="I278" s="4">
        <f>IF(A278="","",IFERROR(ROUND(AVERAGEIFS(ASSESSMENTS!H:H,ASSESSMENTS!B:B,A278,ASSESSMENTS!E:E,"Geography"),1),""))</f>
        <v/>
      </c>
      <c r="J278" s="4">
        <f>IF(A278="","",IFERROR(ROUND(AVERAGEIFS(ASSESSMENTS!H:H,ASSESSMENTS!B:B,A278,ASSESSMENTS!E:E,"Accounting"),1),""))</f>
        <v/>
      </c>
      <c r="K278" s="4">
        <f>IF(A278="","",IFERROR(ROUND(AVERAGEIFS(ASSESSMENTS!H:H,ASSESSMENTS!B:B,A278,ASSESSMENTS!E:E,"English"),1),""))</f>
        <v/>
      </c>
      <c r="L278" s="5">
        <f>IF(A278="","",IFERROR(_xludf.XLOOKUP(A278,ATTENDANCE_SUMMARY!A:A,ATTENDANCE_SUMMARY!G:G,""),""))</f>
        <v/>
      </c>
      <c r="M278" s="4">
        <f>IF(A278="","",IF(OR(E278&lt;50,AND(L278&lt;0.75,L278&lt;&gt;"" )),"At Risk","On Track"))</f>
        <v/>
      </c>
    </row>
    <row r="279">
      <c r="A279">
        <f>IF(MASTER_REGISTER!E279="","",MASTER_REGISTER!E279)</f>
        <v/>
      </c>
      <c r="B279">
        <f>IF(A279="","",MASTER_REGISTER!F279)</f>
        <v/>
      </c>
      <c r="C279">
        <f>IF(A279="","",MASTER_REGISTER!C279)</f>
        <v/>
      </c>
      <c r="D279">
        <f>IF(A279="","",COUNTIF(ASSESSMENTS!B:B,A279))</f>
        <v/>
      </c>
      <c r="E279" s="4">
        <f>IF(D279=0,"",ROUND(AVERAGEIF(ASSESSMENTS!B:B,A279,ASSESSMENTS!H:H),1))</f>
        <v/>
      </c>
      <c r="F279" s="4">
        <f>IF(A279="","",IFERROR(ROUND(AVERAGEIFS(ASSESSMENTS!H:H,ASSESSMENTS!B:B,A279,ASSESSMENTS!E:E,"Mathematics"),1),""))</f>
        <v/>
      </c>
      <c r="G279" s="4">
        <f>IF(A279="","",IFERROR(ROUND(AVERAGEIFS(ASSESSMENTS!H:H,ASSESSMENTS!B:B,A279,ASSESSMENTS!E:E,"Mathematical Literacy"),1),""))</f>
        <v/>
      </c>
      <c r="H279" s="4">
        <f>IF(A279="","",IFERROR(ROUND(AVERAGEIFS(ASSESSMENTS!H:H,ASSESSMENTS!B:B,A279,ASSESSMENTS!E:E,"Physical Sciences"),1),""))</f>
        <v/>
      </c>
      <c r="I279" s="4">
        <f>IF(A279="","",IFERROR(ROUND(AVERAGEIFS(ASSESSMENTS!H:H,ASSESSMENTS!B:B,A279,ASSESSMENTS!E:E,"Geography"),1),""))</f>
        <v/>
      </c>
      <c r="J279" s="4">
        <f>IF(A279="","",IFERROR(ROUND(AVERAGEIFS(ASSESSMENTS!H:H,ASSESSMENTS!B:B,A279,ASSESSMENTS!E:E,"Accounting"),1),""))</f>
        <v/>
      </c>
      <c r="K279" s="4">
        <f>IF(A279="","",IFERROR(ROUND(AVERAGEIFS(ASSESSMENTS!H:H,ASSESSMENTS!B:B,A279,ASSESSMENTS!E:E,"English"),1),""))</f>
        <v/>
      </c>
      <c r="L279" s="5">
        <f>IF(A279="","",IFERROR(_xludf.XLOOKUP(A279,ATTENDANCE_SUMMARY!A:A,ATTENDANCE_SUMMARY!G:G,""),""))</f>
        <v/>
      </c>
      <c r="M279" s="4">
        <f>IF(A279="","",IF(OR(E279&lt;50,AND(L279&lt;0.75,L279&lt;&gt;"" )),"At Risk","On Track"))</f>
        <v/>
      </c>
    </row>
    <row r="280">
      <c r="A280">
        <f>IF(MASTER_REGISTER!E280="","",MASTER_REGISTER!E280)</f>
        <v/>
      </c>
      <c r="B280">
        <f>IF(A280="","",MASTER_REGISTER!F280)</f>
        <v/>
      </c>
      <c r="C280">
        <f>IF(A280="","",MASTER_REGISTER!C280)</f>
        <v/>
      </c>
      <c r="D280">
        <f>IF(A280="","",COUNTIF(ASSESSMENTS!B:B,A280))</f>
        <v/>
      </c>
      <c r="E280" s="4">
        <f>IF(D280=0,"",ROUND(AVERAGEIF(ASSESSMENTS!B:B,A280,ASSESSMENTS!H:H),1))</f>
        <v/>
      </c>
      <c r="F280" s="4">
        <f>IF(A280="","",IFERROR(ROUND(AVERAGEIFS(ASSESSMENTS!H:H,ASSESSMENTS!B:B,A280,ASSESSMENTS!E:E,"Mathematics"),1),""))</f>
        <v/>
      </c>
      <c r="G280" s="4">
        <f>IF(A280="","",IFERROR(ROUND(AVERAGEIFS(ASSESSMENTS!H:H,ASSESSMENTS!B:B,A280,ASSESSMENTS!E:E,"Mathematical Literacy"),1),""))</f>
        <v/>
      </c>
      <c r="H280" s="4">
        <f>IF(A280="","",IFERROR(ROUND(AVERAGEIFS(ASSESSMENTS!H:H,ASSESSMENTS!B:B,A280,ASSESSMENTS!E:E,"Physical Sciences"),1),""))</f>
        <v/>
      </c>
      <c r="I280" s="4">
        <f>IF(A280="","",IFERROR(ROUND(AVERAGEIFS(ASSESSMENTS!H:H,ASSESSMENTS!B:B,A280,ASSESSMENTS!E:E,"Geography"),1),""))</f>
        <v/>
      </c>
      <c r="J280" s="4">
        <f>IF(A280="","",IFERROR(ROUND(AVERAGEIFS(ASSESSMENTS!H:H,ASSESSMENTS!B:B,A280,ASSESSMENTS!E:E,"Accounting"),1),""))</f>
        <v/>
      </c>
      <c r="K280" s="4">
        <f>IF(A280="","",IFERROR(ROUND(AVERAGEIFS(ASSESSMENTS!H:H,ASSESSMENTS!B:B,A280,ASSESSMENTS!E:E,"English"),1),""))</f>
        <v/>
      </c>
      <c r="L280" s="5">
        <f>IF(A280="","",IFERROR(_xludf.XLOOKUP(A280,ATTENDANCE_SUMMARY!A:A,ATTENDANCE_SUMMARY!G:G,""),""))</f>
        <v/>
      </c>
      <c r="M280" s="4">
        <f>IF(A280="","",IF(OR(E280&lt;50,AND(L280&lt;0.75,L280&lt;&gt;"" )),"At Risk","On Track"))</f>
        <v/>
      </c>
    </row>
    <row r="281">
      <c r="A281">
        <f>IF(MASTER_REGISTER!E281="","",MASTER_REGISTER!E281)</f>
        <v/>
      </c>
      <c r="B281">
        <f>IF(A281="","",MASTER_REGISTER!F281)</f>
        <v/>
      </c>
      <c r="C281">
        <f>IF(A281="","",MASTER_REGISTER!C281)</f>
        <v/>
      </c>
      <c r="D281">
        <f>IF(A281="","",COUNTIF(ASSESSMENTS!B:B,A281))</f>
        <v/>
      </c>
      <c r="E281" s="4">
        <f>IF(D281=0,"",ROUND(AVERAGEIF(ASSESSMENTS!B:B,A281,ASSESSMENTS!H:H),1))</f>
        <v/>
      </c>
      <c r="F281" s="4">
        <f>IF(A281="","",IFERROR(ROUND(AVERAGEIFS(ASSESSMENTS!H:H,ASSESSMENTS!B:B,A281,ASSESSMENTS!E:E,"Mathematics"),1),""))</f>
        <v/>
      </c>
      <c r="G281" s="4">
        <f>IF(A281="","",IFERROR(ROUND(AVERAGEIFS(ASSESSMENTS!H:H,ASSESSMENTS!B:B,A281,ASSESSMENTS!E:E,"Mathematical Literacy"),1),""))</f>
        <v/>
      </c>
      <c r="H281" s="4">
        <f>IF(A281="","",IFERROR(ROUND(AVERAGEIFS(ASSESSMENTS!H:H,ASSESSMENTS!B:B,A281,ASSESSMENTS!E:E,"Physical Sciences"),1),""))</f>
        <v/>
      </c>
      <c r="I281" s="4">
        <f>IF(A281="","",IFERROR(ROUND(AVERAGEIFS(ASSESSMENTS!H:H,ASSESSMENTS!B:B,A281,ASSESSMENTS!E:E,"Geography"),1),""))</f>
        <v/>
      </c>
      <c r="J281" s="4">
        <f>IF(A281="","",IFERROR(ROUND(AVERAGEIFS(ASSESSMENTS!H:H,ASSESSMENTS!B:B,A281,ASSESSMENTS!E:E,"Accounting"),1),""))</f>
        <v/>
      </c>
      <c r="K281" s="4">
        <f>IF(A281="","",IFERROR(ROUND(AVERAGEIFS(ASSESSMENTS!H:H,ASSESSMENTS!B:B,A281,ASSESSMENTS!E:E,"English"),1),""))</f>
        <v/>
      </c>
      <c r="L281" s="5">
        <f>IF(A281="","",IFERROR(_xludf.XLOOKUP(A281,ATTENDANCE_SUMMARY!A:A,ATTENDANCE_SUMMARY!G:G,""),""))</f>
        <v/>
      </c>
      <c r="M281" s="4">
        <f>IF(A281="","",IF(OR(E281&lt;50,AND(L281&lt;0.75,L281&lt;&gt;"" )),"At Risk","On Track"))</f>
        <v/>
      </c>
    </row>
    <row r="282">
      <c r="A282">
        <f>IF(MASTER_REGISTER!E282="","",MASTER_REGISTER!E282)</f>
        <v/>
      </c>
      <c r="B282">
        <f>IF(A282="","",MASTER_REGISTER!F282)</f>
        <v/>
      </c>
      <c r="C282">
        <f>IF(A282="","",MASTER_REGISTER!C282)</f>
        <v/>
      </c>
      <c r="D282">
        <f>IF(A282="","",COUNTIF(ASSESSMENTS!B:B,A282))</f>
        <v/>
      </c>
      <c r="E282" s="4">
        <f>IF(D282=0,"",ROUND(AVERAGEIF(ASSESSMENTS!B:B,A282,ASSESSMENTS!H:H),1))</f>
        <v/>
      </c>
      <c r="F282" s="4">
        <f>IF(A282="","",IFERROR(ROUND(AVERAGEIFS(ASSESSMENTS!H:H,ASSESSMENTS!B:B,A282,ASSESSMENTS!E:E,"Mathematics"),1),""))</f>
        <v/>
      </c>
      <c r="G282" s="4">
        <f>IF(A282="","",IFERROR(ROUND(AVERAGEIFS(ASSESSMENTS!H:H,ASSESSMENTS!B:B,A282,ASSESSMENTS!E:E,"Mathematical Literacy"),1),""))</f>
        <v/>
      </c>
      <c r="H282" s="4">
        <f>IF(A282="","",IFERROR(ROUND(AVERAGEIFS(ASSESSMENTS!H:H,ASSESSMENTS!B:B,A282,ASSESSMENTS!E:E,"Physical Sciences"),1),""))</f>
        <v/>
      </c>
      <c r="I282" s="4">
        <f>IF(A282="","",IFERROR(ROUND(AVERAGEIFS(ASSESSMENTS!H:H,ASSESSMENTS!B:B,A282,ASSESSMENTS!E:E,"Geography"),1),""))</f>
        <v/>
      </c>
      <c r="J282" s="4">
        <f>IF(A282="","",IFERROR(ROUND(AVERAGEIFS(ASSESSMENTS!H:H,ASSESSMENTS!B:B,A282,ASSESSMENTS!E:E,"Accounting"),1),""))</f>
        <v/>
      </c>
      <c r="K282" s="4">
        <f>IF(A282="","",IFERROR(ROUND(AVERAGEIFS(ASSESSMENTS!H:H,ASSESSMENTS!B:B,A282,ASSESSMENTS!E:E,"English"),1),""))</f>
        <v/>
      </c>
      <c r="L282" s="5">
        <f>IF(A282="","",IFERROR(_xludf.XLOOKUP(A282,ATTENDANCE_SUMMARY!A:A,ATTENDANCE_SUMMARY!G:G,""),""))</f>
        <v/>
      </c>
      <c r="M282" s="4">
        <f>IF(A282="","",IF(OR(E282&lt;50,AND(L282&lt;0.75,L282&lt;&gt;"" )),"At Risk","On Track"))</f>
        <v/>
      </c>
    </row>
    <row r="283">
      <c r="A283">
        <f>IF(MASTER_REGISTER!E283="","",MASTER_REGISTER!E283)</f>
        <v/>
      </c>
      <c r="B283">
        <f>IF(A283="","",MASTER_REGISTER!F283)</f>
        <v/>
      </c>
      <c r="C283">
        <f>IF(A283="","",MASTER_REGISTER!C283)</f>
        <v/>
      </c>
      <c r="D283">
        <f>IF(A283="","",COUNTIF(ASSESSMENTS!B:B,A283))</f>
        <v/>
      </c>
      <c r="E283" s="4">
        <f>IF(D283=0,"",ROUND(AVERAGEIF(ASSESSMENTS!B:B,A283,ASSESSMENTS!H:H),1))</f>
        <v/>
      </c>
      <c r="F283" s="4">
        <f>IF(A283="","",IFERROR(ROUND(AVERAGEIFS(ASSESSMENTS!H:H,ASSESSMENTS!B:B,A283,ASSESSMENTS!E:E,"Mathematics"),1),""))</f>
        <v/>
      </c>
      <c r="G283" s="4">
        <f>IF(A283="","",IFERROR(ROUND(AVERAGEIFS(ASSESSMENTS!H:H,ASSESSMENTS!B:B,A283,ASSESSMENTS!E:E,"Mathematical Literacy"),1),""))</f>
        <v/>
      </c>
      <c r="H283" s="4">
        <f>IF(A283="","",IFERROR(ROUND(AVERAGEIFS(ASSESSMENTS!H:H,ASSESSMENTS!B:B,A283,ASSESSMENTS!E:E,"Physical Sciences"),1),""))</f>
        <v/>
      </c>
      <c r="I283" s="4">
        <f>IF(A283="","",IFERROR(ROUND(AVERAGEIFS(ASSESSMENTS!H:H,ASSESSMENTS!B:B,A283,ASSESSMENTS!E:E,"Geography"),1),""))</f>
        <v/>
      </c>
      <c r="J283" s="4">
        <f>IF(A283="","",IFERROR(ROUND(AVERAGEIFS(ASSESSMENTS!H:H,ASSESSMENTS!B:B,A283,ASSESSMENTS!E:E,"Accounting"),1),""))</f>
        <v/>
      </c>
      <c r="K283" s="4">
        <f>IF(A283="","",IFERROR(ROUND(AVERAGEIFS(ASSESSMENTS!H:H,ASSESSMENTS!B:B,A283,ASSESSMENTS!E:E,"English"),1),""))</f>
        <v/>
      </c>
      <c r="L283" s="5">
        <f>IF(A283="","",IFERROR(_xludf.XLOOKUP(A283,ATTENDANCE_SUMMARY!A:A,ATTENDANCE_SUMMARY!G:G,""),""))</f>
        <v/>
      </c>
      <c r="M283" s="4">
        <f>IF(A283="","",IF(OR(E283&lt;50,AND(L283&lt;0.75,L283&lt;&gt;"" )),"At Risk","On Track"))</f>
        <v/>
      </c>
    </row>
    <row r="284">
      <c r="A284">
        <f>IF(MASTER_REGISTER!E284="","",MASTER_REGISTER!E284)</f>
        <v/>
      </c>
      <c r="B284">
        <f>IF(A284="","",MASTER_REGISTER!F284)</f>
        <v/>
      </c>
      <c r="C284">
        <f>IF(A284="","",MASTER_REGISTER!C284)</f>
        <v/>
      </c>
      <c r="D284">
        <f>IF(A284="","",COUNTIF(ASSESSMENTS!B:B,A284))</f>
        <v/>
      </c>
      <c r="E284" s="4">
        <f>IF(D284=0,"",ROUND(AVERAGEIF(ASSESSMENTS!B:B,A284,ASSESSMENTS!H:H),1))</f>
        <v/>
      </c>
      <c r="F284" s="4">
        <f>IF(A284="","",IFERROR(ROUND(AVERAGEIFS(ASSESSMENTS!H:H,ASSESSMENTS!B:B,A284,ASSESSMENTS!E:E,"Mathematics"),1),""))</f>
        <v/>
      </c>
      <c r="G284" s="4">
        <f>IF(A284="","",IFERROR(ROUND(AVERAGEIFS(ASSESSMENTS!H:H,ASSESSMENTS!B:B,A284,ASSESSMENTS!E:E,"Mathematical Literacy"),1),""))</f>
        <v/>
      </c>
      <c r="H284" s="4">
        <f>IF(A284="","",IFERROR(ROUND(AVERAGEIFS(ASSESSMENTS!H:H,ASSESSMENTS!B:B,A284,ASSESSMENTS!E:E,"Physical Sciences"),1),""))</f>
        <v/>
      </c>
      <c r="I284" s="4">
        <f>IF(A284="","",IFERROR(ROUND(AVERAGEIFS(ASSESSMENTS!H:H,ASSESSMENTS!B:B,A284,ASSESSMENTS!E:E,"Geography"),1),""))</f>
        <v/>
      </c>
      <c r="J284" s="4">
        <f>IF(A284="","",IFERROR(ROUND(AVERAGEIFS(ASSESSMENTS!H:H,ASSESSMENTS!B:B,A284,ASSESSMENTS!E:E,"Accounting"),1),""))</f>
        <v/>
      </c>
      <c r="K284" s="4">
        <f>IF(A284="","",IFERROR(ROUND(AVERAGEIFS(ASSESSMENTS!H:H,ASSESSMENTS!B:B,A284,ASSESSMENTS!E:E,"English"),1),""))</f>
        <v/>
      </c>
      <c r="L284" s="5">
        <f>IF(A284="","",IFERROR(_xludf.XLOOKUP(A284,ATTENDANCE_SUMMARY!A:A,ATTENDANCE_SUMMARY!G:G,""),""))</f>
        <v/>
      </c>
      <c r="M284" s="4">
        <f>IF(A284="","",IF(OR(E284&lt;50,AND(L284&lt;0.75,L284&lt;&gt;"" )),"At Risk","On Track"))</f>
        <v/>
      </c>
    </row>
    <row r="285">
      <c r="A285">
        <f>IF(MASTER_REGISTER!E285="","",MASTER_REGISTER!E285)</f>
        <v/>
      </c>
      <c r="B285">
        <f>IF(A285="","",MASTER_REGISTER!F285)</f>
        <v/>
      </c>
      <c r="C285">
        <f>IF(A285="","",MASTER_REGISTER!C285)</f>
        <v/>
      </c>
      <c r="D285">
        <f>IF(A285="","",COUNTIF(ASSESSMENTS!B:B,A285))</f>
        <v/>
      </c>
      <c r="E285" s="4">
        <f>IF(D285=0,"",ROUND(AVERAGEIF(ASSESSMENTS!B:B,A285,ASSESSMENTS!H:H),1))</f>
        <v/>
      </c>
      <c r="F285" s="4">
        <f>IF(A285="","",IFERROR(ROUND(AVERAGEIFS(ASSESSMENTS!H:H,ASSESSMENTS!B:B,A285,ASSESSMENTS!E:E,"Mathematics"),1),""))</f>
        <v/>
      </c>
      <c r="G285" s="4">
        <f>IF(A285="","",IFERROR(ROUND(AVERAGEIFS(ASSESSMENTS!H:H,ASSESSMENTS!B:B,A285,ASSESSMENTS!E:E,"Mathematical Literacy"),1),""))</f>
        <v/>
      </c>
      <c r="H285" s="4">
        <f>IF(A285="","",IFERROR(ROUND(AVERAGEIFS(ASSESSMENTS!H:H,ASSESSMENTS!B:B,A285,ASSESSMENTS!E:E,"Physical Sciences"),1),""))</f>
        <v/>
      </c>
      <c r="I285" s="4">
        <f>IF(A285="","",IFERROR(ROUND(AVERAGEIFS(ASSESSMENTS!H:H,ASSESSMENTS!B:B,A285,ASSESSMENTS!E:E,"Geography"),1),""))</f>
        <v/>
      </c>
      <c r="J285" s="4">
        <f>IF(A285="","",IFERROR(ROUND(AVERAGEIFS(ASSESSMENTS!H:H,ASSESSMENTS!B:B,A285,ASSESSMENTS!E:E,"Accounting"),1),""))</f>
        <v/>
      </c>
      <c r="K285" s="4">
        <f>IF(A285="","",IFERROR(ROUND(AVERAGEIFS(ASSESSMENTS!H:H,ASSESSMENTS!B:B,A285,ASSESSMENTS!E:E,"English"),1),""))</f>
        <v/>
      </c>
      <c r="L285" s="5">
        <f>IF(A285="","",IFERROR(_xludf.XLOOKUP(A285,ATTENDANCE_SUMMARY!A:A,ATTENDANCE_SUMMARY!G:G,""),""))</f>
        <v/>
      </c>
      <c r="M285" s="4">
        <f>IF(A285="","",IF(OR(E285&lt;50,AND(L285&lt;0.75,L285&lt;&gt;"" )),"At Risk","On Track"))</f>
        <v/>
      </c>
    </row>
    <row r="286">
      <c r="A286">
        <f>IF(MASTER_REGISTER!E286="","",MASTER_REGISTER!E286)</f>
        <v/>
      </c>
      <c r="B286">
        <f>IF(A286="","",MASTER_REGISTER!F286)</f>
        <v/>
      </c>
      <c r="C286">
        <f>IF(A286="","",MASTER_REGISTER!C286)</f>
        <v/>
      </c>
      <c r="D286">
        <f>IF(A286="","",COUNTIF(ASSESSMENTS!B:B,A286))</f>
        <v/>
      </c>
      <c r="E286" s="4">
        <f>IF(D286=0,"",ROUND(AVERAGEIF(ASSESSMENTS!B:B,A286,ASSESSMENTS!H:H),1))</f>
        <v/>
      </c>
      <c r="F286" s="4">
        <f>IF(A286="","",IFERROR(ROUND(AVERAGEIFS(ASSESSMENTS!H:H,ASSESSMENTS!B:B,A286,ASSESSMENTS!E:E,"Mathematics"),1),""))</f>
        <v/>
      </c>
      <c r="G286" s="4">
        <f>IF(A286="","",IFERROR(ROUND(AVERAGEIFS(ASSESSMENTS!H:H,ASSESSMENTS!B:B,A286,ASSESSMENTS!E:E,"Mathematical Literacy"),1),""))</f>
        <v/>
      </c>
      <c r="H286" s="4">
        <f>IF(A286="","",IFERROR(ROUND(AVERAGEIFS(ASSESSMENTS!H:H,ASSESSMENTS!B:B,A286,ASSESSMENTS!E:E,"Physical Sciences"),1),""))</f>
        <v/>
      </c>
      <c r="I286" s="4">
        <f>IF(A286="","",IFERROR(ROUND(AVERAGEIFS(ASSESSMENTS!H:H,ASSESSMENTS!B:B,A286,ASSESSMENTS!E:E,"Geography"),1),""))</f>
        <v/>
      </c>
      <c r="J286" s="4">
        <f>IF(A286="","",IFERROR(ROUND(AVERAGEIFS(ASSESSMENTS!H:H,ASSESSMENTS!B:B,A286,ASSESSMENTS!E:E,"Accounting"),1),""))</f>
        <v/>
      </c>
      <c r="K286" s="4">
        <f>IF(A286="","",IFERROR(ROUND(AVERAGEIFS(ASSESSMENTS!H:H,ASSESSMENTS!B:B,A286,ASSESSMENTS!E:E,"English"),1),""))</f>
        <v/>
      </c>
      <c r="L286" s="5">
        <f>IF(A286="","",IFERROR(_xludf.XLOOKUP(A286,ATTENDANCE_SUMMARY!A:A,ATTENDANCE_SUMMARY!G:G,""),""))</f>
        <v/>
      </c>
      <c r="M286" s="4">
        <f>IF(A286="","",IF(OR(E286&lt;50,AND(L286&lt;0.75,L286&lt;&gt;"" )),"At Risk","On Track"))</f>
        <v/>
      </c>
    </row>
    <row r="287">
      <c r="A287">
        <f>IF(MASTER_REGISTER!E287="","",MASTER_REGISTER!E287)</f>
        <v/>
      </c>
      <c r="B287">
        <f>IF(A287="","",MASTER_REGISTER!F287)</f>
        <v/>
      </c>
      <c r="C287">
        <f>IF(A287="","",MASTER_REGISTER!C287)</f>
        <v/>
      </c>
      <c r="D287">
        <f>IF(A287="","",COUNTIF(ASSESSMENTS!B:B,A287))</f>
        <v/>
      </c>
      <c r="E287" s="4">
        <f>IF(D287=0,"",ROUND(AVERAGEIF(ASSESSMENTS!B:B,A287,ASSESSMENTS!H:H),1))</f>
        <v/>
      </c>
      <c r="F287" s="4">
        <f>IF(A287="","",IFERROR(ROUND(AVERAGEIFS(ASSESSMENTS!H:H,ASSESSMENTS!B:B,A287,ASSESSMENTS!E:E,"Mathematics"),1),""))</f>
        <v/>
      </c>
      <c r="G287" s="4">
        <f>IF(A287="","",IFERROR(ROUND(AVERAGEIFS(ASSESSMENTS!H:H,ASSESSMENTS!B:B,A287,ASSESSMENTS!E:E,"Mathematical Literacy"),1),""))</f>
        <v/>
      </c>
      <c r="H287" s="4">
        <f>IF(A287="","",IFERROR(ROUND(AVERAGEIFS(ASSESSMENTS!H:H,ASSESSMENTS!B:B,A287,ASSESSMENTS!E:E,"Physical Sciences"),1),""))</f>
        <v/>
      </c>
      <c r="I287" s="4">
        <f>IF(A287="","",IFERROR(ROUND(AVERAGEIFS(ASSESSMENTS!H:H,ASSESSMENTS!B:B,A287,ASSESSMENTS!E:E,"Geography"),1),""))</f>
        <v/>
      </c>
      <c r="J287" s="4">
        <f>IF(A287="","",IFERROR(ROUND(AVERAGEIFS(ASSESSMENTS!H:H,ASSESSMENTS!B:B,A287,ASSESSMENTS!E:E,"Accounting"),1),""))</f>
        <v/>
      </c>
      <c r="K287" s="4">
        <f>IF(A287="","",IFERROR(ROUND(AVERAGEIFS(ASSESSMENTS!H:H,ASSESSMENTS!B:B,A287,ASSESSMENTS!E:E,"English"),1),""))</f>
        <v/>
      </c>
      <c r="L287" s="5">
        <f>IF(A287="","",IFERROR(_xludf.XLOOKUP(A287,ATTENDANCE_SUMMARY!A:A,ATTENDANCE_SUMMARY!G:G,""),""))</f>
        <v/>
      </c>
      <c r="M287" s="4">
        <f>IF(A287="","",IF(OR(E287&lt;50,AND(L287&lt;0.75,L287&lt;&gt;"" )),"At Risk","On Track"))</f>
        <v/>
      </c>
    </row>
    <row r="288">
      <c r="A288">
        <f>IF(MASTER_REGISTER!E288="","",MASTER_REGISTER!E288)</f>
        <v/>
      </c>
      <c r="B288">
        <f>IF(A288="","",MASTER_REGISTER!F288)</f>
        <v/>
      </c>
      <c r="C288">
        <f>IF(A288="","",MASTER_REGISTER!C288)</f>
        <v/>
      </c>
      <c r="D288">
        <f>IF(A288="","",COUNTIF(ASSESSMENTS!B:B,A288))</f>
        <v/>
      </c>
      <c r="E288" s="4">
        <f>IF(D288=0,"",ROUND(AVERAGEIF(ASSESSMENTS!B:B,A288,ASSESSMENTS!H:H),1))</f>
        <v/>
      </c>
      <c r="F288" s="4">
        <f>IF(A288="","",IFERROR(ROUND(AVERAGEIFS(ASSESSMENTS!H:H,ASSESSMENTS!B:B,A288,ASSESSMENTS!E:E,"Mathematics"),1),""))</f>
        <v/>
      </c>
      <c r="G288" s="4">
        <f>IF(A288="","",IFERROR(ROUND(AVERAGEIFS(ASSESSMENTS!H:H,ASSESSMENTS!B:B,A288,ASSESSMENTS!E:E,"Mathematical Literacy"),1),""))</f>
        <v/>
      </c>
      <c r="H288" s="4">
        <f>IF(A288="","",IFERROR(ROUND(AVERAGEIFS(ASSESSMENTS!H:H,ASSESSMENTS!B:B,A288,ASSESSMENTS!E:E,"Physical Sciences"),1),""))</f>
        <v/>
      </c>
      <c r="I288" s="4">
        <f>IF(A288="","",IFERROR(ROUND(AVERAGEIFS(ASSESSMENTS!H:H,ASSESSMENTS!B:B,A288,ASSESSMENTS!E:E,"Geography"),1),""))</f>
        <v/>
      </c>
      <c r="J288" s="4">
        <f>IF(A288="","",IFERROR(ROUND(AVERAGEIFS(ASSESSMENTS!H:H,ASSESSMENTS!B:B,A288,ASSESSMENTS!E:E,"Accounting"),1),""))</f>
        <v/>
      </c>
      <c r="K288" s="4">
        <f>IF(A288="","",IFERROR(ROUND(AVERAGEIFS(ASSESSMENTS!H:H,ASSESSMENTS!B:B,A288,ASSESSMENTS!E:E,"English"),1),""))</f>
        <v/>
      </c>
      <c r="L288" s="5">
        <f>IF(A288="","",IFERROR(_xludf.XLOOKUP(A288,ATTENDANCE_SUMMARY!A:A,ATTENDANCE_SUMMARY!G:G,""),""))</f>
        <v/>
      </c>
      <c r="M288" s="4">
        <f>IF(A288="","",IF(OR(E288&lt;50,AND(L288&lt;0.75,L288&lt;&gt;"" )),"At Risk","On Track"))</f>
        <v/>
      </c>
    </row>
    <row r="289">
      <c r="A289">
        <f>IF(MASTER_REGISTER!E289="","",MASTER_REGISTER!E289)</f>
        <v/>
      </c>
      <c r="B289">
        <f>IF(A289="","",MASTER_REGISTER!F289)</f>
        <v/>
      </c>
      <c r="C289">
        <f>IF(A289="","",MASTER_REGISTER!C289)</f>
        <v/>
      </c>
      <c r="D289">
        <f>IF(A289="","",COUNTIF(ASSESSMENTS!B:B,A289))</f>
        <v/>
      </c>
      <c r="E289" s="4">
        <f>IF(D289=0,"",ROUND(AVERAGEIF(ASSESSMENTS!B:B,A289,ASSESSMENTS!H:H),1))</f>
        <v/>
      </c>
      <c r="F289" s="4">
        <f>IF(A289="","",IFERROR(ROUND(AVERAGEIFS(ASSESSMENTS!H:H,ASSESSMENTS!B:B,A289,ASSESSMENTS!E:E,"Mathematics"),1),""))</f>
        <v/>
      </c>
      <c r="G289" s="4">
        <f>IF(A289="","",IFERROR(ROUND(AVERAGEIFS(ASSESSMENTS!H:H,ASSESSMENTS!B:B,A289,ASSESSMENTS!E:E,"Mathematical Literacy"),1),""))</f>
        <v/>
      </c>
      <c r="H289" s="4">
        <f>IF(A289="","",IFERROR(ROUND(AVERAGEIFS(ASSESSMENTS!H:H,ASSESSMENTS!B:B,A289,ASSESSMENTS!E:E,"Physical Sciences"),1),""))</f>
        <v/>
      </c>
      <c r="I289" s="4">
        <f>IF(A289="","",IFERROR(ROUND(AVERAGEIFS(ASSESSMENTS!H:H,ASSESSMENTS!B:B,A289,ASSESSMENTS!E:E,"Geography"),1),""))</f>
        <v/>
      </c>
      <c r="J289" s="4">
        <f>IF(A289="","",IFERROR(ROUND(AVERAGEIFS(ASSESSMENTS!H:H,ASSESSMENTS!B:B,A289,ASSESSMENTS!E:E,"Accounting"),1),""))</f>
        <v/>
      </c>
      <c r="K289" s="4">
        <f>IF(A289="","",IFERROR(ROUND(AVERAGEIFS(ASSESSMENTS!H:H,ASSESSMENTS!B:B,A289,ASSESSMENTS!E:E,"English"),1),""))</f>
        <v/>
      </c>
      <c r="L289" s="5">
        <f>IF(A289="","",IFERROR(_xludf.XLOOKUP(A289,ATTENDANCE_SUMMARY!A:A,ATTENDANCE_SUMMARY!G:G,""),""))</f>
        <v/>
      </c>
      <c r="M289" s="4">
        <f>IF(A289="","",IF(OR(E289&lt;50,AND(L289&lt;0.75,L289&lt;&gt;"" )),"At Risk","On Track"))</f>
        <v/>
      </c>
    </row>
    <row r="290">
      <c r="A290">
        <f>IF(MASTER_REGISTER!E290="","",MASTER_REGISTER!E290)</f>
        <v/>
      </c>
      <c r="B290">
        <f>IF(A290="","",MASTER_REGISTER!F290)</f>
        <v/>
      </c>
      <c r="C290">
        <f>IF(A290="","",MASTER_REGISTER!C290)</f>
        <v/>
      </c>
      <c r="D290">
        <f>IF(A290="","",COUNTIF(ASSESSMENTS!B:B,A290))</f>
        <v/>
      </c>
      <c r="E290" s="4">
        <f>IF(D290=0,"",ROUND(AVERAGEIF(ASSESSMENTS!B:B,A290,ASSESSMENTS!H:H),1))</f>
        <v/>
      </c>
      <c r="F290" s="4">
        <f>IF(A290="","",IFERROR(ROUND(AVERAGEIFS(ASSESSMENTS!H:H,ASSESSMENTS!B:B,A290,ASSESSMENTS!E:E,"Mathematics"),1),""))</f>
        <v/>
      </c>
      <c r="G290" s="4">
        <f>IF(A290="","",IFERROR(ROUND(AVERAGEIFS(ASSESSMENTS!H:H,ASSESSMENTS!B:B,A290,ASSESSMENTS!E:E,"Mathematical Literacy"),1),""))</f>
        <v/>
      </c>
      <c r="H290" s="4">
        <f>IF(A290="","",IFERROR(ROUND(AVERAGEIFS(ASSESSMENTS!H:H,ASSESSMENTS!B:B,A290,ASSESSMENTS!E:E,"Physical Sciences"),1),""))</f>
        <v/>
      </c>
      <c r="I290" s="4">
        <f>IF(A290="","",IFERROR(ROUND(AVERAGEIFS(ASSESSMENTS!H:H,ASSESSMENTS!B:B,A290,ASSESSMENTS!E:E,"Geography"),1),""))</f>
        <v/>
      </c>
      <c r="J290" s="4">
        <f>IF(A290="","",IFERROR(ROUND(AVERAGEIFS(ASSESSMENTS!H:H,ASSESSMENTS!B:B,A290,ASSESSMENTS!E:E,"Accounting"),1),""))</f>
        <v/>
      </c>
      <c r="K290" s="4">
        <f>IF(A290="","",IFERROR(ROUND(AVERAGEIFS(ASSESSMENTS!H:H,ASSESSMENTS!B:B,A290,ASSESSMENTS!E:E,"English"),1),""))</f>
        <v/>
      </c>
      <c r="L290" s="5">
        <f>IF(A290="","",IFERROR(_xludf.XLOOKUP(A290,ATTENDANCE_SUMMARY!A:A,ATTENDANCE_SUMMARY!G:G,""),""))</f>
        <v/>
      </c>
      <c r="M290" s="4">
        <f>IF(A290="","",IF(OR(E290&lt;50,AND(L290&lt;0.75,L290&lt;&gt;"" )),"At Risk","On Track"))</f>
        <v/>
      </c>
    </row>
    <row r="291">
      <c r="A291">
        <f>IF(MASTER_REGISTER!E291="","",MASTER_REGISTER!E291)</f>
        <v/>
      </c>
      <c r="B291">
        <f>IF(A291="","",MASTER_REGISTER!F291)</f>
        <v/>
      </c>
      <c r="C291">
        <f>IF(A291="","",MASTER_REGISTER!C291)</f>
        <v/>
      </c>
      <c r="D291">
        <f>IF(A291="","",COUNTIF(ASSESSMENTS!B:B,A291))</f>
        <v/>
      </c>
      <c r="E291" s="4">
        <f>IF(D291=0,"",ROUND(AVERAGEIF(ASSESSMENTS!B:B,A291,ASSESSMENTS!H:H),1))</f>
        <v/>
      </c>
      <c r="F291" s="4">
        <f>IF(A291="","",IFERROR(ROUND(AVERAGEIFS(ASSESSMENTS!H:H,ASSESSMENTS!B:B,A291,ASSESSMENTS!E:E,"Mathematics"),1),""))</f>
        <v/>
      </c>
      <c r="G291" s="4">
        <f>IF(A291="","",IFERROR(ROUND(AVERAGEIFS(ASSESSMENTS!H:H,ASSESSMENTS!B:B,A291,ASSESSMENTS!E:E,"Mathematical Literacy"),1),""))</f>
        <v/>
      </c>
      <c r="H291" s="4">
        <f>IF(A291="","",IFERROR(ROUND(AVERAGEIFS(ASSESSMENTS!H:H,ASSESSMENTS!B:B,A291,ASSESSMENTS!E:E,"Physical Sciences"),1),""))</f>
        <v/>
      </c>
      <c r="I291" s="4">
        <f>IF(A291="","",IFERROR(ROUND(AVERAGEIFS(ASSESSMENTS!H:H,ASSESSMENTS!B:B,A291,ASSESSMENTS!E:E,"Geography"),1),""))</f>
        <v/>
      </c>
      <c r="J291" s="4">
        <f>IF(A291="","",IFERROR(ROUND(AVERAGEIFS(ASSESSMENTS!H:H,ASSESSMENTS!B:B,A291,ASSESSMENTS!E:E,"Accounting"),1),""))</f>
        <v/>
      </c>
      <c r="K291" s="4">
        <f>IF(A291="","",IFERROR(ROUND(AVERAGEIFS(ASSESSMENTS!H:H,ASSESSMENTS!B:B,A291,ASSESSMENTS!E:E,"English"),1),""))</f>
        <v/>
      </c>
      <c r="L291" s="5">
        <f>IF(A291="","",IFERROR(_xludf.XLOOKUP(A291,ATTENDANCE_SUMMARY!A:A,ATTENDANCE_SUMMARY!G:G,""),""))</f>
        <v/>
      </c>
      <c r="M291" s="4">
        <f>IF(A291="","",IF(OR(E291&lt;50,AND(L291&lt;0.75,L291&lt;&gt;"" )),"At Risk","On Track"))</f>
        <v/>
      </c>
    </row>
    <row r="292">
      <c r="A292">
        <f>IF(MASTER_REGISTER!E292="","",MASTER_REGISTER!E292)</f>
        <v/>
      </c>
      <c r="B292">
        <f>IF(A292="","",MASTER_REGISTER!F292)</f>
        <v/>
      </c>
      <c r="C292">
        <f>IF(A292="","",MASTER_REGISTER!C292)</f>
        <v/>
      </c>
      <c r="D292">
        <f>IF(A292="","",COUNTIF(ASSESSMENTS!B:B,A292))</f>
        <v/>
      </c>
      <c r="E292" s="4">
        <f>IF(D292=0,"",ROUND(AVERAGEIF(ASSESSMENTS!B:B,A292,ASSESSMENTS!H:H),1))</f>
        <v/>
      </c>
      <c r="F292" s="4">
        <f>IF(A292="","",IFERROR(ROUND(AVERAGEIFS(ASSESSMENTS!H:H,ASSESSMENTS!B:B,A292,ASSESSMENTS!E:E,"Mathematics"),1),""))</f>
        <v/>
      </c>
      <c r="G292" s="4">
        <f>IF(A292="","",IFERROR(ROUND(AVERAGEIFS(ASSESSMENTS!H:H,ASSESSMENTS!B:B,A292,ASSESSMENTS!E:E,"Mathematical Literacy"),1),""))</f>
        <v/>
      </c>
      <c r="H292" s="4">
        <f>IF(A292="","",IFERROR(ROUND(AVERAGEIFS(ASSESSMENTS!H:H,ASSESSMENTS!B:B,A292,ASSESSMENTS!E:E,"Physical Sciences"),1),""))</f>
        <v/>
      </c>
      <c r="I292" s="4">
        <f>IF(A292="","",IFERROR(ROUND(AVERAGEIFS(ASSESSMENTS!H:H,ASSESSMENTS!B:B,A292,ASSESSMENTS!E:E,"Geography"),1),""))</f>
        <v/>
      </c>
      <c r="J292" s="4">
        <f>IF(A292="","",IFERROR(ROUND(AVERAGEIFS(ASSESSMENTS!H:H,ASSESSMENTS!B:B,A292,ASSESSMENTS!E:E,"Accounting"),1),""))</f>
        <v/>
      </c>
      <c r="K292" s="4">
        <f>IF(A292="","",IFERROR(ROUND(AVERAGEIFS(ASSESSMENTS!H:H,ASSESSMENTS!B:B,A292,ASSESSMENTS!E:E,"English"),1),""))</f>
        <v/>
      </c>
      <c r="L292" s="5">
        <f>IF(A292="","",IFERROR(_xludf.XLOOKUP(A292,ATTENDANCE_SUMMARY!A:A,ATTENDANCE_SUMMARY!G:G,""),""))</f>
        <v/>
      </c>
      <c r="M292" s="4">
        <f>IF(A292="","",IF(OR(E292&lt;50,AND(L292&lt;0.75,L292&lt;&gt;"" )),"At Risk","On Track"))</f>
        <v/>
      </c>
    </row>
    <row r="293">
      <c r="A293">
        <f>IF(MASTER_REGISTER!E293="","",MASTER_REGISTER!E293)</f>
        <v/>
      </c>
      <c r="B293">
        <f>IF(A293="","",MASTER_REGISTER!F293)</f>
        <v/>
      </c>
      <c r="C293">
        <f>IF(A293="","",MASTER_REGISTER!C293)</f>
        <v/>
      </c>
      <c r="D293">
        <f>IF(A293="","",COUNTIF(ASSESSMENTS!B:B,A293))</f>
        <v/>
      </c>
      <c r="E293" s="4">
        <f>IF(D293=0,"",ROUND(AVERAGEIF(ASSESSMENTS!B:B,A293,ASSESSMENTS!H:H),1))</f>
        <v/>
      </c>
      <c r="F293" s="4">
        <f>IF(A293="","",IFERROR(ROUND(AVERAGEIFS(ASSESSMENTS!H:H,ASSESSMENTS!B:B,A293,ASSESSMENTS!E:E,"Mathematics"),1),""))</f>
        <v/>
      </c>
      <c r="G293" s="4">
        <f>IF(A293="","",IFERROR(ROUND(AVERAGEIFS(ASSESSMENTS!H:H,ASSESSMENTS!B:B,A293,ASSESSMENTS!E:E,"Mathematical Literacy"),1),""))</f>
        <v/>
      </c>
      <c r="H293" s="4">
        <f>IF(A293="","",IFERROR(ROUND(AVERAGEIFS(ASSESSMENTS!H:H,ASSESSMENTS!B:B,A293,ASSESSMENTS!E:E,"Physical Sciences"),1),""))</f>
        <v/>
      </c>
      <c r="I293" s="4">
        <f>IF(A293="","",IFERROR(ROUND(AVERAGEIFS(ASSESSMENTS!H:H,ASSESSMENTS!B:B,A293,ASSESSMENTS!E:E,"Geography"),1),""))</f>
        <v/>
      </c>
      <c r="J293" s="4">
        <f>IF(A293="","",IFERROR(ROUND(AVERAGEIFS(ASSESSMENTS!H:H,ASSESSMENTS!B:B,A293,ASSESSMENTS!E:E,"Accounting"),1),""))</f>
        <v/>
      </c>
      <c r="K293" s="4">
        <f>IF(A293="","",IFERROR(ROUND(AVERAGEIFS(ASSESSMENTS!H:H,ASSESSMENTS!B:B,A293,ASSESSMENTS!E:E,"English"),1),""))</f>
        <v/>
      </c>
      <c r="L293" s="5">
        <f>IF(A293="","",IFERROR(_xludf.XLOOKUP(A293,ATTENDANCE_SUMMARY!A:A,ATTENDANCE_SUMMARY!G:G,""),""))</f>
        <v/>
      </c>
      <c r="M293" s="4">
        <f>IF(A293="","",IF(OR(E293&lt;50,AND(L293&lt;0.75,L293&lt;&gt;"" )),"At Risk","On Track"))</f>
        <v/>
      </c>
    </row>
    <row r="294">
      <c r="A294">
        <f>IF(MASTER_REGISTER!E294="","",MASTER_REGISTER!E294)</f>
        <v/>
      </c>
      <c r="B294">
        <f>IF(A294="","",MASTER_REGISTER!F294)</f>
        <v/>
      </c>
      <c r="C294">
        <f>IF(A294="","",MASTER_REGISTER!C294)</f>
        <v/>
      </c>
      <c r="D294">
        <f>IF(A294="","",COUNTIF(ASSESSMENTS!B:B,A294))</f>
        <v/>
      </c>
      <c r="E294" s="4">
        <f>IF(D294=0,"",ROUND(AVERAGEIF(ASSESSMENTS!B:B,A294,ASSESSMENTS!H:H),1))</f>
        <v/>
      </c>
      <c r="F294" s="4">
        <f>IF(A294="","",IFERROR(ROUND(AVERAGEIFS(ASSESSMENTS!H:H,ASSESSMENTS!B:B,A294,ASSESSMENTS!E:E,"Mathematics"),1),""))</f>
        <v/>
      </c>
      <c r="G294" s="4">
        <f>IF(A294="","",IFERROR(ROUND(AVERAGEIFS(ASSESSMENTS!H:H,ASSESSMENTS!B:B,A294,ASSESSMENTS!E:E,"Mathematical Literacy"),1),""))</f>
        <v/>
      </c>
      <c r="H294" s="4">
        <f>IF(A294="","",IFERROR(ROUND(AVERAGEIFS(ASSESSMENTS!H:H,ASSESSMENTS!B:B,A294,ASSESSMENTS!E:E,"Physical Sciences"),1),""))</f>
        <v/>
      </c>
      <c r="I294" s="4">
        <f>IF(A294="","",IFERROR(ROUND(AVERAGEIFS(ASSESSMENTS!H:H,ASSESSMENTS!B:B,A294,ASSESSMENTS!E:E,"Geography"),1),""))</f>
        <v/>
      </c>
      <c r="J294" s="4">
        <f>IF(A294="","",IFERROR(ROUND(AVERAGEIFS(ASSESSMENTS!H:H,ASSESSMENTS!B:B,A294,ASSESSMENTS!E:E,"Accounting"),1),""))</f>
        <v/>
      </c>
      <c r="K294" s="4">
        <f>IF(A294="","",IFERROR(ROUND(AVERAGEIFS(ASSESSMENTS!H:H,ASSESSMENTS!B:B,A294,ASSESSMENTS!E:E,"English"),1),""))</f>
        <v/>
      </c>
      <c r="L294" s="5">
        <f>IF(A294="","",IFERROR(_xludf.XLOOKUP(A294,ATTENDANCE_SUMMARY!A:A,ATTENDANCE_SUMMARY!G:G,""),""))</f>
        <v/>
      </c>
      <c r="M294" s="4">
        <f>IF(A294="","",IF(OR(E294&lt;50,AND(L294&lt;0.75,L294&lt;&gt;"" )),"At Risk","On Track"))</f>
        <v/>
      </c>
    </row>
    <row r="295">
      <c r="A295">
        <f>IF(MASTER_REGISTER!E295="","",MASTER_REGISTER!E295)</f>
        <v/>
      </c>
      <c r="B295">
        <f>IF(A295="","",MASTER_REGISTER!F295)</f>
        <v/>
      </c>
      <c r="C295">
        <f>IF(A295="","",MASTER_REGISTER!C295)</f>
        <v/>
      </c>
      <c r="D295">
        <f>IF(A295="","",COUNTIF(ASSESSMENTS!B:B,A295))</f>
        <v/>
      </c>
      <c r="E295" s="4">
        <f>IF(D295=0,"",ROUND(AVERAGEIF(ASSESSMENTS!B:B,A295,ASSESSMENTS!H:H),1))</f>
        <v/>
      </c>
      <c r="F295" s="4">
        <f>IF(A295="","",IFERROR(ROUND(AVERAGEIFS(ASSESSMENTS!H:H,ASSESSMENTS!B:B,A295,ASSESSMENTS!E:E,"Mathematics"),1),""))</f>
        <v/>
      </c>
      <c r="G295" s="4">
        <f>IF(A295="","",IFERROR(ROUND(AVERAGEIFS(ASSESSMENTS!H:H,ASSESSMENTS!B:B,A295,ASSESSMENTS!E:E,"Mathematical Literacy"),1),""))</f>
        <v/>
      </c>
      <c r="H295" s="4">
        <f>IF(A295="","",IFERROR(ROUND(AVERAGEIFS(ASSESSMENTS!H:H,ASSESSMENTS!B:B,A295,ASSESSMENTS!E:E,"Physical Sciences"),1),""))</f>
        <v/>
      </c>
      <c r="I295" s="4">
        <f>IF(A295="","",IFERROR(ROUND(AVERAGEIFS(ASSESSMENTS!H:H,ASSESSMENTS!B:B,A295,ASSESSMENTS!E:E,"Geography"),1),""))</f>
        <v/>
      </c>
      <c r="J295" s="4">
        <f>IF(A295="","",IFERROR(ROUND(AVERAGEIFS(ASSESSMENTS!H:H,ASSESSMENTS!B:B,A295,ASSESSMENTS!E:E,"Accounting"),1),""))</f>
        <v/>
      </c>
      <c r="K295" s="4">
        <f>IF(A295="","",IFERROR(ROUND(AVERAGEIFS(ASSESSMENTS!H:H,ASSESSMENTS!B:B,A295,ASSESSMENTS!E:E,"English"),1),""))</f>
        <v/>
      </c>
      <c r="L295" s="5">
        <f>IF(A295="","",IFERROR(_xludf.XLOOKUP(A295,ATTENDANCE_SUMMARY!A:A,ATTENDANCE_SUMMARY!G:G,""),""))</f>
        <v/>
      </c>
      <c r="M295" s="4">
        <f>IF(A295="","",IF(OR(E295&lt;50,AND(L295&lt;0.75,L295&lt;&gt;"" )),"At Risk","On Track"))</f>
        <v/>
      </c>
    </row>
    <row r="296">
      <c r="A296">
        <f>IF(MASTER_REGISTER!E296="","",MASTER_REGISTER!E296)</f>
        <v/>
      </c>
      <c r="B296">
        <f>IF(A296="","",MASTER_REGISTER!F296)</f>
        <v/>
      </c>
      <c r="C296">
        <f>IF(A296="","",MASTER_REGISTER!C296)</f>
        <v/>
      </c>
      <c r="D296">
        <f>IF(A296="","",COUNTIF(ASSESSMENTS!B:B,A296))</f>
        <v/>
      </c>
      <c r="E296" s="4">
        <f>IF(D296=0,"",ROUND(AVERAGEIF(ASSESSMENTS!B:B,A296,ASSESSMENTS!H:H),1))</f>
        <v/>
      </c>
      <c r="F296" s="4">
        <f>IF(A296="","",IFERROR(ROUND(AVERAGEIFS(ASSESSMENTS!H:H,ASSESSMENTS!B:B,A296,ASSESSMENTS!E:E,"Mathematics"),1),""))</f>
        <v/>
      </c>
      <c r="G296" s="4">
        <f>IF(A296="","",IFERROR(ROUND(AVERAGEIFS(ASSESSMENTS!H:H,ASSESSMENTS!B:B,A296,ASSESSMENTS!E:E,"Mathematical Literacy"),1),""))</f>
        <v/>
      </c>
      <c r="H296" s="4">
        <f>IF(A296="","",IFERROR(ROUND(AVERAGEIFS(ASSESSMENTS!H:H,ASSESSMENTS!B:B,A296,ASSESSMENTS!E:E,"Physical Sciences"),1),""))</f>
        <v/>
      </c>
      <c r="I296" s="4">
        <f>IF(A296="","",IFERROR(ROUND(AVERAGEIFS(ASSESSMENTS!H:H,ASSESSMENTS!B:B,A296,ASSESSMENTS!E:E,"Geography"),1),""))</f>
        <v/>
      </c>
      <c r="J296" s="4">
        <f>IF(A296="","",IFERROR(ROUND(AVERAGEIFS(ASSESSMENTS!H:H,ASSESSMENTS!B:B,A296,ASSESSMENTS!E:E,"Accounting"),1),""))</f>
        <v/>
      </c>
      <c r="K296" s="4">
        <f>IF(A296="","",IFERROR(ROUND(AVERAGEIFS(ASSESSMENTS!H:H,ASSESSMENTS!B:B,A296,ASSESSMENTS!E:E,"English"),1),""))</f>
        <v/>
      </c>
      <c r="L296" s="5">
        <f>IF(A296="","",IFERROR(_xludf.XLOOKUP(A296,ATTENDANCE_SUMMARY!A:A,ATTENDANCE_SUMMARY!G:G,""),""))</f>
        <v/>
      </c>
      <c r="M296" s="4">
        <f>IF(A296="","",IF(OR(E296&lt;50,AND(L296&lt;0.75,L296&lt;&gt;"" )),"At Risk","On Track"))</f>
        <v/>
      </c>
    </row>
    <row r="297">
      <c r="A297">
        <f>IF(MASTER_REGISTER!E297="","",MASTER_REGISTER!E297)</f>
        <v/>
      </c>
      <c r="B297">
        <f>IF(A297="","",MASTER_REGISTER!F297)</f>
        <v/>
      </c>
      <c r="C297">
        <f>IF(A297="","",MASTER_REGISTER!C297)</f>
        <v/>
      </c>
      <c r="D297">
        <f>IF(A297="","",COUNTIF(ASSESSMENTS!B:B,A297))</f>
        <v/>
      </c>
      <c r="E297" s="4">
        <f>IF(D297=0,"",ROUND(AVERAGEIF(ASSESSMENTS!B:B,A297,ASSESSMENTS!H:H),1))</f>
        <v/>
      </c>
      <c r="F297" s="4">
        <f>IF(A297="","",IFERROR(ROUND(AVERAGEIFS(ASSESSMENTS!H:H,ASSESSMENTS!B:B,A297,ASSESSMENTS!E:E,"Mathematics"),1),""))</f>
        <v/>
      </c>
      <c r="G297" s="4">
        <f>IF(A297="","",IFERROR(ROUND(AVERAGEIFS(ASSESSMENTS!H:H,ASSESSMENTS!B:B,A297,ASSESSMENTS!E:E,"Mathematical Literacy"),1),""))</f>
        <v/>
      </c>
      <c r="H297" s="4">
        <f>IF(A297="","",IFERROR(ROUND(AVERAGEIFS(ASSESSMENTS!H:H,ASSESSMENTS!B:B,A297,ASSESSMENTS!E:E,"Physical Sciences"),1),""))</f>
        <v/>
      </c>
      <c r="I297" s="4">
        <f>IF(A297="","",IFERROR(ROUND(AVERAGEIFS(ASSESSMENTS!H:H,ASSESSMENTS!B:B,A297,ASSESSMENTS!E:E,"Geography"),1),""))</f>
        <v/>
      </c>
      <c r="J297" s="4">
        <f>IF(A297="","",IFERROR(ROUND(AVERAGEIFS(ASSESSMENTS!H:H,ASSESSMENTS!B:B,A297,ASSESSMENTS!E:E,"Accounting"),1),""))</f>
        <v/>
      </c>
      <c r="K297" s="4">
        <f>IF(A297="","",IFERROR(ROUND(AVERAGEIFS(ASSESSMENTS!H:H,ASSESSMENTS!B:B,A297,ASSESSMENTS!E:E,"English"),1),""))</f>
        <v/>
      </c>
      <c r="L297" s="5">
        <f>IF(A297="","",IFERROR(_xludf.XLOOKUP(A297,ATTENDANCE_SUMMARY!A:A,ATTENDANCE_SUMMARY!G:G,""),""))</f>
        <v/>
      </c>
      <c r="M297" s="4">
        <f>IF(A297="","",IF(OR(E297&lt;50,AND(L297&lt;0.75,L297&lt;&gt;"" )),"At Risk","On Track"))</f>
        <v/>
      </c>
    </row>
    <row r="298">
      <c r="A298">
        <f>IF(MASTER_REGISTER!E298="","",MASTER_REGISTER!E298)</f>
        <v/>
      </c>
      <c r="B298">
        <f>IF(A298="","",MASTER_REGISTER!F298)</f>
        <v/>
      </c>
      <c r="C298">
        <f>IF(A298="","",MASTER_REGISTER!C298)</f>
        <v/>
      </c>
      <c r="D298">
        <f>IF(A298="","",COUNTIF(ASSESSMENTS!B:B,A298))</f>
        <v/>
      </c>
      <c r="E298" s="4">
        <f>IF(D298=0,"",ROUND(AVERAGEIF(ASSESSMENTS!B:B,A298,ASSESSMENTS!H:H),1))</f>
        <v/>
      </c>
      <c r="F298" s="4">
        <f>IF(A298="","",IFERROR(ROUND(AVERAGEIFS(ASSESSMENTS!H:H,ASSESSMENTS!B:B,A298,ASSESSMENTS!E:E,"Mathematics"),1),""))</f>
        <v/>
      </c>
      <c r="G298" s="4">
        <f>IF(A298="","",IFERROR(ROUND(AVERAGEIFS(ASSESSMENTS!H:H,ASSESSMENTS!B:B,A298,ASSESSMENTS!E:E,"Mathematical Literacy"),1),""))</f>
        <v/>
      </c>
      <c r="H298" s="4">
        <f>IF(A298="","",IFERROR(ROUND(AVERAGEIFS(ASSESSMENTS!H:H,ASSESSMENTS!B:B,A298,ASSESSMENTS!E:E,"Physical Sciences"),1),""))</f>
        <v/>
      </c>
      <c r="I298" s="4">
        <f>IF(A298="","",IFERROR(ROUND(AVERAGEIFS(ASSESSMENTS!H:H,ASSESSMENTS!B:B,A298,ASSESSMENTS!E:E,"Geography"),1),""))</f>
        <v/>
      </c>
      <c r="J298" s="4">
        <f>IF(A298="","",IFERROR(ROUND(AVERAGEIFS(ASSESSMENTS!H:H,ASSESSMENTS!B:B,A298,ASSESSMENTS!E:E,"Accounting"),1),""))</f>
        <v/>
      </c>
      <c r="K298" s="4">
        <f>IF(A298="","",IFERROR(ROUND(AVERAGEIFS(ASSESSMENTS!H:H,ASSESSMENTS!B:B,A298,ASSESSMENTS!E:E,"English"),1),""))</f>
        <v/>
      </c>
      <c r="L298" s="5">
        <f>IF(A298="","",IFERROR(_xludf.XLOOKUP(A298,ATTENDANCE_SUMMARY!A:A,ATTENDANCE_SUMMARY!G:G,""),""))</f>
        <v/>
      </c>
      <c r="M298" s="4">
        <f>IF(A298="","",IF(OR(E298&lt;50,AND(L298&lt;0.75,L298&lt;&gt;"" )),"At Risk","On Track"))</f>
        <v/>
      </c>
    </row>
    <row r="299">
      <c r="A299">
        <f>IF(MASTER_REGISTER!E299="","",MASTER_REGISTER!E299)</f>
        <v/>
      </c>
      <c r="B299">
        <f>IF(A299="","",MASTER_REGISTER!F299)</f>
        <v/>
      </c>
      <c r="C299">
        <f>IF(A299="","",MASTER_REGISTER!C299)</f>
        <v/>
      </c>
      <c r="D299">
        <f>IF(A299="","",COUNTIF(ASSESSMENTS!B:B,A299))</f>
        <v/>
      </c>
      <c r="E299" s="4">
        <f>IF(D299=0,"",ROUND(AVERAGEIF(ASSESSMENTS!B:B,A299,ASSESSMENTS!H:H),1))</f>
        <v/>
      </c>
      <c r="F299" s="4">
        <f>IF(A299="","",IFERROR(ROUND(AVERAGEIFS(ASSESSMENTS!H:H,ASSESSMENTS!B:B,A299,ASSESSMENTS!E:E,"Mathematics"),1),""))</f>
        <v/>
      </c>
      <c r="G299" s="4">
        <f>IF(A299="","",IFERROR(ROUND(AVERAGEIFS(ASSESSMENTS!H:H,ASSESSMENTS!B:B,A299,ASSESSMENTS!E:E,"Mathematical Literacy"),1),""))</f>
        <v/>
      </c>
      <c r="H299" s="4">
        <f>IF(A299="","",IFERROR(ROUND(AVERAGEIFS(ASSESSMENTS!H:H,ASSESSMENTS!B:B,A299,ASSESSMENTS!E:E,"Physical Sciences"),1),""))</f>
        <v/>
      </c>
      <c r="I299" s="4">
        <f>IF(A299="","",IFERROR(ROUND(AVERAGEIFS(ASSESSMENTS!H:H,ASSESSMENTS!B:B,A299,ASSESSMENTS!E:E,"Geography"),1),""))</f>
        <v/>
      </c>
      <c r="J299" s="4">
        <f>IF(A299="","",IFERROR(ROUND(AVERAGEIFS(ASSESSMENTS!H:H,ASSESSMENTS!B:B,A299,ASSESSMENTS!E:E,"Accounting"),1),""))</f>
        <v/>
      </c>
      <c r="K299" s="4">
        <f>IF(A299="","",IFERROR(ROUND(AVERAGEIFS(ASSESSMENTS!H:H,ASSESSMENTS!B:B,A299,ASSESSMENTS!E:E,"English"),1),""))</f>
        <v/>
      </c>
      <c r="L299" s="5">
        <f>IF(A299="","",IFERROR(_xludf.XLOOKUP(A299,ATTENDANCE_SUMMARY!A:A,ATTENDANCE_SUMMARY!G:G,""),""))</f>
        <v/>
      </c>
      <c r="M299" s="4">
        <f>IF(A299="","",IF(OR(E299&lt;50,AND(L299&lt;0.75,L299&lt;&gt;"" )),"At Risk","On Track"))</f>
        <v/>
      </c>
    </row>
    <row r="300">
      <c r="A300">
        <f>IF(MASTER_REGISTER!E300="","",MASTER_REGISTER!E300)</f>
        <v/>
      </c>
      <c r="B300">
        <f>IF(A300="","",MASTER_REGISTER!F300)</f>
        <v/>
      </c>
      <c r="C300">
        <f>IF(A300="","",MASTER_REGISTER!C300)</f>
        <v/>
      </c>
      <c r="D300">
        <f>IF(A300="","",COUNTIF(ASSESSMENTS!B:B,A300))</f>
        <v/>
      </c>
      <c r="E300" s="4">
        <f>IF(D300=0,"",ROUND(AVERAGEIF(ASSESSMENTS!B:B,A300,ASSESSMENTS!H:H),1))</f>
        <v/>
      </c>
      <c r="F300" s="4">
        <f>IF(A300="","",IFERROR(ROUND(AVERAGEIFS(ASSESSMENTS!H:H,ASSESSMENTS!B:B,A300,ASSESSMENTS!E:E,"Mathematics"),1),""))</f>
        <v/>
      </c>
      <c r="G300" s="4">
        <f>IF(A300="","",IFERROR(ROUND(AVERAGEIFS(ASSESSMENTS!H:H,ASSESSMENTS!B:B,A300,ASSESSMENTS!E:E,"Mathematical Literacy"),1),""))</f>
        <v/>
      </c>
      <c r="H300" s="4">
        <f>IF(A300="","",IFERROR(ROUND(AVERAGEIFS(ASSESSMENTS!H:H,ASSESSMENTS!B:B,A300,ASSESSMENTS!E:E,"Physical Sciences"),1),""))</f>
        <v/>
      </c>
      <c r="I300" s="4">
        <f>IF(A300="","",IFERROR(ROUND(AVERAGEIFS(ASSESSMENTS!H:H,ASSESSMENTS!B:B,A300,ASSESSMENTS!E:E,"Geography"),1),""))</f>
        <v/>
      </c>
      <c r="J300" s="4">
        <f>IF(A300="","",IFERROR(ROUND(AVERAGEIFS(ASSESSMENTS!H:H,ASSESSMENTS!B:B,A300,ASSESSMENTS!E:E,"Accounting"),1),""))</f>
        <v/>
      </c>
      <c r="K300" s="4">
        <f>IF(A300="","",IFERROR(ROUND(AVERAGEIFS(ASSESSMENTS!H:H,ASSESSMENTS!B:B,A300,ASSESSMENTS!E:E,"English"),1),""))</f>
        <v/>
      </c>
      <c r="L300" s="5">
        <f>IF(A300="","",IFERROR(_xludf.XLOOKUP(A300,ATTENDANCE_SUMMARY!A:A,ATTENDANCE_SUMMARY!G:G,""),""))</f>
        <v/>
      </c>
      <c r="M300" s="4">
        <f>IF(A300="","",IF(OR(E300&lt;50,AND(L300&lt;0.75,L300&lt;&gt;"" )),"At Risk","On Track"))</f>
        <v/>
      </c>
    </row>
    <row r="301">
      <c r="A301">
        <f>IF(MASTER_REGISTER!E301="","",MASTER_REGISTER!E301)</f>
        <v/>
      </c>
      <c r="B301">
        <f>IF(A301="","",MASTER_REGISTER!F301)</f>
        <v/>
      </c>
      <c r="C301">
        <f>IF(A301="","",MASTER_REGISTER!C301)</f>
        <v/>
      </c>
      <c r="D301">
        <f>IF(A301="","",COUNTIF(ASSESSMENTS!B:B,A301))</f>
        <v/>
      </c>
      <c r="E301" s="4">
        <f>IF(D301=0,"",ROUND(AVERAGEIF(ASSESSMENTS!B:B,A301,ASSESSMENTS!H:H),1))</f>
        <v/>
      </c>
      <c r="F301" s="4">
        <f>IF(A301="","",IFERROR(ROUND(AVERAGEIFS(ASSESSMENTS!H:H,ASSESSMENTS!B:B,A301,ASSESSMENTS!E:E,"Mathematics"),1),""))</f>
        <v/>
      </c>
      <c r="G301" s="4">
        <f>IF(A301="","",IFERROR(ROUND(AVERAGEIFS(ASSESSMENTS!H:H,ASSESSMENTS!B:B,A301,ASSESSMENTS!E:E,"Mathematical Literacy"),1),""))</f>
        <v/>
      </c>
      <c r="H301" s="4">
        <f>IF(A301="","",IFERROR(ROUND(AVERAGEIFS(ASSESSMENTS!H:H,ASSESSMENTS!B:B,A301,ASSESSMENTS!E:E,"Physical Sciences"),1),""))</f>
        <v/>
      </c>
      <c r="I301" s="4">
        <f>IF(A301="","",IFERROR(ROUND(AVERAGEIFS(ASSESSMENTS!H:H,ASSESSMENTS!B:B,A301,ASSESSMENTS!E:E,"Geography"),1),""))</f>
        <v/>
      </c>
      <c r="J301" s="4">
        <f>IF(A301="","",IFERROR(ROUND(AVERAGEIFS(ASSESSMENTS!H:H,ASSESSMENTS!B:B,A301,ASSESSMENTS!E:E,"Accounting"),1),""))</f>
        <v/>
      </c>
      <c r="K301" s="4">
        <f>IF(A301="","",IFERROR(ROUND(AVERAGEIFS(ASSESSMENTS!H:H,ASSESSMENTS!B:B,A301,ASSESSMENTS!E:E,"English"),1),""))</f>
        <v/>
      </c>
      <c r="L301" s="5">
        <f>IF(A301="","",IFERROR(_xludf.XLOOKUP(A301,ATTENDANCE_SUMMARY!A:A,ATTENDANCE_SUMMARY!G:G,""),""))</f>
        <v/>
      </c>
      <c r="M301" s="4">
        <f>IF(A301="","",IF(OR(E301&lt;50,AND(L301&lt;0.75,L301&lt;&gt;"" )),"At Risk","On Track"))</f>
        <v/>
      </c>
    </row>
    <row r="302">
      <c r="A302">
        <f>IF(MASTER_REGISTER!E302="","",MASTER_REGISTER!E302)</f>
        <v/>
      </c>
      <c r="B302">
        <f>IF(A302="","",MASTER_REGISTER!F302)</f>
        <v/>
      </c>
      <c r="C302">
        <f>IF(A302="","",MASTER_REGISTER!C302)</f>
        <v/>
      </c>
      <c r="D302">
        <f>IF(A302="","",COUNTIF(ASSESSMENTS!B:B,A302))</f>
        <v/>
      </c>
      <c r="E302" s="4">
        <f>IF(D302=0,"",ROUND(AVERAGEIF(ASSESSMENTS!B:B,A302,ASSESSMENTS!H:H),1))</f>
        <v/>
      </c>
      <c r="F302" s="4">
        <f>IF(A302="","",IFERROR(ROUND(AVERAGEIFS(ASSESSMENTS!H:H,ASSESSMENTS!B:B,A302,ASSESSMENTS!E:E,"Mathematics"),1),""))</f>
        <v/>
      </c>
      <c r="G302" s="4">
        <f>IF(A302="","",IFERROR(ROUND(AVERAGEIFS(ASSESSMENTS!H:H,ASSESSMENTS!B:B,A302,ASSESSMENTS!E:E,"Mathematical Literacy"),1),""))</f>
        <v/>
      </c>
      <c r="H302" s="4">
        <f>IF(A302="","",IFERROR(ROUND(AVERAGEIFS(ASSESSMENTS!H:H,ASSESSMENTS!B:B,A302,ASSESSMENTS!E:E,"Physical Sciences"),1),""))</f>
        <v/>
      </c>
      <c r="I302" s="4">
        <f>IF(A302="","",IFERROR(ROUND(AVERAGEIFS(ASSESSMENTS!H:H,ASSESSMENTS!B:B,A302,ASSESSMENTS!E:E,"Geography"),1),""))</f>
        <v/>
      </c>
      <c r="J302" s="4">
        <f>IF(A302="","",IFERROR(ROUND(AVERAGEIFS(ASSESSMENTS!H:H,ASSESSMENTS!B:B,A302,ASSESSMENTS!E:E,"Accounting"),1),""))</f>
        <v/>
      </c>
      <c r="K302" s="4">
        <f>IF(A302="","",IFERROR(ROUND(AVERAGEIFS(ASSESSMENTS!H:H,ASSESSMENTS!B:B,A302,ASSESSMENTS!E:E,"English"),1),""))</f>
        <v/>
      </c>
      <c r="L302" s="5">
        <f>IF(A302="","",IFERROR(_xludf.XLOOKUP(A302,ATTENDANCE_SUMMARY!A:A,ATTENDANCE_SUMMARY!G:G,""),""))</f>
        <v/>
      </c>
      <c r="M302" s="4">
        <f>IF(A302="","",IF(OR(E302&lt;50,AND(L302&lt;0.75,L302&lt;&gt;"" )),"At Risk","On Track"))</f>
        <v/>
      </c>
    </row>
    <row r="303">
      <c r="A303">
        <f>IF(MASTER_REGISTER!E303="","",MASTER_REGISTER!E303)</f>
        <v/>
      </c>
      <c r="B303">
        <f>IF(A303="","",MASTER_REGISTER!F303)</f>
        <v/>
      </c>
      <c r="C303">
        <f>IF(A303="","",MASTER_REGISTER!C303)</f>
        <v/>
      </c>
      <c r="D303">
        <f>IF(A303="","",COUNTIF(ASSESSMENTS!B:B,A303))</f>
        <v/>
      </c>
      <c r="E303" s="4">
        <f>IF(D303=0,"",ROUND(AVERAGEIF(ASSESSMENTS!B:B,A303,ASSESSMENTS!H:H),1))</f>
        <v/>
      </c>
      <c r="F303" s="4">
        <f>IF(A303="","",IFERROR(ROUND(AVERAGEIFS(ASSESSMENTS!H:H,ASSESSMENTS!B:B,A303,ASSESSMENTS!E:E,"Mathematics"),1),""))</f>
        <v/>
      </c>
      <c r="G303" s="4">
        <f>IF(A303="","",IFERROR(ROUND(AVERAGEIFS(ASSESSMENTS!H:H,ASSESSMENTS!B:B,A303,ASSESSMENTS!E:E,"Mathematical Literacy"),1),""))</f>
        <v/>
      </c>
      <c r="H303" s="4">
        <f>IF(A303="","",IFERROR(ROUND(AVERAGEIFS(ASSESSMENTS!H:H,ASSESSMENTS!B:B,A303,ASSESSMENTS!E:E,"Physical Sciences"),1),""))</f>
        <v/>
      </c>
      <c r="I303" s="4">
        <f>IF(A303="","",IFERROR(ROUND(AVERAGEIFS(ASSESSMENTS!H:H,ASSESSMENTS!B:B,A303,ASSESSMENTS!E:E,"Geography"),1),""))</f>
        <v/>
      </c>
      <c r="J303" s="4">
        <f>IF(A303="","",IFERROR(ROUND(AVERAGEIFS(ASSESSMENTS!H:H,ASSESSMENTS!B:B,A303,ASSESSMENTS!E:E,"Accounting"),1),""))</f>
        <v/>
      </c>
      <c r="K303" s="4">
        <f>IF(A303="","",IFERROR(ROUND(AVERAGEIFS(ASSESSMENTS!H:H,ASSESSMENTS!B:B,A303,ASSESSMENTS!E:E,"English"),1),""))</f>
        <v/>
      </c>
      <c r="L303" s="5">
        <f>IF(A303="","",IFERROR(_xludf.XLOOKUP(A303,ATTENDANCE_SUMMARY!A:A,ATTENDANCE_SUMMARY!G:G,""),""))</f>
        <v/>
      </c>
      <c r="M303" s="4">
        <f>IF(A303="","",IF(OR(E303&lt;50,AND(L303&lt;0.75,L303&lt;&gt;"" )),"At Risk","On Track"))</f>
        <v/>
      </c>
    </row>
    <row r="304">
      <c r="A304">
        <f>IF(MASTER_REGISTER!E304="","",MASTER_REGISTER!E304)</f>
        <v/>
      </c>
      <c r="B304">
        <f>IF(A304="","",MASTER_REGISTER!F304)</f>
        <v/>
      </c>
      <c r="C304">
        <f>IF(A304="","",MASTER_REGISTER!C304)</f>
        <v/>
      </c>
      <c r="D304">
        <f>IF(A304="","",COUNTIF(ASSESSMENTS!B:B,A304))</f>
        <v/>
      </c>
      <c r="E304" s="4">
        <f>IF(D304=0,"",ROUND(AVERAGEIF(ASSESSMENTS!B:B,A304,ASSESSMENTS!H:H),1))</f>
        <v/>
      </c>
      <c r="F304" s="4">
        <f>IF(A304="","",IFERROR(ROUND(AVERAGEIFS(ASSESSMENTS!H:H,ASSESSMENTS!B:B,A304,ASSESSMENTS!E:E,"Mathematics"),1),""))</f>
        <v/>
      </c>
      <c r="G304" s="4">
        <f>IF(A304="","",IFERROR(ROUND(AVERAGEIFS(ASSESSMENTS!H:H,ASSESSMENTS!B:B,A304,ASSESSMENTS!E:E,"Mathematical Literacy"),1),""))</f>
        <v/>
      </c>
      <c r="H304" s="4">
        <f>IF(A304="","",IFERROR(ROUND(AVERAGEIFS(ASSESSMENTS!H:H,ASSESSMENTS!B:B,A304,ASSESSMENTS!E:E,"Physical Sciences"),1),""))</f>
        <v/>
      </c>
      <c r="I304" s="4">
        <f>IF(A304="","",IFERROR(ROUND(AVERAGEIFS(ASSESSMENTS!H:H,ASSESSMENTS!B:B,A304,ASSESSMENTS!E:E,"Geography"),1),""))</f>
        <v/>
      </c>
      <c r="J304" s="4">
        <f>IF(A304="","",IFERROR(ROUND(AVERAGEIFS(ASSESSMENTS!H:H,ASSESSMENTS!B:B,A304,ASSESSMENTS!E:E,"Accounting"),1),""))</f>
        <v/>
      </c>
      <c r="K304" s="4">
        <f>IF(A304="","",IFERROR(ROUND(AVERAGEIFS(ASSESSMENTS!H:H,ASSESSMENTS!B:B,A304,ASSESSMENTS!E:E,"English"),1),""))</f>
        <v/>
      </c>
      <c r="L304" s="5">
        <f>IF(A304="","",IFERROR(_xludf.XLOOKUP(A304,ATTENDANCE_SUMMARY!A:A,ATTENDANCE_SUMMARY!G:G,""),""))</f>
        <v/>
      </c>
      <c r="M304" s="4">
        <f>IF(A304="","",IF(OR(E304&lt;50,AND(L304&lt;0.75,L304&lt;&gt;"" )),"At Risk","On Track"))</f>
        <v/>
      </c>
    </row>
    <row r="305">
      <c r="A305">
        <f>IF(MASTER_REGISTER!E305="","",MASTER_REGISTER!E305)</f>
        <v/>
      </c>
      <c r="B305">
        <f>IF(A305="","",MASTER_REGISTER!F305)</f>
        <v/>
      </c>
      <c r="C305">
        <f>IF(A305="","",MASTER_REGISTER!C305)</f>
        <v/>
      </c>
      <c r="D305">
        <f>IF(A305="","",COUNTIF(ASSESSMENTS!B:B,A305))</f>
        <v/>
      </c>
      <c r="E305" s="4">
        <f>IF(D305=0,"",ROUND(AVERAGEIF(ASSESSMENTS!B:B,A305,ASSESSMENTS!H:H),1))</f>
        <v/>
      </c>
      <c r="F305" s="4">
        <f>IF(A305="","",IFERROR(ROUND(AVERAGEIFS(ASSESSMENTS!H:H,ASSESSMENTS!B:B,A305,ASSESSMENTS!E:E,"Mathematics"),1),""))</f>
        <v/>
      </c>
      <c r="G305" s="4">
        <f>IF(A305="","",IFERROR(ROUND(AVERAGEIFS(ASSESSMENTS!H:H,ASSESSMENTS!B:B,A305,ASSESSMENTS!E:E,"Mathematical Literacy"),1),""))</f>
        <v/>
      </c>
      <c r="H305" s="4">
        <f>IF(A305="","",IFERROR(ROUND(AVERAGEIFS(ASSESSMENTS!H:H,ASSESSMENTS!B:B,A305,ASSESSMENTS!E:E,"Physical Sciences"),1),""))</f>
        <v/>
      </c>
      <c r="I305" s="4">
        <f>IF(A305="","",IFERROR(ROUND(AVERAGEIFS(ASSESSMENTS!H:H,ASSESSMENTS!B:B,A305,ASSESSMENTS!E:E,"Geography"),1),""))</f>
        <v/>
      </c>
      <c r="J305" s="4">
        <f>IF(A305="","",IFERROR(ROUND(AVERAGEIFS(ASSESSMENTS!H:H,ASSESSMENTS!B:B,A305,ASSESSMENTS!E:E,"Accounting"),1),""))</f>
        <v/>
      </c>
      <c r="K305" s="4">
        <f>IF(A305="","",IFERROR(ROUND(AVERAGEIFS(ASSESSMENTS!H:H,ASSESSMENTS!B:B,A305,ASSESSMENTS!E:E,"English"),1),""))</f>
        <v/>
      </c>
      <c r="L305" s="5">
        <f>IF(A305="","",IFERROR(_xludf.XLOOKUP(A305,ATTENDANCE_SUMMARY!A:A,ATTENDANCE_SUMMARY!G:G,""),""))</f>
        <v/>
      </c>
      <c r="M305" s="4">
        <f>IF(A305="","",IF(OR(E305&lt;50,AND(L305&lt;0.75,L305&lt;&gt;"" )),"At Risk","On Track"))</f>
        <v/>
      </c>
    </row>
    <row r="306">
      <c r="A306">
        <f>IF(MASTER_REGISTER!E306="","",MASTER_REGISTER!E306)</f>
        <v/>
      </c>
      <c r="B306">
        <f>IF(A306="","",MASTER_REGISTER!F306)</f>
        <v/>
      </c>
      <c r="C306">
        <f>IF(A306="","",MASTER_REGISTER!C306)</f>
        <v/>
      </c>
      <c r="D306">
        <f>IF(A306="","",COUNTIF(ASSESSMENTS!B:B,A306))</f>
        <v/>
      </c>
      <c r="E306" s="4">
        <f>IF(D306=0,"",ROUND(AVERAGEIF(ASSESSMENTS!B:B,A306,ASSESSMENTS!H:H),1))</f>
        <v/>
      </c>
      <c r="F306" s="4">
        <f>IF(A306="","",IFERROR(ROUND(AVERAGEIFS(ASSESSMENTS!H:H,ASSESSMENTS!B:B,A306,ASSESSMENTS!E:E,"Mathematics"),1),""))</f>
        <v/>
      </c>
      <c r="G306" s="4">
        <f>IF(A306="","",IFERROR(ROUND(AVERAGEIFS(ASSESSMENTS!H:H,ASSESSMENTS!B:B,A306,ASSESSMENTS!E:E,"Mathematical Literacy"),1),""))</f>
        <v/>
      </c>
      <c r="H306" s="4">
        <f>IF(A306="","",IFERROR(ROUND(AVERAGEIFS(ASSESSMENTS!H:H,ASSESSMENTS!B:B,A306,ASSESSMENTS!E:E,"Physical Sciences"),1),""))</f>
        <v/>
      </c>
      <c r="I306" s="4">
        <f>IF(A306="","",IFERROR(ROUND(AVERAGEIFS(ASSESSMENTS!H:H,ASSESSMENTS!B:B,A306,ASSESSMENTS!E:E,"Geography"),1),""))</f>
        <v/>
      </c>
      <c r="J306" s="4">
        <f>IF(A306="","",IFERROR(ROUND(AVERAGEIFS(ASSESSMENTS!H:H,ASSESSMENTS!B:B,A306,ASSESSMENTS!E:E,"Accounting"),1),""))</f>
        <v/>
      </c>
      <c r="K306" s="4">
        <f>IF(A306="","",IFERROR(ROUND(AVERAGEIFS(ASSESSMENTS!H:H,ASSESSMENTS!B:B,A306,ASSESSMENTS!E:E,"English"),1),""))</f>
        <v/>
      </c>
      <c r="L306" s="5">
        <f>IF(A306="","",IFERROR(_xludf.XLOOKUP(A306,ATTENDANCE_SUMMARY!A:A,ATTENDANCE_SUMMARY!G:G,""),""))</f>
        <v/>
      </c>
      <c r="M306" s="4">
        <f>IF(A306="","",IF(OR(E306&lt;50,AND(L306&lt;0.75,L306&lt;&gt;"" )),"At Risk","On Track"))</f>
        <v/>
      </c>
    </row>
    <row r="307">
      <c r="A307">
        <f>IF(MASTER_REGISTER!E307="","",MASTER_REGISTER!E307)</f>
        <v/>
      </c>
      <c r="B307">
        <f>IF(A307="","",MASTER_REGISTER!F307)</f>
        <v/>
      </c>
      <c r="C307">
        <f>IF(A307="","",MASTER_REGISTER!C307)</f>
        <v/>
      </c>
      <c r="D307">
        <f>IF(A307="","",COUNTIF(ASSESSMENTS!B:B,A307))</f>
        <v/>
      </c>
      <c r="E307" s="4">
        <f>IF(D307=0,"",ROUND(AVERAGEIF(ASSESSMENTS!B:B,A307,ASSESSMENTS!H:H),1))</f>
        <v/>
      </c>
      <c r="F307" s="4">
        <f>IF(A307="","",IFERROR(ROUND(AVERAGEIFS(ASSESSMENTS!H:H,ASSESSMENTS!B:B,A307,ASSESSMENTS!E:E,"Mathematics"),1),""))</f>
        <v/>
      </c>
      <c r="G307" s="4">
        <f>IF(A307="","",IFERROR(ROUND(AVERAGEIFS(ASSESSMENTS!H:H,ASSESSMENTS!B:B,A307,ASSESSMENTS!E:E,"Mathematical Literacy"),1),""))</f>
        <v/>
      </c>
      <c r="H307" s="4">
        <f>IF(A307="","",IFERROR(ROUND(AVERAGEIFS(ASSESSMENTS!H:H,ASSESSMENTS!B:B,A307,ASSESSMENTS!E:E,"Physical Sciences"),1),""))</f>
        <v/>
      </c>
      <c r="I307" s="4">
        <f>IF(A307="","",IFERROR(ROUND(AVERAGEIFS(ASSESSMENTS!H:H,ASSESSMENTS!B:B,A307,ASSESSMENTS!E:E,"Geography"),1),""))</f>
        <v/>
      </c>
      <c r="J307" s="4">
        <f>IF(A307="","",IFERROR(ROUND(AVERAGEIFS(ASSESSMENTS!H:H,ASSESSMENTS!B:B,A307,ASSESSMENTS!E:E,"Accounting"),1),""))</f>
        <v/>
      </c>
      <c r="K307" s="4">
        <f>IF(A307="","",IFERROR(ROUND(AVERAGEIFS(ASSESSMENTS!H:H,ASSESSMENTS!B:B,A307,ASSESSMENTS!E:E,"English"),1),""))</f>
        <v/>
      </c>
      <c r="L307" s="5">
        <f>IF(A307="","",IFERROR(_xludf.XLOOKUP(A307,ATTENDANCE_SUMMARY!A:A,ATTENDANCE_SUMMARY!G:G,""),""))</f>
        <v/>
      </c>
      <c r="M307" s="4">
        <f>IF(A307="","",IF(OR(E307&lt;50,AND(L307&lt;0.75,L307&lt;&gt;"" )),"At Risk","On Track"))</f>
        <v/>
      </c>
    </row>
    <row r="308">
      <c r="A308">
        <f>IF(MASTER_REGISTER!E308="","",MASTER_REGISTER!E308)</f>
        <v/>
      </c>
      <c r="B308">
        <f>IF(A308="","",MASTER_REGISTER!F308)</f>
        <v/>
      </c>
      <c r="C308">
        <f>IF(A308="","",MASTER_REGISTER!C308)</f>
        <v/>
      </c>
      <c r="D308">
        <f>IF(A308="","",COUNTIF(ASSESSMENTS!B:B,A308))</f>
        <v/>
      </c>
      <c r="E308" s="4">
        <f>IF(D308=0,"",ROUND(AVERAGEIF(ASSESSMENTS!B:B,A308,ASSESSMENTS!H:H),1))</f>
        <v/>
      </c>
      <c r="F308" s="4">
        <f>IF(A308="","",IFERROR(ROUND(AVERAGEIFS(ASSESSMENTS!H:H,ASSESSMENTS!B:B,A308,ASSESSMENTS!E:E,"Mathematics"),1),""))</f>
        <v/>
      </c>
      <c r="G308" s="4">
        <f>IF(A308="","",IFERROR(ROUND(AVERAGEIFS(ASSESSMENTS!H:H,ASSESSMENTS!B:B,A308,ASSESSMENTS!E:E,"Mathematical Literacy"),1),""))</f>
        <v/>
      </c>
      <c r="H308" s="4">
        <f>IF(A308="","",IFERROR(ROUND(AVERAGEIFS(ASSESSMENTS!H:H,ASSESSMENTS!B:B,A308,ASSESSMENTS!E:E,"Physical Sciences"),1),""))</f>
        <v/>
      </c>
      <c r="I308" s="4">
        <f>IF(A308="","",IFERROR(ROUND(AVERAGEIFS(ASSESSMENTS!H:H,ASSESSMENTS!B:B,A308,ASSESSMENTS!E:E,"Geography"),1),""))</f>
        <v/>
      </c>
      <c r="J308" s="4">
        <f>IF(A308="","",IFERROR(ROUND(AVERAGEIFS(ASSESSMENTS!H:H,ASSESSMENTS!B:B,A308,ASSESSMENTS!E:E,"Accounting"),1),""))</f>
        <v/>
      </c>
      <c r="K308" s="4">
        <f>IF(A308="","",IFERROR(ROUND(AVERAGEIFS(ASSESSMENTS!H:H,ASSESSMENTS!B:B,A308,ASSESSMENTS!E:E,"English"),1),""))</f>
        <v/>
      </c>
      <c r="L308" s="5">
        <f>IF(A308="","",IFERROR(_xludf.XLOOKUP(A308,ATTENDANCE_SUMMARY!A:A,ATTENDANCE_SUMMARY!G:G,""),""))</f>
        <v/>
      </c>
      <c r="M308" s="4">
        <f>IF(A308="","",IF(OR(E308&lt;50,AND(L308&lt;0.75,L308&lt;&gt;"" )),"At Risk","On Track"))</f>
        <v/>
      </c>
    </row>
    <row r="309">
      <c r="A309">
        <f>IF(MASTER_REGISTER!E309="","",MASTER_REGISTER!E309)</f>
        <v/>
      </c>
      <c r="B309">
        <f>IF(A309="","",MASTER_REGISTER!F309)</f>
        <v/>
      </c>
      <c r="C309">
        <f>IF(A309="","",MASTER_REGISTER!C309)</f>
        <v/>
      </c>
      <c r="D309">
        <f>IF(A309="","",COUNTIF(ASSESSMENTS!B:B,A309))</f>
        <v/>
      </c>
      <c r="E309" s="4">
        <f>IF(D309=0,"",ROUND(AVERAGEIF(ASSESSMENTS!B:B,A309,ASSESSMENTS!H:H),1))</f>
        <v/>
      </c>
      <c r="F309" s="4">
        <f>IF(A309="","",IFERROR(ROUND(AVERAGEIFS(ASSESSMENTS!H:H,ASSESSMENTS!B:B,A309,ASSESSMENTS!E:E,"Mathematics"),1),""))</f>
        <v/>
      </c>
      <c r="G309" s="4">
        <f>IF(A309="","",IFERROR(ROUND(AVERAGEIFS(ASSESSMENTS!H:H,ASSESSMENTS!B:B,A309,ASSESSMENTS!E:E,"Mathematical Literacy"),1),""))</f>
        <v/>
      </c>
      <c r="H309" s="4">
        <f>IF(A309="","",IFERROR(ROUND(AVERAGEIFS(ASSESSMENTS!H:H,ASSESSMENTS!B:B,A309,ASSESSMENTS!E:E,"Physical Sciences"),1),""))</f>
        <v/>
      </c>
      <c r="I309" s="4">
        <f>IF(A309="","",IFERROR(ROUND(AVERAGEIFS(ASSESSMENTS!H:H,ASSESSMENTS!B:B,A309,ASSESSMENTS!E:E,"Geography"),1),""))</f>
        <v/>
      </c>
      <c r="J309" s="4">
        <f>IF(A309="","",IFERROR(ROUND(AVERAGEIFS(ASSESSMENTS!H:H,ASSESSMENTS!B:B,A309,ASSESSMENTS!E:E,"Accounting"),1),""))</f>
        <v/>
      </c>
      <c r="K309" s="4">
        <f>IF(A309="","",IFERROR(ROUND(AVERAGEIFS(ASSESSMENTS!H:H,ASSESSMENTS!B:B,A309,ASSESSMENTS!E:E,"English"),1),""))</f>
        <v/>
      </c>
      <c r="L309" s="5">
        <f>IF(A309="","",IFERROR(_xludf.XLOOKUP(A309,ATTENDANCE_SUMMARY!A:A,ATTENDANCE_SUMMARY!G:G,""),""))</f>
        <v/>
      </c>
      <c r="M309" s="4">
        <f>IF(A309="","",IF(OR(E309&lt;50,AND(L309&lt;0.75,L309&lt;&gt;"" )),"At Risk","On Track"))</f>
        <v/>
      </c>
    </row>
    <row r="310">
      <c r="A310">
        <f>IF(MASTER_REGISTER!E310="","",MASTER_REGISTER!E310)</f>
        <v/>
      </c>
      <c r="B310">
        <f>IF(A310="","",MASTER_REGISTER!F310)</f>
        <v/>
      </c>
      <c r="C310">
        <f>IF(A310="","",MASTER_REGISTER!C310)</f>
        <v/>
      </c>
      <c r="D310">
        <f>IF(A310="","",COUNTIF(ASSESSMENTS!B:B,A310))</f>
        <v/>
      </c>
      <c r="E310" s="4">
        <f>IF(D310=0,"",ROUND(AVERAGEIF(ASSESSMENTS!B:B,A310,ASSESSMENTS!H:H),1))</f>
        <v/>
      </c>
      <c r="F310" s="4">
        <f>IF(A310="","",IFERROR(ROUND(AVERAGEIFS(ASSESSMENTS!H:H,ASSESSMENTS!B:B,A310,ASSESSMENTS!E:E,"Mathematics"),1),""))</f>
        <v/>
      </c>
      <c r="G310" s="4">
        <f>IF(A310="","",IFERROR(ROUND(AVERAGEIFS(ASSESSMENTS!H:H,ASSESSMENTS!B:B,A310,ASSESSMENTS!E:E,"Mathematical Literacy"),1),""))</f>
        <v/>
      </c>
      <c r="H310" s="4">
        <f>IF(A310="","",IFERROR(ROUND(AVERAGEIFS(ASSESSMENTS!H:H,ASSESSMENTS!B:B,A310,ASSESSMENTS!E:E,"Physical Sciences"),1),""))</f>
        <v/>
      </c>
      <c r="I310" s="4">
        <f>IF(A310="","",IFERROR(ROUND(AVERAGEIFS(ASSESSMENTS!H:H,ASSESSMENTS!B:B,A310,ASSESSMENTS!E:E,"Geography"),1),""))</f>
        <v/>
      </c>
      <c r="J310" s="4">
        <f>IF(A310="","",IFERROR(ROUND(AVERAGEIFS(ASSESSMENTS!H:H,ASSESSMENTS!B:B,A310,ASSESSMENTS!E:E,"Accounting"),1),""))</f>
        <v/>
      </c>
      <c r="K310" s="4">
        <f>IF(A310="","",IFERROR(ROUND(AVERAGEIFS(ASSESSMENTS!H:H,ASSESSMENTS!B:B,A310,ASSESSMENTS!E:E,"English"),1),""))</f>
        <v/>
      </c>
      <c r="L310" s="5">
        <f>IF(A310="","",IFERROR(_xludf.XLOOKUP(A310,ATTENDANCE_SUMMARY!A:A,ATTENDANCE_SUMMARY!G:G,""),""))</f>
        <v/>
      </c>
      <c r="M310" s="4">
        <f>IF(A310="","",IF(OR(E310&lt;50,AND(L310&lt;0.75,L310&lt;&gt;"" )),"At Risk","On Track"))</f>
        <v/>
      </c>
    </row>
    <row r="311">
      <c r="A311">
        <f>IF(MASTER_REGISTER!E311="","",MASTER_REGISTER!E311)</f>
        <v/>
      </c>
      <c r="B311">
        <f>IF(A311="","",MASTER_REGISTER!F311)</f>
        <v/>
      </c>
      <c r="C311">
        <f>IF(A311="","",MASTER_REGISTER!C311)</f>
        <v/>
      </c>
      <c r="D311">
        <f>IF(A311="","",COUNTIF(ASSESSMENTS!B:B,A311))</f>
        <v/>
      </c>
      <c r="E311" s="4">
        <f>IF(D311=0,"",ROUND(AVERAGEIF(ASSESSMENTS!B:B,A311,ASSESSMENTS!H:H),1))</f>
        <v/>
      </c>
      <c r="F311" s="4">
        <f>IF(A311="","",IFERROR(ROUND(AVERAGEIFS(ASSESSMENTS!H:H,ASSESSMENTS!B:B,A311,ASSESSMENTS!E:E,"Mathematics"),1),""))</f>
        <v/>
      </c>
      <c r="G311" s="4">
        <f>IF(A311="","",IFERROR(ROUND(AVERAGEIFS(ASSESSMENTS!H:H,ASSESSMENTS!B:B,A311,ASSESSMENTS!E:E,"Mathematical Literacy"),1),""))</f>
        <v/>
      </c>
      <c r="H311" s="4">
        <f>IF(A311="","",IFERROR(ROUND(AVERAGEIFS(ASSESSMENTS!H:H,ASSESSMENTS!B:B,A311,ASSESSMENTS!E:E,"Physical Sciences"),1),""))</f>
        <v/>
      </c>
      <c r="I311" s="4">
        <f>IF(A311="","",IFERROR(ROUND(AVERAGEIFS(ASSESSMENTS!H:H,ASSESSMENTS!B:B,A311,ASSESSMENTS!E:E,"Geography"),1),""))</f>
        <v/>
      </c>
      <c r="J311" s="4">
        <f>IF(A311="","",IFERROR(ROUND(AVERAGEIFS(ASSESSMENTS!H:H,ASSESSMENTS!B:B,A311,ASSESSMENTS!E:E,"Accounting"),1),""))</f>
        <v/>
      </c>
      <c r="K311" s="4">
        <f>IF(A311="","",IFERROR(ROUND(AVERAGEIFS(ASSESSMENTS!H:H,ASSESSMENTS!B:B,A311,ASSESSMENTS!E:E,"English"),1),""))</f>
        <v/>
      </c>
      <c r="L311" s="5">
        <f>IF(A311="","",IFERROR(_xludf.XLOOKUP(A311,ATTENDANCE_SUMMARY!A:A,ATTENDANCE_SUMMARY!G:G,""),""))</f>
        <v/>
      </c>
      <c r="M311" s="4">
        <f>IF(A311="","",IF(OR(E311&lt;50,AND(L311&lt;0.75,L311&lt;&gt;"" )),"At Risk","On Track"))</f>
        <v/>
      </c>
    </row>
    <row r="312">
      <c r="A312">
        <f>IF(MASTER_REGISTER!E312="","",MASTER_REGISTER!E312)</f>
        <v/>
      </c>
      <c r="B312">
        <f>IF(A312="","",MASTER_REGISTER!F312)</f>
        <v/>
      </c>
      <c r="C312">
        <f>IF(A312="","",MASTER_REGISTER!C312)</f>
        <v/>
      </c>
      <c r="D312">
        <f>IF(A312="","",COUNTIF(ASSESSMENTS!B:B,A312))</f>
        <v/>
      </c>
      <c r="E312" s="4">
        <f>IF(D312=0,"",ROUND(AVERAGEIF(ASSESSMENTS!B:B,A312,ASSESSMENTS!H:H),1))</f>
        <v/>
      </c>
      <c r="F312" s="4">
        <f>IF(A312="","",IFERROR(ROUND(AVERAGEIFS(ASSESSMENTS!H:H,ASSESSMENTS!B:B,A312,ASSESSMENTS!E:E,"Mathematics"),1),""))</f>
        <v/>
      </c>
      <c r="G312" s="4">
        <f>IF(A312="","",IFERROR(ROUND(AVERAGEIFS(ASSESSMENTS!H:H,ASSESSMENTS!B:B,A312,ASSESSMENTS!E:E,"Mathematical Literacy"),1),""))</f>
        <v/>
      </c>
      <c r="H312" s="4">
        <f>IF(A312="","",IFERROR(ROUND(AVERAGEIFS(ASSESSMENTS!H:H,ASSESSMENTS!B:B,A312,ASSESSMENTS!E:E,"Physical Sciences"),1),""))</f>
        <v/>
      </c>
      <c r="I312" s="4">
        <f>IF(A312="","",IFERROR(ROUND(AVERAGEIFS(ASSESSMENTS!H:H,ASSESSMENTS!B:B,A312,ASSESSMENTS!E:E,"Geography"),1),""))</f>
        <v/>
      </c>
      <c r="J312" s="4">
        <f>IF(A312="","",IFERROR(ROUND(AVERAGEIFS(ASSESSMENTS!H:H,ASSESSMENTS!B:B,A312,ASSESSMENTS!E:E,"Accounting"),1),""))</f>
        <v/>
      </c>
      <c r="K312" s="4">
        <f>IF(A312="","",IFERROR(ROUND(AVERAGEIFS(ASSESSMENTS!H:H,ASSESSMENTS!B:B,A312,ASSESSMENTS!E:E,"English"),1),""))</f>
        <v/>
      </c>
      <c r="L312" s="5">
        <f>IF(A312="","",IFERROR(_xludf.XLOOKUP(A312,ATTENDANCE_SUMMARY!A:A,ATTENDANCE_SUMMARY!G:G,""),""))</f>
        <v/>
      </c>
      <c r="M312" s="4">
        <f>IF(A312="","",IF(OR(E312&lt;50,AND(L312&lt;0.75,L312&lt;&gt;"" )),"At Risk","On Track"))</f>
        <v/>
      </c>
    </row>
    <row r="313">
      <c r="A313">
        <f>IF(MASTER_REGISTER!E313="","",MASTER_REGISTER!E313)</f>
        <v/>
      </c>
      <c r="B313">
        <f>IF(A313="","",MASTER_REGISTER!F313)</f>
        <v/>
      </c>
      <c r="C313">
        <f>IF(A313="","",MASTER_REGISTER!C313)</f>
        <v/>
      </c>
      <c r="D313">
        <f>IF(A313="","",COUNTIF(ASSESSMENTS!B:B,A313))</f>
        <v/>
      </c>
      <c r="E313" s="4">
        <f>IF(D313=0,"",ROUND(AVERAGEIF(ASSESSMENTS!B:B,A313,ASSESSMENTS!H:H),1))</f>
        <v/>
      </c>
      <c r="F313" s="4">
        <f>IF(A313="","",IFERROR(ROUND(AVERAGEIFS(ASSESSMENTS!H:H,ASSESSMENTS!B:B,A313,ASSESSMENTS!E:E,"Mathematics"),1),""))</f>
        <v/>
      </c>
      <c r="G313" s="4">
        <f>IF(A313="","",IFERROR(ROUND(AVERAGEIFS(ASSESSMENTS!H:H,ASSESSMENTS!B:B,A313,ASSESSMENTS!E:E,"Mathematical Literacy"),1),""))</f>
        <v/>
      </c>
      <c r="H313" s="4">
        <f>IF(A313="","",IFERROR(ROUND(AVERAGEIFS(ASSESSMENTS!H:H,ASSESSMENTS!B:B,A313,ASSESSMENTS!E:E,"Physical Sciences"),1),""))</f>
        <v/>
      </c>
      <c r="I313" s="4">
        <f>IF(A313="","",IFERROR(ROUND(AVERAGEIFS(ASSESSMENTS!H:H,ASSESSMENTS!B:B,A313,ASSESSMENTS!E:E,"Geography"),1),""))</f>
        <v/>
      </c>
      <c r="J313" s="4">
        <f>IF(A313="","",IFERROR(ROUND(AVERAGEIFS(ASSESSMENTS!H:H,ASSESSMENTS!B:B,A313,ASSESSMENTS!E:E,"Accounting"),1),""))</f>
        <v/>
      </c>
      <c r="K313" s="4">
        <f>IF(A313="","",IFERROR(ROUND(AVERAGEIFS(ASSESSMENTS!H:H,ASSESSMENTS!B:B,A313,ASSESSMENTS!E:E,"English"),1),""))</f>
        <v/>
      </c>
      <c r="L313" s="5">
        <f>IF(A313="","",IFERROR(_xludf.XLOOKUP(A313,ATTENDANCE_SUMMARY!A:A,ATTENDANCE_SUMMARY!G:G,""),""))</f>
        <v/>
      </c>
      <c r="M313" s="4">
        <f>IF(A313="","",IF(OR(E313&lt;50,AND(L313&lt;0.75,L313&lt;&gt;"" )),"At Risk","On Track"))</f>
        <v/>
      </c>
    </row>
    <row r="314">
      <c r="A314">
        <f>IF(MASTER_REGISTER!E314="","",MASTER_REGISTER!E314)</f>
        <v/>
      </c>
      <c r="B314">
        <f>IF(A314="","",MASTER_REGISTER!F314)</f>
        <v/>
      </c>
      <c r="C314">
        <f>IF(A314="","",MASTER_REGISTER!C314)</f>
        <v/>
      </c>
      <c r="D314">
        <f>IF(A314="","",COUNTIF(ASSESSMENTS!B:B,A314))</f>
        <v/>
      </c>
      <c r="E314" s="4">
        <f>IF(D314=0,"",ROUND(AVERAGEIF(ASSESSMENTS!B:B,A314,ASSESSMENTS!H:H),1))</f>
        <v/>
      </c>
      <c r="F314" s="4">
        <f>IF(A314="","",IFERROR(ROUND(AVERAGEIFS(ASSESSMENTS!H:H,ASSESSMENTS!B:B,A314,ASSESSMENTS!E:E,"Mathematics"),1),""))</f>
        <v/>
      </c>
      <c r="G314" s="4">
        <f>IF(A314="","",IFERROR(ROUND(AVERAGEIFS(ASSESSMENTS!H:H,ASSESSMENTS!B:B,A314,ASSESSMENTS!E:E,"Mathematical Literacy"),1),""))</f>
        <v/>
      </c>
      <c r="H314" s="4">
        <f>IF(A314="","",IFERROR(ROUND(AVERAGEIFS(ASSESSMENTS!H:H,ASSESSMENTS!B:B,A314,ASSESSMENTS!E:E,"Physical Sciences"),1),""))</f>
        <v/>
      </c>
      <c r="I314" s="4">
        <f>IF(A314="","",IFERROR(ROUND(AVERAGEIFS(ASSESSMENTS!H:H,ASSESSMENTS!B:B,A314,ASSESSMENTS!E:E,"Geography"),1),""))</f>
        <v/>
      </c>
      <c r="J314" s="4">
        <f>IF(A314="","",IFERROR(ROUND(AVERAGEIFS(ASSESSMENTS!H:H,ASSESSMENTS!B:B,A314,ASSESSMENTS!E:E,"Accounting"),1),""))</f>
        <v/>
      </c>
      <c r="K314" s="4">
        <f>IF(A314="","",IFERROR(ROUND(AVERAGEIFS(ASSESSMENTS!H:H,ASSESSMENTS!B:B,A314,ASSESSMENTS!E:E,"English"),1),""))</f>
        <v/>
      </c>
      <c r="L314" s="5">
        <f>IF(A314="","",IFERROR(_xludf.XLOOKUP(A314,ATTENDANCE_SUMMARY!A:A,ATTENDANCE_SUMMARY!G:G,""),""))</f>
        <v/>
      </c>
      <c r="M314" s="4">
        <f>IF(A314="","",IF(OR(E314&lt;50,AND(L314&lt;0.75,L314&lt;&gt;"" )),"At Risk","On Track"))</f>
        <v/>
      </c>
    </row>
    <row r="315">
      <c r="A315">
        <f>IF(MASTER_REGISTER!E315="","",MASTER_REGISTER!E315)</f>
        <v/>
      </c>
      <c r="B315">
        <f>IF(A315="","",MASTER_REGISTER!F315)</f>
        <v/>
      </c>
      <c r="C315">
        <f>IF(A315="","",MASTER_REGISTER!C315)</f>
        <v/>
      </c>
      <c r="D315">
        <f>IF(A315="","",COUNTIF(ASSESSMENTS!B:B,A315))</f>
        <v/>
      </c>
      <c r="E315" s="4">
        <f>IF(D315=0,"",ROUND(AVERAGEIF(ASSESSMENTS!B:B,A315,ASSESSMENTS!H:H),1))</f>
        <v/>
      </c>
      <c r="F315" s="4">
        <f>IF(A315="","",IFERROR(ROUND(AVERAGEIFS(ASSESSMENTS!H:H,ASSESSMENTS!B:B,A315,ASSESSMENTS!E:E,"Mathematics"),1),""))</f>
        <v/>
      </c>
      <c r="G315" s="4">
        <f>IF(A315="","",IFERROR(ROUND(AVERAGEIFS(ASSESSMENTS!H:H,ASSESSMENTS!B:B,A315,ASSESSMENTS!E:E,"Mathematical Literacy"),1),""))</f>
        <v/>
      </c>
      <c r="H315" s="4">
        <f>IF(A315="","",IFERROR(ROUND(AVERAGEIFS(ASSESSMENTS!H:H,ASSESSMENTS!B:B,A315,ASSESSMENTS!E:E,"Physical Sciences"),1),""))</f>
        <v/>
      </c>
      <c r="I315" s="4">
        <f>IF(A315="","",IFERROR(ROUND(AVERAGEIFS(ASSESSMENTS!H:H,ASSESSMENTS!B:B,A315,ASSESSMENTS!E:E,"Geography"),1),""))</f>
        <v/>
      </c>
      <c r="J315" s="4">
        <f>IF(A315="","",IFERROR(ROUND(AVERAGEIFS(ASSESSMENTS!H:H,ASSESSMENTS!B:B,A315,ASSESSMENTS!E:E,"Accounting"),1),""))</f>
        <v/>
      </c>
      <c r="K315" s="4">
        <f>IF(A315="","",IFERROR(ROUND(AVERAGEIFS(ASSESSMENTS!H:H,ASSESSMENTS!B:B,A315,ASSESSMENTS!E:E,"English"),1),""))</f>
        <v/>
      </c>
      <c r="L315" s="5">
        <f>IF(A315="","",IFERROR(_xludf.XLOOKUP(A315,ATTENDANCE_SUMMARY!A:A,ATTENDANCE_SUMMARY!G:G,""),""))</f>
        <v/>
      </c>
      <c r="M315" s="4">
        <f>IF(A315="","",IF(OR(E315&lt;50,AND(L315&lt;0.75,L315&lt;&gt;"" )),"At Risk","On Track"))</f>
        <v/>
      </c>
    </row>
    <row r="316">
      <c r="A316">
        <f>IF(MASTER_REGISTER!E316="","",MASTER_REGISTER!E316)</f>
        <v/>
      </c>
      <c r="B316">
        <f>IF(A316="","",MASTER_REGISTER!F316)</f>
        <v/>
      </c>
      <c r="C316">
        <f>IF(A316="","",MASTER_REGISTER!C316)</f>
        <v/>
      </c>
      <c r="D316">
        <f>IF(A316="","",COUNTIF(ASSESSMENTS!B:B,A316))</f>
        <v/>
      </c>
      <c r="E316" s="4">
        <f>IF(D316=0,"",ROUND(AVERAGEIF(ASSESSMENTS!B:B,A316,ASSESSMENTS!H:H),1))</f>
        <v/>
      </c>
      <c r="F316" s="4">
        <f>IF(A316="","",IFERROR(ROUND(AVERAGEIFS(ASSESSMENTS!H:H,ASSESSMENTS!B:B,A316,ASSESSMENTS!E:E,"Mathematics"),1),""))</f>
        <v/>
      </c>
      <c r="G316" s="4">
        <f>IF(A316="","",IFERROR(ROUND(AVERAGEIFS(ASSESSMENTS!H:H,ASSESSMENTS!B:B,A316,ASSESSMENTS!E:E,"Mathematical Literacy"),1),""))</f>
        <v/>
      </c>
      <c r="H316" s="4">
        <f>IF(A316="","",IFERROR(ROUND(AVERAGEIFS(ASSESSMENTS!H:H,ASSESSMENTS!B:B,A316,ASSESSMENTS!E:E,"Physical Sciences"),1),""))</f>
        <v/>
      </c>
      <c r="I316" s="4">
        <f>IF(A316="","",IFERROR(ROUND(AVERAGEIFS(ASSESSMENTS!H:H,ASSESSMENTS!B:B,A316,ASSESSMENTS!E:E,"Geography"),1),""))</f>
        <v/>
      </c>
      <c r="J316" s="4">
        <f>IF(A316="","",IFERROR(ROUND(AVERAGEIFS(ASSESSMENTS!H:H,ASSESSMENTS!B:B,A316,ASSESSMENTS!E:E,"Accounting"),1),""))</f>
        <v/>
      </c>
      <c r="K316" s="4">
        <f>IF(A316="","",IFERROR(ROUND(AVERAGEIFS(ASSESSMENTS!H:H,ASSESSMENTS!B:B,A316,ASSESSMENTS!E:E,"English"),1),""))</f>
        <v/>
      </c>
      <c r="L316" s="5">
        <f>IF(A316="","",IFERROR(_xludf.XLOOKUP(A316,ATTENDANCE_SUMMARY!A:A,ATTENDANCE_SUMMARY!G:G,""),""))</f>
        <v/>
      </c>
      <c r="M316" s="4">
        <f>IF(A316="","",IF(OR(E316&lt;50,AND(L316&lt;0.75,L316&lt;&gt;"" )),"At Risk","On Track"))</f>
        <v/>
      </c>
    </row>
    <row r="317">
      <c r="A317">
        <f>IF(MASTER_REGISTER!E317="","",MASTER_REGISTER!E317)</f>
        <v/>
      </c>
      <c r="B317">
        <f>IF(A317="","",MASTER_REGISTER!F317)</f>
        <v/>
      </c>
      <c r="C317">
        <f>IF(A317="","",MASTER_REGISTER!C317)</f>
        <v/>
      </c>
      <c r="D317">
        <f>IF(A317="","",COUNTIF(ASSESSMENTS!B:B,A317))</f>
        <v/>
      </c>
      <c r="E317" s="4">
        <f>IF(D317=0,"",ROUND(AVERAGEIF(ASSESSMENTS!B:B,A317,ASSESSMENTS!H:H),1))</f>
        <v/>
      </c>
      <c r="F317" s="4">
        <f>IF(A317="","",IFERROR(ROUND(AVERAGEIFS(ASSESSMENTS!H:H,ASSESSMENTS!B:B,A317,ASSESSMENTS!E:E,"Mathematics"),1),""))</f>
        <v/>
      </c>
      <c r="G317" s="4">
        <f>IF(A317="","",IFERROR(ROUND(AVERAGEIFS(ASSESSMENTS!H:H,ASSESSMENTS!B:B,A317,ASSESSMENTS!E:E,"Mathematical Literacy"),1),""))</f>
        <v/>
      </c>
      <c r="H317" s="4">
        <f>IF(A317="","",IFERROR(ROUND(AVERAGEIFS(ASSESSMENTS!H:H,ASSESSMENTS!B:B,A317,ASSESSMENTS!E:E,"Physical Sciences"),1),""))</f>
        <v/>
      </c>
      <c r="I317" s="4">
        <f>IF(A317="","",IFERROR(ROUND(AVERAGEIFS(ASSESSMENTS!H:H,ASSESSMENTS!B:B,A317,ASSESSMENTS!E:E,"Geography"),1),""))</f>
        <v/>
      </c>
      <c r="J317" s="4">
        <f>IF(A317="","",IFERROR(ROUND(AVERAGEIFS(ASSESSMENTS!H:H,ASSESSMENTS!B:B,A317,ASSESSMENTS!E:E,"Accounting"),1),""))</f>
        <v/>
      </c>
      <c r="K317" s="4">
        <f>IF(A317="","",IFERROR(ROUND(AVERAGEIFS(ASSESSMENTS!H:H,ASSESSMENTS!B:B,A317,ASSESSMENTS!E:E,"English"),1),""))</f>
        <v/>
      </c>
      <c r="L317" s="5">
        <f>IF(A317="","",IFERROR(_xludf.XLOOKUP(A317,ATTENDANCE_SUMMARY!A:A,ATTENDANCE_SUMMARY!G:G,""),""))</f>
        <v/>
      </c>
      <c r="M317" s="4">
        <f>IF(A317="","",IF(OR(E317&lt;50,AND(L317&lt;0.75,L317&lt;&gt;"" )),"At Risk","On Track"))</f>
        <v/>
      </c>
    </row>
    <row r="318">
      <c r="A318">
        <f>IF(MASTER_REGISTER!E318="","",MASTER_REGISTER!E318)</f>
        <v/>
      </c>
      <c r="B318">
        <f>IF(A318="","",MASTER_REGISTER!F318)</f>
        <v/>
      </c>
      <c r="C318">
        <f>IF(A318="","",MASTER_REGISTER!C318)</f>
        <v/>
      </c>
      <c r="D318">
        <f>IF(A318="","",COUNTIF(ASSESSMENTS!B:B,A318))</f>
        <v/>
      </c>
      <c r="E318" s="4">
        <f>IF(D318=0,"",ROUND(AVERAGEIF(ASSESSMENTS!B:B,A318,ASSESSMENTS!H:H),1))</f>
        <v/>
      </c>
      <c r="F318" s="4">
        <f>IF(A318="","",IFERROR(ROUND(AVERAGEIFS(ASSESSMENTS!H:H,ASSESSMENTS!B:B,A318,ASSESSMENTS!E:E,"Mathematics"),1),""))</f>
        <v/>
      </c>
      <c r="G318" s="4">
        <f>IF(A318="","",IFERROR(ROUND(AVERAGEIFS(ASSESSMENTS!H:H,ASSESSMENTS!B:B,A318,ASSESSMENTS!E:E,"Mathematical Literacy"),1),""))</f>
        <v/>
      </c>
      <c r="H318" s="4">
        <f>IF(A318="","",IFERROR(ROUND(AVERAGEIFS(ASSESSMENTS!H:H,ASSESSMENTS!B:B,A318,ASSESSMENTS!E:E,"Physical Sciences"),1),""))</f>
        <v/>
      </c>
      <c r="I318" s="4">
        <f>IF(A318="","",IFERROR(ROUND(AVERAGEIFS(ASSESSMENTS!H:H,ASSESSMENTS!B:B,A318,ASSESSMENTS!E:E,"Geography"),1),""))</f>
        <v/>
      </c>
      <c r="J318" s="4">
        <f>IF(A318="","",IFERROR(ROUND(AVERAGEIFS(ASSESSMENTS!H:H,ASSESSMENTS!B:B,A318,ASSESSMENTS!E:E,"Accounting"),1),""))</f>
        <v/>
      </c>
      <c r="K318" s="4">
        <f>IF(A318="","",IFERROR(ROUND(AVERAGEIFS(ASSESSMENTS!H:H,ASSESSMENTS!B:B,A318,ASSESSMENTS!E:E,"English"),1),""))</f>
        <v/>
      </c>
      <c r="L318" s="5">
        <f>IF(A318="","",IFERROR(_xludf.XLOOKUP(A318,ATTENDANCE_SUMMARY!A:A,ATTENDANCE_SUMMARY!G:G,""),""))</f>
        <v/>
      </c>
      <c r="M318" s="4">
        <f>IF(A318="","",IF(OR(E318&lt;50,AND(L318&lt;0.75,L318&lt;&gt;"" )),"At Risk","On Track"))</f>
        <v/>
      </c>
    </row>
    <row r="319">
      <c r="A319">
        <f>IF(MASTER_REGISTER!E319="","",MASTER_REGISTER!E319)</f>
        <v/>
      </c>
      <c r="B319">
        <f>IF(A319="","",MASTER_REGISTER!F319)</f>
        <v/>
      </c>
      <c r="C319">
        <f>IF(A319="","",MASTER_REGISTER!C319)</f>
        <v/>
      </c>
      <c r="D319">
        <f>IF(A319="","",COUNTIF(ASSESSMENTS!B:B,A319))</f>
        <v/>
      </c>
      <c r="E319" s="4">
        <f>IF(D319=0,"",ROUND(AVERAGEIF(ASSESSMENTS!B:B,A319,ASSESSMENTS!H:H),1))</f>
        <v/>
      </c>
      <c r="F319" s="4">
        <f>IF(A319="","",IFERROR(ROUND(AVERAGEIFS(ASSESSMENTS!H:H,ASSESSMENTS!B:B,A319,ASSESSMENTS!E:E,"Mathematics"),1),""))</f>
        <v/>
      </c>
      <c r="G319" s="4">
        <f>IF(A319="","",IFERROR(ROUND(AVERAGEIFS(ASSESSMENTS!H:H,ASSESSMENTS!B:B,A319,ASSESSMENTS!E:E,"Mathematical Literacy"),1),""))</f>
        <v/>
      </c>
      <c r="H319" s="4">
        <f>IF(A319="","",IFERROR(ROUND(AVERAGEIFS(ASSESSMENTS!H:H,ASSESSMENTS!B:B,A319,ASSESSMENTS!E:E,"Physical Sciences"),1),""))</f>
        <v/>
      </c>
      <c r="I319" s="4">
        <f>IF(A319="","",IFERROR(ROUND(AVERAGEIFS(ASSESSMENTS!H:H,ASSESSMENTS!B:B,A319,ASSESSMENTS!E:E,"Geography"),1),""))</f>
        <v/>
      </c>
      <c r="J319" s="4">
        <f>IF(A319="","",IFERROR(ROUND(AVERAGEIFS(ASSESSMENTS!H:H,ASSESSMENTS!B:B,A319,ASSESSMENTS!E:E,"Accounting"),1),""))</f>
        <v/>
      </c>
      <c r="K319" s="4">
        <f>IF(A319="","",IFERROR(ROUND(AVERAGEIFS(ASSESSMENTS!H:H,ASSESSMENTS!B:B,A319,ASSESSMENTS!E:E,"English"),1),""))</f>
        <v/>
      </c>
      <c r="L319" s="5">
        <f>IF(A319="","",IFERROR(_xludf.XLOOKUP(A319,ATTENDANCE_SUMMARY!A:A,ATTENDANCE_SUMMARY!G:G,""),""))</f>
        <v/>
      </c>
      <c r="M319" s="4">
        <f>IF(A319="","",IF(OR(E319&lt;50,AND(L319&lt;0.75,L319&lt;&gt;"" )),"At Risk","On Track"))</f>
        <v/>
      </c>
    </row>
    <row r="320">
      <c r="A320">
        <f>IF(MASTER_REGISTER!E320="","",MASTER_REGISTER!E320)</f>
        <v/>
      </c>
      <c r="B320">
        <f>IF(A320="","",MASTER_REGISTER!F320)</f>
        <v/>
      </c>
      <c r="C320">
        <f>IF(A320="","",MASTER_REGISTER!C320)</f>
        <v/>
      </c>
      <c r="D320">
        <f>IF(A320="","",COUNTIF(ASSESSMENTS!B:B,A320))</f>
        <v/>
      </c>
      <c r="E320" s="4">
        <f>IF(D320=0,"",ROUND(AVERAGEIF(ASSESSMENTS!B:B,A320,ASSESSMENTS!H:H),1))</f>
        <v/>
      </c>
      <c r="F320" s="4">
        <f>IF(A320="","",IFERROR(ROUND(AVERAGEIFS(ASSESSMENTS!H:H,ASSESSMENTS!B:B,A320,ASSESSMENTS!E:E,"Mathematics"),1),""))</f>
        <v/>
      </c>
      <c r="G320" s="4">
        <f>IF(A320="","",IFERROR(ROUND(AVERAGEIFS(ASSESSMENTS!H:H,ASSESSMENTS!B:B,A320,ASSESSMENTS!E:E,"Mathematical Literacy"),1),""))</f>
        <v/>
      </c>
      <c r="H320" s="4">
        <f>IF(A320="","",IFERROR(ROUND(AVERAGEIFS(ASSESSMENTS!H:H,ASSESSMENTS!B:B,A320,ASSESSMENTS!E:E,"Physical Sciences"),1),""))</f>
        <v/>
      </c>
      <c r="I320" s="4">
        <f>IF(A320="","",IFERROR(ROUND(AVERAGEIFS(ASSESSMENTS!H:H,ASSESSMENTS!B:B,A320,ASSESSMENTS!E:E,"Geography"),1),""))</f>
        <v/>
      </c>
      <c r="J320" s="4">
        <f>IF(A320="","",IFERROR(ROUND(AVERAGEIFS(ASSESSMENTS!H:H,ASSESSMENTS!B:B,A320,ASSESSMENTS!E:E,"Accounting"),1),""))</f>
        <v/>
      </c>
      <c r="K320" s="4">
        <f>IF(A320="","",IFERROR(ROUND(AVERAGEIFS(ASSESSMENTS!H:H,ASSESSMENTS!B:B,A320,ASSESSMENTS!E:E,"English"),1),""))</f>
        <v/>
      </c>
      <c r="L320" s="5">
        <f>IF(A320="","",IFERROR(_xludf.XLOOKUP(A320,ATTENDANCE_SUMMARY!A:A,ATTENDANCE_SUMMARY!G:G,""),""))</f>
        <v/>
      </c>
      <c r="M320" s="4">
        <f>IF(A320="","",IF(OR(E320&lt;50,AND(L320&lt;0.75,L320&lt;&gt;"" )),"At Risk","On Track"))</f>
        <v/>
      </c>
    </row>
    <row r="321">
      <c r="A321">
        <f>IF(MASTER_REGISTER!E321="","",MASTER_REGISTER!E321)</f>
        <v/>
      </c>
      <c r="B321">
        <f>IF(A321="","",MASTER_REGISTER!F321)</f>
        <v/>
      </c>
      <c r="C321">
        <f>IF(A321="","",MASTER_REGISTER!C321)</f>
        <v/>
      </c>
      <c r="D321">
        <f>IF(A321="","",COUNTIF(ASSESSMENTS!B:B,A321))</f>
        <v/>
      </c>
      <c r="E321" s="4">
        <f>IF(D321=0,"",ROUND(AVERAGEIF(ASSESSMENTS!B:B,A321,ASSESSMENTS!H:H),1))</f>
        <v/>
      </c>
      <c r="F321" s="4">
        <f>IF(A321="","",IFERROR(ROUND(AVERAGEIFS(ASSESSMENTS!H:H,ASSESSMENTS!B:B,A321,ASSESSMENTS!E:E,"Mathematics"),1),""))</f>
        <v/>
      </c>
      <c r="G321" s="4">
        <f>IF(A321="","",IFERROR(ROUND(AVERAGEIFS(ASSESSMENTS!H:H,ASSESSMENTS!B:B,A321,ASSESSMENTS!E:E,"Mathematical Literacy"),1),""))</f>
        <v/>
      </c>
      <c r="H321" s="4">
        <f>IF(A321="","",IFERROR(ROUND(AVERAGEIFS(ASSESSMENTS!H:H,ASSESSMENTS!B:B,A321,ASSESSMENTS!E:E,"Physical Sciences"),1),""))</f>
        <v/>
      </c>
      <c r="I321" s="4">
        <f>IF(A321="","",IFERROR(ROUND(AVERAGEIFS(ASSESSMENTS!H:H,ASSESSMENTS!B:B,A321,ASSESSMENTS!E:E,"Geography"),1),""))</f>
        <v/>
      </c>
      <c r="J321" s="4">
        <f>IF(A321="","",IFERROR(ROUND(AVERAGEIFS(ASSESSMENTS!H:H,ASSESSMENTS!B:B,A321,ASSESSMENTS!E:E,"Accounting"),1),""))</f>
        <v/>
      </c>
      <c r="K321" s="4">
        <f>IF(A321="","",IFERROR(ROUND(AVERAGEIFS(ASSESSMENTS!H:H,ASSESSMENTS!B:B,A321,ASSESSMENTS!E:E,"English"),1),""))</f>
        <v/>
      </c>
      <c r="L321" s="5">
        <f>IF(A321="","",IFERROR(_xludf.XLOOKUP(A321,ATTENDANCE_SUMMARY!A:A,ATTENDANCE_SUMMARY!G:G,""),""))</f>
        <v/>
      </c>
      <c r="M321" s="4">
        <f>IF(A321="","",IF(OR(E321&lt;50,AND(L321&lt;0.75,L321&lt;&gt;"" )),"At Risk","On Track"))</f>
        <v/>
      </c>
    </row>
    <row r="322">
      <c r="A322">
        <f>IF(MASTER_REGISTER!E322="","",MASTER_REGISTER!E322)</f>
        <v/>
      </c>
      <c r="B322">
        <f>IF(A322="","",MASTER_REGISTER!F322)</f>
        <v/>
      </c>
      <c r="C322">
        <f>IF(A322="","",MASTER_REGISTER!C322)</f>
        <v/>
      </c>
      <c r="D322">
        <f>IF(A322="","",COUNTIF(ASSESSMENTS!B:B,A322))</f>
        <v/>
      </c>
      <c r="E322" s="4">
        <f>IF(D322=0,"",ROUND(AVERAGEIF(ASSESSMENTS!B:B,A322,ASSESSMENTS!H:H),1))</f>
        <v/>
      </c>
      <c r="F322" s="4">
        <f>IF(A322="","",IFERROR(ROUND(AVERAGEIFS(ASSESSMENTS!H:H,ASSESSMENTS!B:B,A322,ASSESSMENTS!E:E,"Mathematics"),1),""))</f>
        <v/>
      </c>
      <c r="G322" s="4">
        <f>IF(A322="","",IFERROR(ROUND(AVERAGEIFS(ASSESSMENTS!H:H,ASSESSMENTS!B:B,A322,ASSESSMENTS!E:E,"Mathematical Literacy"),1),""))</f>
        <v/>
      </c>
      <c r="H322" s="4">
        <f>IF(A322="","",IFERROR(ROUND(AVERAGEIFS(ASSESSMENTS!H:H,ASSESSMENTS!B:B,A322,ASSESSMENTS!E:E,"Physical Sciences"),1),""))</f>
        <v/>
      </c>
      <c r="I322" s="4">
        <f>IF(A322="","",IFERROR(ROUND(AVERAGEIFS(ASSESSMENTS!H:H,ASSESSMENTS!B:B,A322,ASSESSMENTS!E:E,"Geography"),1),""))</f>
        <v/>
      </c>
      <c r="J322" s="4">
        <f>IF(A322="","",IFERROR(ROUND(AVERAGEIFS(ASSESSMENTS!H:H,ASSESSMENTS!B:B,A322,ASSESSMENTS!E:E,"Accounting"),1),""))</f>
        <v/>
      </c>
      <c r="K322" s="4">
        <f>IF(A322="","",IFERROR(ROUND(AVERAGEIFS(ASSESSMENTS!H:H,ASSESSMENTS!B:B,A322,ASSESSMENTS!E:E,"English"),1),""))</f>
        <v/>
      </c>
      <c r="L322" s="5">
        <f>IF(A322="","",IFERROR(_xludf.XLOOKUP(A322,ATTENDANCE_SUMMARY!A:A,ATTENDANCE_SUMMARY!G:G,""),""))</f>
        <v/>
      </c>
      <c r="M322" s="4">
        <f>IF(A322="","",IF(OR(E322&lt;50,AND(L322&lt;0.75,L322&lt;&gt;"" )),"At Risk","On Track"))</f>
        <v/>
      </c>
    </row>
    <row r="323">
      <c r="A323">
        <f>IF(MASTER_REGISTER!E323="","",MASTER_REGISTER!E323)</f>
        <v/>
      </c>
      <c r="B323">
        <f>IF(A323="","",MASTER_REGISTER!F323)</f>
        <v/>
      </c>
      <c r="C323">
        <f>IF(A323="","",MASTER_REGISTER!C323)</f>
        <v/>
      </c>
      <c r="D323">
        <f>IF(A323="","",COUNTIF(ASSESSMENTS!B:B,A323))</f>
        <v/>
      </c>
      <c r="E323" s="4">
        <f>IF(D323=0,"",ROUND(AVERAGEIF(ASSESSMENTS!B:B,A323,ASSESSMENTS!H:H),1))</f>
        <v/>
      </c>
      <c r="F323" s="4">
        <f>IF(A323="","",IFERROR(ROUND(AVERAGEIFS(ASSESSMENTS!H:H,ASSESSMENTS!B:B,A323,ASSESSMENTS!E:E,"Mathematics"),1),""))</f>
        <v/>
      </c>
      <c r="G323" s="4">
        <f>IF(A323="","",IFERROR(ROUND(AVERAGEIFS(ASSESSMENTS!H:H,ASSESSMENTS!B:B,A323,ASSESSMENTS!E:E,"Mathematical Literacy"),1),""))</f>
        <v/>
      </c>
      <c r="H323" s="4">
        <f>IF(A323="","",IFERROR(ROUND(AVERAGEIFS(ASSESSMENTS!H:H,ASSESSMENTS!B:B,A323,ASSESSMENTS!E:E,"Physical Sciences"),1),""))</f>
        <v/>
      </c>
      <c r="I323" s="4">
        <f>IF(A323="","",IFERROR(ROUND(AVERAGEIFS(ASSESSMENTS!H:H,ASSESSMENTS!B:B,A323,ASSESSMENTS!E:E,"Geography"),1),""))</f>
        <v/>
      </c>
      <c r="J323" s="4">
        <f>IF(A323="","",IFERROR(ROUND(AVERAGEIFS(ASSESSMENTS!H:H,ASSESSMENTS!B:B,A323,ASSESSMENTS!E:E,"Accounting"),1),""))</f>
        <v/>
      </c>
      <c r="K323" s="4">
        <f>IF(A323="","",IFERROR(ROUND(AVERAGEIFS(ASSESSMENTS!H:H,ASSESSMENTS!B:B,A323,ASSESSMENTS!E:E,"English"),1),""))</f>
        <v/>
      </c>
      <c r="L323" s="5">
        <f>IF(A323="","",IFERROR(_xludf.XLOOKUP(A323,ATTENDANCE_SUMMARY!A:A,ATTENDANCE_SUMMARY!G:G,""),""))</f>
        <v/>
      </c>
      <c r="M323" s="4">
        <f>IF(A323="","",IF(OR(E323&lt;50,AND(L323&lt;0.75,L323&lt;&gt;"" )),"At Risk","On Track"))</f>
        <v/>
      </c>
    </row>
    <row r="324">
      <c r="A324">
        <f>IF(MASTER_REGISTER!E324="","",MASTER_REGISTER!E324)</f>
        <v/>
      </c>
      <c r="B324">
        <f>IF(A324="","",MASTER_REGISTER!F324)</f>
        <v/>
      </c>
      <c r="C324">
        <f>IF(A324="","",MASTER_REGISTER!C324)</f>
        <v/>
      </c>
      <c r="D324">
        <f>IF(A324="","",COUNTIF(ASSESSMENTS!B:B,A324))</f>
        <v/>
      </c>
      <c r="E324" s="4">
        <f>IF(D324=0,"",ROUND(AVERAGEIF(ASSESSMENTS!B:B,A324,ASSESSMENTS!H:H),1))</f>
        <v/>
      </c>
      <c r="F324" s="4">
        <f>IF(A324="","",IFERROR(ROUND(AVERAGEIFS(ASSESSMENTS!H:H,ASSESSMENTS!B:B,A324,ASSESSMENTS!E:E,"Mathematics"),1),""))</f>
        <v/>
      </c>
      <c r="G324" s="4">
        <f>IF(A324="","",IFERROR(ROUND(AVERAGEIFS(ASSESSMENTS!H:H,ASSESSMENTS!B:B,A324,ASSESSMENTS!E:E,"Mathematical Literacy"),1),""))</f>
        <v/>
      </c>
      <c r="H324" s="4">
        <f>IF(A324="","",IFERROR(ROUND(AVERAGEIFS(ASSESSMENTS!H:H,ASSESSMENTS!B:B,A324,ASSESSMENTS!E:E,"Physical Sciences"),1),""))</f>
        <v/>
      </c>
      <c r="I324" s="4">
        <f>IF(A324="","",IFERROR(ROUND(AVERAGEIFS(ASSESSMENTS!H:H,ASSESSMENTS!B:B,A324,ASSESSMENTS!E:E,"Geography"),1),""))</f>
        <v/>
      </c>
      <c r="J324" s="4">
        <f>IF(A324="","",IFERROR(ROUND(AVERAGEIFS(ASSESSMENTS!H:H,ASSESSMENTS!B:B,A324,ASSESSMENTS!E:E,"Accounting"),1),""))</f>
        <v/>
      </c>
      <c r="K324" s="4">
        <f>IF(A324="","",IFERROR(ROUND(AVERAGEIFS(ASSESSMENTS!H:H,ASSESSMENTS!B:B,A324,ASSESSMENTS!E:E,"English"),1),""))</f>
        <v/>
      </c>
      <c r="L324" s="5">
        <f>IF(A324="","",IFERROR(_xludf.XLOOKUP(A324,ATTENDANCE_SUMMARY!A:A,ATTENDANCE_SUMMARY!G:G,""),""))</f>
        <v/>
      </c>
      <c r="M324" s="4">
        <f>IF(A324="","",IF(OR(E324&lt;50,AND(L324&lt;0.75,L324&lt;&gt;"" )),"At Risk","On Track"))</f>
        <v/>
      </c>
    </row>
    <row r="325">
      <c r="A325">
        <f>IF(MASTER_REGISTER!E325="","",MASTER_REGISTER!E325)</f>
        <v/>
      </c>
      <c r="B325">
        <f>IF(A325="","",MASTER_REGISTER!F325)</f>
        <v/>
      </c>
      <c r="C325">
        <f>IF(A325="","",MASTER_REGISTER!C325)</f>
        <v/>
      </c>
      <c r="D325">
        <f>IF(A325="","",COUNTIF(ASSESSMENTS!B:B,A325))</f>
        <v/>
      </c>
      <c r="E325" s="4">
        <f>IF(D325=0,"",ROUND(AVERAGEIF(ASSESSMENTS!B:B,A325,ASSESSMENTS!H:H),1))</f>
        <v/>
      </c>
      <c r="F325" s="4">
        <f>IF(A325="","",IFERROR(ROUND(AVERAGEIFS(ASSESSMENTS!H:H,ASSESSMENTS!B:B,A325,ASSESSMENTS!E:E,"Mathematics"),1),""))</f>
        <v/>
      </c>
      <c r="G325" s="4">
        <f>IF(A325="","",IFERROR(ROUND(AVERAGEIFS(ASSESSMENTS!H:H,ASSESSMENTS!B:B,A325,ASSESSMENTS!E:E,"Mathematical Literacy"),1),""))</f>
        <v/>
      </c>
      <c r="H325" s="4">
        <f>IF(A325="","",IFERROR(ROUND(AVERAGEIFS(ASSESSMENTS!H:H,ASSESSMENTS!B:B,A325,ASSESSMENTS!E:E,"Physical Sciences"),1),""))</f>
        <v/>
      </c>
      <c r="I325" s="4">
        <f>IF(A325="","",IFERROR(ROUND(AVERAGEIFS(ASSESSMENTS!H:H,ASSESSMENTS!B:B,A325,ASSESSMENTS!E:E,"Geography"),1),""))</f>
        <v/>
      </c>
      <c r="J325" s="4">
        <f>IF(A325="","",IFERROR(ROUND(AVERAGEIFS(ASSESSMENTS!H:H,ASSESSMENTS!B:B,A325,ASSESSMENTS!E:E,"Accounting"),1),""))</f>
        <v/>
      </c>
      <c r="K325" s="4">
        <f>IF(A325="","",IFERROR(ROUND(AVERAGEIFS(ASSESSMENTS!H:H,ASSESSMENTS!B:B,A325,ASSESSMENTS!E:E,"English"),1),""))</f>
        <v/>
      </c>
      <c r="L325" s="5">
        <f>IF(A325="","",IFERROR(_xludf.XLOOKUP(A325,ATTENDANCE_SUMMARY!A:A,ATTENDANCE_SUMMARY!G:G,""),""))</f>
        <v/>
      </c>
      <c r="M325" s="4">
        <f>IF(A325="","",IF(OR(E325&lt;50,AND(L325&lt;0.75,L325&lt;&gt;"" )),"At Risk","On Track"))</f>
        <v/>
      </c>
    </row>
    <row r="326">
      <c r="A326">
        <f>IF(MASTER_REGISTER!E326="","",MASTER_REGISTER!E326)</f>
        <v/>
      </c>
      <c r="B326">
        <f>IF(A326="","",MASTER_REGISTER!F326)</f>
        <v/>
      </c>
      <c r="C326">
        <f>IF(A326="","",MASTER_REGISTER!C326)</f>
        <v/>
      </c>
      <c r="D326">
        <f>IF(A326="","",COUNTIF(ASSESSMENTS!B:B,A326))</f>
        <v/>
      </c>
      <c r="E326" s="4">
        <f>IF(D326=0,"",ROUND(AVERAGEIF(ASSESSMENTS!B:B,A326,ASSESSMENTS!H:H),1))</f>
        <v/>
      </c>
      <c r="F326" s="4">
        <f>IF(A326="","",IFERROR(ROUND(AVERAGEIFS(ASSESSMENTS!H:H,ASSESSMENTS!B:B,A326,ASSESSMENTS!E:E,"Mathematics"),1),""))</f>
        <v/>
      </c>
      <c r="G326" s="4">
        <f>IF(A326="","",IFERROR(ROUND(AVERAGEIFS(ASSESSMENTS!H:H,ASSESSMENTS!B:B,A326,ASSESSMENTS!E:E,"Mathematical Literacy"),1),""))</f>
        <v/>
      </c>
      <c r="H326" s="4">
        <f>IF(A326="","",IFERROR(ROUND(AVERAGEIFS(ASSESSMENTS!H:H,ASSESSMENTS!B:B,A326,ASSESSMENTS!E:E,"Physical Sciences"),1),""))</f>
        <v/>
      </c>
      <c r="I326" s="4">
        <f>IF(A326="","",IFERROR(ROUND(AVERAGEIFS(ASSESSMENTS!H:H,ASSESSMENTS!B:B,A326,ASSESSMENTS!E:E,"Geography"),1),""))</f>
        <v/>
      </c>
      <c r="J326" s="4">
        <f>IF(A326="","",IFERROR(ROUND(AVERAGEIFS(ASSESSMENTS!H:H,ASSESSMENTS!B:B,A326,ASSESSMENTS!E:E,"Accounting"),1),""))</f>
        <v/>
      </c>
      <c r="K326" s="4">
        <f>IF(A326="","",IFERROR(ROUND(AVERAGEIFS(ASSESSMENTS!H:H,ASSESSMENTS!B:B,A326,ASSESSMENTS!E:E,"English"),1),""))</f>
        <v/>
      </c>
      <c r="L326" s="5">
        <f>IF(A326="","",IFERROR(_xludf.XLOOKUP(A326,ATTENDANCE_SUMMARY!A:A,ATTENDANCE_SUMMARY!G:G,""),""))</f>
        <v/>
      </c>
      <c r="M326" s="4">
        <f>IF(A326="","",IF(OR(E326&lt;50,AND(L326&lt;0.75,L326&lt;&gt;"" )),"At Risk","On Track"))</f>
        <v/>
      </c>
    </row>
    <row r="327">
      <c r="A327">
        <f>IF(MASTER_REGISTER!E327="","",MASTER_REGISTER!E327)</f>
        <v/>
      </c>
      <c r="B327">
        <f>IF(A327="","",MASTER_REGISTER!F327)</f>
        <v/>
      </c>
      <c r="C327">
        <f>IF(A327="","",MASTER_REGISTER!C327)</f>
        <v/>
      </c>
      <c r="D327">
        <f>IF(A327="","",COUNTIF(ASSESSMENTS!B:B,A327))</f>
        <v/>
      </c>
      <c r="E327" s="4">
        <f>IF(D327=0,"",ROUND(AVERAGEIF(ASSESSMENTS!B:B,A327,ASSESSMENTS!H:H),1))</f>
        <v/>
      </c>
      <c r="F327" s="4">
        <f>IF(A327="","",IFERROR(ROUND(AVERAGEIFS(ASSESSMENTS!H:H,ASSESSMENTS!B:B,A327,ASSESSMENTS!E:E,"Mathematics"),1),""))</f>
        <v/>
      </c>
      <c r="G327" s="4">
        <f>IF(A327="","",IFERROR(ROUND(AVERAGEIFS(ASSESSMENTS!H:H,ASSESSMENTS!B:B,A327,ASSESSMENTS!E:E,"Mathematical Literacy"),1),""))</f>
        <v/>
      </c>
      <c r="H327" s="4">
        <f>IF(A327="","",IFERROR(ROUND(AVERAGEIFS(ASSESSMENTS!H:H,ASSESSMENTS!B:B,A327,ASSESSMENTS!E:E,"Physical Sciences"),1),""))</f>
        <v/>
      </c>
      <c r="I327" s="4">
        <f>IF(A327="","",IFERROR(ROUND(AVERAGEIFS(ASSESSMENTS!H:H,ASSESSMENTS!B:B,A327,ASSESSMENTS!E:E,"Geography"),1),""))</f>
        <v/>
      </c>
      <c r="J327" s="4">
        <f>IF(A327="","",IFERROR(ROUND(AVERAGEIFS(ASSESSMENTS!H:H,ASSESSMENTS!B:B,A327,ASSESSMENTS!E:E,"Accounting"),1),""))</f>
        <v/>
      </c>
      <c r="K327" s="4">
        <f>IF(A327="","",IFERROR(ROUND(AVERAGEIFS(ASSESSMENTS!H:H,ASSESSMENTS!B:B,A327,ASSESSMENTS!E:E,"English"),1),""))</f>
        <v/>
      </c>
      <c r="L327" s="5">
        <f>IF(A327="","",IFERROR(_xludf.XLOOKUP(A327,ATTENDANCE_SUMMARY!A:A,ATTENDANCE_SUMMARY!G:G,""),""))</f>
        <v/>
      </c>
      <c r="M327" s="4">
        <f>IF(A327="","",IF(OR(E327&lt;50,AND(L327&lt;0.75,L327&lt;&gt;"" )),"At Risk","On Track"))</f>
        <v/>
      </c>
    </row>
    <row r="328">
      <c r="A328">
        <f>IF(MASTER_REGISTER!E328="","",MASTER_REGISTER!E328)</f>
        <v/>
      </c>
      <c r="B328">
        <f>IF(A328="","",MASTER_REGISTER!F328)</f>
        <v/>
      </c>
      <c r="C328">
        <f>IF(A328="","",MASTER_REGISTER!C328)</f>
        <v/>
      </c>
      <c r="D328">
        <f>IF(A328="","",COUNTIF(ASSESSMENTS!B:B,A328))</f>
        <v/>
      </c>
      <c r="E328" s="4">
        <f>IF(D328=0,"",ROUND(AVERAGEIF(ASSESSMENTS!B:B,A328,ASSESSMENTS!H:H),1))</f>
        <v/>
      </c>
      <c r="F328" s="4">
        <f>IF(A328="","",IFERROR(ROUND(AVERAGEIFS(ASSESSMENTS!H:H,ASSESSMENTS!B:B,A328,ASSESSMENTS!E:E,"Mathematics"),1),""))</f>
        <v/>
      </c>
      <c r="G328" s="4">
        <f>IF(A328="","",IFERROR(ROUND(AVERAGEIFS(ASSESSMENTS!H:H,ASSESSMENTS!B:B,A328,ASSESSMENTS!E:E,"Mathematical Literacy"),1),""))</f>
        <v/>
      </c>
      <c r="H328" s="4">
        <f>IF(A328="","",IFERROR(ROUND(AVERAGEIFS(ASSESSMENTS!H:H,ASSESSMENTS!B:B,A328,ASSESSMENTS!E:E,"Physical Sciences"),1),""))</f>
        <v/>
      </c>
      <c r="I328" s="4">
        <f>IF(A328="","",IFERROR(ROUND(AVERAGEIFS(ASSESSMENTS!H:H,ASSESSMENTS!B:B,A328,ASSESSMENTS!E:E,"Geography"),1),""))</f>
        <v/>
      </c>
      <c r="J328" s="4">
        <f>IF(A328="","",IFERROR(ROUND(AVERAGEIFS(ASSESSMENTS!H:H,ASSESSMENTS!B:B,A328,ASSESSMENTS!E:E,"Accounting"),1),""))</f>
        <v/>
      </c>
      <c r="K328" s="4">
        <f>IF(A328="","",IFERROR(ROUND(AVERAGEIFS(ASSESSMENTS!H:H,ASSESSMENTS!B:B,A328,ASSESSMENTS!E:E,"English"),1),""))</f>
        <v/>
      </c>
      <c r="L328" s="5">
        <f>IF(A328="","",IFERROR(_xludf.XLOOKUP(A328,ATTENDANCE_SUMMARY!A:A,ATTENDANCE_SUMMARY!G:G,""),""))</f>
        <v/>
      </c>
      <c r="M328" s="4">
        <f>IF(A328="","",IF(OR(E328&lt;50,AND(L328&lt;0.75,L328&lt;&gt;"" )),"At Risk","On Track"))</f>
        <v/>
      </c>
    </row>
    <row r="329">
      <c r="A329">
        <f>IF(MASTER_REGISTER!E329="","",MASTER_REGISTER!E329)</f>
        <v/>
      </c>
      <c r="B329">
        <f>IF(A329="","",MASTER_REGISTER!F329)</f>
        <v/>
      </c>
      <c r="C329">
        <f>IF(A329="","",MASTER_REGISTER!C329)</f>
        <v/>
      </c>
      <c r="D329">
        <f>IF(A329="","",COUNTIF(ASSESSMENTS!B:B,A329))</f>
        <v/>
      </c>
      <c r="E329" s="4">
        <f>IF(D329=0,"",ROUND(AVERAGEIF(ASSESSMENTS!B:B,A329,ASSESSMENTS!H:H),1))</f>
        <v/>
      </c>
      <c r="F329" s="4">
        <f>IF(A329="","",IFERROR(ROUND(AVERAGEIFS(ASSESSMENTS!H:H,ASSESSMENTS!B:B,A329,ASSESSMENTS!E:E,"Mathematics"),1),""))</f>
        <v/>
      </c>
      <c r="G329" s="4">
        <f>IF(A329="","",IFERROR(ROUND(AVERAGEIFS(ASSESSMENTS!H:H,ASSESSMENTS!B:B,A329,ASSESSMENTS!E:E,"Mathematical Literacy"),1),""))</f>
        <v/>
      </c>
      <c r="H329" s="4">
        <f>IF(A329="","",IFERROR(ROUND(AVERAGEIFS(ASSESSMENTS!H:H,ASSESSMENTS!B:B,A329,ASSESSMENTS!E:E,"Physical Sciences"),1),""))</f>
        <v/>
      </c>
      <c r="I329" s="4">
        <f>IF(A329="","",IFERROR(ROUND(AVERAGEIFS(ASSESSMENTS!H:H,ASSESSMENTS!B:B,A329,ASSESSMENTS!E:E,"Geography"),1),""))</f>
        <v/>
      </c>
      <c r="J329" s="4">
        <f>IF(A329="","",IFERROR(ROUND(AVERAGEIFS(ASSESSMENTS!H:H,ASSESSMENTS!B:B,A329,ASSESSMENTS!E:E,"Accounting"),1),""))</f>
        <v/>
      </c>
      <c r="K329" s="4">
        <f>IF(A329="","",IFERROR(ROUND(AVERAGEIFS(ASSESSMENTS!H:H,ASSESSMENTS!B:B,A329,ASSESSMENTS!E:E,"English"),1),""))</f>
        <v/>
      </c>
      <c r="L329" s="5">
        <f>IF(A329="","",IFERROR(_xludf.XLOOKUP(A329,ATTENDANCE_SUMMARY!A:A,ATTENDANCE_SUMMARY!G:G,""),""))</f>
        <v/>
      </c>
      <c r="M329" s="4">
        <f>IF(A329="","",IF(OR(E329&lt;50,AND(L329&lt;0.75,L329&lt;&gt;"" )),"At Risk","On Track"))</f>
        <v/>
      </c>
    </row>
    <row r="330">
      <c r="A330">
        <f>IF(MASTER_REGISTER!E330="","",MASTER_REGISTER!E330)</f>
        <v/>
      </c>
      <c r="B330">
        <f>IF(A330="","",MASTER_REGISTER!F330)</f>
        <v/>
      </c>
      <c r="C330">
        <f>IF(A330="","",MASTER_REGISTER!C330)</f>
        <v/>
      </c>
      <c r="D330">
        <f>IF(A330="","",COUNTIF(ASSESSMENTS!B:B,A330))</f>
        <v/>
      </c>
      <c r="E330" s="4">
        <f>IF(D330=0,"",ROUND(AVERAGEIF(ASSESSMENTS!B:B,A330,ASSESSMENTS!H:H),1))</f>
        <v/>
      </c>
      <c r="F330" s="4">
        <f>IF(A330="","",IFERROR(ROUND(AVERAGEIFS(ASSESSMENTS!H:H,ASSESSMENTS!B:B,A330,ASSESSMENTS!E:E,"Mathematics"),1),""))</f>
        <v/>
      </c>
      <c r="G330" s="4">
        <f>IF(A330="","",IFERROR(ROUND(AVERAGEIFS(ASSESSMENTS!H:H,ASSESSMENTS!B:B,A330,ASSESSMENTS!E:E,"Mathematical Literacy"),1),""))</f>
        <v/>
      </c>
      <c r="H330" s="4">
        <f>IF(A330="","",IFERROR(ROUND(AVERAGEIFS(ASSESSMENTS!H:H,ASSESSMENTS!B:B,A330,ASSESSMENTS!E:E,"Physical Sciences"),1),""))</f>
        <v/>
      </c>
      <c r="I330" s="4">
        <f>IF(A330="","",IFERROR(ROUND(AVERAGEIFS(ASSESSMENTS!H:H,ASSESSMENTS!B:B,A330,ASSESSMENTS!E:E,"Geography"),1),""))</f>
        <v/>
      </c>
      <c r="J330" s="4">
        <f>IF(A330="","",IFERROR(ROUND(AVERAGEIFS(ASSESSMENTS!H:H,ASSESSMENTS!B:B,A330,ASSESSMENTS!E:E,"Accounting"),1),""))</f>
        <v/>
      </c>
      <c r="K330" s="4">
        <f>IF(A330="","",IFERROR(ROUND(AVERAGEIFS(ASSESSMENTS!H:H,ASSESSMENTS!B:B,A330,ASSESSMENTS!E:E,"English"),1),""))</f>
        <v/>
      </c>
      <c r="L330" s="5">
        <f>IF(A330="","",IFERROR(_xludf.XLOOKUP(A330,ATTENDANCE_SUMMARY!A:A,ATTENDANCE_SUMMARY!G:G,""),""))</f>
        <v/>
      </c>
      <c r="M330" s="4">
        <f>IF(A330="","",IF(OR(E330&lt;50,AND(L330&lt;0.75,L330&lt;&gt;"" )),"At Risk","On Track"))</f>
        <v/>
      </c>
    </row>
    <row r="331">
      <c r="A331">
        <f>IF(MASTER_REGISTER!E331="","",MASTER_REGISTER!E331)</f>
        <v/>
      </c>
      <c r="B331">
        <f>IF(A331="","",MASTER_REGISTER!F331)</f>
        <v/>
      </c>
      <c r="C331">
        <f>IF(A331="","",MASTER_REGISTER!C331)</f>
        <v/>
      </c>
      <c r="D331">
        <f>IF(A331="","",COUNTIF(ASSESSMENTS!B:B,A331))</f>
        <v/>
      </c>
      <c r="E331" s="4">
        <f>IF(D331=0,"",ROUND(AVERAGEIF(ASSESSMENTS!B:B,A331,ASSESSMENTS!H:H),1))</f>
        <v/>
      </c>
      <c r="F331" s="4">
        <f>IF(A331="","",IFERROR(ROUND(AVERAGEIFS(ASSESSMENTS!H:H,ASSESSMENTS!B:B,A331,ASSESSMENTS!E:E,"Mathematics"),1),""))</f>
        <v/>
      </c>
      <c r="G331" s="4">
        <f>IF(A331="","",IFERROR(ROUND(AVERAGEIFS(ASSESSMENTS!H:H,ASSESSMENTS!B:B,A331,ASSESSMENTS!E:E,"Mathematical Literacy"),1),""))</f>
        <v/>
      </c>
      <c r="H331" s="4">
        <f>IF(A331="","",IFERROR(ROUND(AVERAGEIFS(ASSESSMENTS!H:H,ASSESSMENTS!B:B,A331,ASSESSMENTS!E:E,"Physical Sciences"),1),""))</f>
        <v/>
      </c>
      <c r="I331" s="4">
        <f>IF(A331="","",IFERROR(ROUND(AVERAGEIFS(ASSESSMENTS!H:H,ASSESSMENTS!B:B,A331,ASSESSMENTS!E:E,"Geography"),1),""))</f>
        <v/>
      </c>
      <c r="J331" s="4">
        <f>IF(A331="","",IFERROR(ROUND(AVERAGEIFS(ASSESSMENTS!H:H,ASSESSMENTS!B:B,A331,ASSESSMENTS!E:E,"Accounting"),1),""))</f>
        <v/>
      </c>
      <c r="K331" s="4">
        <f>IF(A331="","",IFERROR(ROUND(AVERAGEIFS(ASSESSMENTS!H:H,ASSESSMENTS!B:B,A331,ASSESSMENTS!E:E,"English"),1),""))</f>
        <v/>
      </c>
      <c r="L331" s="5">
        <f>IF(A331="","",IFERROR(_xludf.XLOOKUP(A331,ATTENDANCE_SUMMARY!A:A,ATTENDANCE_SUMMARY!G:G,""),""))</f>
        <v/>
      </c>
      <c r="M331" s="4">
        <f>IF(A331="","",IF(OR(E331&lt;50,AND(L331&lt;0.75,L331&lt;&gt;"" )),"At Risk","On Track"))</f>
        <v/>
      </c>
    </row>
    <row r="332">
      <c r="A332">
        <f>IF(MASTER_REGISTER!E332="","",MASTER_REGISTER!E332)</f>
        <v/>
      </c>
      <c r="B332">
        <f>IF(A332="","",MASTER_REGISTER!F332)</f>
        <v/>
      </c>
      <c r="C332">
        <f>IF(A332="","",MASTER_REGISTER!C332)</f>
        <v/>
      </c>
      <c r="D332">
        <f>IF(A332="","",COUNTIF(ASSESSMENTS!B:B,A332))</f>
        <v/>
      </c>
      <c r="E332" s="4">
        <f>IF(D332=0,"",ROUND(AVERAGEIF(ASSESSMENTS!B:B,A332,ASSESSMENTS!H:H),1))</f>
        <v/>
      </c>
      <c r="F332" s="4">
        <f>IF(A332="","",IFERROR(ROUND(AVERAGEIFS(ASSESSMENTS!H:H,ASSESSMENTS!B:B,A332,ASSESSMENTS!E:E,"Mathematics"),1),""))</f>
        <v/>
      </c>
      <c r="G332" s="4">
        <f>IF(A332="","",IFERROR(ROUND(AVERAGEIFS(ASSESSMENTS!H:H,ASSESSMENTS!B:B,A332,ASSESSMENTS!E:E,"Mathematical Literacy"),1),""))</f>
        <v/>
      </c>
      <c r="H332" s="4">
        <f>IF(A332="","",IFERROR(ROUND(AVERAGEIFS(ASSESSMENTS!H:H,ASSESSMENTS!B:B,A332,ASSESSMENTS!E:E,"Physical Sciences"),1),""))</f>
        <v/>
      </c>
      <c r="I332" s="4">
        <f>IF(A332="","",IFERROR(ROUND(AVERAGEIFS(ASSESSMENTS!H:H,ASSESSMENTS!B:B,A332,ASSESSMENTS!E:E,"Geography"),1),""))</f>
        <v/>
      </c>
      <c r="J332" s="4">
        <f>IF(A332="","",IFERROR(ROUND(AVERAGEIFS(ASSESSMENTS!H:H,ASSESSMENTS!B:B,A332,ASSESSMENTS!E:E,"Accounting"),1),""))</f>
        <v/>
      </c>
      <c r="K332" s="4">
        <f>IF(A332="","",IFERROR(ROUND(AVERAGEIFS(ASSESSMENTS!H:H,ASSESSMENTS!B:B,A332,ASSESSMENTS!E:E,"English"),1),""))</f>
        <v/>
      </c>
      <c r="L332" s="5">
        <f>IF(A332="","",IFERROR(_xludf.XLOOKUP(A332,ATTENDANCE_SUMMARY!A:A,ATTENDANCE_SUMMARY!G:G,""),""))</f>
        <v/>
      </c>
      <c r="M332" s="4">
        <f>IF(A332="","",IF(OR(E332&lt;50,AND(L332&lt;0.75,L332&lt;&gt;"" )),"At Risk","On Track"))</f>
        <v/>
      </c>
    </row>
    <row r="333">
      <c r="A333">
        <f>IF(MASTER_REGISTER!E333="","",MASTER_REGISTER!E333)</f>
        <v/>
      </c>
      <c r="B333">
        <f>IF(A333="","",MASTER_REGISTER!F333)</f>
        <v/>
      </c>
      <c r="C333">
        <f>IF(A333="","",MASTER_REGISTER!C333)</f>
        <v/>
      </c>
      <c r="D333">
        <f>IF(A333="","",COUNTIF(ASSESSMENTS!B:B,A333))</f>
        <v/>
      </c>
      <c r="E333" s="4">
        <f>IF(D333=0,"",ROUND(AVERAGEIF(ASSESSMENTS!B:B,A333,ASSESSMENTS!H:H),1))</f>
        <v/>
      </c>
      <c r="F333" s="4">
        <f>IF(A333="","",IFERROR(ROUND(AVERAGEIFS(ASSESSMENTS!H:H,ASSESSMENTS!B:B,A333,ASSESSMENTS!E:E,"Mathematics"),1),""))</f>
        <v/>
      </c>
      <c r="G333" s="4">
        <f>IF(A333="","",IFERROR(ROUND(AVERAGEIFS(ASSESSMENTS!H:H,ASSESSMENTS!B:B,A333,ASSESSMENTS!E:E,"Mathematical Literacy"),1),""))</f>
        <v/>
      </c>
      <c r="H333" s="4">
        <f>IF(A333="","",IFERROR(ROUND(AVERAGEIFS(ASSESSMENTS!H:H,ASSESSMENTS!B:B,A333,ASSESSMENTS!E:E,"Physical Sciences"),1),""))</f>
        <v/>
      </c>
      <c r="I333" s="4">
        <f>IF(A333="","",IFERROR(ROUND(AVERAGEIFS(ASSESSMENTS!H:H,ASSESSMENTS!B:B,A333,ASSESSMENTS!E:E,"Geography"),1),""))</f>
        <v/>
      </c>
      <c r="J333" s="4">
        <f>IF(A333="","",IFERROR(ROUND(AVERAGEIFS(ASSESSMENTS!H:H,ASSESSMENTS!B:B,A333,ASSESSMENTS!E:E,"Accounting"),1),""))</f>
        <v/>
      </c>
      <c r="K333" s="4">
        <f>IF(A333="","",IFERROR(ROUND(AVERAGEIFS(ASSESSMENTS!H:H,ASSESSMENTS!B:B,A333,ASSESSMENTS!E:E,"English"),1),""))</f>
        <v/>
      </c>
      <c r="L333" s="5">
        <f>IF(A333="","",IFERROR(_xludf.XLOOKUP(A333,ATTENDANCE_SUMMARY!A:A,ATTENDANCE_SUMMARY!G:G,""),""))</f>
        <v/>
      </c>
      <c r="M333" s="4">
        <f>IF(A333="","",IF(OR(E333&lt;50,AND(L333&lt;0.75,L333&lt;&gt;"" )),"At Risk","On Track"))</f>
        <v/>
      </c>
    </row>
    <row r="334">
      <c r="A334">
        <f>IF(MASTER_REGISTER!E334="","",MASTER_REGISTER!E334)</f>
        <v/>
      </c>
      <c r="B334">
        <f>IF(A334="","",MASTER_REGISTER!F334)</f>
        <v/>
      </c>
      <c r="C334">
        <f>IF(A334="","",MASTER_REGISTER!C334)</f>
        <v/>
      </c>
      <c r="D334">
        <f>IF(A334="","",COUNTIF(ASSESSMENTS!B:B,A334))</f>
        <v/>
      </c>
      <c r="E334" s="4">
        <f>IF(D334=0,"",ROUND(AVERAGEIF(ASSESSMENTS!B:B,A334,ASSESSMENTS!H:H),1))</f>
        <v/>
      </c>
      <c r="F334" s="4">
        <f>IF(A334="","",IFERROR(ROUND(AVERAGEIFS(ASSESSMENTS!H:H,ASSESSMENTS!B:B,A334,ASSESSMENTS!E:E,"Mathematics"),1),""))</f>
        <v/>
      </c>
      <c r="G334" s="4">
        <f>IF(A334="","",IFERROR(ROUND(AVERAGEIFS(ASSESSMENTS!H:H,ASSESSMENTS!B:B,A334,ASSESSMENTS!E:E,"Mathematical Literacy"),1),""))</f>
        <v/>
      </c>
      <c r="H334" s="4">
        <f>IF(A334="","",IFERROR(ROUND(AVERAGEIFS(ASSESSMENTS!H:H,ASSESSMENTS!B:B,A334,ASSESSMENTS!E:E,"Physical Sciences"),1),""))</f>
        <v/>
      </c>
      <c r="I334" s="4">
        <f>IF(A334="","",IFERROR(ROUND(AVERAGEIFS(ASSESSMENTS!H:H,ASSESSMENTS!B:B,A334,ASSESSMENTS!E:E,"Geography"),1),""))</f>
        <v/>
      </c>
      <c r="J334" s="4">
        <f>IF(A334="","",IFERROR(ROUND(AVERAGEIFS(ASSESSMENTS!H:H,ASSESSMENTS!B:B,A334,ASSESSMENTS!E:E,"Accounting"),1),""))</f>
        <v/>
      </c>
      <c r="K334" s="4">
        <f>IF(A334="","",IFERROR(ROUND(AVERAGEIFS(ASSESSMENTS!H:H,ASSESSMENTS!B:B,A334,ASSESSMENTS!E:E,"English"),1),""))</f>
        <v/>
      </c>
      <c r="L334" s="5">
        <f>IF(A334="","",IFERROR(_xludf.XLOOKUP(A334,ATTENDANCE_SUMMARY!A:A,ATTENDANCE_SUMMARY!G:G,""),""))</f>
        <v/>
      </c>
      <c r="M334" s="4">
        <f>IF(A334="","",IF(OR(E334&lt;50,AND(L334&lt;0.75,L334&lt;&gt;"" )),"At Risk","On Track"))</f>
        <v/>
      </c>
    </row>
    <row r="335">
      <c r="A335">
        <f>IF(MASTER_REGISTER!E335="","",MASTER_REGISTER!E335)</f>
        <v/>
      </c>
      <c r="B335">
        <f>IF(A335="","",MASTER_REGISTER!F335)</f>
        <v/>
      </c>
      <c r="C335">
        <f>IF(A335="","",MASTER_REGISTER!C335)</f>
        <v/>
      </c>
      <c r="D335">
        <f>IF(A335="","",COUNTIF(ASSESSMENTS!B:B,A335))</f>
        <v/>
      </c>
      <c r="E335" s="4">
        <f>IF(D335=0,"",ROUND(AVERAGEIF(ASSESSMENTS!B:B,A335,ASSESSMENTS!H:H),1))</f>
        <v/>
      </c>
      <c r="F335" s="4">
        <f>IF(A335="","",IFERROR(ROUND(AVERAGEIFS(ASSESSMENTS!H:H,ASSESSMENTS!B:B,A335,ASSESSMENTS!E:E,"Mathematics"),1),""))</f>
        <v/>
      </c>
      <c r="G335" s="4">
        <f>IF(A335="","",IFERROR(ROUND(AVERAGEIFS(ASSESSMENTS!H:H,ASSESSMENTS!B:B,A335,ASSESSMENTS!E:E,"Mathematical Literacy"),1),""))</f>
        <v/>
      </c>
      <c r="H335" s="4">
        <f>IF(A335="","",IFERROR(ROUND(AVERAGEIFS(ASSESSMENTS!H:H,ASSESSMENTS!B:B,A335,ASSESSMENTS!E:E,"Physical Sciences"),1),""))</f>
        <v/>
      </c>
      <c r="I335" s="4">
        <f>IF(A335="","",IFERROR(ROUND(AVERAGEIFS(ASSESSMENTS!H:H,ASSESSMENTS!B:B,A335,ASSESSMENTS!E:E,"Geography"),1),""))</f>
        <v/>
      </c>
      <c r="J335" s="4">
        <f>IF(A335="","",IFERROR(ROUND(AVERAGEIFS(ASSESSMENTS!H:H,ASSESSMENTS!B:B,A335,ASSESSMENTS!E:E,"Accounting"),1),""))</f>
        <v/>
      </c>
      <c r="K335" s="4">
        <f>IF(A335="","",IFERROR(ROUND(AVERAGEIFS(ASSESSMENTS!H:H,ASSESSMENTS!B:B,A335,ASSESSMENTS!E:E,"English"),1),""))</f>
        <v/>
      </c>
      <c r="L335" s="5">
        <f>IF(A335="","",IFERROR(_xludf.XLOOKUP(A335,ATTENDANCE_SUMMARY!A:A,ATTENDANCE_SUMMARY!G:G,""),""))</f>
        <v/>
      </c>
      <c r="M335" s="4">
        <f>IF(A335="","",IF(OR(E335&lt;50,AND(L335&lt;0.75,L335&lt;&gt;"" )),"At Risk","On Track"))</f>
        <v/>
      </c>
    </row>
    <row r="336">
      <c r="A336">
        <f>IF(MASTER_REGISTER!E336="","",MASTER_REGISTER!E336)</f>
        <v/>
      </c>
      <c r="B336">
        <f>IF(A336="","",MASTER_REGISTER!F336)</f>
        <v/>
      </c>
      <c r="C336">
        <f>IF(A336="","",MASTER_REGISTER!C336)</f>
        <v/>
      </c>
      <c r="D336">
        <f>IF(A336="","",COUNTIF(ASSESSMENTS!B:B,A336))</f>
        <v/>
      </c>
      <c r="E336" s="4">
        <f>IF(D336=0,"",ROUND(AVERAGEIF(ASSESSMENTS!B:B,A336,ASSESSMENTS!H:H),1))</f>
        <v/>
      </c>
      <c r="F336" s="4">
        <f>IF(A336="","",IFERROR(ROUND(AVERAGEIFS(ASSESSMENTS!H:H,ASSESSMENTS!B:B,A336,ASSESSMENTS!E:E,"Mathematics"),1),""))</f>
        <v/>
      </c>
      <c r="G336" s="4">
        <f>IF(A336="","",IFERROR(ROUND(AVERAGEIFS(ASSESSMENTS!H:H,ASSESSMENTS!B:B,A336,ASSESSMENTS!E:E,"Mathematical Literacy"),1),""))</f>
        <v/>
      </c>
      <c r="H336" s="4">
        <f>IF(A336="","",IFERROR(ROUND(AVERAGEIFS(ASSESSMENTS!H:H,ASSESSMENTS!B:B,A336,ASSESSMENTS!E:E,"Physical Sciences"),1),""))</f>
        <v/>
      </c>
      <c r="I336" s="4">
        <f>IF(A336="","",IFERROR(ROUND(AVERAGEIFS(ASSESSMENTS!H:H,ASSESSMENTS!B:B,A336,ASSESSMENTS!E:E,"Geography"),1),""))</f>
        <v/>
      </c>
      <c r="J336" s="4">
        <f>IF(A336="","",IFERROR(ROUND(AVERAGEIFS(ASSESSMENTS!H:H,ASSESSMENTS!B:B,A336,ASSESSMENTS!E:E,"Accounting"),1),""))</f>
        <v/>
      </c>
      <c r="K336" s="4">
        <f>IF(A336="","",IFERROR(ROUND(AVERAGEIFS(ASSESSMENTS!H:H,ASSESSMENTS!B:B,A336,ASSESSMENTS!E:E,"English"),1),""))</f>
        <v/>
      </c>
      <c r="L336" s="5">
        <f>IF(A336="","",IFERROR(_xludf.XLOOKUP(A336,ATTENDANCE_SUMMARY!A:A,ATTENDANCE_SUMMARY!G:G,""),""))</f>
        <v/>
      </c>
      <c r="M336" s="4">
        <f>IF(A336="","",IF(OR(E336&lt;50,AND(L336&lt;0.75,L336&lt;&gt;"" )),"At Risk","On Track"))</f>
        <v/>
      </c>
    </row>
    <row r="337">
      <c r="A337">
        <f>IF(MASTER_REGISTER!E337="","",MASTER_REGISTER!E337)</f>
        <v/>
      </c>
      <c r="B337">
        <f>IF(A337="","",MASTER_REGISTER!F337)</f>
        <v/>
      </c>
      <c r="C337">
        <f>IF(A337="","",MASTER_REGISTER!C337)</f>
        <v/>
      </c>
      <c r="D337">
        <f>IF(A337="","",COUNTIF(ASSESSMENTS!B:B,A337))</f>
        <v/>
      </c>
      <c r="E337" s="4">
        <f>IF(D337=0,"",ROUND(AVERAGEIF(ASSESSMENTS!B:B,A337,ASSESSMENTS!H:H),1))</f>
        <v/>
      </c>
      <c r="F337" s="4">
        <f>IF(A337="","",IFERROR(ROUND(AVERAGEIFS(ASSESSMENTS!H:H,ASSESSMENTS!B:B,A337,ASSESSMENTS!E:E,"Mathematics"),1),""))</f>
        <v/>
      </c>
      <c r="G337" s="4">
        <f>IF(A337="","",IFERROR(ROUND(AVERAGEIFS(ASSESSMENTS!H:H,ASSESSMENTS!B:B,A337,ASSESSMENTS!E:E,"Mathematical Literacy"),1),""))</f>
        <v/>
      </c>
      <c r="H337" s="4">
        <f>IF(A337="","",IFERROR(ROUND(AVERAGEIFS(ASSESSMENTS!H:H,ASSESSMENTS!B:B,A337,ASSESSMENTS!E:E,"Physical Sciences"),1),""))</f>
        <v/>
      </c>
      <c r="I337" s="4">
        <f>IF(A337="","",IFERROR(ROUND(AVERAGEIFS(ASSESSMENTS!H:H,ASSESSMENTS!B:B,A337,ASSESSMENTS!E:E,"Geography"),1),""))</f>
        <v/>
      </c>
      <c r="J337" s="4">
        <f>IF(A337="","",IFERROR(ROUND(AVERAGEIFS(ASSESSMENTS!H:H,ASSESSMENTS!B:B,A337,ASSESSMENTS!E:E,"Accounting"),1),""))</f>
        <v/>
      </c>
      <c r="K337" s="4">
        <f>IF(A337="","",IFERROR(ROUND(AVERAGEIFS(ASSESSMENTS!H:H,ASSESSMENTS!B:B,A337,ASSESSMENTS!E:E,"English"),1),""))</f>
        <v/>
      </c>
      <c r="L337" s="5">
        <f>IF(A337="","",IFERROR(_xludf.XLOOKUP(A337,ATTENDANCE_SUMMARY!A:A,ATTENDANCE_SUMMARY!G:G,""),""))</f>
        <v/>
      </c>
      <c r="M337" s="4">
        <f>IF(A337="","",IF(OR(E337&lt;50,AND(L337&lt;0.75,L337&lt;&gt;"" )),"At Risk","On Track"))</f>
        <v/>
      </c>
    </row>
    <row r="338">
      <c r="A338">
        <f>IF(MASTER_REGISTER!E338="","",MASTER_REGISTER!E338)</f>
        <v/>
      </c>
      <c r="B338">
        <f>IF(A338="","",MASTER_REGISTER!F338)</f>
        <v/>
      </c>
      <c r="C338">
        <f>IF(A338="","",MASTER_REGISTER!C338)</f>
        <v/>
      </c>
      <c r="D338">
        <f>IF(A338="","",COUNTIF(ASSESSMENTS!B:B,A338))</f>
        <v/>
      </c>
      <c r="E338" s="4">
        <f>IF(D338=0,"",ROUND(AVERAGEIF(ASSESSMENTS!B:B,A338,ASSESSMENTS!H:H),1))</f>
        <v/>
      </c>
      <c r="F338" s="4">
        <f>IF(A338="","",IFERROR(ROUND(AVERAGEIFS(ASSESSMENTS!H:H,ASSESSMENTS!B:B,A338,ASSESSMENTS!E:E,"Mathematics"),1),""))</f>
        <v/>
      </c>
      <c r="G338" s="4">
        <f>IF(A338="","",IFERROR(ROUND(AVERAGEIFS(ASSESSMENTS!H:H,ASSESSMENTS!B:B,A338,ASSESSMENTS!E:E,"Mathematical Literacy"),1),""))</f>
        <v/>
      </c>
      <c r="H338" s="4">
        <f>IF(A338="","",IFERROR(ROUND(AVERAGEIFS(ASSESSMENTS!H:H,ASSESSMENTS!B:B,A338,ASSESSMENTS!E:E,"Physical Sciences"),1),""))</f>
        <v/>
      </c>
      <c r="I338" s="4">
        <f>IF(A338="","",IFERROR(ROUND(AVERAGEIFS(ASSESSMENTS!H:H,ASSESSMENTS!B:B,A338,ASSESSMENTS!E:E,"Geography"),1),""))</f>
        <v/>
      </c>
      <c r="J338" s="4">
        <f>IF(A338="","",IFERROR(ROUND(AVERAGEIFS(ASSESSMENTS!H:H,ASSESSMENTS!B:B,A338,ASSESSMENTS!E:E,"Accounting"),1),""))</f>
        <v/>
      </c>
      <c r="K338" s="4">
        <f>IF(A338="","",IFERROR(ROUND(AVERAGEIFS(ASSESSMENTS!H:H,ASSESSMENTS!B:B,A338,ASSESSMENTS!E:E,"English"),1),""))</f>
        <v/>
      </c>
      <c r="L338" s="5">
        <f>IF(A338="","",IFERROR(_xludf.XLOOKUP(A338,ATTENDANCE_SUMMARY!A:A,ATTENDANCE_SUMMARY!G:G,""),""))</f>
        <v/>
      </c>
      <c r="M338" s="4">
        <f>IF(A338="","",IF(OR(E338&lt;50,AND(L338&lt;0.75,L338&lt;&gt;"" )),"At Risk","On Track"))</f>
        <v/>
      </c>
    </row>
    <row r="339">
      <c r="A339">
        <f>IF(MASTER_REGISTER!E339="","",MASTER_REGISTER!E339)</f>
        <v/>
      </c>
      <c r="B339">
        <f>IF(A339="","",MASTER_REGISTER!F339)</f>
        <v/>
      </c>
      <c r="C339">
        <f>IF(A339="","",MASTER_REGISTER!C339)</f>
        <v/>
      </c>
      <c r="D339">
        <f>IF(A339="","",COUNTIF(ASSESSMENTS!B:B,A339))</f>
        <v/>
      </c>
      <c r="E339" s="4">
        <f>IF(D339=0,"",ROUND(AVERAGEIF(ASSESSMENTS!B:B,A339,ASSESSMENTS!H:H),1))</f>
        <v/>
      </c>
      <c r="F339" s="4">
        <f>IF(A339="","",IFERROR(ROUND(AVERAGEIFS(ASSESSMENTS!H:H,ASSESSMENTS!B:B,A339,ASSESSMENTS!E:E,"Mathematics"),1),""))</f>
        <v/>
      </c>
      <c r="G339" s="4">
        <f>IF(A339="","",IFERROR(ROUND(AVERAGEIFS(ASSESSMENTS!H:H,ASSESSMENTS!B:B,A339,ASSESSMENTS!E:E,"Mathematical Literacy"),1),""))</f>
        <v/>
      </c>
      <c r="H339" s="4">
        <f>IF(A339="","",IFERROR(ROUND(AVERAGEIFS(ASSESSMENTS!H:H,ASSESSMENTS!B:B,A339,ASSESSMENTS!E:E,"Physical Sciences"),1),""))</f>
        <v/>
      </c>
      <c r="I339" s="4">
        <f>IF(A339="","",IFERROR(ROUND(AVERAGEIFS(ASSESSMENTS!H:H,ASSESSMENTS!B:B,A339,ASSESSMENTS!E:E,"Geography"),1),""))</f>
        <v/>
      </c>
      <c r="J339" s="4">
        <f>IF(A339="","",IFERROR(ROUND(AVERAGEIFS(ASSESSMENTS!H:H,ASSESSMENTS!B:B,A339,ASSESSMENTS!E:E,"Accounting"),1),""))</f>
        <v/>
      </c>
      <c r="K339" s="4">
        <f>IF(A339="","",IFERROR(ROUND(AVERAGEIFS(ASSESSMENTS!H:H,ASSESSMENTS!B:B,A339,ASSESSMENTS!E:E,"English"),1),""))</f>
        <v/>
      </c>
      <c r="L339" s="5">
        <f>IF(A339="","",IFERROR(_xludf.XLOOKUP(A339,ATTENDANCE_SUMMARY!A:A,ATTENDANCE_SUMMARY!G:G,""),""))</f>
        <v/>
      </c>
      <c r="M339" s="4">
        <f>IF(A339="","",IF(OR(E339&lt;50,AND(L339&lt;0.75,L339&lt;&gt;"" )),"At Risk","On Track"))</f>
        <v/>
      </c>
    </row>
    <row r="340">
      <c r="A340">
        <f>IF(MASTER_REGISTER!E340="","",MASTER_REGISTER!E340)</f>
        <v/>
      </c>
      <c r="B340">
        <f>IF(A340="","",MASTER_REGISTER!F340)</f>
        <v/>
      </c>
      <c r="C340">
        <f>IF(A340="","",MASTER_REGISTER!C340)</f>
        <v/>
      </c>
      <c r="D340">
        <f>IF(A340="","",COUNTIF(ASSESSMENTS!B:B,A340))</f>
        <v/>
      </c>
      <c r="E340" s="4">
        <f>IF(D340=0,"",ROUND(AVERAGEIF(ASSESSMENTS!B:B,A340,ASSESSMENTS!H:H),1))</f>
        <v/>
      </c>
      <c r="F340" s="4">
        <f>IF(A340="","",IFERROR(ROUND(AVERAGEIFS(ASSESSMENTS!H:H,ASSESSMENTS!B:B,A340,ASSESSMENTS!E:E,"Mathematics"),1),""))</f>
        <v/>
      </c>
      <c r="G340" s="4">
        <f>IF(A340="","",IFERROR(ROUND(AVERAGEIFS(ASSESSMENTS!H:H,ASSESSMENTS!B:B,A340,ASSESSMENTS!E:E,"Mathematical Literacy"),1),""))</f>
        <v/>
      </c>
      <c r="H340" s="4">
        <f>IF(A340="","",IFERROR(ROUND(AVERAGEIFS(ASSESSMENTS!H:H,ASSESSMENTS!B:B,A340,ASSESSMENTS!E:E,"Physical Sciences"),1),""))</f>
        <v/>
      </c>
      <c r="I340" s="4">
        <f>IF(A340="","",IFERROR(ROUND(AVERAGEIFS(ASSESSMENTS!H:H,ASSESSMENTS!B:B,A340,ASSESSMENTS!E:E,"Geography"),1),""))</f>
        <v/>
      </c>
      <c r="J340" s="4">
        <f>IF(A340="","",IFERROR(ROUND(AVERAGEIFS(ASSESSMENTS!H:H,ASSESSMENTS!B:B,A340,ASSESSMENTS!E:E,"Accounting"),1),""))</f>
        <v/>
      </c>
      <c r="K340" s="4">
        <f>IF(A340="","",IFERROR(ROUND(AVERAGEIFS(ASSESSMENTS!H:H,ASSESSMENTS!B:B,A340,ASSESSMENTS!E:E,"English"),1),""))</f>
        <v/>
      </c>
      <c r="L340" s="5">
        <f>IF(A340="","",IFERROR(_xludf.XLOOKUP(A340,ATTENDANCE_SUMMARY!A:A,ATTENDANCE_SUMMARY!G:G,""),""))</f>
        <v/>
      </c>
      <c r="M340" s="4">
        <f>IF(A340="","",IF(OR(E340&lt;50,AND(L340&lt;0.75,L340&lt;&gt;"" )),"At Risk","On Track"))</f>
        <v/>
      </c>
    </row>
    <row r="341">
      <c r="A341">
        <f>IF(MASTER_REGISTER!E341="","",MASTER_REGISTER!E341)</f>
        <v/>
      </c>
      <c r="B341">
        <f>IF(A341="","",MASTER_REGISTER!F341)</f>
        <v/>
      </c>
      <c r="C341">
        <f>IF(A341="","",MASTER_REGISTER!C341)</f>
        <v/>
      </c>
      <c r="D341">
        <f>IF(A341="","",COUNTIF(ASSESSMENTS!B:B,A341))</f>
        <v/>
      </c>
      <c r="E341" s="4">
        <f>IF(D341=0,"",ROUND(AVERAGEIF(ASSESSMENTS!B:B,A341,ASSESSMENTS!H:H),1))</f>
        <v/>
      </c>
      <c r="F341" s="4">
        <f>IF(A341="","",IFERROR(ROUND(AVERAGEIFS(ASSESSMENTS!H:H,ASSESSMENTS!B:B,A341,ASSESSMENTS!E:E,"Mathematics"),1),""))</f>
        <v/>
      </c>
      <c r="G341" s="4">
        <f>IF(A341="","",IFERROR(ROUND(AVERAGEIFS(ASSESSMENTS!H:H,ASSESSMENTS!B:B,A341,ASSESSMENTS!E:E,"Mathematical Literacy"),1),""))</f>
        <v/>
      </c>
      <c r="H341" s="4">
        <f>IF(A341="","",IFERROR(ROUND(AVERAGEIFS(ASSESSMENTS!H:H,ASSESSMENTS!B:B,A341,ASSESSMENTS!E:E,"Physical Sciences"),1),""))</f>
        <v/>
      </c>
      <c r="I341" s="4">
        <f>IF(A341="","",IFERROR(ROUND(AVERAGEIFS(ASSESSMENTS!H:H,ASSESSMENTS!B:B,A341,ASSESSMENTS!E:E,"Geography"),1),""))</f>
        <v/>
      </c>
      <c r="J341" s="4">
        <f>IF(A341="","",IFERROR(ROUND(AVERAGEIFS(ASSESSMENTS!H:H,ASSESSMENTS!B:B,A341,ASSESSMENTS!E:E,"Accounting"),1),""))</f>
        <v/>
      </c>
      <c r="K341" s="4">
        <f>IF(A341="","",IFERROR(ROUND(AVERAGEIFS(ASSESSMENTS!H:H,ASSESSMENTS!B:B,A341,ASSESSMENTS!E:E,"English"),1),""))</f>
        <v/>
      </c>
      <c r="L341" s="5">
        <f>IF(A341="","",IFERROR(_xludf.XLOOKUP(A341,ATTENDANCE_SUMMARY!A:A,ATTENDANCE_SUMMARY!G:G,""),""))</f>
        <v/>
      </c>
      <c r="M341" s="4">
        <f>IF(A341="","",IF(OR(E341&lt;50,AND(L341&lt;0.75,L341&lt;&gt;"" )),"At Risk","On Track"))</f>
        <v/>
      </c>
    </row>
    <row r="342">
      <c r="A342">
        <f>IF(MASTER_REGISTER!E342="","",MASTER_REGISTER!E342)</f>
        <v/>
      </c>
      <c r="B342">
        <f>IF(A342="","",MASTER_REGISTER!F342)</f>
        <v/>
      </c>
      <c r="C342">
        <f>IF(A342="","",MASTER_REGISTER!C342)</f>
        <v/>
      </c>
      <c r="D342">
        <f>IF(A342="","",COUNTIF(ASSESSMENTS!B:B,A342))</f>
        <v/>
      </c>
      <c r="E342" s="4">
        <f>IF(D342=0,"",ROUND(AVERAGEIF(ASSESSMENTS!B:B,A342,ASSESSMENTS!H:H),1))</f>
        <v/>
      </c>
      <c r="F342" s="4">
        <f>IF(A342="","",IFERROR(ROUND(AVERAGEIFS(ASSESSMENTS!H:H,ASSESSMENTS!B:B,A342,ASSESSMENTS!E:E,"Mathematics"),1),""))</f>
        <v/>
      </c>
      <c r="G342" s="4">
        <f>IF(A342="","",IFERROR(ROUND(AVERAGEIFS(ASSESSMENTS!H:H,ASSESSMENTS!B:B,A342,ASSESSMENTS!E:E,"Mathematical Literacy"),1),""))</f>
        <v/>
      </c>
      <c r="H342" s="4">
        <f>IF(A342="","",IFERROR(ROUND(AVERAGEIFS(ASSESSMENTS!H:H,ASSESSMENTS!B:B,A342,ASSESSMENTS!E:E,"Physical Sciences"),1),""))</f>
        <v/>
      </c>
      <c r="I342" s="4">
        <f>IF(A342="","",IFERROR(ROUND(AVERAGEIFS(ASSESSMENTS!H:H,ASSESSMENTS!B:B,A342,ASSESSMENTS!E:E,"Geography"),1),""))</f>
        <v/>
      </c>
      <c r="J342" s="4">
        <f>IF(A342="","",IFERROR(ROUND(AVERAGEIFS(ASSESSMENTS!H:H,ASSESSMENTS!B:B,A342,ASSESSMENTS!E:E,"Accounting"),1),""))</f>
        <v/>
      </c>
      <c r="K342" s="4">
        <f>IF(A342="","",IFERROR(ROUND(AVERAGEIFS(ASSESSMENTS!H:H,ASSESSMENTS!B:B,A342,ASSESSMENTS!E:E,"English"),1),""))</f>
        <v/>
      </c>
      <c r="L342" s="5">
        <f>IF(A342="","",IFERROR(_xludf.XLOOKUP(A342,ATTENDANCE_SUMMARY!A:A,ATTENDANCE_SUMMARY!G:G,""),""))</f>
        <v/>
      </c>
      <c r="M342" s="4">
        <f>IF(A342="","",IF(OR(E342&lt;50,AND(L342&lt;0.75,L342&lt;&gt;"" )),"At Risk","On Track"))</f>
        <v/>
      </c>
    </row>
    <row r="343">
      <c r="A343">
        <f>IF(MASTER_REGISTER!E343="","",MASTER_REGISTER!E343)</f>
        <v/>
      </c>
      <c r="B343">
        <f>IF(A343="","",MASTER_REGISTER!F343)</f>
        <v/>
      </c>
      <c r="C343">
        <f>IF(A343="","",MASTER_REGISTER!C343)</f>
        <v/>
      </c>
      <c r="D343">
        <f>IF(A343="","",COUNTIF(ASSESSMENTS!B:B,A343))</f>
        <v/>
      </c>
      <c r="E343" s="4">
        <f>IF(D343=0,"",ROUND(AVERAGEIF(ASSESSMENTS!B:B,A343,ASSESSMENTS!H:H),1))</f>
        <v/>
      </c>
      <c r="F343" s="4">
        <f>IF(A343="","",IFERROR(ROUND(AVERAGEIFS(ASSESSMENTS!H:H,ASSESSMENTS!B:B,A343,ASSESSMENTS!E:E,"Mathematics"),1),""))</f>
        <v/>
      </c>
      <c r="G343" s="4">
        <f>IF(A343="","",IFERROR(ROUND(AVERAGEIFS(ASSESSMENTS!H:H,ASSESSMENTS!B:B,A343,ASSESSMENTS!E:E,"Mathematical Literacy"),1),""))</f>
        <v/>
      </c>
      <c r="H343" s="4">
        <f>IF(A343="","",IFERROR(ROUND(AVERAGEIFS(ASSESSMENTS!H:H,ASSESSMENTS!B:B,A343,ASSESSMENTS!E:E,"Physical Sciences"),1),""))</f>
        <v/>
      </c>
      <c r="I343" s="4">
        <f>IF(A343="","",IFERROR(ROUND(AVERAGEIFS(ASSESSMENTS!H:H,ASSESSMENTS!B:B,A343,ASSESSMENTS!E:E,"Geography"),1),""))</f>
        <v/>
      </c>
      <c r="J343" s="4">
        <f>IF(A343="","",IFERROR(ROUND(AVERAGEIFS(ASSESSMENTS!H:H,ASSESSMENTS!B:B,A343,ASSESSMENTS!E:E,"Accounting"),1),""))</f>
        <v/>
      </c>
      <c r="K343" s="4">
        <f>IF(A343="","",IFERROR(ROUND(AVERAGEIFS(ASSESSMENTS!H:H,ASSESSMENTS!B:B,A343,ASSESSMENTS!E:E,"English"),1),""))</f>
        <v/>
      </c>
      <c r="L343" s="5">
        <f>IF(A343="","",IFERROR(_xludf.XLOOKUP(A343,ATTENDANCE_SUMMARY!A:A,ATTENDANCE_SUMMARY!G:G,""),""))</f>
        <v/>
      </c>
      <c r="M343" s="4">
        <f>IF(A343="","",IF(OR(E343&lt;50,AND(L343&lt;0.75,L343&lt;&gt;"" )),"At Risk","On Track"))</f>
        <v/>
      </c>
    </row>
    <row r="344">
      <c r="A344">
        <f>IF(MASTER_REGISTER!E344="","",MASTER_REGISTER!E344)</f>
        <v/>
      </c>
      <c r="B344">
        <f>IF(A344="","",MASTER_REGISTER!F344)</f>
        <v/>
      </c>
      <c r="C344">
        <f>IF(A344="","",MASTER_REGISTER!C344)</f>
        <v/>
      </c>
      <c r="D344">
        <f>IF(A344="","",COUNTIF(ASSESSMENTS!B:B,A344))</f>
        <v/>
      </c>
      <c r="E344" s="4">
        <f>IF(D344=0,"",ROUND(AVERAGEIF(ASSESSMENTS!B:B,A344,ASSESSMENTS!H:H),1))</f>
        <v/>
      </c>
      <c r="F344" s="4">
        <f>IF(A344="","",IFERROR(ROUND(AVERAGEIFS(ASSESSMENTS!H:H,ASSESSMENTS!B:B,A344,ASSESSMENTS!E:E,"Mathematics"),1),""))</f>
        <v/>
      </c>
      <c r="G344" s="4">
        <f>IF(A344="","",IFERROR(ROUND(AVERAGEIFS(ASSESSMENTS!H:H,ASSESSMENTS!B:B,A344,ASSESSMENTS!E:E,"Mathematical Literacy"),1),""))</f>
        <v/>
      </c>
      <c r="H344" s="4">
        <f>IF(A344="","",IFERROR(ROUND(AVERAGEIFS(ASSESSMENTS!H:H,ASSESSMENTS!B:B,A344,ASSESSMENTS!E:E,"Physical Sciences"),1),""))</f>
        <v/>
      </c>
      <c r="I344" s="4">
        <f>IF(A344="","",IFERROR(ROUND(AVERAGEIFS(ASSESSMENTS!H:H,ASSESSMENTS!B:B,A344,ASSESSMENTS!E:E,"Geography"),1),""))</f>
        <v/>
      </c>
      <c r="J344" s="4">
        <f>IF(A344="","",IFERROR(ROUND(AVERAGEIFS(ASSESSMENTS!H:H,ASSESSMENTS!B:B,A344,ASSESSMENTS!E:E,"Accounting"),1),""))</f>
        <v/>
      </c>
      <c r="K344" s="4">
        <f>IF(A344="","",IFERROR(ROUND(AVERAGEIFS(ASSESSMENTS!H:H,ASSESSMENTS!B:B,A344,ASSESSMENTS!E:E,"English"),1),""))</f>
        <v/>
      </c>
      <c r="L344" s="5">
        <f>IF(A344="","",IFERROR(_xludf.XLOOKUP(A344,ATTENDANCE_SUMMARY!A:A,ATTENDANCE_SUMMARY!G:G,""),""))</f>
        <v/>
      </c>
      <c r="M344" s="4">
        <f>IF(A344="","",IF(OR(E344&lt;50,AND(L344&lt;0.75,L344&lt;&gt;"" )),"At Risk","On Track"))</f>
        <v/>
      </c>
    </row>
    <row r="345">
      <c r="A345">
        <f>IF(MASTER_REGISTER!E345="","",MASTER_REGISTER!E345)</f>
        <v/>
      </c>
      <c r="B345">
        <f>IF(A345="","",MASTER_REGISTER!F345)</f>
        <v/>
      </c>
      <c r="C345">
        <f>IF(A345="","",MASTER_REGISTER!C345)</f>
        <v/>
      </c>
      <c r="D345">
        <f>IF(A345="","",COUNTIF(ASSESSMENTS!B:B,A345))</f>
        <v/>
      </c>
      <c r="E345" s="4">
        <f>IF(D345=0,"",ROUND(AVERAGEIF(ASSESSMENTS!B:B,A345,ASSESSMENTS!H:H),1))</f>
        <v/>
      </c>
      <c r="F345" s="4">
        <f>IF(A345="","",IFERROR(ROUND(AVERAGEIFS(ASSESSMENTS!H:H,ASSESSMENTS!B:B,A345,ASSESSMENTS!E:E,"Mathematics"),1),""))</f>
        <v/>
      </c>
      <c r="G345" s="4">
        <f>IF(A345="","",IFERROR(ROUND(AVERAGEIFS(ASSESSMENTS!H:H,ASSESSMENTS!B:B,A345,ASSESSMENTS!E:E,"Mathematical Literacy"),1),""))</f>
        <v/>
      </c>
      <c r="H345" s="4">
        <f>IF(A345="","",IFERROR(ROUND(AVERAGEIFS(ASSESSMENTS!H:H,ASSESSMENTS!B:B,A345,ASSESSMENTS!E:E,"Physical Sciences"),1),""))</f>
        <v/>
      </c>
      <c r="I345" s="4">
        <f>IF(A345="","",IFERROR(ROUND(AVERAGEIFS(ASSESSMENTS!H:H,ASSESSMENTS!B:B,A345,ASSESSMENTS!E:E,"Geography"),1),""))</f>
        <v/>
      </c>
      <c r="J345" s="4">
        <f>IF(A345="","",IFERROR(ROUND(AVERAGEIFS(ASSESSMENTS!H:H,ASSESSMENTS!B:B,A345,ASSESSMENTS!E:E,"Accounting"),1),""))</f>
        <v/>
      </c>
      <c r="K345" s="4">
        <f>IF(A345="","",IFERROR(ROUND(AVERAGEIFS(ASSESSMENTS!H:H,ASSESSMENTS!B:B,A345,ASSESSMENTS!E:E,"English"),1),""))</f>
        <v/>
      </c>
      <c r="L345" s="5">
        <f>IF(A345="","",IFERROR(_xludf.XLOOKUP(A345,ATTENDANCE_SUMMARY!A:A,ATTENDANCE_SUMMARY!G:G,""),""))</f>
        <v/>
      </c>
      <c r="M345" s="4">
        <f>IF(A345="","",IF(OR(E345&lt;50,AND(L345&lt;0.75,L345&lt;&gt;"" )),"At Risk","On Track"))</f>
        <v/>
      </c>
    </row>
    <row r="346">
      <c r="A346">
        <f>IF(MASTER_REGISTER!E346="","",MASTER_REGISTER!E346)</f>
        <v/>
      </c>
      <c r="B346">
        <f>IF(A346="","",MASTER_REGISTER!F346)</f>
        <v/>
      </c>
      <c r="C346">
        <f>IF(A346="","",MASTER_REGISTER!C346)</f>
        <v/>
      </c>
      <c r="D346">
        <f>IF(A346="","",COUNTIF(ASSESSMENTS!B:B,A346))</f>
        <v/>
      </c>
      <c r="E346" s="4">
        <f>IF(D346=0,"",ROUND(AVERAGEIF(ASSESSMENTS!B:B,A346,ASSESSMENTS!H:H),1))</f>
        <v/>
      </c>
      <c r="F346" s="4">
        <f>IF(A346="","",IFERROR(ROUND(AVERAGEIFS(ASSESSMENTS!H:H,ASSESSMENTS!B:B,A346,ASSESSMENTS!E:E,"Mathematics"),1),""))</f>
        <v/>
      </c>
      <c r="G346" s="4">
        <f>IF(A346="","",IFERROR(ROUND(AVERAGEIFS(ASSESSMENTS!H:H,ASSESSMENTS!B:B,A346,ASSESSMENTS!E:E,"Mathematical Literacy"),1),""))</f>
        <v/>
      </c>
      <c r="H346" s="4">
        <f>IF(A346="","",IFERROR(ROUND(AVERAGEIFS(ASSESSMENTS!H:H,ASSESSMENTS!B:B,A346,ASSESSMENTS!E:E,"Physical Sciences"),1),""))</f>
        <v/>
      </c>
      <c r="I346" s="4">
        <f>IF(A346="","",IFERROR(ROUND(AVERAGEIFS(ASSESSMENTS!H:H,ASSESSMENTS!B:B,A346,ASSESSMENTS!E:E,"Geography"),1),""))</f>
        <v/>
      </c>
      <c r="J346" s="4">
        <f>IF(A346="","",IFERROR(ROUND(AVERAGEIFS(ASSESSMENTS!H:H,ASSESSMENTS!B:B,A346,ASSESSMENTS!E:E,"Accounting"),1),""))</f>
        <v/>
      </c>
      <c r="K346" s="4">
        <f>IF(A346="","",IFERROR(ROUND(AVERAGEIFS(ASSESSMENTS!H:H,ASSESSMENTS!B:B,A346,ASSESSMENTS!E:E,"English"),1),""))</f>
        <v/>
      </c>
      <c r="L346" s="5">
        <f>IF(A346="","",IFERROR(_xludf.XLOOKUP(A346,ATTENDANCE_SUMMARY!A:A,ATTENDANCE_SUMMARY!G:G,""),""))</f>
        <v/>
      </c>
      <c r="M346" s="4">
        <f>IF(A346="","",IF(OR(E346&lt;50,AND(L346&lt;0.75,L346&lt;&gt;"" )),"At Risk","On Track"))</f>
        <v/>
      </c>
    </row>
    <row r="347">
      <c r="A347">
        <f>IF(MASTER_REGISTER!E347="","",MASTER_REGISTER!E347)</f>
        <v/>
      </c>
      <c r="B347">
        <f>IF(A347="","",MASTER_REGISTER!F347)</f>
        <v/>
      </c>
      <c r="C347">
        <f>IF(A347="","",MASTER_REGISTER!C347)</f>
        <v/>
      </c>
      <c r="D347">
        <f>IF(A347="","",COUNTIF(ASSESSMENTS!B:B,A347))</f>
        <v/>
      </c>
      <c r="E347" s="4">
        <f>IF(D347=0,"",ROUND(AVERAGEIF(ASSESSMENTS!B:B,A347,ASSESSMENTS!H:H),1))</f>
        <v/>
      </c>
      <c r="F347" s="4">
        <f>IF(A347="","",IFERROR(ROUND(AVERAGEIFS(ASSESSMENTS!H:H,ASSESSMENTS!B:B,A347,ASSESSMENTS!E:E,"Mathematics"),1),""))</f>
        <v/>
      </c>
      <c r="G347" s="4">
        <f>IF(A347="","",IFERROR(ROUND(AVERAGEIFS(ASSESSMENTS!H:H,ASSESSMENTS!B:B,A347,ASSESSMENTS!E:E,"Mathematical Literacy"),1),""))</f>
        <v/>
      </c>
      <c r="H347" s="4">
        <f>IF(A347="","",IFERROR(ROUND(AVERAGEIFS(ASSESSMENTS!H:H,ASSESSMENTS!B:B,A347,ASSESSMENTS!E:E,"Physical Sciences"),1),""))</f>
        <v/>
      </c>
      <c r="I347" s="4">
        <f>IF(A347="","",IFERROR(ROUND(AVERAGEIFS(ASSESSMENTS!H:H,ASSESSMENTS!B:B,A347,ASSESSMENTS!E:E,"Geography"),1),""))</f>
        <v/>
      </c>
      <c r="J347" s="4">
        <f>IF(A347="","",IFERROR(ROUND(AVERAGEIFS(ASSESSMENTS!H:H,ASSESSMENTS!B:B,A347,ASSESSMENTS!E:E,"Accounting"),1),""))</f>
        <v/>
      </c>
      <c r="K347" s="4">
        <f>IF(A347="","",IFERROR(ROUND(AVERAGEIFS(ASSESSMENTS!H:H,ASSESSMENTS!B:B,A347,ASSESSMENTS!E:E,"English"),1),""))</f>
        <v/>
      </c>
      <c r="L347" s="5">
        <f>IF(A347="","",IFERROR(_xludf.XLOOKUP(A347,ATTENDANCE_SUMMARY!A:A,ATTENDANCE_SUMMARY!G:G,""),""))</f>
        <v/>
      </c>
      <c r="M347" s="4">
        <f>IF(A347="","",IF(OR(E347&lt;50,AND(L347&lt;0.75,L347&lt;&gt;"" )),"At Risk","On Track"))</f>
        <v/>
      </c>
    </row>
    <row r="348">
      <c r="A348">
        <f>IF(MASTER_REGISTER!E348="","",MASTER_REGISTER!E348)</f>
        <v/>
      </c>
      <c r="B348">
        <f>IF(A348="","",MASTER_REGISTER!F348)</f>
        <v/>
      </c>
      <c r="C348">
        <f>IF(A348="","",MASTER_REGISTER!C348)</f>
        <v/>
      </c>
      <c r="D348">
        <f>IF(A348="","",COUNTIF(ASSESSMENTS!B:B,A348))</f>
        <v/>
      </c>
      <c r="E348" s="4">
        <f>IF(D348=0,"",ROUND(AVERAGEIF(ASSESSMENTS!B:B,A348,ASSESSMENTS!H:H),1))</f>
        <v/>
      </c>
      <c r="F348" s="4">
        <f>IF(A348="","",IFERROR(ROUND(AVERAGEIFS(ASSESSMENTS!H:H,ASSESSMENTS!B:B,A348,ASSESSMENTS!E:E,"Mathematics"),1),""))</f>
        <v/>
      </c>
      <c r="G348" s="4">
        <f>IF(A348="","",IFERROR(ROUND(AVERAGEIFS(ASSESSMENTS!H:H,ASSESSMENTS!B:B,A348,ASSESSMENTS!E:E,"Mathematical Literacy"),1),""))</f>
        <v/>
      </c>
      <c r="H348" s="4">
        <f>IF(A348="","",IFERROR(ROUND(AVERAGEIFS(ASSESSMENTS!H:H,ASSESSMENTS!B:B,A348,ASSESSMENTS!E:E,"Physical Sciences"),1),""))</f>
        <v/>
      </c>
      <c r="I348" s="4">
        <f>IF(A348="","",IFERROR(ROUND(AVERAGEIFS(ASSESSMENTS!H:H,ASSESSMENTS!B:B,A348,ASSESSMENTS!E:E,"Geography"),1),""))</f>
        <v/>
      </c>
      <c r="J348" s="4">
        <f>IF(A348="","",IFERROR(ROUND(AVERAGEIFS(ASSESSMENTS!H:H,ASSESSMENTS!B:B,A348,ASSESSMENTS!E:E,"Accounting"),1),""))</f>
        <v/>
      </c>
      <c r="K348" s="4">
        <f>IF(A348="","",IFERROR(ROUND(AVERAGEIFS(ASSESSMENTS!H:H,ASSESSMENTS!B:B,A348,ASSESSMENTS!E:E,"English"),1),""))</f>
        <v/>
      </c>
      <c r="L348" s="5">
        <f>IF(A348="","",IFERROR(_xludf.XLOOKUP(A348,ATTENDANCE_SUMMARY!A:A,ATTENDANCE_SUMMARY!G:G,""),""))</f>
        <v/>
      </c>
      <c r="M348" s="4">
        <f>IF(A348="","",IF(OR(E348&lt;50,AND(L348&lt;0.75,L348&lt;&gt;"" )),"At Risk","On Track"))</f>
        <v/>
      </c>
    </row>
    <row r="349">
      <c r="A349">
        <f>IF(MASTER_REGISTER!E349="","",MASTER_REGISTER!E349)</f>
        <v/>
      </c>
      <c r="B349">
        <f>IF(A349="","",MASTER_REGISTER!F349)</f>
        <v/>
      </c>
      <c r="C349">
        <f>IF(A349="","",MASTER_REGISTER!C349)</f>
        <v/>
      </c>
      <c r="D349">
        <f>IF(A349="","",COUNTIF(ASSESSMENTS!B:B,A349))</f>
        <v/>
      </c>
      <c r="E349" s="4">
        <f>IF(D349=0,"",ROUND(AVERAGEIF(ASSESSMENTS!B:B,A349,ASSESSMENTS!H:H),1))</f>
        <v/>
      </c>
      <c r="F349" s="4">
        <f>IF(A349="","",IFERROR(ROUND(AVERAGEIFS(ASSESSMENTS!H:H,ASSESSMENTS!B:B,A349,ASSESSMENTS!E:E,"Mathematics"),1),""))</f>
        <v/>
      </c>
      <c r="G349" s="4">
        <f>IF(A349="","",IFERROR(ROUND(AVERAGEIFS(ASSESSMENTS!H:H,ASSESSMENTS!B:B,A349,ASSESSMENTS!E:E,"Mathematical Literacy"),1),""))</f>
        <v/>
      </c>
      <c r="H349" s="4">
        <f>IF(A349="","",IFERROR(ROUND(AVERAGEIFS(ASSESSMENTS!H:H,ASSESSMENTS!B:B,A349,ASSESSMENTS!E:E,"Physical Sciences"),1),""))</f>
        <v/>
      </c>
      <c r="I349" s="4">
        <f>IF(A349="","",IFERROR(ROUND(AVERAGEIFS(ASSESSMENTS!H:H,ASSESSMENTS!B:B,A349,ASSESSMENTS!E:E,"Geography"),1),""))</f>
        <v/>
      </c>
      <c r="J349" s="4">
        <f>IF(A349="","",IFERROR(ROUND(AVERAGEIFS(ASSESSMENTS!H:H,ASSESSMENTS!B:B,A349,ASSESSMENTS!E:E,"Accounting"),1),""))</f>
        <v/>
      </c>
      <c r="K349" s="4">
        <f>IF(A349="","",IFERROR(ROUND(AVERAGEIFS(ASSESSMENTS!H:H,ASSESSMENTS!B:B,A349,ASSESSMENTS!E:E,"English"),1),""))</f>
        <v/>
      </c>
      <c r="L349" s="5">
        <f>IF(A349="","",IFERROR(_xludf.XLOOKUP(A349,ATTENDANCE_SUMMARY!A:A,ATTENDANCE_SUMMARY!G:G,""),""))</f>
        <v/>
      </c>
      <c r="M349" s="4">
        <f>IF(A349="","",IF(OR(E349&lt;50,AND(L349&lt;0.75,L349&lt;&gt;"" )),"At Risk","On Track"))</f>
        <v/>
      </c>
    </row>
    <row r="350">
      <c r="A350">
        <f>IF(MASTER_REGISTER!E350="","",MASTER_REGISTER!E350)</f>
        <v/>
      </c>
      <c r="B350">
        <f>IF(A350="","",MASTER_REGISTER!F350)</f>
        <v/>
      </c>
      <c r="C350">
        <f>IF(A350="","",MASTER_REGISTER!C350)</f>
        <v/>
      </c>
      <c r="D350">
        <f>IF(A350="","",COUNTIF(ASSESSMENTS!B:B,A350))</f>
        <v/>
      </c>
      <c r="E350" s="4">
        <f>IF(D350=0,"",ROUND(AVERAGEIF(ASSESSMENTS!B:B,A350,ASSESSMENTS!H:H),1))</f>
        <v/>
      </c>
      <c r="F350" s="4">
        <f>IF(A350="","",IFERROR(ROUND(AVERAGEIFS(ASSESSMENTS!H:H,ASSESSMENTS!B:B,A350,ASSESSMENTS!E:E,"Mathematics"),1),""))</f>
        <v/>
      </c>
      <c r="G350" s="4">
        <f>IF(A350="","",IFERROR(ROUND(AVERAGEIFS(ASSESSMENTS!H:H,ASSESSMENTS!B:B,A350,ASSESSMENTS!E:E,"Mathematical Literacy"),1),""))</f>
        <v/>
      </c>
      <c r="H350" s="4">
        <f>IF(A350="","",IFERROR(ROUND(AVERAGEIFS(ASSESSMENTS!H:H,ASSESSMENTS!B:B,A350,ASSESSMENTS!E:E,"Physical Sciences"),1),""))</f>
        <v/>
      </c>
      <c r="I350" s="4">
        <f>IF(A350="","",IFERROR(ROUND(AVERAGEIFS(ASSESSMENTS!H:H,ASSESSMENTS!B:B,A350,ASSESSMENTS!E:E,"Geography"),1),""))</f>
        <v/>
      </c>
      <c r="J350" s="4">
        <f>IF(A350="","",IFERROR(ROUND(AVERAGEIFS(ASSESSMENTS!H:H,ASSESSMENTS!B:B,A350,ASSESSMENTS!E:E,"Accounting"),1),""))</f>
        <v/>
      </c>
      <c r="K350" s="4">
        <f>IF(A350="","",IFERROR(ROUND(AVERAGEIFS(ASSESSMENTS!H:H,ASSESSMENTS!B:B,A350,ASSESSMENTS!E:E,"English"),1),""))</f>
        <v/>
      </c>
      <c r="L350" s="5">
        <f>IF(A350="","",IFERROR(_xludf.XLOOKUP(A350,ATTENDANCE_SUMMARY!A:A,ATTENDANCE_SUMMARY!G:G,""),""))</f>
        <v/>
      </c>
      <c r="M350" s="4">
        <f>IF(A350="","",IF(OR(E350&lt;50,AND(L350&lt;0.75,L350&lt;&gt;"" )),"At Risk","On Track"))</f>
        <v/>
      </c>
    </row>
    <row r="351">
      <c r="A351">
        <f>IF(MASTER_REGISTER!E351="","",MASTER_REGISTER!E351)</f>
        <v/>
      </c>
      <c r="B351">
        <f>IF(A351="","",MASTER_REGISTER!F351)</f>
        <v/>
      </c>
      <c r="C351">
        <f>IF(A351="","",MASTER_REGISTER!C351)</f>
        <v/>
      </c>
      <c r="D351">
        <f>IF(A351="","",COUNTIF(ASSESSMENTS!B:B,A351))</f>
        <v/>
      </c>
      <c r="E351" s="4">
        <f>IF(D351=0,"",ROUND(AVERAGEIF(ASSESSMENTS!B:B,A351,ASSESSMENTS!H:H),1))</f>
        <v/>
      </c>
      <c r="F351" s="4">
        <f>IF(A351="","",IFERROR(ROUND(AVERAGEIFS(ASSESSMENTS!H:H,ASSESSMENTS!B:B,A351,ASSESSMENTS!E:E,"Mathematics"),1),""))</f>
        <v/>
      </c>
      <c r="G351" s="4">
        <f>IF(A351="","",IFERROR(ROUND(AVERAGEIFS(ASSESSMENTS!H:H,ASSESSMENTS!B:B,A351,ASSESSMENTS!E:E,"Mathematical Literacy"),1),""))</f>
        <v/>
      </c>
      <c r="H351" s="4">
        <f>IF(A351="","",IFERROR(ROUND(AVERAGEIFS(ASSESSMENTS!H:H,ASSESSMENTS!B:B,A351,ASSESSMENTS!E:E,"Physical Sciences"),1),""))</f>
        <v/>
      </c>
      <c r="I351" s="4">
        <f>IF(A351="","",IFERROR(ROUND(AVERAGEIFS(ASSESSMENTS!H:H,ASSESSMENTS!B:B,A351,ASSESSMENTS!E:E,"Geography"),1),""))</f>
        <v/>
      </c>
      <c r="J351" s="4">
        <f>IF(A351="","",IFERROR(ROUND(AVERAGEIFS(ASSESSMENTS!H:H,ASSESSMENTS!B:B,A351,ASSESSMENTS!E:E,"Accounting"),1),""))</f>
        <v/>
      </c>
      <c r="K351" s="4">
        <f>IF(A351="","",IFERROR(ROUND(AVERAGEIFS(ASSESSMENTS!H:H,ASSESSMENTS!B:B,A351,ASSESSMENTS!E:E,"English"),1),""))</f>
        <v/>
      </c>
      <c r="L351" s="5">
        <f>IF(A351="","",IFERROR(_xludf.XLOOKUP(A351,ATTENDANCE_SUMMARY!A:A,ATTENDANCE_SUMMARY!G:G,""),""))</f>
        <v/>
      </c>
      <c r="M351" s="4">
        <f>IF(A351="","",IF(OR(E351&lt;50,AND(L351&lt;0.75,L351&lt;&gt;"" )),"At Risk","On Track"))</f>
        <v/>
      </c>
    </row>
    <row r="352">
      <c r="A352">
        <f>IF(MASTER_REGISTER!E352="","",MASTER_REGISTER!E352)</f>
        <v/>
      </c>
      <c r="B352">
        <f>IF(A352="","",MASTER_REGISTER!F352)</f>
        <v/>
      </c>
      <c r="C352">
        <f>IF(A352="","",MASTER_REGISTER!C352)</f>
        <v/>
      </c>
      <c r="D352">
        <f>IF(A352="","",COUNTIF(ASSESSMENTS!B:B,A352))</f>
        <v/>
      </c>
      <c r="E352" s="4">
        <f>IF(D352=0,"",ROUND(AVERAGEIF(ASSESSMENTS!B:B,A352,ASSESSMENTS!H:H),1))</f>
        <v/>
      </c>
      <c r="F352" s="4">
        <f>IF(A352="","",IFERROR(ROUND(AVERAGEIFS(ASSESSMENTS!H:H,ASSESSMENTS!B:B,A352,ASSESSMENTS!E:E,"Mathematics"),1),""))</f>
        <v/>
      </c>
      <c r="G352" s="4">
        <f>IF(A352="","",IFERROR(ROUND(AVERAGEIFS(ASSESSMENTS!H:H,ASSESSMENTS!B:B,A352,ASSESSMENTS!E:E,"Mathematical Literacy"),1),""))</f>
        <v/>
      </c>
      <c r="H352" s="4">
        <f>IF(A352="","",IFERROR(ROUND(AVERAGEIFS(ASSESSMENTS!H:H,ASSESSMENTS!B:B,A352,ASSESSMENTS!E:E,"Physical Sciences"),1),""))</f>
        <v/>
      </c>
      <c r="I352" s="4">
        <f>IF(A352="","",IFERROR(ROUND(AVERAGEIFS(ASSESSMENTS!H:H,ASSESSMENTS!B:B,A352,ASSESSMENTS!E:E,"Geography"),1),""))</f>
        <v/>
      </c>
      <c r="J352" s="4">
        <f>IF(A352="","",IFERROR(ROUND(AVERAGEIFS(ASSESSMENTS!H:H,ASSESSMENTS!B:B,A352,ASSESSMENTS!E:E,"Accounting"),1),""))</f>
        <v/>
      </c>
      <c r="K352" s="4">
        <f>IF(A352="","",IFERROR(ROUND(AVERAGEIFS(ASSESSMENTS!H:H,ASSESSMENTS!B:B,A352,ASSESSMENTS!E:E,"English"),1),""))</f>
        <v/>
      </c>
      <c r="L352" s="5">
        <f>IF(A352="","",IFERROR(_xludf.XLOOKUP(A352,ATTENDANCE_SUMMARY!A:A,ATTENDANCE_SUMMARY!G:G,""),""))</f>
        <v/>
      </c>
      <c r="M352" s="4">
        <f>IF(A352="","",IF(OR(E352&lt;50,AND(L352&lt;0.75,L352&lt;&gt;"" )),"At Risk","On Track"))</f>
        <v/>
      </c>
    </row>
    <row r="353">
      <c r="A353">
        <f>IF(MASTER_REGISTER!E353="","",MASTER_REGISTER!E353)</f>
        <v/>
      </c>
      <c r="B353">
        <f>IF(A353="","",MASTER_REGISTER!F353)</f>
        <v/>
      </c>
      <c r="C353">
        <f>IF(A353="","",MASTER_REGISTER!C353)</f>
        <v/>
      </c>
      <c r="D353">
        <f>IF(A353="","",COUNTIF(ASSESSMENTS!B:B,A353))</f>
        <v/>
      </c>
      <c r="E353" s="4">
        <f>IF(D353=0,"",ROUND(AVERAGEIF(ASSESSMENTS!B:B,A353,ASSESSMENTS!H:H),1))</f>
        <v/>
      </c>
      <c r="F353" s="4">
        <f>IF(A353="","",IFERROR(ROUND(AVERAGEIFS(ASSESSMENTS!H:H,ASSESSMENTS!B:B,A353,ASSESSMENTS!E:E,"Mathematics"),1),""))</f>
        <v/>
      </c>
      <c r="G353" s="4">
        <f>IF(A353="","",IFERROR(ROUND(AVERAGEIFS(ASSESSMENTS!H:H,ASSESSMENTS!B:B,A353,ASSESSMENTS!E:E,"Mathematical Literacy"),1),""))</f>
        <v/>
      </c>
      <c r="H353" s="4">
        <f>IF(A353="","",IFERROR(ROUND(AVERAGEIFS(ASSESSMENTS!H:H,ASSESSMENTS!B:B,A353,ASSESSMENTS!E:E,"Physical Sciences"),1),""))</f>
        <v/>
      </c>
      <c r="I353" s="4">
        <f>IF(A353="","",IFERROR(ROUND(AVERAGEIFS(ASSESSMENTS!H:H,ASSESSMENTS!B:B,A353,ASSESSMENTS!E:E,"Geography"),1),""))</f>
        <v/>
      </c>
      <c r="J353" s="4">
        <f>IF(A353="","",IFERROR(ROUND(AVERAGEIFS(ASSESSMENTS!H:H,ASSESSMENTS!B:B,A353,ASSESSMENTS!E:E,"Accounting"),1),""))</f>
        <v/>
      </c>
      <c r="K353" s="4">
        <f>IF(A353="","",IFERROR(ROUND(AVERAGEIFS(ASSESSMENTS!H:H,ASSESSMENTS!B:B,A353,ASSESSMENTS!E:E,"English"),1),""))</f>
        <v/>
      </c>
      <c r="L353" s="5">
        <f>IF(A353="","",IFERROR(_xludf.XLOOKUP(A353,ATTENDANCE_SUMMARY!A:A,ATTENDANCE_SUMMARY!G:G,""),""))</f>
        <v/>
      </c>
      <c r="M353" s="4">
        <f>IF(A353="","",IF(OR(E353&lt;50,AND(L353&lt;0.75,L353&lt;&gt;"" )),"At Risk","On Track"))</f>
        <v/>
      </c>
    </row>
    <row r="354">
      <c r="A354">
        <f>IF(MASTER_REGISTER!E354="","",MASTER_REGISTER!E354)</f>
        <v/>
      </c>
      <c r="B354">
        <f>IF(A354="","",MASTER_REGISTER!F354)</f>
        <v/>
      </c>
      <c r="C354">
        <f>IF(A354="","",MASTER_REGISTER!C354)</f>
        <v/>
      </c>
      <c r="D354">
        <f>IF(A354="","",COUNTIF(ASSESSMENTS!B:B,A354))</f>
        <v/>
      </c>
      <c r="E354" s="4">
        <f>IF(D354=0,"",ROUND(AVERAGEIF(ASSESSMENTS!B:B,A354,ASSESSMENTS!H:H),1))</f>
        <v/>
      </c>
      <c r="F354" s="4">
        <f>IF(A354="","",IFERROR(ROUND(AVERAGEIFS(ASSESSMENTS!H:H,ASSESSMENTS!B:B,A354,ASSESSMENTS!E:E,"Mathematics"),1),""))</f>
        <v/>
      </c>
      <c r="G354" s="4">
        <f>IF(A354="","",IFERROR(ROUND(AVERAGEIFS(ASSESSMENTS!H:H,ASSESSMENTS!B:B,A354,ASSESSMENTS!E:E,"Mathematical Literacy"),1),""))</f>
        <v/>
      </c>
      <c r="H354" s="4">
        <f>IF(A354="","",IFERROR(ROUND(AVERAGEIFS(ASSESSMENTS!H:H,ASSESSMENTS!B:B,A354,ASSESSMENTS!E:E,"Physical Sciences"),1),""))</f>
        <v/>
      </c>
      <c r="I354" s="4">
        <f>IF(A354="","",IFERROR(ROUND(AVERAGEIFS(ASSESSMENTS!H:H,ASSESSMENTS!B:B,A354,ASSESSMENTS!E:E,"Geography"),1),""))</f>
        <v/>
      </c>
      <c r="J354" s="4">
        <f>IF(A354="","",IFERROR(ROUND(AVERAGEIFS(ASSESSMENTS!H:H,ASSESSMENTS!B:B,A354,ASSESSMENTS!E:E,"Accounting"),1),""))</f>
        <v/>
      </c>
      <c r="K354" s="4">
        <f>IF(A354="","",IFERROR(ROUND(AVERAGEIFS(ASSESSMENTS!H:H,ASSESSMENTS!B:B,A354,ASSESSMENTS!E:E,"English"),1),""))</f>
        <v/>
      </c>
      <c r="L354" s="5">
        <f>IF(A354="","",IFERROR(_xludf.XLOOKUP(A354,ATTENDANCE_SUMMARY!A:A,ATTENDANCE_SUMMARY!G:G,""),""))</f>
        <v/>
      </c>
      <c r="M354" s="4">
        <f>IF(A354="","",IF(OR(E354&lt;50,AND(L354&lt;0.75,L354&lt;&gt;"" )),"At Risk","On Track"))</f>
        <v/>
      </c>
    </row>
    <row r="355">
      <c r="A355">
        <f>IF(MASTER_REGISTER!E355="","",MASTER_REGISTER!E355)</f>
        <v/>
      </c>
      <c r="B355">
        <f>IF(A355="","",MASTER_REGISTER!F355)</f>
        <v/>
      </c>
      <c r="C355">
        <f>IF(A355="","",MASTER_REGISTER!C355)</f>
        <v/>
      </c>
      <c r="D355">
        <f>IF(A355="","",COUNTIF(ASSESSMENTS!B:B,A355))</f>
        <v/>
      </c>
      <c r="E355" s="4">
        <f>IF(D355=0,"",ROUND(AVERAGEIF(ASSESSMENTS!B:B,A355,ASSESSMENTS!H:H),1))</f>
        <v/>
      </c>
      <c r="F355" s="4">
        <f>IF(A355="","",IFERROR(ROUND(AVERAGEIFS(ASSESSMENTS!H:H,ASSESSMENTS!B:B,A355,ASSESSMENTS!E:E,"Mathematics"),1),""))</f>
        <v/>
      </c>
      <c r="G355" s="4">
        <f>IF(A355="","",IFERROR(ROUND(AVERAGEIFS(ASSESSMENTS!H:H,ASSESSMENTS!B:B,A355,ASSESSMENTS!E:E,"Mathematical Literacy"),1),""))</f>
        <v/>
      </c>
      <c r="H355" s="4">
        <f>IF(A355="","",IFERROR(ROUND(AVERAGEIFS(ASSESSMENTS!H:H,ASSESSMENTS!B:B,A355,ASSESSMENTS!E:E,"Physical Sciences"),1),""))</f>
        <v/>
      </c>
      <c r="I355" s="4">
        <f>IF(A355="","",IFERROR(ROUND(AVERAGEIFS(ASSESSMENTS!H:H,ASSESSMENTS!B:B,A355,ASSESSMENTS!E:E,"Geography"),1),""))</f>
        <v/>
      </c>
      <c r="J355" s="4">
        <f>IF(A355="","",IFERROR(ROUND(AVERAGEIFS(ASSESSMENTS!H:H,ASSESSMENTS!B:B,A355,ASSESSMENTS!E:E,"Accounting"),1),""))</f>
        <v/>
      </c>
      <c r="K355" s="4">
        <f>IF(A355="","",IFERROR(ROUND(AVERAGEIFS(ASSESSMENTS!H:H,ASSESSMENTS!B:B,A355,ASSESSMENTS!E:E,"English"),1),""))</f>
        <v/>
      </c>
      <c r="L355" s="5">
        <f>IF(A355="","",IFERROR(_xludf.XLOOKUP(A355,ATTENDANCE_SUMMARY!A:A,ATTENDANCE_SUMMARY!G:G,""),""))</f>
        <v/>
      </c>
      <c r="M355" s="4">
        <f>IF(A355="","",IF(OR(E355&lt;50,AND(L355&lt;0.75,L355&lt;&gt;"" )),"At Risk","On Track"))</f>
        <v/>
      </c>
    </row>
    <row r="356">
      <c r="A356">
        <f>IF(MASTER_REGISTER!E356="","",MASTER_REGISTER!E356)</f>
        <v/>
      </c>
      <c r="B356">
        <f>IF(A356="","",MASTER_REGISTER!F356)</f>
        <v/>
      </c>
      <c r="C356">
        <f>IF(A356="","",MASTER_REGISTER!C356)</f>
        <v/>
      </c>
      <c r="D356">
        <f>IF(A356="","",COUNTIF(ASSESSMENTS!B:B,A356))</f>
        <v/>
      </c>
      <c r="E356" s="4">
        <f>IF(D356=0,"",ROUND(AVERAGEIF(ASSESSMENTS!B:B,A356,ASSESSMENTS!H:H),1))</f>
        <v/>
      </c>
      <c r="F356" s="4">
        <f>IF(A356="","",IFERROR(ROUND(AVERAGEIFS(ASSESSMENTS!H:H,ASSESSMENTS!B:B,A356,ASSESSMENTS!E:E,"Mathematics"),1),""))</f>
        <v/>
      </c>
      <c r="G356" s="4">
        <f>IF(A356="","",IFERROR(ROUND(AVERAGEIFS(ASSESSMENTS!H:H,ASSESSMENTS!B:B,A356,ASSESSMENTS!E:E,"Mathematical Literacy"),1),""))</f>
        <v/>
      </c>
      <c r="H356" s="4">
        <f>IF(A356="","",IFERROR(ROUND(AVERAGEIFS(ASSESSMENTS!H:H,ASSESSMENTS!B:B,A356,ASSESSMENTS!E:E,"Physical Sciences"),1),""))</f>
        <v/>
      </c>
      <c r="I356" s="4">
        <f>IF(A356="","",IFERROR(ROUND(AVERAGEIFS(ASSESSMENTS!H:H,ASSESSMENTS!B:B,A356,ASSESSMENTS!E:E,"Geography"),1),""))</f>
        <v/>
      </c>
      <c r="J356" s="4">
        <f>IF(A356="","",IFERROR(ROUND(AVERAGEIFS(ASSESSMENTS!H:H,ASSESSMENTS!B:B,A356,ASSESSMENTS!E:E,"Accounting"),1),""))</f>
        <v/>
      </c>
      <c r="K356" s="4">
        <f>IF(A356="","",IFERROR(ROUND(AVERAGEIFS(ASSESSMENTS!H:H,ASSESSMENTS!B:B,A356,ASSESSMENTS!E:E,"English"),1),""))</f>
        <v/>
      </c>
      <c r="L356" s="5">
        <f>IF(A356="","",IFERROR(_xludf.XLOOKUP(A356,ATTENDANCE_SUMMARY!A:A,ATTENDANCE_SUMMARY!G:G,""),""))</f>
        <v/>
      </c>
      <c r="M356" s="4">
        <f>IF(A356="","",IF(OR(E356&lt;50,AND(L356&lt;0.75,L356&lt;&gt;"" )),"At Risk","On Track"))</f>
        <v/>
      </c>
    </row>
    <row r="357">
      <c r="A357">
        <f>IF(MASTER_REGISTER!E357="","",MASTER_REGISTER!E357)</f>
        <v/>
      </c>
      <c r="B357">
        <f>IF(A357="","",MASTER_REGISTER!F357)</f>
        <v/>
      </c>
      <c r="C357">
        <f>IF(A357="","",MASTER_REGISTER!C357)</f>
        <v/>
      </c>
      <c r="D357">
        <f>IF(A357="","",COUNTIF(ASSESSMENTS!B:B,A357))</f>
        <v/>
      </c>
      <c r="E357" s="4">
        <f>IF(D357=0,"",ROUND(AVERAGEIF(ASSESSMENTS!B:B,A357,ASSESSMENTS!H:H),1))</f>
        <v/>
      </c>
      <c r="F357" s="4">
        <f>IF(A357="","",IFERROR(ROUND(AVERAGEIFS(ASSESSMENTS!H:H,ASSESSMENTS!B:B,A357,ASSESSMENTS!E:E,"Mathematics"),1),""))</f>
        <v/>
      </c>
      <c r="G357" s="4">
        <f>IF(A357="","",IFERROR(ROUND(AVERAGEIFS(ASSESSMENTS!H:H,ASSESSMENTS!B:B,A357,ASSESSMENTS!E:E,"Mathematical Literacy"),1),""))</f>
        <v/>
      </c>
      <c r="H357" s="4">
        <f>IF(A357="","",IFERROR(ROUND(AVERAGEIFS(ASSESSMENTS!H:H,ASSESSMENTS!B:B,A357,ASSESSMENTS!E:E,"Physical Sciences"),1),""))</f>
        <v/>
      </c>
      <c r="I357" s="4">
        <f>IF(A357="","",IFERROR(ROUND(AVERAGEIFS(ASSESSMENTS!H:H,ASSESSMENTS!B:B,A357,ASSESSMENTS!E:E,"Geography"),1),""))</f>
        <v/>
      </c>
      <c r="J357" s="4">
        <f>IF(A357="","",IFERROR(ROUND(AVERAGEIFS(ASSESSMENTS!H:H,ASSESSMENTS!B:B,A357,ASSESSMENTS!E:E,"Accounting"),1),""))</f>
        <v/>
      </c>
      <c r="K357" s="4">
        <f>IF(A357="","",IFERROR(ROUND(AVERAGEIFS(ASSESSMENTS!H:H,ASSESSMENTS!B:B,A357,ASSESSMENTS!E:E,"English"),1),""))</f>
        <v/>
      </c>
      <c r="L357" s="5">
        <f>IF(A357="","",IFERROR(_xludf.XLOOKUP(A357,ATTENDANCE_SUMMARY!A:A,ATTENDANCE_SUMMARY!G:G,""),""))</f>
        <v/>
      </c>
      <c r="M357" s="4">
        <f>IF(A357="","",IF(OR(E357&lt;50,AND(L357&lt;0.75,L357&lt;&gt;"" )),"At Risk","On Track"))</f>
        <v/>
      </c>
    </row>
    <row r="358">
      <c r="A358">
        <f>IF(MASTER_REGISTER!E358="","",MASTER_REGISTER!E358)</f>
        <v/>
      </c>
      <c r="B358">
        <f>IF(A358="","",MASTER_REGISTER!F358)</f>
        <v/>
      </c>
      <c r="C358">
        <f>IF(A358="","",MASTER_REGISTER!C358)</f>
        <v/>
      </c>
      <c r="D358">
        <f>IF(A358="","",COUNTIF(ASSESSMENTS!B:B,A358))</f>
        <v/>
      </c>
      <c r="E358" s="4">
        <f>IF(D358=0,"",ROUND(AVERAGEIF(ASSESSMENTS!B:B,A358,ASSESSMENTS!H:H),1))</f>
        <v/>
      </c>
      <c r="F358" s="4">
        <f>IF(A358="","",IFERROR(ROUND(AVERAGEIFS(ASSESSMENTS!H:H,ASSESSMENTS!B:B,A358,ASSESSMENTS!E:E,"Mathematics"),1),""))</f>
        <v/>
      </c>
      <c r="G358" s="4">
        <f>IF(A358="","",IFERROR(ROUND(AVERAGEIFS(ASSESSMENTS!H:H,ASSESSMENTS!B:B,A358,ASSESSMENTS!E:E,"Mathematical Literacy"),1),""))</f>
        <v/>
      </c>
      <c r="H358" s="4">
        <f>IF(A358="","",IFERROR(ROUND(AVERAGEIFS(ASSESSMENTS!H:H,ASSESSMENTS!B:B,A358,ASSESSMENTS!E:E,"Physical Sciences"),1),""))</f>
        <v/>
      </c>
      <c r="I358" s="4">
        <f>IF(A358="","",IFERROR(ROUND(AVERAGEIFS(ASSESSMENTS!H:H,ASSESSMENTS!B:B,A358,ASSESSMENTS!E:E,"Geography"),1),""))</f>
        <v/>
      </c>
      <c r="J358" s="4">
        <f>IF(A358="","",IFERROR(ROUND(AVERAGEIFS(ASSESSMENTS!H:H,ASSESSMENTS!B:B,A358,ASSESSMENTS!E:E,"Accounting"),1),""))</f>
        <v/>
      </c>
      <c r="K358" s="4">
        <f>IF(A358="","",IFERROR(ROUND(AVERAGEIFS(ASSESSMENTS!H:H,ASSESSMENTS!B:B,A358,ASSESSMENTS!E:E,"English"),1),""))</f>
        <v/>
      </c>
      <c r="L358" s="5">
        <f>IF(A358="","",IFERROR(_xludf.XLOOKUP(A358,ATTENDANCE_SUMMARY!A:A,ATTENDANCE_SUMMARY!G:G,""),""))</f>
        <v/>
      </c>
      <c r="M358" s="4">
        <f>IF(A358="","",IF(OR(E358&lt;50,AND(L358&lt;0.75,L358&lt;&gt;"" )),"At Risk","On Track"))</f>
        <v/>
      </c>
    </row>
    <row r="359">
      <c r="A359">
        <f>IF(MASTER_REGISTER!E359="","",MASTER_REGISTER!E359)</f>
        <v/>
      </c>
      <c r="B359">
        <f>IF(A359="","",MASTER_REGISTER!F359)</f>
        <v/>
      </c>
      <c r="C359">
        <f>IF(A359="","",MASTER_REGISTER!C359)</f>
        <v/>
      </c>
      <c r="D359">
        <f>IF(A359="","",COUNTIF(ASSESSMENTS!B:B,A359))</f>
        <v/>
      </c>
      <c r="E359" s="4">
        <f>IF(D359=0,"",ROUND(AVERAGEIF(ASSESSMENTS!B:B,A359,ASSESSMENTS!H:H),1))</f>
        <v/>
      </c>
      <c r="F359" s="4">
        <f>IF(A359="","",IFERROR(ROUND(AVERAGEIFS(ASSESSMENTS!H:H,ASSESSMENTS!B:B,A359,ASSESSMENTS!E:E,"Mathematics"),1),""))</f>
        <v/>
      </c>
      <c r="G359" s="4">
        <f>IF(A359="","",IFERROR(ROUND(AVERAGEIFS(ASSESSMENTS!H:H,ASSESSMENTS!B:B,A359,ASSESSMENTS!E:E,"Mathematical Literacy"),1),""))</f>
        <v/>
      </c>
      <c r="H359" s="4">
        <f>IF(A359="","",IFERROR(ROUND(AVERAGEIFS(ASSESSMENTS!H:H,ASSESSMENTS!B:B,A359,ASSESSMENTS!E:E,"Physical Sciences"),1),""))</f>
        <v/>
      </c>
      <c r="I359" s="4">
        <f>IF(A359="","",IFERROR(ROUND(AVERAGEIFS(ASSESSMENTS!H:H,ASSESSMENTS!B:B,A359,ASSESSMENTS!E:E,"Geography"),1),""))</f>
        <v/>
      </c>
      <c r="J359" s="4">
        <f>IF(A359="","",IFERROR(ROUND(AVERAGEIFS(ASSESSMENTS!H:H,ASSESSMENTS!B:B,A359,ASSESSMENTS!E:E,"Accounting"),1),""))</f>
        <v/>
      </c>
      <c r="K359" s="4">
        <f>IF(A359="","",IFERROR(ROUND(AVERAGEIFS(ASSESSMENTS!H:H,ASSESSMENTS!B:B,A359,ASSESSMENTS!E:E,"English"),1),""))</f>
        <v/>
      </c>
      <c r="L359" s="5">
        <f>IF(A359="","",IFERROR(_xludf.XLOOKUP(A359,ATTENDANCE_SUMMARY!A:A,ATTENDANCE_SUMMARY!G:G,""),""))</f>
        <v/>
      </c>
      <c r="M359" s="4">
        <f>IF(A359="","",IF(OR(E359&lt;50,AND(L359&lt;0.75,L359&lt;&gt;"" )),"At Risk","On Track"))</f>
        <v/>
      </c>
    </row>
    <row r="360">
      <c r="A360">
        <f>IF(MASTER_REGISTER!E360="","",MASTER_REGISTER!E360)</f>
        <v/>
      </c>
      <c r="B360">
        <f>IF(A360="","",MASTER_REGISTER!F360)</f>
        <v/>
      </c>
      <c r="C360">
        <f>IF(A360="","",MASTER_REGISTER!C360)</f>
        <v/>
      </c>
      <c r="D360">
        <f>IF(A360="","",COUNTIF(ASSESSMENTS!B:B,A360))</f>
        <v/>
      </c>
      <c r="E360" s="4">
        <f>IF(D360=0,"",ROUND(AVERAGEIF(ASSESSMENTS!B:B,A360,ASSESSMENTS!H:H),1))</f>
        <v/>
      </c>
      <c r="F360" s="4">
        <f>IF(A360="","",IFERROR(ROUND(AVERAGEIFS(ASSESSMENTS!H:H,ASSESSMENTS!B:B,A360,ASSESSMENTS!E:E,"Mathematics"),1),""))</f>
        <v/>
      </c>
      <c r="G360" s="4">
        <f>IF(A360="","",IFERROR(ROUND(AVERAGEIFS(ASSESSMENTS!H:H,ASSESSMENTS!B:B,A360,ASSESSMENTS!E:E,"Mathematical Literacy"),1),""))</f>
        <v/>
      </c>
      <c r="H360" s="4">
        <f>IF(A360="","",IFERROR(ROUND(AVERAGEIFS(ASSESSMENTS!H:H,ASSESSMENTS!B:B,A360,ASSESSMENTS!E:E,"Physical Sciences"),1),""))</f>
        <v/>
      </c>
      <c r="I360" s="4">
        <f>IF(A360="","",IFERROR(ROUND(AVERAGEIFS(ASSESSMENTS!H:H,ASSESSMENTS!B:B,A360,ASSESSMENTS!E:E,"Geography"),1),""))</f>
        <v/>
      </c>
      <c r="J360" s="4">
        <f>IF(A360="","",IFERROR(ROUND(AVERAGEIFS(ASSESSMENTS!H:H,ASSESSMENTS!B:B,A360,ASSESSMENTS!E:E,"Accounting"),1),""))</f>
        <v/>
      </c>
      <c r="K360" s="4">
        <f>IF(A360="","",IFERROR(ROUND(AVERAGEIFS(ASSESSMENTS!H:H,ASSESSMENTS!B:B,A360,ASSESSMENTS!E:E,"English"),1),""))</f>
        <v/>
      </c>
      <c r="L360" s="5">
        <f>IF(A360="","",IFERROR(_xludf.XLOOKUP(A360,ATTENDANCE_SUMMARY!A:A,ATTENDANCE_SUMMARY!G:G,""),""))</f>
        <v/>
      </c>
      <c r="M360" s="4">
        <f>IF(A360="","",IF(OR(E360&lt;50,AND(L360&lt;0.75,L360&lt;&gt;"" )),"At Risk","On Track"))</f>
        <v/>
      </c>
    </row>
    <row r="361">
      <c r="A361">
        <f>IF(MASTER_REGISTER!E361="","",MASTER_REGISTER!E361)</f>
        <v/>
      </c>
      <c r="B361">
        <f>IF(A361="","",MASTER_REGISTER!F361)</f>
        <v/>
      </c>
      <c r="C361">
        <f>IF(A361="","",MASTER_REGISTER!C361)</f>
        <v/>
      </c>
      <c r="D361">
        <f>IF(A361="","",COUNTIF(ASSESSMENTS!B:B,A361))</f>
        <v/>
      </c>
      <c r="E361" s="4">
        <f>IF(D361=0,"",ROUND(AVERAGEIF(ASSESSMENTS!B:B,A361,ASSESSMENTS!H:H),1))</f>
        <v/>
      </c>
      <c r="F361" s="4">
        <f>IF(A361="","",IFERROR(ROUND(AVERAGEIFS(ASSESSMENTS!H:H,ASSESSMENTS!B:B,A361,ASSESSMENTS!E:E,"Mathematics"),1),""))</f>
        <v/>
      </c>
      <c r="G361" s="4">
        <f>IF(A361="","",IFERROR(ROUND(AVERAGEIFS(ASSESSMENTS!H:H,ASSESSMENTS!B:B,A361,ASSESSMENTS!E:E,"Mathematical Literacy"),1),""))</f>
        <v/>
      </c>
      <c r="H361" s="4">
        <f>IF(A361="","",IFERROR(ROUND(AVERAGEIFS(ASSESSMENTS!H:H,ASSESSMENTS!B:B,A361,ASSESSMENTS!E:E,"Physical Sciences"),1),""))</f>
        <v/>
      </c>
      <c r="I361" s="4">
        <f>IF(A361="","",IFERROR(ROUND(AVERAGEIFS(ASSESSMENTS!H:H,ASSESSMENTS!B:B,A361,ASSESSMENTS!E:E,"Geography"),1),""))</f>
        <v/>
      </c>
      <c r="J361" s="4">
        <f>IF(A361="","",IFERROR(ROUND(AVERAGEIFS(ASSESSMENTS!H:H,ASSESSMENTS!B:B,A361,ASSESSMENTS!E:E,"Accounting"),1),""))</f>
        <v/>
      </c>
      <c r="K361" s="4">
        <f>IF(A361="","",IFERROR(ROUND(AVERAGEIFS(ASSESSMENTS!H:H,ASSESSMENTS!B:B,A361,ASSESSMENTS!E:E,"English"),1),""))</f>
        <v/>
      </c>
      <c r="L361" s="5">
        <f>IF(A361="","",IFERROR(_xludf.XLOOKUP(A361,ATTENDANCE_SUMMARY!A:A,ATTENDANCE_SUMMARY!G:G,""),""))</f>
        <v/>
      </c>
      <c r="M361" s="4">
        <f>IF(A361="","",IF(OR(E361&lt;50,AND(L361&lt;0.75,L361&lt;&gt;"" )),"At Risk","On Track"))</f>
        <v/>
      </c>
    </row>
    <row r="362">
      <c r="A362">
        <f>IF(MASTER_REGISTER!E362="","",MASTER_REGISTER!E362)</f>
        <v/>
      </c>
      <c r="B362">
        <f>IF(A362="","",MASTER_REGISTER!F362)</f>
        <v/>
      </c>
      <c r="C362">
        <f>IF(A362="","",MASTER_REGISTER!C362)</f>
        <v/>
      </c>
      <c r="D362">
        <f>IF(A362="","",COUNTIF(ASSESSMENTS!B:B,A362))</f>
        <v/>
      </c>
      <c r="E362" s="4">
        <f>IF(D362=0,"",ROUND(AVERAGEIF(ASSESSMENTS!B:B,A362,ASSESSMENTS!H:H),1))</f>
        <v/>
      </c>
      <c r="F362" s="4">
        <f>IF(A362="","",IFERROR(ROUND(AVERAGEIFS(ASSESSMENTS!H:H,ASSESSMENTS!B:B,A362,ASSESSMENTS!E:E,"Mathematics"),1),""))</f>
        <v/>
      </c>
      <c r="G362" s="4">
        <f>IF(A362="","",IFERROR(ROUND(AVERAGEIFS(ASSESSMENTS!H:H,ASSESSMENTS!B:B,A362,ASSESSMENTS!E:E,"Mathematical Literacy"),1),""))</f>
        <v/>
      </c>
      <c r="H362" s="4">
        <f>IF(A362="","",IFERROR(ROUND(AVERAGEIFS(ASSESSMENTS!H:H,ASSESSMENTS!B:B,A362,ASSESSMENTS!E:E,"Physical Sciences"),1),""))</f>
        <v/>
      </c>
      <c r="I362" s="4">
        <f>IF(A362="","",IFERROR(ROUND(AVERAGEIFS(ASSESSMENTS!H:H,ASSESSMENTS!B:B,A362,ASSESSMENTS!E:E,"Geography"),1),""))</f>
        <v/>
      </c>
      <c r="J362" s="4">
        <f>IF(A362="","",IFERROR(ROUND(AVERAGEIFS(ASSESSMENTS!H:H,ASSESSMENTS!B:B,A362,ASSESSMENTS!E:E,"Accounting"),1),""))</f>
        <v/>
      </c>
      <c r="K362" s="4">
        <f>IF(A362="","",IFERROR(ROUND(AVERAGEIFS(ASSESSMENTS!H:H,ASSESSMENTS!B:B,A362,ASSESSMENTS!E:E,"English"),1),""))</f>
        <v/>
      </c>
      <c r="L362" s="5">
        <f>IF(A362="","",IFERROR(_xludf.XLOOKUP(A362,ATTENDANCE_SUMMARY!A:A,ATTENDANCE_SUMMARY!G:G,""),""))</f>
        <v/>
      </c>
      <c r="M362" s="4">
        <f>IF(A362="","",IF(OR(E362&lt;50,AND(L362&lt;0.75,L362&lt;&gt;"" )),"At Risk","On Track"))</f>
        <v/>
      </c>
    </row>
    <row r="363">
      <c r="A363">
        <f>IF(MASTER_REGISTER!E363="","",MASTER_REGISTER!E363)</f>
        <v/>
      </c>
      <c r="B363">
        <f>IF(A363="","",MASTER_REGISTER!F363)</f>
        <v/>
      </c>
      <c r="C363">
        <f>IF(A363="","",MASTER_REGISTER!C363)</f>
        <v/>
      </c>
      <c r="D363">
        <f>IF(A363="","",COUNTIF(ASSESSMENTS!B:B,A363))</f>
        <v/>
      </c>
      <c r="E363" s="4">
        <f>IF(D363=0,"",ROUND(AVERAGEIF(ASSESSMENTS!B:B,A363,ASSESSMENTS!H:H),1))</f>
        <v/>
      </c>
      <c r="F363" s="4">
        <f>IF(A363="","",IFERROR(ROUND(AVERAGEIFS(ASSESSMENTS!H:H,ASSESSMENTS!B:B,A363,ASSESSMENTS!E:E,"Mathematics"),1),""))</f>
        <v/>
      </c>
      <c r="G363" s="4">
        <f>IF(A363="","",IFERROR(ROUND(AVERAGEIFS(ASSESSMENTS!H:H,ASSESSMENTS!B:B,A363,ASSESSMENTS!E:E,"Mathematical Literacy"),1),""))</f>
        <v/>
      </c>
      <c r="H363" s="4">
        <f>IF(A363="","",IFERROR(ROUND(AVERAGEIFS(ASSESSMENTS!H:H,ASSESSMENTS!B:B,A363,ASSESSMENTS!E:E,"Physical Sciences"),1),""))</f>
        <v/>
      </c>
      <c r="I363" s="4">
        <f>IF(A363="","",IFERROR(ROUND(AVERAGEIFS(ASSESSMENTS!H:H,ASSESSMENTS!B:B,A363,ASSESSMENTS!E:E,"Geography"),1),""))</f>
        <v/>
      </c>
      <c r="J363" s="4">
        <f>IF(A363="","",IFERROR(ROUND(AVERAGEIFS(ASSESSMENTS!H:H,ASSESSMENTS!B:B,A363,ASSESSMENTS!E:E,"Accounting"),1),""))</f>
        <v/>
      </c>
      <c r="K363" s="4">
        <f>IF(A363="","",IFERROR(ROUND(AVERAGEIFS(ASSESSMENTS!H:H,ASSESSMENTS!B:B,A363,ASSESSMENTS!E:E,"English"),1),""))</f>
        <v/>
      </c>
      <c r="L363" s="5">
        <f>IF(A363="","",IFERROR(_xludf.XLOOKUP(A363,ATTENDANCE_SUMMARY!A:A,ATTENDANCE_SUMMARY!G:G,""),""))</f>
        <v/>
      </c>
      <c r="M363" s="4">
        <f>IF(A363="","",IF(OR(E363&lt;50,AND(L363&lt;0.75,L363&lt;&gt;"" )),"At Risk","On Track"))</f>
        <v/>
      </c>
    </row>
    <row r="364">
      <c r="A364">
        <f>IF(MASTER_REGISTER!E364="","",MASTER_REGISTER!E364)</f>
        <v/>
      </c>
      <c r="B364">
        <f>IF(A364="","",MASTER_REGISTER!F364)</f>
        <v/>
      </c>
      <c r="C364">
        <f>IF(A364="","",MASTER_REGISTER!C364)</f>
        <v/>
      </c>
      <c r="D364">
        <f>IF(A364="","",COUNTIF(ASSESSMENTS!B:B,A364))</f>
        <v/>
      </c>
      <c r="E364" s="4">
        <f>IF(D364=0,"",ROUND(AVERAGEIF(ASSESSMENTS!B:B,A364,ASSESSMENTS!H:H),1))</f>
        <v/>
      </c>
      <c r="F364" s="4">
        <f>IF(A364="","",IFERROR(ROUND(AVERAGEIFS(ASSESSMENTS!H:H,ASSESSMENTS!B:B,A364,ASSESSMENTS!E:E,"Mathematics"),1),""))</f>
        <v/>
      </c>
      <c r="G364" s="4">
        <f>IF(A364="","",IFERROR(ROUND(AVERAGEIFS(ASSESSMENTS!H:H,ASSESSMENTS!B:B,A364,ASSESSMENTS!E:E,"Mathematical Literacy"),1),""))</f>
        <v/>
      </c>
      <c r="H364" s="4">
        <f>IF(A364="","",IFERROR(ROUND(AVERAGEIFS(ASSESSMENTS!H:H,ASSESSMENTS!B:B,A364,ASSESSMENTS!E:E,"Physical Sciences"),1),""))</f>
        <v/>
      </c>
      <c r="I364" s="4">
        <f>IF(A364="","",IFERROR(ROUND(AVERAGEIFS(ASSESSMENTS!H:H,ASSESSMENTS!B:B,A364,ASSESSMENTS!E:E,"Geography"),1),""))</f>
        <v/>
      </c>
      <c r="J364" s="4">
        <f>IF(A364="","",IFERROR(ROUND(AVERAGEIFS(ASSESSMENTS!H:H,ASSESSMENTS!B:B,A364,ASSESSMENTS!E:E,"Accounting"),1),""))</f>
        <v/>
      </c>
      <c r="K364" s="4">
        <f>IF(A364="","",IFERROR(ROUND(AVERAGEIFS(ASSESSMENTS!H:H,ASSESSMENTS!B:B,A364,ASSESSMENTS!E:E,"English"),1),""))</f>
        <v/>
      </c>
      <c r="L364" s="5">
        <f>IF(A364="","",IFERROR(_xludf.XLOOKUP(A364,ATTENDANCE_SUMMARY!A:A,ATTENDANCE_SUMMARY!G:G,""),""))</f>
        <v/>
      </c>
      <c r="M364" s="4">
        <f>IF(A364="","",IF(OR(E364&lt;50,AND(L364&lt;0.75,L364&lt;&gt;"" )),"At Risk","On Track"))</f>
        <v/>
      </c>
    </row>
    <row r="365">
      <c r="A365">
        <f>IF(MASTER_REGISTER!E365="","",MASTER_REGISTER!E365)</f>
        <v/>
      </c>
      <c r="B365">
        <f>IF(A365="","",MASTER_REGISTER!F365)</f>
        <v/>
      </c>
      <c r="C365">
        <f>IF(A365="","",MASTER_REGISTER!C365)</f>
        <v/>
      </c>
      <c r="D365">
        <f>IF(A365="","",COUNTIF(ASSESSMENTS!B:B,A365))</f>
        <v/>
      </c>
      <c r="E365" s="4">
        <f>IF(D365=0,"",ROUND(AVERAGEIF(ASSESSMENTS!B:B,A365,ASSESSMENTS!H:H),1))</f>
        <v/>
      </c>
      <c r="F365" s="4">
        <f>IF(A365="","",IFERROR(ROUND(AVERAGEIFS(ASSESSMENTS!H:H,ASSESSMENTS!B:B,A365,ASSESSMENTS!E:E,"Mathematics"),1),""))</f>
        <v/>
      </c>
      <c r="G365" s="4">
        <f>IF(A365="","",IFERROR(ROUND(AVERAGEIFS(ASSESSMENTS!H:H,ASSESSMENTS!B:B,A365,ASSESSMENTS!E:E,"Mathematical Literacy"),1),""))</f>
        <v/>
      </c>
      <c r="H365" s="4">
        <f>IF(A365="","",IFERROR(ROUND(AVERAGEIFS(ASSESSMENTS!H:H,ASSESSMENTS!B:B,A365,ASSESSMENTS!E:E,"Physical Sciences"),1),""))</f>
        <v/>
      </c>
      <c r="I365" s="4">
        <f>IF(A365="","",IFERROR(ROUND(AVERAGEIFS(ASSESSMENTS!H:H,ASSESSMENTS!B:B,A365,ASSESSMENTS!E:E,"Geography"),1),""))</f>
        <v/>
      </c>
      <c r="J365" s="4">
        <f>IF(A365="","",IFERROR(ROUND(AVERAGEIFS(ASSESSMENTS!H:H,ASSESSMENTS!B:B,A365,ASSESSMENTS!E:E,"Accounting"),1),""))</f>
        <v/>
      </c>
      <c r="K365" s="4">
        <f>IF(A365="","",IFERROR(ROUND(AVERAGEIFS(ASSESSMENTS!H:H,ASSESSMENTS!B:B,A365,ASSESSMENTS!E:E,"English"),1),""))</f>
        <v/>
      </c>
      <c r="L365" s="5">
        <f>IF(A365="","",IFERROR(_xludf.XLOOKUP(A365,ATTENDANCE_SUMMARY!A:A,ATTENDANCE_SUMMARY!G:G,""),""))</f>
        <v/>
      </c>
      <c r="M365" s="4">
        <f>IF(A365="","",IF(OR(E365&lt;50,AND(L365&lt;0.75,L365&lt;&gt;"" )),"At Risk","On Track"))</f>
        <v/>
      </c>
    </row>
    <row r="366">
      <c r="A366">
        <f>IF(MASTER_REGISTER!E366="","",MASTER_REGISTER!E366)</f>
        <v/>
      </c>
      <c r="B366">
        <f>IF(A366="","",MASTER_REGISTER!F366)</f>
        <v/>
      </c>
      <c r="C366">
        <f>IF(A366="","",MASTER_REGISTER!C366)</f>
        <v/>
      </c>
      <c r="D366">
        <f>IF(A366="","",COUNTIF(ASSESSMENTS!B:B,A366))</f>
        <v/>
      </c>
      <c r="E366" s="4">
        <f>IF(D366=0,"",ROUND(AVERAGEIF(ASSESSMENTS!B:B,A366,ASSESSMENTS!H:H),1))</f>
        <v/>
      </c>
      <c r="F366" s="4">
        <f>IF(A366="","",IFERROR(ROUND(AVERAGEIFS(ASSESSMENTS!H:H,ASSESSMENTS!B:B,A366,ASSESSMENTS!E:E,"Mathematics"),1),""))</f>
        <v/>
      </c>
      <c r="G366" s="4">
        <f>IF(A366="","",IFERROR(ROUND(AVERAGEIFS(ASSESSMENTS!H:H,ASSESSMENTS!B:B,A366,ASSESSMENTS!E:E,"Mathematical Literacy"),1),""))</f>
        <v/>
      </c>
      <c r="H366" s="4">
        <f>IF(A366="","",IFERROR(ROUND(AVERAGEIFS(ASSESSMENTS!H:H,ASSESSMENTS!B:B,A366,ASSESSMENTS!E:E,"Physical Sciences"),1),""))</f>
        <v/>
      </c>
      <c r="I366" s="4">
        <f>IF(A366="","",IFERROR(ROUND(AVERAGEIFS(ASSESSMENTS!H:H,ASSESSMENTS!B:B,A366,ASSESSMENTS!E:E,"Geography"),1),""))</f>
        <v/>
      </c>
      <c r="J366" s="4">
        <f>IF(A366="","",IFERROR(ROUND(AVERAGEIFS(ASSESSMENTS!H:H,ASSESSMENTS!B:B,A366,ASSESSMENTS!E:E,"Accounting"),1),""))</f>
        <v/>
      </c>
      <c r="K366" s="4">
        <f>IF(A366="","",IFERROR(ROUND(AVERAGEIFS(ASSESSMENTS!H:H,ASSESSMENTS!B:B,A366,ASSESSMENTS!E:E,"English"),1),""))</f>
        <v/>
      </c>
      <c r="L366" s="5">
        <f>IF(A366="","",IFERROR(_xludf.XLOOKUP(A366,ATTENDANCE_SUMMARY!A:A,ATTENDANCE_SUMMARY!G:G,""),""))</f>
        <v/>
      </c>
      <c r="M366" s="4">
        <f>IF(A366="","",IF(OR(E366&lt;50,AND(L366&lt;0.75,L366&lt;&gt;"" )),"At Risk","On Track"))</f>
        <v/>
      </c>
    </row>
    <row r="367">
      <c r="A367">
        <f>IF(MASTER_REGISTER!E367="","",MASTER_REGISTER!E367)</f>
        <v/>
      </c>
      <c r="B367">
        <f>IF(A367="","",MASTER_REGISTER!F367)</f>
        <v/>
      </c>
      <c r="C367">
        <f>IF(A367="","",MASTER_REGISTER!C367)</f>
        <v/>
      </c>
      <c r="D367">
        <f>IF(A367="","",COUNTIF(ASSESSMENTS!B:B,A367))</f>
        <v/>
      </c>
      <c r="E367" s="4">
        <f>IF(D367=0,"",ROUND(AVERAGEIF(ASSESSMENTS!B:B,A367,ASSESSMENTS!H:H),1))</f>
        <v/>
      </c>
      <c r="F367" s="4">
        <f>IF(A367="","",IFERROR(ROUND(AVERAGEIFS(ASSESSMENTS!H:H,ASSESSMENTS!B:B,A367,ASSESSMENTS!E:E,"Mathematics"),1),""))</f>
        <v/>
      </c>
      <c r="G367" s="4">
        <f>IF(A367="","",IFERROR(ROUND(AVERAGEIFS(ASSESSMENTS!H:H,ASSESSMENTS!B:B,A367,ASSESSMENTS!E:E,"Mathematical Literacy"),1),""))</f>
        <v/>
      </c>
      <c r="H367" s="4">
        <f>IF(A367="","",IFERROR(ROUND(AVERAGEIFS(ASSESSMENTS!H:H,ASSESSMENTS!B:B,A367,ASSESSMENTS!E:E,"Physical Sciences"),1),""))</f>
        <v/>
      </c>
      <c r="I367" s="4">
        <f>IF(A367="","",IFERROR(ROUND(AVERAGEIFS(ASSESSMENTS!H:H,ASSESSMENTS!B:B,A367,ASSESSMENTS!E:E,"Geography"),1),""))</f>
        <v/>
      </c>
      <c r="J367" s="4">
        <f>IF(A367="","",IFERROR(ROUND(AVERAGEIFS(ASSESSMENTS!H:H,ASSESSMENTS!B:B,A367,ASSESSMENTS!E:E,"Accounting"),1),""))</f>
        <v/>
      </c>
      <c r="K367" s="4">
        <f>IF(A367="","",IFERROR(ROUND(AVERAGEIFS(ASSESSMENTS!H:H,ASSESSMENTS!B:B,A367,ASSESSMENTS!E:E,"English"),1),""))</f>
        <v/>
      </c>
      <c r="L367" s="5">
        <f>IF(A367="","",IFERROR(_xludf.XLOOKUP(A367,ATTENDANCE_SUMMARY!A:A,ATTENDANCE_SUMMARY!G:G,""),""))</f>
        <v/>
      </c>
      <c r="M367" s="4">
        <f>IF(A367="","",IF(OR(E367&lt;50,AND(L367&lt;0.75,L367&lt;&gt;"" )),"At Risk","On Track"))</f>
        <v/>
      </c>
    </row>
    <row r="368">
      <c r="A368">
        <f>IF(MASTER_REGISTER!E368="","",MASTER_REGISTER!E368)</f>
        <v/>
      </c>
      <c r="B368">
        <f>IF(A368="","",MASTER_REGISTER!F368)</f>
        <v/>
      </c>
      <c r="C368">
        <f>IF(A368="","",MASTER_REGISTER!C368)</f>
        <v/>
      </c>
      <c r="D368">
        <f>IF(A368="","",COUNTIF(ASSESSMENTS!B:B,A368))</f>
        <v/>
      </c>
      <c r="E368" s="4">
        <f>IF(D368=0,"",ROUND(AVERAGEIF(ASSESSMENTS!B:B,A368,ASSESSMENTS!H:H),1))</f>
        <v/>
      </c>
      <c r="F368" s="4">
        <f>IF(A368="","",IFERROR(ROUND(AVERAGEIFS(ASSESSMENTS!H:H,ASSESSMENTS!B:B,A368,ASSESSMENTS!E:E,"Mathematics"),1),""))</f>
        <v/>
      </c>
      <c r="G368" s="4">
        <f>IF(A368="","",IFERROR(ROUND(AVERAGEIFS(ASSESSMENTS!H:H,ASSESSMENTS!B:B,A368,ASSESSMENTS!E:E,"Mathematical Literacy"),1),""))</f>
        <v/>
      </c>
      <c r="H368" s="4">
        <f>IF(A368="","",IFERROR(ROUND(AVERAGEIFS(ASSESSMENTS!H:H,ASSESSMENTS!B:B,A368,ASSESSMENTS!E:E,"Physical Sciences"),1),""))</f>
        <v/>
      </c>
      <c r="I368" s="4">
        <f>IF(A368="","",IFERROR(ROUND(AVERAGEIFS(ASSESSMENTS!H:H,ASSESSMENTS!B:B,A368,ASSESSMENTS!E:E,"Geography"),1),""))</f>
        <v/>
      </c>
      <c r="J368" s="4">
        <f>IF(A368="","",IFERROR(ROUND(AVERAGEIFS(ASSESSMENTS!H:H,ASSESSMENTS!B:B,A368,ASSESSMENTS!E:E,"Accounting"),1),""))</f>
        <v/>
      </c>
      <c r="K368" s="4">
        <f>IF(A368="","",IFERROR(ROUND(AVERAGEIFS(ASSESSMENTS!H:H,ASSESSMENTS!B:B,A368,ASSESSMENTS!E:E,"English"),1),""))</f>
        <v/>
      </c>
      <c r="L368" s="5">
        <f>IF(A368="","",IFERROR(_xludf.XLOOKUP(A368,ATTENDANCE_SUMMARY!A:A,ATTENDANCE_SUMMARY!G:G,""),""))</f>
        <v/>
      </c>
      <c r="M368" s="4">
        <f>IF(A368="","",IF(OR(E368&lt;50,AND(L368&lt;0.75,L368&lt;&gt;"" )),"At Risk","On Track"))</f>
        <v/>
      </c>
    </row>
    <row r="369">
      <c r="A369">
        <f>IF(MASTER_REGISTER!E369="","",MASTER_REGISTER!E369)</f>
        <v/>
      </c>
      <c r="B369">
        <f>IF(A369="","",MASTER_REGISTER!F369)</f>
        <v/>
      </c>
      <c r="C369">
        <f>IF(A369="","",MASTER_REGISTER!C369)</f>
        <v/>
      </c>
      <c r="D369">
        <f>IF(A369="","",COUNTIF(ASSESSMENTS!B:B,A369))</f>
        <v/>
      </c>
      <c r="E369" s="4">
        <f>IF(D369=0,"",ROUND(AVERAGEIF(ASSESSMENTS!B:B,A369,ASSESSMENTS!H:H),1))</f>
        <v/>
      </c>
      <c r="F369" s="4">
        <f>IF(A369="","",IFERROR(ROUND(AVERAGEIFS(ASSESSMENTS!H:H,ASSESSMENTS!B:B,A369,ASSESSMENTS!E:E,"Mathematics"),1),""))</f>
        <v/>
      </c>
      <c r="G369" s="4">
        <f>IF(A369="","",IFERROR(ROUND(AVERAGEIFS(ASSESSMENTS!H:H,ASSESSMENTS!B:B,A369,ASSESSMENTS!E:E,"Mathematical Literacy"),1),""))</f>
        <v/>
      </c>
      <c r="H369" s="4">
        <f>IF(A369="","",IFERROR(ROUND(AVERAGEIFS(ASSESSMENTS!H:H,ASSESSMENTS!B:B,A369,ASSESSMENTS!E:E,"Physical Sciences"),1),""))</f>
        <v/>
      </c>
      <c r="I369" s="4">
        <f>IF(A369="","",IFERROR(ROUND(AVERAGEIFS(ASSESSMENTS!H:H,ASSESSMENTS!B:B,A369,ASSESSMENTS!E:E,"Geography"),1),""))</f>
        <v/>
      </c>
      <c r="J369" s="4">
        <f>IF(A369="","",IFERROR(ROUND(AVERAGEIFS(ASSESSMENTS!H:H,ASSESSMENTS!B:B,A369,ASSESSMENTS!E:E,"Accounting"),1),""))</f>
        <v/>
      </c>
      <c r="K369" s="4">
        <f>IF(A369="","",IFERROR(ROUND(AVERAGEIFS(ASSESSMENTS!H:H,ASSESSMENTS!B:B,A369,ASSESSMENTS!E:E,"English"),1),""))</f>
        <v/>
      </c>
      <c r="L369" s="5">
        <f>IF(A369="","",IFERROR(_xludf.XLOOKUP(A369,ATTENDANCE_SUMMARY!A:A,ATTENDANCE_SUMMARY!G:G,""),""))</f>
        <v/>
      </c>
      <c r="M369" s="4">
        <f>IF(A369="","",IF(OR(E369&lt;50,AND(L369&lt;0.75,L369&lt;&gt;"" )),"At Risk","On Track"))</f>
        <v/>
      </c>
    </row>
    <row r="370">
      <c r="A370">
        <f>IF(MASTER_REGISTER!E370="","",MASTER_REGISTER!E370)</f>
        <v/>
      </c>
      <c r="B370">
        <f>IF(A370="","",MASTER_REGISTER!F370)</f>
        <v/>
      </c>
      <c r="C370">
        <f>IF(A370="","",MASTER_REGISTER!C370)</f>
        <v/>
      </c>
      <c r="D370">
        <f>IF(A370="","",COUNTIF(ASSESSMENTS!B:B,A370))</f>
        <v/>
      </c>
      <c r="E370" s="4">
        <f>IF(D370=0,"",ROUND(AVERAGEIF(ASSESSMENTS!B:B,A370,ASSESSMENTS!H:H),1))</f>
        <v/>
      </c>
      <c r="F370" s="4">
        <f>IF(A370="","",IFERROR(ROUND(AVERAGEIFS(ASSESSMENTS!H:H,ASSESSMENTS!B:B,A370,ASSESSMENTS!E:E,"Mathematics"),1),""))</f>
        <v/>
      </c>
      <c r="G370" s="4">
        <f>IF(A370="","",IFERROR(ROUND(AVERAGEIFS(ASSESSMENTS!H:H,ASSESSMENTS!B:B,A370,ASSESSMENTS!E:E,"Mathematical Literacy"),1),""))</f>
        <v/>
      </c>
      <c r="H370" s="4">
        <f>IF(A370="","",IFERROR(ROUND(AVERAGEIFS(ASSESSMENTS!H:H,ASSESSMENTS!B:B,A370,ASSESSMENTS!E:E,"Physical Sciences"),1),""))</f>
        <v/>
      </c>
      <c r="I370" s="4">
        <f>IF(A370="","",IFERROR(ROUND(AVERAGEIFS(ASSESSMENTS!H:H,ASSESSMENTS!B:B,A370,ASSESSMENTS!E:E,"Geography"),1),""))</f>
        <v/>
      </c>
      <c r="J370" s="4">
        <f>IF(A370="","",IFERROR(ROUND(AVERAGEIFS(ASSESSMENTS!H:H,ASSESSMENTS!B:B,A370,ASSESSMENTS!E:E,"Accounting"),1),""))</f>
        <v/>
      </c>
      <c r="K370" s="4">
        <f>IF(A370="","",IFERROR(ROUND(AVERAGEIFS(ASSESSMENTS!H:H,ASSESSMENTS!B:B,A370,ASSESSMENTS!E:E,"English"),1),""))</f>
        <v/>
      </c>
      <c r="L370" s="5">
        <f>IF(A370="","",IFERROR(_xludf.XLOOKUP(A370,ATTENDANCE_SUMMARY!A:A,ATTENDANCE_SUMMARY!G:G,""),""))</f>
        <v/>
      </c>
      <c r="M370" s="4">
        <f>IF(A370="","",IF(OR(E370&lt;50,AND(L370&lt;0.75,L370&lt;&gt;"" )),"At Risk","On Track"))</f>
        <v/>
      </c>
    </row>
    <row r="371">
      <c r="A371">
        <f>IF(MASTER_REGISTER!E371="","",MASTER_REGISTER!E371)</f>
        <v/>
      </c>
      <c r="B371">
        <f>IF(A371="","",MASTER_REGISTER!F371)</f>
        <v/>
      </c>
      <c r="C371">
        <f>IF(A371="","",MASTER_REGISTER!C371)</f>
        <v/>
      </c>
      <c r="D371">
        <f>IF(A371="","",COUNTIF(ASSESSMENTS!B:B,A371))</f>
        <v/>
      </c>
      <c r="E371" s="4">
        <f>IF(D371=0,"",ROUND(AVERAGEIF(ASSESSMENTS!B:B,A371,ASSESSMENTS!H:H),1))</f>
        <v/>
      </c>
      <c r="F371" s="4">
        <f>IF(A371="","",IFERROR(ROUND(AVERAGEIFS(ASSESSMENTS!H:H,ASSESSMENTS!B:B,A371,ASSESSMENTS!E:E,"Mathematics"),1),""))</f>
        <v/>
      </c>
      <c r="G371" s="4">
        <f>IF(A371="","",IFERROR(ROUND(AVERAGEIFS(ASSESSMENTS!H:H,ASSESSMENTS!B:B,A371,ASSESSMENTS!E:E,"Mathematical Literacy"),1),""))</f>
        <v/>
      </c>
      <c r="H371" s="4">
        <f>IF(A371="","",IFERROR(ROUND(AVERAGEIFS(ASSESSMENTS!H:H,ASSESSMENTS!B:B,A371,ASSESSMENTS!E:E,"Physical Sciences"),1),""))</f>
        <v/>
      </c>
      <c r="I371" s="4">
        <f>IF(A371="","",IFERROR(ROUND(AVERAGEIFS(ASSESSMENTS!H:H,ASSESSMENTS!B:B,A371,ASSESSMENTS!E:E,"Geography"),1),""))</f>
        <v/>
      </c>
      <c r="J371" s="4">
        <f>IF(A371="","",IFERROR(ROUND(AVERAGEIFS(ASSESSMENTS!H:H,ASSESSMENTS!B:B,A371,ASSESSMENTS!E:E,"Accounting"),1),""))</f>
        <v/>
      </c>
      <c r="K371" s="4">
        <f>IF(A371="","",IFERROR(ROUND(AVERAGEIFS(ASSESSMENTS!H:H,ASSESSMENTS!B:B,A371,ASSESSMENTS!E:E,"English"),1),""))</f>
        <v/>
      </c>
      <c r="L371" s="5">
        <f>IF(A371="","",IFERROR(_xludf.XLOOKUP(A371,ATTENDANCE_SUMMARY!A:A,ATTENDANCE_SUMMARY!G:G,""),""))</f>
        <v/>
      </c>
      <c r="M371" s="4">
        <f>IF(A371="","",IF(OR(E371&lt;50,AND(L371&lt;0.75,L371&lt;&gt;"" )),"At Risk","On Track"))</f>
        <v/>
      </c>
    </row>
    <row r="372">
      <c r="A372">
        <f>IF(MASTER_REGISTER!E372="","",MASTER_REGISTER!E372)</f>
        <v/>
      </c>
      <c r="B372">
        <f>IF(A372="","",MASTER_REGISTER!F372)</f>
        <v/>
      </c>
      <c r="C372">
        <f>IF(A372="","",MASTER_REGISTER!C372)</f>
        <v/>
      </c>
      <c r="D372">
        <f>IF(A372="","",COUNTIF(ASSESSMENTS!B:B,A372))</f>
        <v/>
      </c>
      <c r="E372" s="4">
        <f>IF(D372=0,"",ROUND(AVERAGEIF(ASSESSMENTS!B:B,A372,ASSESSMENTS!H:H),1))</f>
        <v/>
      </c>
      <c r="F372" s="4">
        <f>IF(A372="","",IFERROR(ROUND(AVERAGEIFS(ASSESSMENTS!H:H,ASSESSMENTS!B:B,A372,ASSESSMENTS!E:E,"Mathematics"),1),""))</f>
        <v/>
      </c>
      <c r="G372" s="4">
        <f>IF(A372="","",IFERROR(ROUND(AVERAGEIFS(ASSESSMENTS!H:H,ASSESSMENTS!B:B,A372,ASSESSMENTS!E:E,"Mathematical Literacy"),1),""))</f>
        <v/>
      </c>
      <c r="H372" s="4">
        <f>IF(A372="","",IFERROR(ROUND(AVERAGEIFS(ASSESSMENTS!H:H,ASSESSMENTS!B:B,A372,ASSESSMENTS!E:E,"Physical Sciences"),1),""))</f>
        <v/>
      </c>
      <c r="I372" s="4">
        <f>IF(A372="","",IFERROR(ROUND(AVERAGEIFS(ASSESSMENTS!H:H,ASSESSMENTS!B:B,A372,ASSESSMENTS!E:E,"Geography"),1),""))</f>
        <v/>
      </c>
      <c r="J372" s="4">
        <f>IF(A372="","",IFERROR(ROUND(AVERAGEIFS(ASSESSMENTS!H:H,ASSESSMENTS!B:B,A372,ASSESSMENTS!E:E,"Accounting"),1),""))</f>
        <v/>
      </c>
      <c r="K372" s="4">
        <f>IF(A372="","",IFERROR(ROUND(AVERAGEIFS(ASSESSMENTS!H:H,ASSESSMENTS!B:B,A372,ASSESSMENTS!E:E,"English"),1),""))</f>
        <v/>
      </c>
      <c r="L372" s="5">
        <f>IF(A372="","",IFERROR(_xludf.XLOOKUP(A372,ATTENDANCE_SUMMARY!A:A,ATTENDANCE_SUMMARY!G:G,""),""))</f>
        <v/>
      </c>
      <c r="M372" s="4">
        <f>IF(A372="","",IF(OR(E372&lt;50,AND(L372&lt;0.75,L372&lt;&gt;"" )),"At Risk","On Track"))</f>
        <v/>
      </c>
    </row>
    <row r="373">
      <c r="A373">
        <f>IF(MASTER_REGISTER!E373="","",MASTER_REGISTER!E373)</f>
        <v/>
      </c>
      <c r="B373">
        <f>IF(A373="","",MASTER_REGISTER!F373)</f>
        <v/>
      </c>
      <c r="C373">
        <f>IF(A373="","",MASTER_REGISTER!C373)</f>
        <v/>
      </c>
      <c r="D373">
        <f>IF(A373="","",COUNTIF(ASSESSMENTS!B:B,A373))</f>
        <v/>
      </c>
      <c r="E373" s="4">
        <f>IF(D373=0,"",ROUND(AVERAGEIF(ASSESSMENTS!B:B,A373,ASSESSMENTS!H:H),1))</f>
        <v/>
      </c>
      <c r="F373" s="4">
        <f>IF(A373="","",IFERROR(ROUND(AVERAGEIFS(ASSESSMENTS!H:H,ASSESSMENTS!B:B,A373,ASSESSMENTS!E:E,"Mathematics"),1),""))</f>
        <v/>
      </c>
      <c r="G373" s="4">
        <f>IF(A373="","",IFERROR(ROUND(AVERAGEIFS(ASSESSMENTS!H:H,ASSESSMENTS!B:B,A373,ASSESSMENTS!E:E,"Mathematical Literacy"),1),""))</f>
        <v/>
      </c>
      <c r="H373" s="4">
        <f>IF(A373="","",IFERROR(ROUND(AVERAGEIFS(ASSESSMENTS!H:H,ASSESSMENTS!B:B,A373,ASSESSMENTS!E:E,"Physical Sciences"),1),""))</f>
        <v/>
      </c>
      <c r="I373" s="4">
        <f>IF(A373="","",IFERROR(ROUND(AVERAGEIFS(ASSESSMENTS!H:H,ASSESSMENTS!B:B,A373,ASSESSMENTS!E:E,"Geography"),1),""))</f>
        <v/>
      </c>
      <c r="J373" s="4">
        <f>IF(A373="","",IFERROR(ROUND(AVERAGEIFS(ASSESSMENTS!H:H,ASSESSMENTS!B:B,A373,ASSESSMENTS!E:E,"Accounting"),1),""))</f>
        <v/>
      </c>
      <c r="K373" s="4">
        <f>IF(A373="","",IFERROR(ROUND(AVERAGEIFS(ASSESSMENTS!H:H,ASSESSMENTS!B:B,A373,ASSESSMENTS!E:E,"English"),1),""))</f>
        <v/>
      </c>
      <c r="L373" s="5">
        <f>IF(A373="","",IFERROR(_xludf.XLOOKUP(A373,ATTENDANCE_SUMMARY!A:A,ATTENDANCE_SUMMARY!G:G,""),""))</f>
        <v/>
      </c>
      <c r="M373" s="4">
        <f>IF(A373="","",IF(OR(E373&lt;50,AND(L373&lt;0.75,L373&lt;&gt;"" )),"At Risk","On Track"))</f>
        <v/>
      </c>
    </row>
    <row r="374">
      <c r="A374">
        <f>IF(MASTER_REGISTER!E374="","",MASTER_REGISTER!E374)</f>
        <v/>
      </c>
      <c r="B374">
        <f>IF(A374="","",MASTER_REGISTER!F374)</f>
        <v/>
      </c>
      <c r="C374">
        <f>IF(A374="","",MASTER_REGISTER!C374)</f>
        <v/>
      </c>
      <c r="D374">
        <f>IF(A374="","",COUNTIF(ASSESSMENTS!B:B,A374))</f>
        <v/>
      </c>
      <c r="E374" s="4">
        <f>IF(D374=0,"",ROUND(AVERAGEIF(ASSESSMENTS!B:B,A374,ASSESSMENTS!H:H),1))</f>
        <v/>
      </c>
      <c r="F374" s="4">
        <f>IF(A374="","",IFERROR(ROUND(AVERAGEIFS(ASSESSMENTS!H:H,ASSESSMENTS!B:B,A374,ASSESSMENTS!E:E,"Mathematics"),1),""))</f>
        <v/>
      </c>
      <c r="G374" s="4">
        <f>IF(A374="","",IFERROR(ROUND(AVERAGEIFS(ASSESSMENTS!H:H,ASSESSMENTS!B:B,A374,ASSESSMENTS!E:E,"Mathematical Literacy"),1),""))</f>
        <v/>
      </c>
      <c r="H374" s="4">
        <f>IF(A374="","",IFERROR(ROUND(AVERAGEIFS(ASSESSMENTS!H:H,ASSESSMENTS!B:B,A374,ASSESSMENTS!E:E,"Physical Sciences"),1),""))</f>
        <v/>
      </c>
      <c r="I374" s="4">
        <f>IF(A374="","",IFERROR(ROUND(AVERAGEIFS(ASSESSMENTS!H:H,ASSESSMENTS!B:B,A374,ASSESSMENTS!E:E,"Geography"),1),""))</f>
        <v/>
      </c>
      <c r="J374" s="4">
        <f>IF(A374="","",IFERROR(ROUND(AVERAGEIFS(ASSESSMENTS!H:H,ASSESSMENTS!B:B,A374,ASSESSMENTS!E:E,"Accounting"),1),""))</f>
        <v/>
      </c>
      <c r="K374" s="4">
        <f>IF(A374="","",IFERROR(ROUND(AVERAGEIFS(ASSESSMENTS!H:H,ASSESSMENTS!B:B,A374,ASSESSMENTS!E:E,"English"),1),""))</f>
        <v/>
      </c>
      <c r="L374" s="5">
        <f>IF(A374="","",IFERROR(_xludf.XLOOKUP(A374,ATTENDANCE_SUMMARY!A:A,ATTENDANCE_SUMMARY!G:G,""),""))</f>
        <v/>
      </c>
      <c r="M374" s="4">
        <f>IF(A374="","",IF(OR(E374&lt;50,AND(L374&lt;0.75,L374&lt;&gt;"" )),"At Risk","On Track"))</f>
        <v/>
      </c>
    </row>
    <row r="375">
      <c r="A375">
        <f>IF(MASTER_REGISTER!E375="","",MASTER_REGISTER!E375)</f>
        <v/>
      </c>
      <c r="B375">
        <f>IF(A375="","",MASTER_REGISTER!F375)</f>
        <v/>
      </c>
      <c r="C375">
        <f>IF(A375="","",MASTER_REGISTER!C375)</f>
        <v/>
      </c>
      <c r="D375">
        <f>IF(A375="","",COUNTIF(ASSESSMENTS!B:B,A375))</f>
        <v/>
      </c>
      <c r="E375" s="4">
        <f>IF(D375=0,"",ROUND(AVERAGEIF(ASSESSMENTS!B:B,A375,ASSESSMENTS!H:H),1))</f>
        <v/>
      </c>
      <c r="F375" s="4">
        <f>IF(A375="","",IFERROR(ROUND(AVERAGEIFS(ASSESSMENTS!H:H,ASSESSMENTS!B:B,A375,ASSESSMENTS!E:E,"Mathematics"),1),""))</f>
        <v/>
      </c>
      <c r="G375" s="4">
        <f>IF(A375="","",IFERROR(ROUND(AVERAGEIFS(ASSESSMENTS!H:H,ASSESSMENTS!B:B,A375,ASSESSMENTS!E:E,"Mathematical Literacy"),1),""))</f>
        <v/>
      </c>
      <c r="H375" s="4">
        <f>IF(A375="","",IFERROR(ROUND(AVERAGEIFS(ASSESSMENTS!H:H,ASSESSMENTS!B:B,A375,ASSESSMENTS!E:E,"Physical Sciences"),1),""))</f>
        <v/>
      </c>
      <c r="I375" s="4">
        <f>IF(A375="","",IFERROR(ROUND(AVERAGEIFS(ASSESSMENTS!H:H,ASSESSMENTS!B:B,A375,ASSESSMENTS!E:E,"Geography"),1),""))</f>
        <v/>
      </c>
      <c r="J375" s="4">
        <f>IF(A375="","",IFERROR(ROUND(AVERAGEIFS(ASSESSMENTS!H:H,ASSESSMENTS!B:B,A375,ASSESSMENTS!E:E,"Accounting"),1),""))</f>
        <v/>
      </c>
      <c r="K375" s="4">
        <f>IF(A375="","",IFERROR(ROUND(AVERAGEIFS(ASSESSMENTS!H:H,ASSESSMENTS!B:B,A375,ASSESSMENTS!E:E,"English"),1),""))</f>
        <v/>
      </c>
      <c r="L375" s="5">
        <f>IF(A375="","",IFERROR(_xludf.XLOOKUP(A375,ATTENDANCE_SUMMARY!A:A,ATTENDANCE_SUMMARY!G:G,""),""))</f>
        <v/>
      </c>
      <c r="M375" s="4">
        <f>IF(A375="","",IF(OR(E375&lt;50,AND(L375&lt;0.75,L375&lt;&gt;"" )),"At Risk","On Track"))</f>
        <v/>
      </c>
    </row>
    <row r="376">
      <c r="A376">
        <f>IF(MASTER_REGISTER!E376="","",MASTER_REGISTER!E376)</f>
        <v/>
      </c>
      <c r="B376">
        <f>IF(A376="","",MASTER_REGISTER!F376)</f>
        <v/>
      </c>
      <c r="C376">
        <f>IF(A376="","",MASTER_REGISTER!C376)</f>
        <v/>
      </c>
      <c r="D376">
        <f>IF(A376="","",COUNTIF(ASSESSMENTS!B:B,A376))</f>
        <v/>
      </c>
      <c r="E376" s="4">
        <f>IF(D376=0,"",ROUND(AVERAGEIF(ASSESSMENTS!B:B,A376,ASSESSMENTS!H:H),1))</f>
        <v/>
      </c>
      <c r="F376" s="4">
        <f>IF(A376="","",IFERROR(ROUND(AVERAGEIFS(ASSESSMENTS!H:H,ASSESSMENTS!B:B,A376,ASSESSMENTS!E:E,"Mathematics"),1),""))</f>
        <v/>
      </c>
      <c r="G376" s="4">
        <f>IF(A376="","",IFERROR(ROUND(AVERAGEIFS(ASSESSMENTS!H:H,ASSESSMENTS!B:B,A376,ASSESSMENTS!E:E,"Mathematical Literacy"),1),""))</f>
        <v/>
      </c>
      <c r="H376" s="4">
        <f>IF(A376="","",IFERROR(ROUND(AVERAGEIFS(ASSESSMENTS!H:H,ASSESSMENTS!B:B,A376,ASSESSMENTS!E:E,"Physical Sciences"),1),""))</f>
        <v/>
      </c>
      <c r="I376" s="4">
        <f>IF(A376="","",IFERROR(ROUND(AVERAGEIFS(ASSESSMENTS!H:H,ASSESSMENTS!B:B,A376,ASSESSMENTS!E:E,"Geography"),1),""))</f>
        <v/>
      </c>
      <c r="J376" s="4">
        <f>IF(A376="","",IFERROR(ROUND(AVERAGEIFS(ASSESSMENTS!H:H,ASSESSMENTS!B:B,A376,ASSESSMENTS!E:E,"Accounting"),1),""))</f>
        <v/>
      </c>
      <c r="K376" s="4">
        <f>IF(A376="","",IFERROR(ROUND(AVERAGEIFS(ASSESSMENTS!H:H,ASSESSMENTS!B:B,A376,ASSESSMENTS!E:E,"English"),1),""))</f>
        <v/>
      </c>
      <c r="L376" s="5">
        <f>IF(A376="","",IFERROR(_xludf.XLOOKUP(A376,ATTENDANCE_SUMMARY!A:A,ATTENDANCE_SUMMARY!G:G,""),""))</f>
        <v/>
      </c>
      <c r="M376" s="4">
        <f>IF(A376="","",IF(OR(E376&lt;50,AND(L376&lt;0.75,L376&lt;&gt;"" )),"At Risk","On Track"))</f>
        <v/>
      </c>
    </row>
    <row r="377">
      <c r="A377">
        <f>IF(MASTER_REGISTER!E377="","",MASTER_REGISTER!E377)</f>
        <v/>
      </c>
      <c r="B377">
        <f>IF(A377="","",MASTER_REGISTER!F377)</f>
        <v/>
      </c>
      <c r="C377">
        <f>IF(A377="","",MASTER_REGISTER!C377)</f>
        <v/>
      </c>
      <c r="D377">
        <f>IF(A377="","",COUNTIF(ASSESSMENTS!B:B,A377))</f>
        <v/>
      </c>
      <c r="E377" s="4">
        <f>IF(D377=0,"",ROUND(AVERAGEIF(ASSESSMENTS!B:B,A377,ASSESSMENTS!H:H),1))</f>
        <v/>
      </c>
      <c r="F377" s="4">
        <f>IF(A377="","",IFERROR(ROUND(AVERAGEIFS(ASSESSMENTS!H:H,ASSESSMENTS!B:B,A377,ASSESSMENTS!E:E,"Mathematics"),1),""))</f>
        <v/>
      </c>
      <c r="G377" s="4">
        <f>IF(A377="","",IFERROR(ROUND(AVERAGEIFS(ASSESSMENTS!H:H,ASSESSMENTS!B:B,A377,ASSESSMENTS!E:E,"Mathematical Literacy"),1),""))</f>
        <v/>
      </c>
      <c r="H377" s="4">
        <f>IF(A377="","",IFERROR(ROUND(AVERAGEIFS(ASSESSMENTS!H:H,ASSESSMENTS!B:B,A377,ASSESSMENTS!E:E,"Physical Sciences"),1),""))</f>
        <v/>
      </c>
      <c r="I377" s="4">
        <f>IF(A377="","",IFERROR(ROUND(AVERAGEIFS(ASSESSMENTS!H:H,ASSESSMENTS!B:B,A377,ASSESSMENTS!E:E,"Geography"),1),""))</f>
        <v/>
      </c>
      <c r="J377" s="4">
        <f>IF(A377="","",IFERROR(ROUND(AVERAGEIFS(ASSESSMENTS!H:H,ASSESSMENTS!B:B,A377,ASSESSMENTS!E:E,"Accounting"),1),""))</f>
        <v/>
      </c>
      <c r="K377" s="4">
        <f>IF(A377="","",IFERROR(ROUND(AVERAGEIFS(ASSESSMENTS!H:H,ASSESSMENTS!B:B,A377,ASSESSMENTS!E:E,"English"),1),""))</f>
        <v/>
      </c>
      <c r="L377" s="5">
        <f>IF(A377="","",IFERROR(_xludf.XLOOKUP(A377,ATTENDANCE_SUMMARY!A:A,ATTENDANCE_SUMMARY!G:G,""),""))</f>
        <v/>
      </c>
      <c r="M377" s="4">
        <f>IF(A377="","",IF(OR(E377&lt;50,AND(L377&lt;0.75,L377&lt;&gt;"" )),"At Risk","On Track"))</f>
        <v/>
      </c>
    </row>
    <row r="378">
      <c r="A378">
        <f>IF(MASTER_REGISTER!E378="","",MASTER_REGISTER!E378)</f>
        <v/>
      </c>
      <c r="B378">
        <f>IF(A378="","",MASTER_REGISTER!F378)</f>
        <v/>
      </c>
      <c r="C378">
        <f>IF(A378="","",MASTER_REGISTER!C378)</f>
        <v/>
      </c>
      <c r="D378">
        <f>IF(A378="","",COUNTIF(ASSESSMENTS!B:B,A378))</f>
        <v/>
      </c>
      <c r="E378" s="4">
        <f>IF(D378=0,"",ROUND(AVERAGEIF(ASSESSMENTS!B:B,A378,ASSESSMENTS!H:H),1))</f>
        <v/>
      </c>
      <c r="F378" s="4">
        <f>IF(A378="","",IFERROR(ROUND(AVERAGEIFS(ASSESSMENTS!H:H,ASSESSMENTS!B:B,A378,ASSESSMENTS!E:E,"Mathematics"),1),""))</f>
        <v/>
      </c>
      <c r="G378" s="4">
        <f>IF(A378="","",IFERROR(ROUND(AVERAGEIFS(ASSESSMENTS!H:H,ASSESSMENTS!B:B,A378,ASSESSMENTS!E:E,"Mathematical Literacy"),1),""))</f>
        <v/>
      </c>
      <c r="H378" s="4">
        <f>IF(A378="","",IFERROR(ROUND(AVERAGEIFS(ASSESSMENTS!H:H,ASSESSMENTS!B:B,A378,ASSESSMENTS!E:E,"Physical Sciences"),1),""))</f>
        <v/>
      </c>
      <c r="I378" s="4">
        <f>IF(A378="","",IFERROR(ROUND(AVERAGEIFS(ASSESSMENTS!H:H,ASSESSMENTS!B:B,A378,ASSESSMENTS!E:E,"Geography"),1),""))</f>
        <v/>
      </c>
      <c r="J378" s="4">
        <f>IF(A378="","",IFERROR(ROUND(AVERAGEIFS(ASSESSMENTS!H:H,ASSESSMENTS!B:B,A378,ASSESSMENTS!E:E,"Accounting"),1),""))</f>
        <v/>
      </c>
      <c r="K378" s="4">
        <f>IF(A378="","",IFERROR(ROUND(AVERAGEIFS(ASSESSMENTS!H:H,ASSESSMENTS!B:B,A378,ASSESSMENTS!E:E,"English"),1),""))</f>
        <v/>
      </c>
      <c r="L378" s="5">
        <f>IF(A378="","",IFERROR(_xludf.XLOOKUP(A378,ATTENDANCE_SUMMARY!A:A,ATTENDANCE_SUMMARY!G:G,""),""))</f>
        <v/>
      </c>
      <c r="M378" s="4">
        <f>IF(A378="","",IF(OR(E378&lt;50,AND(L378&lt;0.75,L378&lt;&gt;"" )),"At Risk","On Track"))</f>
        <v/>
      </c>
    </row>
    <row r="379">
      <c r="A379">
        <f>IF(MASTER_REGISTER!E379="","",MASTER_REGISTER!E379)</f>
        <v/>
      </c>
      <c r="B379">
        <f>IF(A379="","",MASTER_REGISTER!F379)</f>
        <v/>
      </c>
      <c r="C379">
        <f>IF(A379="","",MASTER_REGISTER!C379)</f>
        <v/>
      </c>
      <c r="D379">
        <f>IF(A379="","",COUNTIF(ASSESSMENTS!B:B,A379))</f>
        <v/>
      </c>
      <c r="E379" s="4">
        <f>IF(D379=0,"",ROUND(AVERAGEIF(ASSESSMENTS!B:B,A379,ASSESSMENTS!H:H),1))</f>
        <v/>
      </c>
      <c r="F379" s="4">
        <f>IF(A379="","",IFERROR(ROUND(AVERAGEIFS(ASSESSMENTS!H:H,ASSESSMENTS!B:B,A379,ASSESSMENTS!E:E,"Mathematics"),1),""))</f>
        <v/>
      </c>
      <c r="G379" s="4">
        <f>IF(A379="","",IFERROR(ROUND(AVERAGEIFS(ASSESSMENTS!H:H,ASSESSMENTS!B:B,A379,ASSESSMENTS!E:E,"Mathematical Literacy"),1),""))</f>
        <v/>
      </c>
      <c r="H379" s="4">
        <f>IF(A379="","",IFERROR(ROUND(AVERAGEIFS(ASSESSMENTS!H:H,ASSESSMENTS!B:B,A379,ASSESSMENTS!E:E,"Physical Sciences"),1),""))</f>
        <v/>
      </c>
      <c r="I379" s="4">
        <f>IF(A379="","",IFERROR(ROUND(AVERAGEIFS(ASSESSMENTS!H:H,ASSESSMENTS!B:B,A379,ASSESSMENTS!E:E,"Geography"),1),""))</f>
        <v/>
      </c>
      <c r="J379" s="4">
        <f>IF(A379="","",IFERROR(ROUND(AVERAGEIFS(ASSESSMENTS!H:H,ASSESSMENTS!B:B,A379,ASSESSMENTS!E:E,"Accounting"),1),""))</f>
        <v/>
      </c>
      <c r="K379" s="4">
        <f>IF(A379="","",IFERROR(ROUND(AVERAGEIFS(ASSESSMENTS!H:H,ASSESSMENTS!B:B,A379,ASSESSMENTS!E:E,"English"),1),""))</f>
        <v/>
      </c>
      <c r="L379" s="5">
        <f>IF(A379="","",IFERROR(_xludf.XLOOKUP(A379,ATTENDANCE_SUMMARY!A:A,ATTENDANCE_SUMMARY!G:G,""),""))</f>
        <v/>
      </c>
      <c r="M379" s="4">
        <f>IF(A379="","",IF(OR(E379&lt;50,AND(L379&lt;0.75,L379&lt;&gt;"" )),"At Risk","On Track"))</f>
        <v/>
      </c>
    </row>
    <row r="380">
      <c r="A380">
        <f>IF(MASTER_REGISTER!E380="","",MASTER_REGISTER!E380)</f>
        <v/>
      </c>
      <c r="B380">
        <f>IF(A380="","",MASTER_REGISTER!F380)</f>
        <v/>
      </c>
      <c r="C380">
        <f>IF(A380="","",MASTER_REGISTER!C380)</f>
        <v/>
      </c>
      <c r="D380">
        <f>IF(A380="","",COUNTIF(ASSESSMENTS!B:B,A380))</f>
        <v/>
      </c>
      <c r="E380" s="4">
        <f>IF(D380=0,"",ROUND(AVERAGEIF(ASSESSMENTS!B:B,A380,ASSESSMENTS!H:H),1))</f>
        <v/>
      </c>
      <c r="F380" s="4">
        <f>IF(A380="","",IFERROR(ROUND(AVERAGEIFS(ASSESSMENTS!H:H,ASSESSMENTS!B:B,A380,ASSESSMENTS!E:E,"Mathematics"),1),""))</f>
        <v/>
      </c>
      <c r="G380" s="4">
        <f>IF(A380="","",IFERROR(ROUND(AVERAGEIFS(ASSESSMENTS!H:H,ASSESSMENTS!B:B,A380,ASSESSMENTS!E:E,"Mathematical Literacy"),1),""))</f>
        <v/>
      </c>
      <c r="H380" s="4">
        <f>IF(A380="","",IFERROR(ROUND(AVERAGEIFS(ASSESSMENTS!H:H,ASSESSMENTS!B:B,A380,ASSESSMENTS!E:E,"Physical Sciences"),1),""))</f>
        <v/>
      </c>
      <c r="I380" s="4">
        <f>IF(A380="","",IFERROR(ROUND(AVERAGEIFS(ASSESSMENTS!H:H,ASSESSMENTS!B:B,A380,ASSESSMENTS!E:E,"Geography"),1),""))</f>
        <v/>
      </c>
      <c r="J380" s="4">
        <f>IF(A380="","",IFERROR(ROUND(AVERAGEIFS(ASSESSMENTS!H:H,ASSESSMENTS!B:B,A380,ASSESSMENTS!E:E,"Accounting"),1),""))</f>
        <v/>
      </c>
      <c r="K380" s="4">
        <f>IF(A380="","",IFERROR(ROUND(AVERAGEIFS(ASSESSMENTS!H:H,ASSESSMENTS!B:B,A380,ASSESSMENTS!E:E,"English"),1),""))</f>
        <v/>
      </c>
      <c r="L380" s="5">
        <f>IF(A380="","",IFERROR(_xludf.XLOOKUP(A380,ATTENDANCE_SUMMARY!A:A,ATTENDANCE_SUMMARY!G:G,""),""))</f>
        <v/>
      </c>
      <c r="M380" s="4">
        <f>IF(A380="","",IF(OR(E380&lt;50,AND(L380&lt;0.75,L380&lt;&gt;"" )),"At Risk","On Track"))</f>
        <v/>
      </c>
    </row>
    <row r="381">
      <c r="A381">
        <f>IF(MASTER_REGISTER!E381="","",MASTER_REGISTER!E381)</f>
        <v/>
      </c>
      <c r="B381">
        <f>IF(A381="","",MASTER_REGISTER!F381)</f>
        <v/>
      </c>
      <c r="C381">
        <f>IF(A381="","",MASTER_REGISTER!C381)</f>
        <v/>
      </c>
      <c r="D381">
        <f>IF(A381="","",COUNTIF(ASSESSMENTS!B:B,A381))</f>
        <v/>
      </c>
      <c r="E381" s="4">
        <f>IF(D381=0,"",ROUND(AVERAGEIF(ASSESSMENTS!B:B,A381,ASSESSMENTS!H:H),1))</f>
        <v/>
      </c>
      <c r="F381" s="4">
        <f>IF(A381="","",IFERROR(ROUND(AVERAGEIFS(ASSESSMENTS!H:H,ASSESSMENTS!B:B,A381,ASSESSMENTS!E:E,"Mathematics"),1),""))</f>
        <v/>
      </c>
      <c r="G381" s="4">
        <f>IF(A381="","",IFERROR(ROUND(AVERAGEIFS(ASSESSMENTS!H:H,ASSESSMENTS!B:B,A381,ASSESSMENTS!E:E,"Mathematical Literacy"),1),""))</f>
        <v/>
      </c>
      <c r="H381" s="4">
        <f>IF(A381="","",IFERROR(ROUND(AVERAGEIFS(ASSESSMENTS!H:H,ASSESSMENTS!B:B,A381,ASSESSMENTS!E:E,"Physical Sciences"),1),""))</f>
        <v/>
      </c>
      <c r="I381" s="4">
        <f>IF(A381="","",IFERROR(ROUND(AVERAGEIFS(ASSESSMENTS!H:H,ASSESSMENTS!B:B,A381,ASSESSMENTS!E:E,"Geography"),1),""))</f>
        <v/>
      </c>
      <c r="J381" s="4">
        <f>IF(A381="","",IFERROR(ROUND(AVERAGEIFS(ASSESSMENTS!H:H,ASSESSMENTS!B:B,A381,ASSESSMENTS!E:E,"Accounting"),1),""))</f>
        <v/>
      </c>
      <c r="K381" s="4">
        <f>IF(A381="","",IFERROR(ROUND(AVERAGEIFS(ASSESSMENTS!H:H,ASSESSMENTS!B:B,A381,ASSESSMENTS!E:E,"English"),1),""))</f>
        <v/>
      </c>
      <c r="L381" s="5">
        <f>IF(A381="","",IFERROR(_xludf.XLOOKUP(A381,ATTENDANCE_SUMMARY!A:A,ATTENDANCE_SUMMARY!G:G,""),""))</f>
        <v/>
      </c>
      <c r="M381" s="4">
        <f>IF(A381="","",IF(OR(E381&lt;50,AND(L381&lt;0.75,L381&lt;&gt;"" )),"At Risk","On Track"))</f>
        <v/>
      </c>
    </row>
    <row r="382">
      <c r="A382">
        <f>IF(MASTER_REGISTER!E382="","",MASTER_REGISTER!E382)</f>
        <v/>
      </c>
      <c r="B382">
        <f>IF(A382="","",MASTER_REGISTER!F382)</f>
        <v/>
      </c>
      <c r="C382">
        <f>IF(A382="","",MASTER_REGISTER!C382)</f>
        <v/>
      </c>
      <c r="D382">
        <f>IF(A382="","",COUNTIF(ASSESSMENTS!B:B,A382))</f>
        <v/>
      </c>
      <c r="E382" s="4">
        <f>IF(D382=0,"",ROUND(AVERAGEIF(ASSESSMENTS!B:B,A382,ASSESSMENTS!H:H),1))</f>
        <v/>
      </c>
      <c r="F382" s="4">
        <f>IF(A382="","",IFERROR(ROUND(AVERAGEIFS(ASSESSMENTS!H:H,ASSESSMENTS!B:B,A382,ASSESSMENTS!E:E,"Mathematics"),1),""))</f>
        <v/>
      </c>
      <c r="G382" s="4">
        <f>IF(A382="","",IFERROR(ROUND(AVERAGEIFS(ASSESSMENTS!H:H,ASSESSMENTS!B:B,A382,ASSESSMENTS!E:E,"Mathematical Literacy"),1),""))</f>
        <v/>
      </c>
      <c r="H382" s="4">
        <f>IF(A382="","",IFERROR(ROUND(AVERAGEIFS(ASSESSMENTS!H:H,ASSESSMENTS!B:B,A382,ASSESSMENTS!E:E,"Physical Sciences"),1),""))</f>
        <v/>
      </c>
      <c r="I382" s="4">
        <f>IF(A382="","",IFERROR(ROUND(AVERAGEIFS(ASSESSMENTS!H:H,ASSESSMENTS!B:B,A382,ASSESSMENTS!E:E,"Geography"),1),""))</f>
        <v/>
      </c>
      <c r="J382" s="4">
        <f>IF(A382="","",IFERROR(ROUND(AVERAGEIFS(ASSESSMENTS!H:H,ASSESSMENTS!B:B,A382,ASSESSMENTS!E:E,"Accounting"),1),""))</f>
        <v/>
      </c>
      <c r="K382" s="4">
        <f>IF(A382="","",IFERROR(ROUND(AVERAGEIFS(ASSESSMENTS!H:H,ASSESSMENTS!B:B,A382,ASSESSMENTS!E:E,"English"),1),""))</f>
        <v/>
      </c>
      <c r="L382" s="5">
        <f>IF(A382="","",IFERROR(_xludf.XLOOKUP(A382,ATTENDANCE_SUMMARY!A:A,ATTENDANCE_SUMMARY!G:G,""),""))</f>
        <v/>
      </c>
      <c r="M382" s="4">
        <f>IF(A382="","",IF(OR(E382&lt;50,AND(L382&lt;0.75,L382&lt;&gt;"" )),"At Risk","On Track"))</f>
        <v/>
      </c>
    </row>
    <row r="383">
      <c r="A383">
        <f>IF(MASTER_REGISTER!E383="","",MASTER_REGISTER!E383)</f>
        <v/>
      </c>
      <c r="B383">
        <f>IF(A383="","",MASTER_REGISTER!F383)</f>
        <v/>
      </c>
      <c r="C383">
        <f>IF(A383="","",MASTER_REGISTER!C383)</f>
        <v/>
      </c>
      <c r="D383">
        <f>IF(A383="","",COUNTIF(ASSESSMENTS!B:B,A383))</f>
        <v/>
      </c>
      <c r="E383" s="4">
        <f>IF(D383=0,"",ROUND(AVERAGEIF(ASSESSMENTS!B:B,A383,ASSESSMENTS!H:H),1))</f>
        <v/>
      </c>
      <c r="F383" s="4">
        <f>IF(A383="","",IFERROR(ROUND(AVERAGEIFS(ASSESSMENTS!H:H,ASSESSMENTS!B:B,A383,ASSESSMENTS!E:E,"Mathematics"),1),""))</f>
        <v/>
      </c>
      <c r="G383" s="4">
        <f>IF(A383="","",IFERROR(ROUND(AVERAGEIFS(ASSESSMENTS!H:H,ASSESSMENTS!B:B,A383,ASSESSMENTS!E:E,"Mathematical Literacy"),1),""))</f>
        <v/>
      </c>
      <c r="H383" s="4">
        <f>IF(A383="","",IFERROR(ROUND(AVERAGEIFS(ASSESSMENTS!H:H,ASSESSMENTS!B:B,A383,ASSESSMENTS!E:E,"Physical Sciences"),1),""))</f>
        <v/>
      </c>
      <c r="I383" s="4">
        <f>IF(A383="","",IFERROR(ROUND(AVERAGEIFS(ASSESSMENTS!H:H,ASSESSMENTS!B:B,A383,ASSESSMENTS!E:E,"Geography"),1),""))</f>
        <v/>
      </c>
      <c r="J383" s="4">
        <f>IF(A383="","",IFERROR(ROUND(AVERAGEIFS(ASSESSMENTS!H:H,ASSESSMENTS!B:B,A383,ASSESSMENTS!E:E,"Accounting"),1),""))</f>
        <v/>
      </c>
      <c r="K383" s="4">
        <f>IF(A383="","",IFERROR(ROUND(AVERAGEIFS(ASSESSMENTS!H:H,ASSESSMENTS!B:B,A383,ASSESSMENTS!E:E,"English"),1),""))</f>
        <v/>
      </c>
      <c r="L383" s="5">
        <f>IF(A383="","",IFERROR(_xludf.XLOOKUP(A383,ATTENDANCE_SUMMARY!A:A,ATTENDANCE_SUMMARY!G:G,""),""))</f>
        <v/>
      </c>
      <c r="M383" s="4">
        <f>IF(A383="","",IF(OR(E383&lt;50,AND(L383&lt;0.75,L383&lt;&gt;"" )),"At Risk","On Track"))</f>
        <v/>
      </c>
    </row>
    <row r="384">
      <c r="A384">
        <f>IF(MASTER_REGISTER!E384="","",MASTER_REGISTER!E384)</f>
        <v/>
      </c>
      <c r="B384">
        <f>IF(A384="","",MASTER_REGISTER!F384)</f>
        <v/>
      </c>
      <c r="C384">
        <f>IF(A384="","",MASTER_REGISTER!C384)</f>
        <v/>
      </c>
      <c r="D384">
        <f>IF(A384="","",COUNTIF(ASSESSMENTS!B:B,A384))</f>
        <v/>
      </c>
      <c r="E384" s="4">
        <f>IF(D384=0,"",ROUND(AVERAGEIF(ASSESSMENTS!B:B,A384,ASSESSMENTS!H:H),1))</f>
        <v/>
      </c>
      <c r="F384" s="4">
        <f>IF(A384="","",IFERROR(ROUND(AVERAGEIFS(ASSESSMENTS!H:H,ASSESSMENTS!B:B,A384,ASSESSMENTS!E:E,"Mathematics"),1),""))</f>
        <v/>
      </c>
      <c r="G384" s="4">
        <f>IF(A384="","",IFERROR(ROUND(AVERAGEIFS(ASSESSMENTS!H:H,ASSESSMENTS!B:B,A384,ASSESSMENTS!E:E,"Mathematical Literacy"),1),""))</f>
        <v/>
      </c>
      <c r="H384" s="4">
        <f>IF(A384="","",IFERROR(ROUND(AVERAGEIFS(ASSESSMENTS!H:H,ASSESSMENTS!B:B,A384,ASSESSMENTS!E:E,"Physical Sciences"),1),""))</f>
        <v/>
      </c>
      <c r="I384" s="4">
        <f>IF(A384="","",IFERROR(ROUND(AVERAGEIFS(ASSESSMENTS!H:H,ASSESSMENTS!B:B,A384,ASSESSMENTS!E:E,"Geography"),1),""))</f>
        <v/>
      </c>
      <c r="J384" s="4">
        <f>IF(A384="","",IFERROR(ROUND(AVERAGEIFS(ASSESSMENTS!H:H,ASSESSMENTS!B:B,A384,ASSESSMENTS!E:E,"Accounting"),1),""))</f>
        <v/>
      </c>
      <c r="K384" s="4">
        <f>IF(A384="","",IFERROR(ROUND(AVERAGEIFS(ASSESSMENTS!H:H,ASSESSMENTS!B:B,A384,ASSESSMENTS!E:E,"English"),1),""))</f>
        <v/>
      </c>
      <c r="L384" s="5">
        <f>IF(A384="","",IFERROR(_xludf.XLOOKUP(A384,ATTENDANCE_SUMMARY!A:A,ATTENDANCE_SUMMARY!G:G,""),""))</f>
        <v/>
      </c>
      <c r="M384" s="4">
        <f>IF(A384="","",IF(OR(E384&lt;50,AND(L384&lt;0.75,L384&lt;&gt;"" )),"At Risk","On Track"))</f>
        <v/>
      </c>
    </row>
    <row r="385">
      <c r="A385">
        <f>IF(MASTER_REGISTER!E385="","",MASTER_REGISTER!E385)</f>
        <v/>
      </c>
      <c r="B385">
        <f>IF(A385="","",MASTER_REGISTER!F385)</f>
        <v/>
      </c>
      <c r="C385">
        <f>IF(A385="","",MASTER_REGISTER!C385)</f>
        <v/>
      </c>
      <c r="D385">
        <f>IF(A385="","",COUNTIF(ASSESSMENTS!B:B,A385))</f>
        <v/>
      </c>
      <c r="E385" s="4">
        <f>IF(D385=0,"",ROUND(AVERAGEIF(ASSESSMENTS!B:B,A385,ASSESSMENTS!H:H),1))</f>
        <v/>
      </c>
      <c r="F385" s="4">
        <f>IF(A385="","",IFERROR(ROUND(AVERAGEIFS(ASSESSMENTS!H:H,ASSESSMENTS!B:B,A385,ASSESSMENTS!E:E,"Mathematics"),1),""))</f>
        <v/>
      </c>
      <c r="G385" s="4">
        <f>IF(A385="","",IFERROR(ROUND(AVERAGEIFS(ASSESSMENTS!H:H,ASSESSMENTS!B:B,A385,ASSESSMENTS!E:E,"Mathematical Literacy"),1),""))</f>
        <v/>
      </c>
      <c r="H385" s="4">
        <f>IF(A385="","",IFERROR(ROUND(AVERAGEIFS(ASSESSMENTS!H:H,ASSESSMENTS!B:B,A385,ASSESSMENTS!E:E,"Physical Sciences"),1),""))</f>
        <v/>
      </c>
      <c r="I385" s="4">
        <f>IF(A385="","",IFERROR(ROUND(AVERAGEIFS(ASSESSMENTS!H:H,ASSESSMENTS!B:B,A385,ASSESSMENTS!E:E,"Geography"),1),""))</f>
        <v/>
      </c>
      <c r="J385" s="4">
        <f>IF(A385="","",IFERROR(ROUND(AVERAGEIFS(ASSESSMENTS!H:H,ASSESSMENTS!B:B,A385,ASSESSMENTS!E:E,"Accounting"),1),""))</f>
        <v/>
      </c>
      <c r="K385" s="4">
        <f>IF(A385="","",IFERROR(ROUND(AVERAGEIFS(ASSESSMENTS!H:H,ASSESSMENTS!B:B,A385,ASSESSMENTS!E:E,"English"),1),""))</f>
        <v/>
      </c>
      <c r="L385" s="5">
        <f>IF(A385="","",IFERROR(_xludf.XLOOKUP(A385,ATTENDANCE_SUMMARY!A:A,ATTENDANCE_SUMMARY!G:G,""),""))</f>
        <v/>
      </c>
      <c r="M385" s="4">
        <f>IF(A385="","",IF(OR(E385&lt;50,AND(L385&lt;0.75,L385&lt;&gt;"" )),"At Risk","On Track"))</f>
        <v/>
      </c>
    </row>
    <row r="386">
      <c r="A386">
        <f>IF(MASTER_REGISTER!E386="","",MASTER_REGISTER!E386)</f>
        <v/>
      </c>
      <c r="B386">
        <f>IF(A386="","",MASTER_REGISTER!F386)</f>
        <v/>
      </c>
      <c r="C386">
        <f>IF(A386="","",MASTER_REGISTER!C386)</f>
        <v/>
      </c>
      <c r="D386">
        <f>IF(A386="","",COUNTIF(ASSESSMENTS!B:B,A386))</f>
        <v/>
      </c>
      <c r="E386" s="4">
        <f>IF(D386=0,"",ROUND(AVERAGEIF(ASSESSMENTS!B:B,A386,ASSESSMENTS!H:H),1))</f>
        <v/>
      </c>
      <c r="F386" s="4">
        <f>IF(A386="","",IFERROR(ROUND(AVERAGEIFS(ASSESSMENTS!H:H,ASSESSMENTS!B:B,A386,ASSESSMENTS!E:E,"Mathematics"),1),""))</f>
        <v/>
      </c>
      <c r="G386" s="4">
        <f>IF(A386="","",IFERROR(ROUND(AVERAGEIFS(ASSESSMENTS!H:H,ASSESSMENTS!B:B,A386,ASSESSMENTS!E:E,"Mathematical Literacy"),1),""))</f>
        <v/>
      </c>
      <c r="H386" s="4">
        <f>IF(A386="","",IFERROR(ROUND(AVERAGEIFS(ASSESSMENTS!H:H,ASSESSMENTS!B:B,A386,ASSESSMENTS!E:E,"Physical Sciences"),1),""))</f>
        <v/>
      </c>
      <c r="I386" s="4">
        <f>IF(A386="","",IFERROR(ROUND(AVERAGEIFS(ASSESSMENTS!H:H,ASSESSMENTS!B:B,A386,ASSESSMENTS!E:E,"Geography"),1),""))</f>
        <v/>
      </c>
      <c r="J386" s="4">
        <f>IF(A386="","",IFERROR(ROUND(AVERAGEIFS(ASSESSMENTS!H:H,ASSESSMENTS!B:B,A386,ASSESSMENTS!E:E,"Accounting"),1),""))</f>
        <v/>
      </c>
      <c r="K386" s="4">
        <f>IF(A386="","",IFERROR(ROUND(AVERAGEIFS(ASSESSMENTS!H:H,ASSESSMENTS!B:B,A386,ASSESSMENTS!E:E,"English"),1),""))</f>
        <v/>
      </c>
      <c r="L386" s="5">
        <f>IF(A386="","",IFERROR(_xludf.XLOOKUP(A386,ATTENDANCE_SUMMARY!A:A,ATTENDANCE_SUMMARY!G:G,""),""))</f>
        <v/>
      </c>
      <c r="M386" s="4">
        <f>IF(A386="","",IF(OR(E386&lt;50,AND(L386&lt;0.75,L386&lt;&gt;"" )),"At Risk","On Track"))</f>
        <v/>
      </c>
    </row>
    <row r="387">
      <c r="A387">
        <f>IF(MASTER_REGISTER!E387="","",MASTER_REGISTER!E387)</f>
        <v/>
      </c>
      <c r="B387">
        <f>IF(A387="","",MASTER_REGISTER!F387)</f>
        <v/>
      </c>
      <c r="C387">
        <f>IF(A387="","",MASTER_REGISTER!C387)</f>
        <v/>
      </c>
      <c r="D387">
        <f>IF(A387="","",COUNTIF(ASSESSMENTS!B:B,A387))</f>
        <v/>
      </c>
      <c r="E387" s="4">
        <f>IF(D387=0,"",ROUND(AVERAGEIF(ASSESSMENTS!B:B,A387,ASSESSMENTS!H:H),1))</f>
        <v/>
      </c>
      <c r="F387" s="4">
        <f>IF(A387="","",IFERROR(ROUND(AVERAGEIFS(ASSESSMENTS!H:H,ASSESSMENTS!B:B,A387,ASSESSMENTS!E:E,"Mathematics"),1),""))</f>
        <v/>
      </c>
      <c r="G387" s="4">
        <f>IF(A387="","",IFERROR(ROUND(AVERAGEIFS(ASSESSMENTS!H:H,ASSESSMENTS!B:B,A387,ASSESSMENTS!E:E,"Mathematical Literacy"),1),""))</f>
        <v/>
      </c>
      <c r="H387" s="4">
        <f>IF(A387="","",IFERROR(ROUND(AVERAGEIFS(ASSESSMENTS!H:H,ASSESSMENTS!B:B,A387,ASSESSMENTS!E:E,"Physical Sciences"),1),""))</f>
        <v/>
      </c>
      <c r="I387" s="4">
        <f>IF(A387="","",IFERROR(ROUND(AVERAGEIFS(ASSESSMENTS!H:H,ASSESSMENTS!B:B,A387,ASSESSMENTS!E:E,"Geography"),1),""))</f>
        <v/>
      </c>
      <c r="J387" s="4">
        <f>IF(A387="","",IFERROR(ROUND(AVERAGEIFS(ASSESSMENTS!H:H,ASSESSMENTS!B:B,A387,ASSESSMENTS!E:E,"Accounting"),1),""))</f>
        <v/>
      </c>
      <c r="K387" s="4">
        <f>IF(A387="","",IFERROR(ROUND(AVERAGEIFS(ASSESSMENTS!H:H,ASSESSMENTS!B:B,A387,ASSESSMENTS!E:E,"English"),1),""))</f>
        <v/>
      </c>
      <c r="L387" s="5">
        <f>IF(A387="","",IFERROR(_xludf.XLOOKUP(A387,ATTENDANCE_SUMMARY!A:A,ATTENDANCE_SUMMARY!G:G,""),""))</f>
        <v/>
      </c>
      <c r="M387" s="4">
        <f>IF(A387="","",IF(OR(E387&lt;50,AND(L387&lt;0.75,L387&lt;&gt;"" )),"At Risk","On Track"))</f>
        <v/>
      </c>
    </row>
    <row r="388">
      <c r="A388">
        <f>IF(MASTER_REGISTER!E388="","",MASTER_REGISTER!E388)</f>
        <v/>
      </c>
      <c r="B388">
        <f>IF(A388="","",MASTER_REGISTER!F388)</f>
        <v/>
      </c>
      <c r="C388">
        <f>IF(A388="","",MASTER_REGISTER!C388)</f>
        <v/>
      </c>
      <c r="D388">
        <f>IF(A388="","",COUNTIF(ASSESSMENTS!B:B,A388))</f>
        <v/>
      </c>
      <c r="E388" s="4">
        <f>IF(D388=0,"",ROUND(AVERAGEIF(ASSESSMENTS!B:B,A388,ASSESSMENTS!H:H),1))</f>
        <v/>
      </c>
      <c r="F388" s="4">
        <f>IF(A388="","",IFERROR(ROUND(AVERAGEIFS(ASSESSMENTS!H:H,ASSESSMENTS!B:B,A388,ASSESSMENTS!E:E,"Mathematics"),1),""))</f>
        <v/>
      </c>
      <c r="G388" s="4">
        <f>IF(A388="","",IFERROR(ROUND(AVERAGEIFS(ASSESSMENTS!H:H,ASSESSMENTS!B:B,A388,ASSESSMENTS!E:E,"Mathematical Literacy"),1),""))</f>
        <v/>
      </c>
      <c r="H388" s="4">
        <f>IF(A388="","",IFERROR(ROUND(AVERAGEIFS(ASSESSMENTS!H:H,ASSESSMENTS!B:B,A388,ASSESSMENTS!E:E,"Physical Sciences"),1),""))</f>
        <v/>
      </c>
      <c r="I388" s="4">
        <f>IF(A388="","",IFERROR(ROUND(AVERAGEIFS(ASSESSMENTS!H:H,ASSESSMENTS!B:B,A388,ASSESSMENTS!E:E,"Geography"),1),""))</f>
        <v/>
      </c>
      <c r="J388" s="4">
        <f>IF(A388="","",IFERROR(ROUND(AVERAGEIFS(ASSESSMENTS!H:H,ASSESSMENTS!B:B,A388,ASSESSMENTS!E:E,"Accounting"),1),""))</f>
        <v/>
      </c>
      <c r="K388" s="4">
        <f>IF(A388="","",IFERROR(ROUND(AVERAGEIFS(ASSESSMENTS!H:H,ASSESSMENTS!B:B,A388,ASSESSMENTS!E:E,"English"),1),""))</f>
        <v/>
      </c>
      <c r="L388" s="5">
        <f>IF(A388="","",IFERROR(_xludf.XLOOKUP(A388,ATTENDANCE_SUMMARY!A:A,ATTENDANCE_SUMMARY!G:G,""),""))</f>
        <v/>
      </c>
      <c r="M388" s="4">
        <f>IF(A388="","",IF(OR(E388&lt;50,AND(L388&lt;0.75,L388&lt;&gt;"" )),"At Risk","On Track"))</f>
        <v/>
      </c>
    </row>
    <row r="389">
      <c r="A389">
        <f>IF(MASTER_REGISTER!E389="","",MASTER_REGISTER!E389)</f>
        <v/>
      </c>
      <c r="B389">
        <f>IF(A389="","",MASTER_REGISTER!F389)</f>
        <v/>
      </c>
      <c r="C389">
        <f>IF(A389="","",MASTER_REGISTER!C389)</f>
        <v/>
      </c>
      <c r="D389">
        <f>IF(A389="","",COUNTIF(ASSESSMENTS!B:B,A389))</f>
        <v/>
      </c>
      <c r="E389" s="4">
        <f>IF(D389=0,"",ROUND(AVERAGEIF(ASSESSMENTS!B:B,A389,ASSESSMENTS!H:H),1))</f>
        <v/>
      </c>
      <c r="F389" s="4">
        <f>IF(A389="","",IFERROR(ROUND(AVERAGEIFS(ASSESSMENTS!H:H,ASSESSMENTS!B:B,A389,ASSESSMENTS!E:E,"Mathematics"),1),""))</f>
        <v/>
      </c>
      <c r="G389" s="4">
        <f>IF(A389="","",IFERROR(ROUND(AVERAGEIFS(ASSESSMENTS!H:H,ASSESSMENTS!B:B,A389,ASSESSMENTS!E:E,"Mathematical Literacy"),1),""))</f>
        <v/>
      </c>
      <c r="H389" s="4">
        <f>IF(A389="","",IFERROR(ROUND(AVERAGEIFS(ASSESSMENTS!H:H,ASSESSMENTS!B:B,A389,ASSESSMENTS!E:E,"Physical Sciences"),1),""))</f>
        <v/>
      </c>
      <c r="I389" s="4">
        <f>IF(A389="","",IFERROR(ROUND(AVERAGEIFS(ASSESSMENTS!H:H,ASSESSMENTS!B:B,A389,ASSESSMENTS!E:E,"Geography"),1),""))</f>
        <v/>
      </c>
      <c r="J389" s="4">
        <f>IF(A389="","",IFERROR(ROUND(AVERAGEIFS(ASSESSMENTS!H:H,ASSESSMENTS!B:B,A389,ASSESSMENTS!E:E,"Accounting"),1),""))</f>
        <v/>
      </c>
      <c r="K389" s="4">
        <f>IF(A389="","",IFERROR(ROUND(AVERAGEIFS(ASSESSMENTS!H:H,ASSESSMENTS!B:B,A389,ASSESSMENTS!E:E,"English"),1),""))</f>
        <v/>
      </c>
      <c r="L389" s="5">
        <f>IF(A389="","",IFERROR(_xludf.XLOOKUP(A389,ATTENDANCE_SUMMARY!A:A,ATTENDANCE_SUMMARY!G:G,""),""))</f>
        <v/>
      </c>
      <c r="M389" s="4">
        <f>IF(A389="","",IF(OR(E389&lt;50,AND(L389&lt;0.75,L389&lt;&gt;"" )),"At Risk","On Track"))</f>
        <v/>
      </c>
    </row>
    <row r="390">
      <c r="A390">
        <f>IF(MASTER_REGISTER!E390="","",MASTER_REGISTER!E390)</f>
        <v/>
      </c>
      <c r="B390">
        <f>IF(A390="","",MASTER_REGISTER!F390)</f>
        <v/>
      </c>
      <c r="C390">
        <f>IF(A390="","",MASTER_REGISTER!C390)</f>
        <v/>
      </c>
      <c r="D390">
        <f>IF(A390="","",COUNTIF(ASSESSMENTS!B:B,A390))</f>
        <v/>
      </c>
      <c r="E390" s="4">
        <f>IF(D390=0,"",ROUND(AVERAGEIF(ASSESSMENTS!B:B,A390,ASSESSMENTS!H:H),1))</f>
        <v/>
      </c>
      <c r="F390" s="4">
        <f>IF(A390="","",IFERROR(ROUND(AVERAGEIFS(ASSESSMENTS!H:H,ASSESSMENTS!B:B,A390,ASSESSMENTS!E:E,"Mathematics"),1),""))</f>
        <v/>
      </c>
      <c r="G390" s="4">
        <f>IF(A390="","",IFERROR(ROUND(AVERAGEIFS(ASSESSMENTS!H:H,ASSESSMENTS!B:B,A390,ASSESSMENTS!E:E,"Mathematical Literacy"),1),""))</f>
        <v/>
      </c>
      <c r="H390" s="4">
        <f>IF(A390="","",IFERROR(ROUND(AVERAGEIFS(ASSESSMENTS!H:H,ASSESSMENTS!B:B,A390,ASSESSMENTS!E:E,"Physical Sciences"),1),""))</f>
        <v/>
      </c>
      <c r="I390" s="4">
        <f>IF(A390="","",IFERROR(ROUND(AVERAGEIFS(ASSESSMENTS!H:H,ASSESSMENTS!B:B,A390,ASSESSMENTS!E:E,"Geography"),1),""))</f>
        <v/>
      </c>
      <c r="J390" s="4">
        <f>IF(A390="","",IFERROR(ROUND(AVERAGEIFS(ASSESSMENTS!H:H,ASSESSMENTS!B:B,A390,ASSESSMENTS!E:E,"Accounting"),1),""))</f>
        <v/>
      </c>
      <c r="K390" s="4">
        <f>IF(A390="","",IFERROR(ROUND(AVERAGEIFS(ASSESSMENTS!H:H,ASSESSMENTS!B:B,A390,ASSESSMENTS!E:E,"English"),1),""))</f>
        <v/>
      </c>
      <c r="L390" s="5">
        <f>IF(A390="","",IFERROR(_xludf.XLOOKUP(A390,ATTENDANCE_SUMMARY!A:A,ATTENDANCE_SUMMARY!G:G,""),""))</f>
        <v/>
      </c>
      <c r="M390" s="4">
        <f>IF(A390="","",IF(OR(E390&lt;50,AND(L390&lt;0.75,L390&lt;&gt;"" )),"At Risk","On Track"))</f>
        <v/>
      </c>
    </row>
    <row r="391">
      <c r="A391">
        <f>IF(MASTER_REGISTER!E391="","",MASTER_REGISTER!E391)</f>
        <v/>
      </c>
      <c r="B391">
        <f>IF(A391="","",MASTER_REGISTER!F391)</f>
        <v/>
      </c>
      <c r="C391">
        <f>IF(A391="","",MASTER_REGISTER!C391)</f>
        <v/>
      </c>
      <c r="D391">
        <f>IF(A391="","",COUNTIF(ASSESSMENTS!B:B,A391))</f>
        <v/>
      </c>
      <c r="E391" s="4">
        <f>IF(D391=0,"",ROUND(AVERAGEIF(ASSESSMENTS!B:B,A391,ASSESSMENTS!H:H),1))</f>
        <v/>
      </c>
      <c r="F391" s="4">
        <f>IF(A391="","",IFERROR(ROUND(AVERAGEIFS(ASSESSMENTS!H:H,ASSESSMENTS!B:B,A391,ASSESSMENTS!E:E,"Mathematics"),1),""))</f>
        <v/>
      </c>
      <c r="G391" s="4">
        <f>IF(A391="","",IFERROR(ROUND(AVERAGEIFS(ASSESSMENTS!H:H,ASSESSMENTS!B:B,A391,ASSESSMENTS!E:E,"Mathematical Literacy"),1),""))</f>
        <v/>
      </c>
      <c r="H391" s="4">
        <f>IF(A391="","",IFERROR(ROUND(AVERAGEIFS(ASSESSMENTS!H:H,ASSESSMENTS!B:B,A391,ASSESSMENTS!E:E,"Physical Sciences"),1),""))</f>
        <v/>
      </c>
      <c r="I391" s="4">
        <f>IF(A391="","",IFERROR(ROUND(AVERAGEIFS(ASSESSMENTS!H:H,ASSESSMENTS!B:B,A391,ASSESSMENTS!E:E,"Geography"),1),""))</f>
        <v/>
      </c>
      <c r="J391" s="4">
        <f>IF(A391="","",IFERROR(ROUND(AVERAGEIFS(ASSESSMENTS!H:H,ASSESSMENTS!B:B,A391,ASSESSMENTS!E:E,"Accounting"),1),""))</f>
        <v/>
      </c>
      <c r="K391" s="4">
        <f>IF(A391="","",IFERROR(ROUND(AVERAGEIFS(ASSESSMENTS!H:H,ASSESSMENTS!B:B,A391,ASSESSMENTS!E:E,"English"),1),""))</f>
        <v/>
      </c>
      <c r="L391" s="5">
        <f>IF(A391="","",IFERROR(_xludf.XLOOKUP(A391,ATTENDANCE_SUMMARY!A:A,ATTENDANCE_SUMMARY!G:G,""),""))</f>
        <v/>
      </c>
      <c r="M391" s="4">
        <f>IF(A391="","",IF(OR(E391&lt;50,AND(L391&lt;0.75,L391&lt;&gt;"" )),"At Risk","On Track"))</f>
        <v/>
      </c>
    </row>
    <row r="392">
      <c r="A392">
        <f>IF(MASTER_REGISTER!E392="","",MASTER_REGISTER!E392)</f>
        <v/>
      </c>
      <c r="B392">
        <f>IF(A392="","",MASTER_REGISTER!F392)</f>
        <v/>
      </c>
      <c r="C392">
        <f>IF(A392="","",MASTER_REGISTER!C392)</f>
        <v/>
      </c>
      <c r="D392">
        <f>IF(A392="","",COUNTIF(ASSESSMENTS!B:B,A392))</f>
        <v/>
      </c>
      <c r="E392" s="4">
        <f>IF(D392=0,"",ROUND(AVERAGEIF(ASSESSMENTS!B:B,A392,ASSESSMENTS!H:H),1))</f>
        <v/>
      </c>
      <c r="F392" s="4">
        <f>IF(A392="","",IFERROR(ROUND(AVERAGEIFS(ASSESSMENTS!H:H,ASSESSMENTS!B:B,A392,ASSESSMENTS!E:E,"Mathematics"),1),""))</f>
        <v/>
      </c>
      <c r="G392" s="4">
        <f>IF(A392="","",IFERROR(ROUND(AVERAGEIFS(ASSESSMENTS!H:H,ASSESSMENTS!B:B,A392,ASSESSMENTS!E:E,"Mathematical Literacy"),1),""))</f>
        <v/>
      </c>
      <c r="H392" s="4">
        <f>IF(A392="","",IFERROR(ROUND(AVERAGEIFS(ASSESSMENTS!H:H,ASSESSMENTS!B:B,A392,ASSESSMENTS!E:E,"Physical Sciences"),1),""))</f>
        <v/>
      </c>
      <c r="I392" s="4">
        <f>IF(A392="","",IFERROR(ROUND(AVERAGEIFS(ASSESSMENTS!H:H,ASSESSMENTS!B:B,A392,ASSESSMENTS!E:E,"Geography"),1),""))</f>
        <v/>
      </c>
      <c r="J392" s="4">
        <f>IF(A392="","",IFERROR(ROUND(AVERAGEIFS(ASSESSMENTS!H:H,ASSESSMENTS!B:B,A392,ASSESSMENTS!E:E,"Accounting"),1),""))</f>
        <v/>
      </c>
      <c r="K392" s="4">
        <f>IF(A392="","",IFERROR(ROUND(AVERAGEIFS(ASSESSMENTS!H:H,ASSESSMENTS!B:B,A392,ASSESSMENTS!E:E,"English"),1),""))</f>
        <v/>
      </c>
      <c r="L392" s="5">
        <f>IF(A392="","",IFERROR(_xludf.XLOOKUP(A392,ATTENDANCE_SUMMARY!A:A,ATTENDANCE_SUMMARY!G:G,""),""))</f>
        <v/>
      </c>
      <c r="M392" s="4">
        <f>IF(A392="","",IF(OR(E392&lt;50,AND(L392&lt;0.75,L392&lt;&gt;"" )),"At Risk","On Track"))</f>
        <v/>
      </c>
    </row>
    <row r="393">
      <c r="A393">
        <f>IF(MASTER_REGISTER!E393="","",MASTER_REGISTER!E393)</f>
        <v/>
      </c>
      <c r="B393">
        <f>IF(A393="","",MASTER_REGISTER!F393)</f>
        <v/>
      </c>
      <c r="C393">
        <f>IF(A393="","",MASTER_REGISTER!C393)</f>
        <v/>
      </c>
      <c r="D393">
        <f>IF(A393="","",COUNTIF(ASSESSMENTS!B:B,A393))</f>
        <v/>
      </c>
      <c r="E393" s="4">
        <f>IF(D393=0,"",ROUND(AVERAGEIF(ASSESSMENTS!B:B,A393,ASSESSMENTS!H:H),1))</f>
        <v/>
      </c>
      <c r="F393" s="4">
        <f>IF(A393="","",IFERROR(ROUND(AVERAGEIFS(ASSESSMENTS!H:H,ASSESSMENTS!B:B,A393,ASSESSMENTS!E:E,"Mathematics"),1),""))</f>
        <v/>
      </c>
      <c r="G393" s="4">
        <f>IF(A393="","",IFERROR(ROUND(AVERAGEIFS(ASSESSMENTS!H:H,ASSESSMENTS!B:B,A393,ASSESSMENTS!E:E,"Mathematical Literacy"),1),""))</f>
        <v/>
      </c>
      <c r="H393" s="4">
        <f>IF(A393="","",IFERROR(ROUND(AVERAGEIFS(ASSESSMENTS!H:H,ASSESSMENTS!B:B,A393,ASSESSMENTS!E:E,"Physical Sciences"),1),""))</f>
        <v/>
      </c>
      <c r="I393" s="4">
        <f>IF(A393="","",IFERROR(ROUND(AVERAGEIFS(ASSESSMENTS!H:H,ASSESSMENTS!B:B,A393,ASSESSMENTS!E:E,"Geography"),1),""))</f>
        <v/>
      </c>
      <c r="J393" s="4">
        <f>IF(A393="","",IFERROR(ROUND(AVERAGEIFS(ASSESSMENTS!H:H,ASSESSMENTS!B:B,A393,ASSESSMENTS!E:E,"Accounting"),1),""))</f>
        <v/>
      </c>
      <c r="K393" s="4">
        <f>IF(A393="","",IFERROR(ROUND(AVERAGEIFS(ASSESSMENTS!H:H,ASSESSMENTS!B:B,A393,ASSESSMENTS!E:E,"English"),1),""))</f>
        <v/>
      </c>
      <c r="L393" s="5">
        <f>IF(A393="","",IFERROR(_xludf.XLOOKUP(A393,ATTENDANCE_SUMMARY!A:A,ATTENDANCE_SUMMARY!G:G,""),""))</f>
        <v/>
      </c>
      <c r="M393" s="4">
        <f>IF(A393="","",IF(OR(E393&lt;50,AND(L393&lt;0.75,L393&lt;&gt;"" )),"At Risk","On Track"))</f>
        <v/>
      </c>
    </row>
    <row r="394">
      <c r="A394">
        <f>IF(MASTER_REGISTER!E394="","",MASTER_REGISTER!E394)</f>
        <v/>
      </c>
      <c r="B394">
        <f>IF(A394="","",MASTER_REGISTER!F394)</f>
        <v/>
      </c>
      <c r="C394">
        <f>IF(A394="","",MASTER_REGISTER!C394)</f>
        <v/>
      </c>
      <c r="D394">
        <f>IF(A394="","",COUNTIF(ASSESSMENTS!B:B,A394))</f>
        <v/>
      </c>
      <c r="E394" s="4">
        <f>IF(D394=0,"",ROUND(AVERAGEIF(ASSESSMENTS!B:B,A394,ASSESSMENTS!H:H),1))</f>
        <v/>
      </c>
      <c r="F394" s="4">
        <f>IF(A394="","",IFERROR(ROUND(AVERAGEIFS(ASSESSMENTS!H:H,ASSESSMENTS!B:B,A394,ASSESSMENTS!E:E,"Mathematics"),1),""))</f>
        <v/>
      </c>
      <c r="G394" s="4">
        <f>IF(A394="","",IFERROR(ROUND(AVERAGEIFS(ASSESSMENTS!H:H,ASSESSMENTS!B:B,A394,ASSESSMENTS!E:E,"Mathematical Literacy"),1),""))</f>
        <v/>
      </c>
      <c r="H394" s="4">
        <f>IF(A394="","",IFERROR(ROUND(AVERAGEIFS(ASSESSMENTS!H:H,ASSESSMENTS!B:B,A394,ASSESSMENTS!E:E,"Physical Sciences"),1),""))</f>
        <v/>
      </c>
      <c r="I394" s="4">
        <f>IF(A394="","",IFERROR(ROUND(AVERAGEIFS(ASSESSMENTS!H:H,ASSESSMENTS!B:B,A394,ASSESSMENTS!E:E,"Geography"),1),""))</f>
        <v/>
      </c>
      <c r="J394" s="4">
        <f>IF(A394="","",IFERROR(ROUND(AVERAGEIFS(ASSESSMENTS!H:H,ASSESSMENTS!B:B,A394,ASSESSMENTS!E:E,"Accounting"),1),""))</f>
        <v/>
      </c>
      <c r="K394" s="4">
        <f>IF(A394="","",IFERROR(ROUND(AVERAGEIFS(ASSESSMENTS!H:H,ASSESSMENTS!B:B,A394,ASSESSMENTS!E:E,"English"),1),""))</f>
        <v/>
      </c>
      <c r="L394" s="5">
        <f>IF(A394="","",IFERROR(_xludf.XLOOKUP(A394,ATTENDANCE_SUMMARY!A:A,ATTENDANCE_SUMMARY!G:G,""),""))</f>
        <v/>
      </c>
      <c r="M394" s="4">
        <f>IF(A394="","",IF(OR(E394&lt;50,AND(L394&lt;0.75,L394&lt;&gt;"" )),"At Risk","On Track"))</f>
        <v/>
      </c>
    </row>
    <row r="395">
      <c r="A395">
        <f>IF(MASTER_REGISTER!E395="","",MASTER_REGISTER!E395)</f>
        <v/>
      </c>
      <c r="B395">
        <f>IF(A395="","",MASTER_REGISTER!F395)</f>
        <v/>
      </c>
      <c r="C395">
        <f>IF(A395="","",MASTER_REGISTER!C395)</f>
        <v/>
      </c>
      <c r="D395">
        <f>IF(A395="","",COUNTIF(ASSESSMENTS!B:B,A395))</f>
        <v/>
      </c>
      <c r="E395" s="4">
        <f>IF(D395=0,"",ROUND(AVERAGEIF(ASSESSMENTS!B:B,A395,ASSESSMENTS!H:H),1))</f>
        <v/>
      </c>
      <c r="F395" s="4">
        <f>IF(A395="","",IFERROR(ROUND(AVERAGEIFS(ASSESSMENTS!H:H,ASSESSMENTS!B:B,A395,ASSESSMENTS!E:E,"Mathematics"),1),""))</f>
        <v/>
      </c>
      <c r="G395" s="4">
        <f>IF(A395="","",IFERROR(ROUND(AVERAGEIFS(ASSESSMENTS!H:H,ASSESSMENTS!B:B,A395,ASSESSMENTS!E:E,"Mathematical Literacy"),1),""))</f>
        <v/>
      </c>
      <c r="H395" s="4">
        <f>IF(A395="","",IFERROR(ROUND(AVERAGEIFS(ASSESSMENTS!H:H,ASSESSMENTS!B:B,A395,ASSESSMENTS!E:E,"Physical Sciences"),1),""))</f>
        <v/>
      </c>
      <c r="I395" s="4">
        <f>IF(A395="","",IFERROR(ROUND(AVERAGEIFS(ASSESSMENTS!H:H,ASSESSMENTS!B:B,A395,ASSESSMENTS!E:E,"Geography"),1),""))</f>
        <v/>
      </c>
      <c r="J395" s="4">
        <f>IF(A395="","",IFERROR(ROUND(AVERAGEIFS(ASSESSMENTS!H:H,ASSESSMENTS!B:B,A395,ASSESSMENTS!E:E,"Accounting"),1),""))</f>
        <v/>
      </c>
      <c r="K395" s="4">
        <f>IF(A395="","",IFERROR(ROUND(AVERAGEIFS(ASSESSMENTS!H:H,ASSESSMENTS!B:B,A395,ASSESSMENTS!E:E,"English"),1),""))</f>
        <v/>
      </c>
      <c r="L395" s="5">
        <f>IF(A395="","",IFERROR(_xludf.XLOOKUP(A395,ATTENDANCE_SUMMARY!A:A,ATTENDANCE_SUMMARY!G:G,""),""))</f>
        <v/>
      </c>
      <c r="M395" s="4">
        <f>IF(A395="","",IF(OR(E395&lt;50,AND(L395&lt;0.75,L395&lt;&gt;"" )),"At Risk","On Track"))</f>
        <v/>
      </c>
    </row>
    <row r="396">
      <c r="A396">
        <f>IF(MASTER_REGISTER!E396="","",MASTER_REGISTER!E396)</f>
        <v/>
      </c>
      <c r="B396">
        <f>IF(A396="","",MASTER_REGISTER!F396)</f>
        <v/>
      </c>
      <c r="C396">
        <f>IF(A396="","",MASTER_REGISTER!C396)</f>
        <v/>
      </c>
      <c r="D396">
        <f>IF(A396="","",COUNTIF(ASSESSMENTS!B:B,A396))</f>
        <v/>
      </c>
      <c r="E396" s="4">
        <f>IF(D396=0,"",ROUND(AVERAGEIF(ASSESSMENTS!B:B,A396,ASSESSMENTS!H:H),1))</f>
        <v/>
      </c>
      <c r="F396" s="4">
        <f>IF(A396="","",IFERROR(ROUND(AVERAGEIFS(ASSESSMENTS!H:H,ASSESSMENTS!B:B,A396,ASSESSMENTS!E:E,"Mathematics"),1),""))</f>
        <v/>
      </c>
      <c r="G396" s="4">
        <f>IF(A396="","",IFERROR(ROUND(AVERAGEIFS(ASSESSMENTS!H:H,ASSESSMENTS!B:B,A396,ASSESSMENTS!E:E,"Mathematical Literacy"),1),""))</f>
        <v/>
      </c>
      <c r="H396" s="4">
        <f>IF(A396="","",IFERROR(ROUND(AVERAGEIFS(ASSESSMENTS!H:H,ASSESSMENTS!B:B,A396,ASSESSMENTS!E:E,"Physical Sciences"),1),""))</f>
        <v/>
      </c>
      <c r="I396" s="4">
        <f>IF(A396="","",IFERROR(ROUND(AVERAGEIFS(ASSESSMENTS!H:H,ASSESSMENTS!B:B,A396,ASSESSMENTS!E:E,"Geography"),1),""))</f>
        <v/>
      </c>
      <c r="J396" s="4">
        <f>IF(A396="","",IFERROR(ROUND(AVERAGEIFS(ASSESSMENTS!H:H,ASSESSMENTS!B:B,A396,ASSESSMENTS!E:E,"Accounting"),1),""))</f>
        <v/>
      </c>
      <c r="K396" s="4">
        <f>IF(A396="","",IFERROR(ROUND(AVERAGEIFS(ASSESSMENTS!H:H,ASSESSMENTS!B:B,A396,ASSESSMENTS!E:E,"English"),1),""))</f>
        <v/>
      </c>
      <c r="L396" s="5">
        <f>IF(A396="","",IFERROR(_xludf.XLOOKUP(A396,ATTENDANCE_SUMMARY!A:A,ATTENDANCE_SUMMARY!G:G,""),""))</f>
        <v/>
      </c>
      <c r="M396" s="4">
        <f>IF(A396="","",IF(OR(E396&lt;50,AND(L396&lt;0.75,L396&lt;&gt;"" )),"At Risk","On Track"))</f>
        <v/>
      </c>
    </row>
    <row r="397">
      <c r="A397">
        <f>IF(MASTER_REGISTER!E397="","",MASTER_REGISTER!E397)</f>
        <v/>
      </c>
      <c r="B397">
        <f>IF(A397="","",MASTER_REGISTER!F397)</f>
        <v/>
      </c>
      <c r="C397">
        <f>IF(A397="","",MASTER_REGISTER!C397)</f>
        <v/>
      </c>
      <c r="D397">
        <f>IF(A397="","",COUNTIF(ASSESSMENTS!B:B,A397))</f>
        <v/>
      </c>
      <c r="E397" s="4">
        <f>IF(D397=0,"",ROUND(AVERAGEIF(ASSESSMENTS!B:B,A397,ASSESSMENTS!H:H),1))</f>
        <v/>
      </c>
      <c r="F397" s="4">
        <f>IF(A397="","",IFERROR(ROUND(AVERAGEIFS(ASSESSMENTS!H:H,ASSESSMENTS!B:B,A397,ASSESSMENTS!E:E,"Mathematics"),1),""))</f>
        <v/>
      </c>
      <c r="G397" s="4">
        <f>IF(A397="","",IFERROR(ROUND(AVERAGEIFS(ASSESSMENTS!H:H,ASSESSMENTS!B:B,A397,ASSESSMENTS!E:E,"Mathematical Literacy"),1),""))</f>
        <v/>
      </c>
      <c r="H397" s="4">
        <f>IF(A397="","",IFERROR(ROUND(AVERAGEIFS(ASSESSMENTS!H:H,ASSESSMENTS!B:B,A397,ASSESSMENTS!E:E,"Physical Sciences"),1),""))</f>
        <v/>
      </c>
      <c r="I397" s="4">
        <f>IF(A397="","",IFERROR(ROUND(AVERAGEIFS(ASSESSMENTS!H:H,ASSESSMENTS!B:B,A397,ASSESSMENTS!E:E,"Geography"),1),""))</f>
        <v/>
      </c>
      <c r="J397" s="4">
        <f>IF(A397="","",IFERROR(ROUND(AVERAGEIFS(ASSESSMENTS!H:H,ASSESSMENTS!B:B,A397,ASSESSMENTS!E:E,"Accounting"),1),""))</f>
        <v/>
      </c>
      <c r="K397" s="4">
        <f>IF(A397="","",IFERROR(ROUND(AVERAGEIFS(ASSESSMENTS!H:H,ASSESSMENTS!B:B,A397,ASSESSMENTS!E:E,"English"),1),""))</f>
        <v/>
      </c>
      <c r="L397" s="5">
        <f>IF(A397="","",IFERROR(_xludf.XLOOKUP(A397,ATTENDANCE_SUMMARY!A:A,ATTENDANCE_SUMMARY!G:G,""),""))</f>
        <v/>
      </c>
      <c r="M397" s="4">
        <f>IF(A397="","",IF(OR(E397&lt;50,AND(L397&lt;0.75,L397&lt;&gt;"" )),"At Risk","On Track"))</f>
        <v/>
      </c>
    </row>
    <row r="398">
      <c r="A398">
        <f>IF(MASTER_REGISTER!E398="","",MASTER_REGISTER!E398)</f>
        <v/>
      </c>
      <c r="B398">
        <f>IF(A398="","",MASTER_REGISTER!F398)</f>
        <v/>
      </c>
      <c r="C398">
        <f>IF(A398="","",MASTER_REGISTER!C398)</f>
        <v/>
      </c>
      <c r="D398">
        <f>IF(A398="","",COUNTIF(ASSESSMENTS!B:B,A398))</f>
        <v/>
      </c>
      <c r="E398" s="4">
        <f>IF(D398=0,"",ROUND(AVERAGEIF(ASSESSMENTS!B:B,A398,ASSESSMENTS!H:H),1))</f>
        <v/>
      </c>
      <c r="F398" s="4">
        <f>IF(A398="","",IFERROR(ROUND(AVERAGEIFS(ASSESSMENTS!H:H,ASSESSMENTS!B:B,A398,ASSESSMENTS!E:E,"Mathematics"),1),""))</f>
        <v/>
      </c>
      <c r="G398" s="4">
        <f>IF(A398="","",IFERROR(ROUND(AVERAGEIFS(ASSESSMENTS!H:H,ASSESSMENTS!B:B,A398,ASSESSMENTS!E:E,"Mathematical Literacy"),1),""))</f>
        <v/>
      </c>
      <c r="H398" s="4">
        <f>IF(A398="","",IFERROR(ROUND(AVERAGEIFS(ASSESSMENTS!H:H,ASSESSMENTS!B:B,A398,ASSESSMENTS!E:E,"Physical Sciences"),1),""))</f>
        <v/>
      </c>
      <c r="I398" s="4">
        <f>IF(A398="","",IFERROR(ROUND(AVERAGEIFS(ASSESSMENTS!H:H,ASSESSMENTS!B:B,A398,ASSESSMENTS!E:E,"Geography"),1),""))</f>
        <v/>
      </c>
      <c r="J398" s="4">
        <f>IF(A398="","",IFERROR(ROUND(AVERAGEIFS(ASSESSMENTS!H:H,ASSESSMENTS!B:B,A398,ASSESSMENTS!E:E,"Accounting"),1),""))</f>
        <v/>
      </c>
      <c r="K398" s="4">
        <f>IF(A398="","",IFERROR(ROUND(AVERAGEIFS(ASSESSMENTS!H:H,ASSESSMENTS!B:B,A398,ASSESSMENTS!E:E,"English"),1),""))</f>
        <v/>
      </c>
      <c r="L398" s="5">
        <f>IF(A398="","",IFERROR(_xludf.XLOOKUP(A398,ATTENDANCE_SUMMARY!A:A,ATTENDANCE_SUMMARY!G:G,""),""))</f>
        <v/>
      </c>
      <c r="M398" s="4">
        <f>IF(A398="","",IF(OR(E398&lt;50,AND(L398&lt;0.75,L398&lt;&gt;"" )),"At Risk","On Track"))</f>
        <v/>
      </c>
    </row>
    <row r="399">
      <c r="A399">
        <f>IF(MASTER_REGISTER!E399="","",MASTER_REGISTER!E399)</f>
        <v/>
      </c>
      <c r="B399">
        <f>IF(A399="","",MASTER_REGISTER!F399)</f>
        <v/>
      </c>
      <c r="C399">
        <f>IF(A399="","",MASTER_REGISTER!C399)</f>
        <v/>
      </c>
      <c r="D399">
        <f>IF(A399="","",COUNTIF(ASSESSMENTS!B:B,A399))</f>
        <v/>
      </c>
      <c r="E399" s="4">
        <f>IF(D399=0,"",ROUND(AVERAGEIF(ASSESSMENTS!B:B,A399,ASSESSMENTS!H:H),1))</f>
        <v/>
      </c>
      <c r="F399" s="4">
        <f>IF(A399="","",IFERROR(ROUND(AVERAGEIFS(ASSESSMENTS!H:H,ASSESSMENTS!B:B,A399,ASSESSMENTS!E:E,"Mathematics"),1),""))</f>
        <v/>
      </c>
      <c r="G399" s="4">
        <f>IF(A399="","",IFERROR(ROUND(AVERAGEIFS(ASSESSMENTS!H:H,ASSESSMENTS!B:B,A399,ASSESSMENTS!E:E,"Mathematical Literacy"),1),""))</f>
        <v/>
      </c>
      <c r="H399" s="4">
        <f>IF(A399="","",IFERROR(ROUND(AVERAGEIFS(ASSESSMENTS!H:H,ASSESSMENTS!B:B,A399,ASSESSMENTS!E:E,"Physical Sciences"),1),""))</f>
        <v/>
      </c>
      <c r="I399" s="4">
        <f>IF(A399="","",IFERROR(ROUND(AVERAGEIFS(ASSESSMENTS!H:H,ASSESSMENTS!B:B,A399,ASSESSMENTS!E:E,"Geography"),1),""))</f>
        <v/>
      </c>
      <c r="J399" s="4">
        <f>IF(A399="","",IFERROR(ROUND(AVERAGEIFS(ASSESSMENTS!H:H,ASSESSMENTS!B:B,A399,ASSESSMENTS!E:E,"Accounting"),1),""))</f>
        <v/>
      </c>
      <c r="K399" s="4">
        <f>IF(A399="","",IFERROR(ROUND(AVERAGEIFS(ASSESSMENTS!H:H,ASSESSMENTS!B:B,A399,ASSESSMENTS!E:E,"English"),1),""))</f>
        <v/>
      </c>
      <c r="L399" s="5">
        <f>IF(A399="","",IFERROR(_xludf.XLOOKUP(A399,ATTENDANCE_SUMMARY!A:A,ATTENDANCE_SUMMARY!G:G,""),""))</f>
        <v/>
      </c>
      <c r="M399" s="4">
        <f>IF(A399="","",IF(OR(E399&lt;50,AND(L399&lt;0.75,L399&lt;&gt;"" )),"At Risk","On Track"))</f>
        <v/>
      </c>
    </row>
    <row r="400">
      <c r="A400">
        <f>IF(MASTER_REGISTER!E400="","",MASTER_REGISTER!E400)</f>
        <v/>
      </c>
      <c r="B400">
        <f>IF(A400="","",MASTER_REGISTER!F400)</f>
        <v/>
      </c>
      <c r="C400">
        <f>IF(A400="","",MASTER_REGISTER!C400)</f>
        <v/>
      </c>
      <c r="D400">
        <f>IF(A400="","",COUNTIF(ASSESSMENTS!B:B,A400))</f>
        <v/>
      </c>
      <c r="E400" s="4">
        <f>IF(D400=0,"",ROUND(AVERAGEIF(ASSESSMENTS!B:B,A400,ASSESSMENTS!H:H),1))</f>
        <v/>
      </c>
      <c r="F400" s="4">
        <f>IF(A400="","",IFERROR(ROUND(AVERAGEIFS(ASSESSMENTS!H:H,ASSESSMENTS!B:B,A400,ASSESSMENTS!E:E,"Mathematics"),1),""))</f>
        <v/>
      </c>
      <c r="G400" s="4">
        <f>IF(A400="","",IFERROR(ROUND(AVERAGEIFS(ASSESSMENTS!H:H,ASSESSMENTS!B:B,A400,ASSESSMENTS!E:E,"Mathematical Literacy"),1),""))</f>
        <v/>
      </c>
      <c r="H400" s="4">
        <f>IF(A400="","",IFERROR(ROUND(AVERAGEIFS(ASSESSMENTS!H:H,ASSESSMENTS!B:B,A400,ASSESSMENTS!E:E,"Physical Sciences"),1),""))</f>
        <v/>
      </c>
      <c r="I400" s="4">
        <f>IF(A400="","",IFERROR(ROUND(AVERAGEIFS(ASSESSMENTS!H:H,ASSESSMENTS!B:B,A400,ASSESSMENTS!E:E,"Geography"),1),""))</f>
        <v/>
      </c>
      <c r="J400" s="4">
        <f>IF(A400="","",IFERROR(ROUND(AVERAGEIFS(ASSESSMENTS!H:H,ASSESSMENTS!B:B,A400,ASSESSMENTS!E:E,"Accounting"),1),""))</f>
        <v/>
      </c>
      <c r="K400" s="4">
        <f>IF(A400="","",IFERROR(ROUND(AVERAGEIFS(ASSESSMENTS!H:H,ASSESSMENTS!B:B,A400,ASSESSMENTS!E:E,"English"),1),""))</f>
        <v/>
      </c>
      <c r="L400" s="5">
        <f>IF(A400="","",IFERROR(_xludf.XLOOKUP(A400,ATTENDANCE_SUMMARY!A:A,ATTENDANCE_SUMMARY!G:G,""),""))</f>
        <v/>
      </c>
      <c r="M400" s="4">
        <f>IF(A400="","",IF(OR(E400&lt;50,AND(L400&lt;0.75,L400&lt;&gt;"" )),"At Risk","On Track"))</f>
        <v/>
      </c>
    </row>
    <row r="401">
      <c r="A401">
        <f>IF(MASTER_REGISTER!E401="","",MASTER_REGISTER!E401)</f>
        <v/>
      </c>
      <c r="B401">
        <f>IF(A401="","",MASTER_REGISTER!F401)</f>
        <v/>
      </c>
      <c r="C401">
        <f>IF(A401="","",MASTER_REGISTER!C401)</f>
        <v/>
      </c>
      <c r="D401">
        <f>IF(A401="","",COUNTIF(ASSESSMENTS!B:B,A401))</f>
        <v/>
      </c>
      <c r="E401" s="4">
        <f>IF(D401=0,"",ROUND(AVERAGEIF(ASSESSMENTS!B:B,A401,ASSESSMENTS!H:H),1))</f>
        <v/>
      </c>
      <c r="F401" s="4">
        <f>IF(A401="","",IFERROR(ROUND(AVERAGEIFS(ASSESSMENTS!H:H,ASSESSMENTS!B:B,A401,ASSESSMENTS!E:E,"Mathematics"),1),""))</f>
        <v/>
      </c>
      <c r="G401" s="4">
        <f>IF(A401="","",IFERROR(ROUND(AVERAGEIFS(ASSESSMENTS!H:H,ASSESSMENTS!B:B,A401,ASSESSMENTS!E:E,"Mathematical Literacy"),1),""))</f>
        <v/>
      </c>
      <c r="H401" s="4">
        <f>IF(A401="","",IFERROR(ROUND(AVERAGEIFS(ASSESSMENTS!H:H,ASSESSMENTS!B:B,A401,ASSESSMENTS!E:E,"Physical Sciences"),1),""))</f>
        <v/>
      </c>
      <c r="I401" s="4">
        <f>IF(A401="","",IFERROR(ROUND(AVERAGEIFS(ASSESSMENTS!H:H,ASSESSMENTS!B:B,A401,ASSESSMENTS!E:E,"Geography"),1),""))</f>
        <v/>
      </c>
      <c r="J401" s="4">
        <f>IF(A401="","",IFERROR(ROUND(AVERAGEIFS(ASSESSMENTS!H:H,ASSESSMENTS!B:B,A401,ASSESSMENTS!E:E,"Accounting"),1),""))</f>
        <v/>
      </c>
      <c r="K401" s="4">
        <f>IF(A401="","",IFERROR(ROUND(AVERAGEIFS(ASSESSMENTS!H:H,ASSESSMENTS!B:B,A401,ASSESSMENTS!E:E,"English"),1),""))</f>
        <v/>
      </c>
      <c r="L401" s="5">
        <f>IF(A401="","",IFERROR(_xludf.XLOOKUP(A401,ATTENDANCE_SUMMARY!A:A,ATTENDANCE_SUMMARY!G:G,""),""))</f>
        <v/>
      </c>
      <c r="M401" s="4">
        <f>IF(A401="","",IF(OR(E401&lt;50,AND(L401&lt;0.75,L401&lt;&gt;"" )),"At Risk","On Track"))</f>
        <v/>
      </c>
    </row>
    <row r="402">
      <c r="A402">
        <f>IF(MASTER_REGISTER!E402="","",MASTER_REGISTER!E402)</f>
        <v/>
      </c>
      <c r="B402">
        <f>IF(A402="","",MASTER_REGISTER!F402)</f>
        <v/>
      </c>
      <c r="C402">
        <f>IF(A402="","",MASTER_REGISTER!C402)</f>
        <v/>
      </c>
      <c r="D402">
        <f>IF(A402="","",COUNTIF(ASSESSMENTS!B:B,A402))</f>
        <v/>
      </c>
      <c r="E402" s="4">
        <f>IF(D402=0,"",ROUND(AVERAGEIF(ASSESSMENTS!B:B,A402,ASSESSMENTS!H:H),1))</f>
        <v/>
      </c>
      <c r="F402" s="4">
        <f>IF(A402="","",IFERROR(ROUND(AVERAGEIFS(ASSESSMENTS!H:H,ASSESSMENTS!B:B,A402,ASSESSMENTS!E:E,"Mathematics"),1),""))</f>
        <v/>
      </c>
      <c r="G402" s="4">
        <f>IF(A402="","",IFERROR(ROUND(AVERAGEIFS(ASSESSMENTS!H:H,ASSESSMENTS!B:B,A402,ASSESSMENTS!E:E,"Mathematical Literacy"),1),""))</f>
        <v/>
      </c>
      <c r="H402" s="4">
        <f>IF(A402="","",IFERROR(ROUND(AVERAGEIFS(ASSESSMENTS!H:H,ASSESSMENTS!B:B,A402,ASSESSMENTS!E:E,"Physical Sciences"),1),""))</f>
        <v/>
      </c>
      <c r="I402" s="4">
        <f>IF(A402="","",IFERROR(ROUND(AVERAGEIFS(ASSESSMENTS!H:H,ASSESSMENTS!B:B,A402,ASSESSMENTS!E:E,"Geography"),1),""))</f>
        <v/>
      </c>
      <c r="J402" s="4">
        <f>IF(A402="","",IFERROR(ROUND(AVERAGEIFS(ASSESSMENTS!H:H,ASSESSMENTS!B:B,A402,ASSESSMENTS!E:E,"Accounting"),1),""))</f>
        <v/>
      </c>
      <c r="K402" s="4">
        <f>IF(A402="","",IFERROR(ROUND(AVERAGEIFS(ASSESSMENTS!H:H,ASSESSMENTS!B:B,A402,ASSESSMENTS!E:E,"English"),1),""))</f>
        <v/>
      </c>
      <c r="L402" s="5">
        <f>IF(A402="","",IFERROR(_xludf.XLOOKUP(A402,ATTENDANCE_SUMMARY!A:A,ATTENDANCE_SUMMARY!G:G,""),""))</f>
        <v/>
      </c>
      <c r="M402" s="4">
        <f>IF(A402="","",IF(OR(E402&lt;50,AND(L402&lt;0.75,L402&lt;&gt;"" )),"At Risk","On Track"))</f>
        <v/>
      </c>
    </row>
    <row r="403">
      <c r="A403">
        <f>IF(MASTER_REGISTER!E403="","",MASTER_REGISTER!E403)</f>
        <v/>
      </c>
      <c r="B403">
        <f>IF(A403="","",MASTER_REGISTER!F403)</f>
        <v/>
      </c>
      <c r="C403">
        <f>IF(A403="","",MASTER_REGISTER!C403)</f>
        <v/>
      </c>
      <c r="D403">
        <f>IF(A403="","",COUNTIF(ASSESSMENTS!B:B,A403))</f>
        <v/>
      </c>
      <c r="E403" s="4">
        <f>IF(D403=0,"",ROUND(AVERAGEIF(ASSESSMENTS!B:B,A403,ASSESSMENTS!H:H),1))</f>
        <v/>
      </c>
      <c r="F403" s="4">
        <f>IF(A403="","",IFERROR(ROUND(AVERAGEIFS(ASSESSMENTS!H:H,ASSESSMENTS!B:B,A403,ASSESSMENTS!E:E,"Mathematics"),1),""))</f>
        <v/>
      </c>
      <c r="G403" s="4">
        <f>IF(A403="","",IFERROR(ROUND(AVERAGEIFS(ASSESSMENTS!H:H,ASSESSMENTS!B:B,A403,ASSESSMENTS!E:E,"Mathematical Literacy"),1),""))</f>
        <v/>
      </c>
      <c r="H403" s="4">
        <f>IF(A403="","",IFERROR(ROUND(AVERAGEIFS(ASSESSMENTS!H:H,ASSESSMENTS!B:B,A403,ASSESSMENTS!E:E,"Physical Sciences"),1),""))</f>
        <v/>
      </c>
      <c r="I403" s="4">
        <f>IF(A403="","",IFERROR(ROUND(AVERAGEIFS(ASSESSMENTS!H:H,ASSESSMENTS!B:B,A403,ASSESSMENTS!E:E,"Geography"),1),""))</f>
        <v/>
      </c>
      <c r="J403" s="4">
        <f>IF(A403="","",IFERROR(ROUND(AVERAGEIFS(ASSESSMENTS!H:H,ASSESSMENTS!B:B,A403,ASSESSMENTS!E:E,"Accounting"),1),""))</f>
        <v/>
      </c>
      <c r="K403" s="4">
        <f>IF(A403="","",IFERROR(ROUND(AVERAGEIFS(ASSESSMENTS!H:H,ASSESSMENTS!B:B,A403,ASSESSMENTS!E:E,"English"),1),""))</f>
        <v/>
      </c>
      <c r="L403" s="5">
        <f>IF(A403="","",IFERROR(_xludf.XLOOKUP(A403,ATTENDANCE_SUMMARY!A:A,ATTENDANCE_SUMMARY!G:G,""),""))</f>
        <v/>
      </c>
      <c r="M403" s="4">
        <f>IF(A403="","",IF(OR(E403&lt;50,AND(L403&lt;0.75,L403&lt;&gt;"" )),"At Risk","On Track"))</f>
        <v/>
      </c>
    </row>
    <row r="404">
      <c r="A404">
        <f>IF(MASTER_REGISTER!E404="","",MASTER_REGISTER!E404)</f>
        <v/>
      </c>
      <c r="B404">
        <f>IF(A404="","",MASTER_REGISTER!F404)</f>
        <v/>
      </c>
      <c r="C404">
        <f>IF(A404="","",MASTER_REGISTER!C404)</f>
        <v/>
      </c>
      <c r="D404">
        <f>IF(A404="","",COUNTIF(ASSESSMENTS!B:B,A404))</f>
        <v/>
      </c>
      <c r="E404" s="4">
        <f>IF(D404=0,"",ROUND(AVERAGEIF(ASSESSMENTS!B:B,A404,ASSESSMENTS!H:H),1))</f>
        <v/>
      </c>
      <c r="F404" s="4">
        <f>IF(A404="","",IFERROR(ROUND(AVERAGEIFS(ASSESSMENTS!H:H,ASSESSMENTS!B:B,A404,ASSESSMENTS!E:E,"Mathematics"),1),""))</f>
        <v/>
      </c>
      <c r="G404" s="4">
        <f>IF(A404="","",IFERROR(ROUND(AVERAGEIFS(ASSESSMENTS!H:H,ASSESSMENTS!B:B,A404,ASSESSMENTS!E:E,"Mathematical Literacy"),1),""))</f>
        <v/>
      </c>
      <c r="H404" s="4">
        <f>IF(A404="","",IFERROR(ROUND(AVERAGEIFS(ASSESSMENTS!H:H,ASSESSMENTS!B:B,A404,ASSESSMENTS!E:E,"Physical Sciences"),1),""))</f>
        <v/>
      </c>
      <c r="I404" s="4">
        <f>IF(A404="","",IFERROR(ROUND(AVERAGEIFS(ASSESSMENTS!H:H,ASSESSMENTS!B:B,A404,ASSESSMENTS!E:E,"Geography"),1),""))</f>
        <v/>
      </c>
      <c r="J404" s="4">
        <f>IF(A404="","",IFERROR(ROUND(AVERAGEIFS(ASSESSMENTS!H:H,ASSESSMENTS!B:B,A404,ASSESSMENTS!E:E,"Accounting"),1),""))</f>
        <v/>
      </c>
      <c r="K404" s="4">
        <f>IF(A404="","",IFERROR(ROUND(AVERAGEIFS(ASSESSMENTS!H:H,ASSESSMENTS!B:B,A404,ASSESSMENTS!E:E,"English"),1),""))</f>
        <v/>
      </c>
      <c r="L404" s="5">
        <f>IF(A404="","",IFERROR(_xludf.XLOOKUP(A404,ATTENDANCE_SUMMARY!A:A,ATTENDANCE_SUMMARY!G:G,""),""))</f>
        <v/>
      </c>
      <c r="M404" s="4">
        <f>IF(A404="","",IF(OR(E404&lt;50,AND(L404&lt;0.75,L404&lt;&gt;"" )),"At Risk","On Track"))</f>
        <v/>
      </c>
    </row>
    <row r="405">
      <c r="A405">
        <f>IF(MASTER_REGISTER!E405="","",MASTER_REGISTER!E405)</f>
        <v/>
      </c>
      <c r="B405">
        <f>IF(A405="","",MASTER_REGISTER!F405)</f>
        <v/>
      </c>
      <c r="C405">
        <f>IF(A405="","",MASTER_REGISTER!C405)</f>
        <v/>
      </c>
      <c r="D405">
        <f>IF(A405="","",COUNTIF(ASSESSMENTS!B:B,A405))</f>
        <v/>
      </c>
      <c r="E405" s="4">
        <f>IF(D405=0,"",ROUND(AVERAGEIF(ASSESSMENTS!B:B,A405,ASSESSMENTS!H:H),1))</f>
        <v/>
      </c>
      <c r="F405" s="4">
        <f>IF(A405="","",IFERROR(ROUND(AVERAGEIFS(ASSESSMENTS!H:H,ASSESSMENTS!B:B,A405,ASSESSMENTS!E:E,"Mathematics"),1),""))</f>
        <v/>
      </c>
      <c r="G405" s="4">
        <f>IF(A405="","",IFERROR(ROUND(AVERAGEIFS(ASSESSMENTS!H:H,ASSESSMENTS!B:B,A405,ASSESSMENTS!E:E,"Mathematical Literacy"),1),""))</f>
        <v/>
      </c>
      <c r="H405" s="4">
        <f>IF(A405="","",IFERROR(ROUND(AVERAGEIFS(ASSESSMENTS!H:H,ASSESSMENTS!B:B,A405,ASSESSMENTS!E:E,"Physical Sciences"),1),""))</f>
        <v/>
      </c>
      <c r="I405" s="4">
        <f>IF(A405="","",IFERROR(ROUND(AVERAGEIFS(ASSESSMENTS!H:H,ASSESSMENTS!B:B,A405,ASSESSMENTS!E:E,"Geography"),1),""))</f>
        <v/>
      </c>
      <c r="J405" s="4">
        <f>IF(A405="","",IFERROR(ROUND(AVERAGEIFS(ASSESSMENTS!H:H,ASSESSMENTS!B:B,A405,ASSESSMENTS!E:E,"Accounting"),1),""))</f>
        <v/>
      </c>
      <c r="K405" s="4">
        <f>IF(A405="","",IFERROR(ROUND(AVERAGEIFS(ASSESSMENTS!H:H,ASSESSMENTS!B:B,A405,ASSESSMENTS!E:E,"English"),1),""))</f>
        <v/>
      </c>
      <c r="L405" s="5">
        <f>IF(A405="","",IFERROR(_xludf.XLOOKUP(A405,ATTENDANCE_SUMMARY!A:A,ATTENDANCE_SUMMARY!G:G,""),""))</f>
        <v/>
      </c>
      <c r="M405" s="4">
        <f>IF(A405="","",IF(OR(E405&lt;50,AND(L405&lt;0.75,L405&lt;&gt;"" )),"At Risk","On Track"))</f>
        <v/>
      </c>
    </row>
    <row r="406">
      <c r="A406">
        <f>IF(MASTER_REGISTER!E406="","",MASTER_REGISTER!E406)</f>
        <v/>
      </c>
      <c r="B406">
        <f>IF(A406="","",MASTER_REGISTER!F406)</f>
        <v/>
      </c>
      <c r="C406">
        <f>IF(A406="","",MASTER_REGISTER!C406)</f>
        <v/>
      </c>
      <c r="D406">
        <f>IF(A406="","",COUNTIF(ASSESSMENTS!B:B,A406))</f>
        <v/>
      </c>
      <c r="E406" s="4">
        <f>IF(D406=0,"",ROUND(AVERAGEIF(ASSESSMENTS!B:B,A406,ASSESSMENTS!H:H),1))</f>
        <v/>
      </c>
      <c r="F406" s="4">
        <f>IF(A406="","",IFERROR(ROUND(AVERAGEIFS(ASSESSMENTS!H:H,ASSESSMENTS!B:B,A406,ASSESSMENTS!E:E,"Mathematics"),1),""))</f>
        <v/>
      </c>
      <c r="G406" s="4">
        <f>IF(A406="","",IFERROR(ROUND(AVERAGEIFS(ASSESSMENTS!H:H,ASSESSMENTS!B:B,A406,ASSESSMENTS!E:E,"Mathematical Literacy"),1),""))</f>
        <v/>
      </c>
      <c r="H406" s="4">
        <f>IF(A406="","",IFERROR(ROUND(AVERAGEIFS(ASSESSMENTS!H:H,ASSESSMENTS!B:B,A406,ASSESSMENTS!E:E,"Physical Sciences"),1),""))</f>
        <v/>
      </c>
      <c r="I406" s="4">
        <f>IF(A406="","",IFERROR(ROUND(AVERAGEIFS(ASSESSMENTS!H:H,ASSESSMENTS!B:B,A406,ASSESSMENTS!E:E,"Geography"),1),""))</f>
        <v/>
      </c>
      <c r="J406" s="4">
        <f>IF(A406="","",IFERROR(ROUND(AVERAGEIFS(ASSESSMENTS!H:H,ASSESSMENTS!B:B,A406,ASSESSMENTS!E:E,"Accounting"),1),""))</f>
        <v/>
      </c>
      <c r="K406" s="4">
        <f>IF(A406="","",IFERROR(ROUND(AVERAGEIFS(ASSESSMENTS!H:H,ASSESSMENTS!B:B,A406,ASSESSMENTS!E:E,"English"),1),""))</f>
        <v/>
      </c>
      <c r="L406" s="5">
        <f>IF(A406="","",IFERROR(_xludf.XLOOKUP(A406,ATTENDANCE_SUMMARY!A:A,ATTENDANCE_SUMMARY!G:G,""),""))</f>
        <v/>
      </c>
      <c r="M406" s="4">
        <f>IF(A406="","",IF(OR(E406&lt;50,AND(L406&lt;0.75,L406&lt;&gt;"" )),"At Risk","On Track"))</f>
        <v/>
      </c>
    </row>
    <row r="407">
      <c r="A407">
        <f>IF(MASTER_REGISTER!E407="","",MASTER_REGISTER!E407)</f>
        <v/>
      </c>
      <c r="B407">
        <f>IF(A407="","",MASTER_REGISTER!F407)</f>
        <v/>
      </c>
      <c r="C407">
        <f>IF(A407="","",MASTER_REGISTER!C407)</f>
        <v/>
      </c>
      <c r="D407">
        <f>IF(A407="","",COUNTIF(ASSESSMENTS!B:B,A407))</f>
        <v/>
      </c>
      <c r="E407" s="4">
        <f>IF(D407=0,"",ROUND(AVERAGEIF(ASSESSMENTS!B:B,A407,ASSESSMENTS!H:H),1))</f>
        <v/>
      </c>
      <c r="F407" s="4">
        <f>IF(A407="","",IFERROR(ROUND(AVERAGEIFS(ASSESSMENTS!H:H,ASSESSMENTS!B:B,A407,ASSESSMENTS!E:E,"Mathematics"),1),""))</f>
        <v/>
      </c>
      <c r="G407" s="4">
        <f>IF(A407="","",IFERROR(ROUND(AVERAGEIFS(ASSESSMENTS!H:H,ASSESSMENTS!B:B,A407,ASSESSMENTS!E:E,"Mathematical Literacy"),1),""))</f>
        <v/>
      </c>
      <c r="H407" s="4">
        <f>IF(A407="","",IFERROR(ROUND(AVERAGEIFS(ASSESSMENTS!H:H,ASSESSMENTS!B:B,A407,ASSESSMENTS!E:E,"Physical Sciences"),1),""))</f>
        <v/>
      </c>
      <c r="I407" s="4">
        <f>IF(A407="","",IFERROR(ROUND(AVERAGEIFS(ASSESSMENTS!H:H,ASSESSMENTS!B:B,A407,ASSESSMENTS!E:E,"Geography"),1),""))</f>
        <v/>
      </c>
      <c r="J407" s="4">
        <f>IF(A407="","",IFERROR(ROUND(AVERAGEIFS(ASSESSMENTS!H:H,ASSESSMENTS!B:B,A407,ASSESSMENTS!E:E,"Accounting"),1),""))</f>
        <v/>
      </c>
      <c r="K407" s="4">
        <f>IF(A407="","",IFERROR(ROUND(AVERAGEIFS(ASSESSMENTS!H:H,ASSESSMENTS!B:B,A407,ASSESSMENTS!E:E,"English"),1),""))</f>
        <v/>
      </c>
      <c r="L407" s="5">
        <f>IF(A407="","",IFERROR(_xludf.XLOOKUP(A407,ATTENDANCE_SUMMARY!A:A,ATTENDANCE_SUMMARY!G:G,""),""))</f>
        <v/>
      </c>
      <c r="M407" s="4">
        <f>IF(A407="","",IF(OR(E407&lt;50,AND(L407&lt;0.75,L407&lt;&gt;"" )),"At Risk","On Track"))</f>
        <v/>
      </c>
    </row>
    <row r="408">
      <c r="A408">
        <f>IF(MASTER_REGISTER!E408="","",MASTER_REGISTER!E408)</f>
        <v/>
      </c>
      <c r="B408">
        <f>IF(A408="","",MASTER_REGISTER!F408)</f>
        <v/>
      </c>
      <c r="C408">
        <f>IF(A408="","",MASTER_REGISTER!C408)</f>
        <v/>
      </c>
      <c r="D408">
        <f>IF(A408="","",COUNTIF(ASSESSMENTS!B:B,A408))</f>
        <v/>
      </c>
      <c r="E408" s="4">
        <f>IF(D408=0,"",ROUND(AVERAGEIF(ASSESSMENTS!B:B,A408,ASSESSMENTS!H:H),1))</f>
        <v/>
      </c>
      <c r="F408" s="4">
        <f>IF(A408="","",IFERROR(ROUND(AVERAGEIFS(ASSESSMENTS!H:H,ASSESSMENTS!B:B,A408,ASSESSMENTS!E:E,"Mathematics"),1),""))</f>
        <v/>
      </c>
      <c r="G408" s="4">
        <f>IF(A408="","",IFERROR(ROUND(AVERAGEIFS(ASSESSMENTS!H:H,ASSESSMENTS!B:B,A408,ASSESSMENTS!E:E,"Mathematical Literacy"),1),""))</f>
        <v/>
      </c>
      <c r="H408" s="4">
        <f>IF(A408="","",IFERROR(ROUND(AVERAGEIFS(ASSESSMENTS!H:H,ASSESSMENTS!B:B,A408,ASSESSMENTS!E:E,"Physical Sciences"),1),""))</f>
        <v/>
      </c>
      <c r="I408" s="4">
        <f>IF(A408="","",IFERROR(ROUND(AVERAGEIFS(ASSESSMENTS!H:H,ASSESSMENTS!B:B,A408,ASSESSMENTS!E:E,"Geography"),1),""))</f>
        <v/>
      </c>
      <c r="J408" s="4">
        <f>IF(A408="","",IFERROR(ROUND(AVERAGEIFS(ASSESSMENTS!H:H,ASSESSMENTS!B:B,A408,ASSESSMENTS!E:E,"Accounting"),1),""))</f>
        <v/>
      </c>
      <c r="K408" s="4">
        <f>IF(A408="","",IFERROR(ROUND(AVERAGEIFS(ASSESSMENTS!H:H,ASSESSMENTS!B:B,A408,ASSESSMENTS!E:E,"English"),1),""))</f>
        <v/>
      </c>
      <c r="L408" s="5">
        <f>IF(A408="","",IFERROR(_xludf.XLOOKUP(A408,ATTENDANCE_SUMMARY!A:A,ATTENDANCE_SUMMARY!G:G,""),""))</f>
        <v/>
      </c>
      <c r="M408" s="4">
        <f>IF(A408="","",IF(OR(E408&lt;50,AND(L408&lt;0.75,L408&lt;&gt;"" )),"At Risk","On Track"))</f>
        <v/>
      </c>
    </row>
    <row r="409">
      <c r="A409">
        <f>IF(MASTER_REGISTER!E409="","",MASTER_REGISTER!E409)</f>
        <v/>
      </c>
      <c r="B409">
        <f>IF(A409="","",MASTER_REGISTER!F409)</f>
        <v/>
      </c>
      <c r="C409">
        <f>IF(A409="","",MASTER_REGISTER!C409)</f>
        <v/>
      </c>
      <c r="D409">
        <f>IF(A409="","",COUNTIF(ASSESSMENTS!B:B,A409))</f>
        <v/>
      </c>
      <c r="E409" s="4">
        <f>IF(D409=0,"",ROUND(AVERAGEIF(ASSESSMENTS!B:B,A409,ASSESSMENTS!H:H),1))</f>
        <v/>
      </c>
      <c r="F409" s="4">
        <f>IF(A409="","",IFERROR(ROUND(AVERAGEIFS(ASSESSMENTS!H:H,ASSESSMENTS!B:B,A409,ASSESSMENTS!E:E,"Mathematics"),1),""))</f>
        <v/>
      </c>
      <c r="G409" s="4">
        <f>IF(A409="","",IFERROR(ROUND(AVERAGEIFS(ASSESSMENTS!H:H,ASSESSMENTS!B:B,A409,ASSESSMENTS!E:E,"Mathematical Literacy"),1),""))</f>
        <v/>
      </c>
      <c r="H409" s="4">
        <f>IF(A409="","",IFERROR(ROUND(AVERAGEIFS(ASSESSMENTS!H:H,ASSESSMENTS!B:B,A409,ASSESSMENTS!E:E,"Physical Sciences"),1),""))</f>
        <v/>
      </c>
      <c r="I409" s="4">
        <f>IF(A409="","",IFERROR(ROUND(AVERAGEIFS(ASSESSMENTS!H:H,ASSESSMENTS!B:B,A409,ASSESSMENTS!E:E,"Geography"),1),""))</f>
        <v/>
      </c>
      <c r="J409" s="4">
        <f>IF(A409="","",IFERROR(ROUND(AVERAGEIFS(ASSESSMENTS!H:H,ASSESSMENTS!B:B,A409,ASSESSMENTS!E:E,"Accounting"),1),""))</f>
        <v/>
      </c>
      <c r="K409" s="4">
        <f>IF(A409="","",IFERROR(ROUND(AVERAGEIFS(ASSESSMENTS!H:H,ASSESSMENTS!B:B,A409,ASSESSMENTS!E:E,"English"),1),""))</f>
        <v/>
      </c>
      <c r="L409" s="5">
        <f>IF(A409="","",IFERROR(_xludf.XLOOKUP(A409,ATTENDANCE_SUMMARY!A:A,ATTENDANCE_SUMMARY!G:G,""),""))</f>
        <v/>
      </c>
      <c r="M409" s="4">
        <f>IF(A409="","",IF(OR(E409&lt;50,AND(L409&lt;0.75,L409&lt;&gt;"" )),"At Risk","On Track"))</f>
        <v/>
      </c>
    </row>
    <row r="410">
      <c r="A410">
        <f>IF(MASTER_REGISTER!E410="","",MASTER_REGISTER!E410)</f>
        <v/>
      </c>
      <c r="B410">
        <f>IF(A410="","",MASTER_REGISTER!F410)</f>
        <v/>
      </c>
      <c r="C410">
        <f>IF(A410="","",MASTER_REGISTER!C410)</f>
        <v/>
      </c>
      <c r="D410">
        <f>IF(A410="","",COUNTIF(ASSESSMENTS!B:B,A410))</f>
        <v/>
      </c>
      <c r="E410" s="4">
        <f>IF(D410=0,"",ROUND(AVERAGEIF(ASSESSMENTS!B:B,A410,ASSESSMENTS!H:H),1))</f>
        <v/>
      </c>
      <c r="F410" s="4">
        <f>IF(A410="","",IFERROR(ROUND(AVERAGEIFS(ASSESSMENTS!H:H,ASSESSMENTS!B:B,A410,ASSESSMENTS!E:E,"Mathematics"),1),""))</f>
        <v/>
      </c>
      <c r="G410" s="4">
        <f>IF(A410="","",IFERROR(ROUND(AVERAGEIFS(ASSESSMENTS!H:H,ASSESSMENTS!B:B,A410,ASSESSMENTS!E:E,"Mathematical Literacy"),1),""))</f>
        <v/>
      </c>
      <c r="H410" s="4">
        <f>IF(A410="","",IFERROR(ROUND(AVERAGEIFS(ASSESSMENTS!H:H,ASSESSMENTS!B:B,A410,ASSESSMENTS!E:E,"Physical Sciences"),1),""))</f>
        <v/>
      </c>
      <c r="I410" s="4">
        <f>IF(A410="","",IFERROR(ROUND(AVERAGEIFS(ASSESSMENTS!H:H,ASSESSMENTS!B:B,A410,ASSESSMENTS!E:E,"Geography"),1),""))</f>
        <v/>
      </c>
      <c r="J410" s="4">
        <f>IF(A410="","",IFERROR(ROUND(AVERAGEIFS(ASSESSMENTS!H:H,ASSESSMENTS!B:B,A410,ASSESSMENTS!E:E,"Accounting"),1),""))</f>
        <v/>
      </c>
      <c r="K410" s="4">
        <f>IF(A410="","",IFERROR(ROUND(AVERAGEIFS(ASSESSMENTS!H:H,ASSESSMENTS!B:B,A410,ASSESSMENTS!E:E,"English"),1),""))</f>
        <v/>
      </c>
      <c r="L410" s="5">
        <f>IF(A410="","",IFERROR(_xludf.XLOOKUP(A410,ATTENDANCE_SUMMARY!A:A,ATTENDANCE_SUMMARY!G:G,""),""))</f>
        <v/>
      </c>
      <c r="M410" s="4">
        <f>IF(A410="","",IF(OR(E410&lt;50,AND(L410&lt;0.75,L410&lt;&gt;"" )),"At Risk","On Track"))</f>
        <v/>
      </c>
    </row>
    <row r="411">
      <c r="A411">
        <f>IF(MASTER_REGISTER!E411="","",MASTER_REGISTER!E411)</f>
        <v/>
      </c>
      <c r="B411">
        <f>IF(A411="","",MASTER_REGISTER!F411)</f>
        <v/>
      </c>
      <c r="C411">
        <f>IF(A411="","",MASTER_REGISTER!C411)</f>
        <v/>
      </c>
      <c r="D411">
        <f>IF(A411="","",COUNTIF(ASSESSMENTS!B:B,A411))</f>
        <v/>
      </c>
      <c r="E411" s="4">
        <f>IF(D411=0,"",ROUND(AVERAGEIF(ASSESSMENTS!B:B,A411,ASSESSMENTS!H:H),1))</f>
        <v/>
      </c>
      <c r="F411" s="4">
        <f>IF(A411="","",IFERROR(ROUND(AVERAGEIFS(ASSESSMENTS!H:H,ASSESSMENTS!B:B,A411,ASSESSMENTS!E:E,"Mathematics"),1),""))</f>
        <v/>
      </c>
      <c r="G411" s="4">
        <f>IF(A411="","",IFERROR(ROUND(AVERAGEIFS(ASSESSMENTS!H:H,ASSESSMENTS!B:B,A411,ASSESSMENTS!E:E,"Mathematical Literacy"),1),""))</f>
        <v/>
      </c>
      <c r="H411" s="4">
        <f>IF(A411="","",IFERROR(ROUND(AVERAGEIFS(ASSESSMENTS!H:H,ASSESSMENTS!B:B,A411,ASSESSMENTS!E:E,"Physical Sciences"),1),""))</f>
        <v/>
      </c>
      <c r="I411" s="4">
        <f>IF(A411="","",IFERROR(ROUND(AVERAGEIFS(ASSESSMENTS!H:H,ASSESSMENTS!B:B,A411,ASSESSMENTS!E:E,"Geography"),1),""))</f>
        <v/>
      </c>
      <c r="J411" s="4">
        <f>IF(A411="","",IFERROR(ROUND(AVERAGEIFS(ASSESSMENTS!H:H,ASSESSMENTS!B:B,A411,ASSESSMENTS!E:E,"Accounting"),1),""))</f>
        <v/>
      </c>
      <c r="K411" s="4">
        <f>IF(A411="","",IFERROR(ROUND(AVERAGEIFS(ASSESSMENTS!H:H,ASSESSMENTS!B:B,A411,ASSESSMENTS!E:E,"English"),1),""))</f>
        <v/>
      </c>
      <c r="L411" s="5">
        <f>IF(A411="","",IFERROR(_xludf.XLOOKUP(A411,ATTENDANCE_SUMMARY!A:A,ATTENDANCE_SUMMARY!G:G,""),""))</f>
        <v/>
      </c>
      <c r="M411" s="4">
        <f>IF(A411="","",IF(OR(E411&lt;50,AND(L411&lt;0.75,L411&lt;&gt;"" )),"At Risk","On Track"))</f>
        <v/>
      </c>
    </row>
    <row r="412">
      <c r="A412">
        <f>IF(MASTER_REGISTER!E412="","",MASTER_REGISTER!E412)</f>
        <v/>
      </c>
      <c r="B412">
        <f>IF(A412="","",MASTER_REGISTER!F412)</f>
        <v/>
      </c>
      <c r="C412">
        <f>IF(A412="","",MASTER_REGISTER!C412)</f>
        <v/>
      </c>
      <c r="D412">
        <f>IF(A412="","",COUNTIF(ASSESSMENTS!B:B,A412))</f>
        <v/>
      </c>
      <c r="E412" s="4">
        <f>IF(D412=0,"",ROUND(AVERAGEIF(ASSESSMENTS!B:B,A412,ASSESSMENTS!H:H),1))</f>
        <v/>
      </c>
      <c r="F412" s="4">
        <f>IF(A412="","",IFERROR(ROUND(AVERAGEIFS(ASSESSMENTS!H:H,ASSESSMENTS!B:B,A412,ASSESSMENTS!E:E,"Mathematics"),1),""))</f>
        <v/>
      </c>
      <c r="G412" s="4">
        <f>IF(A412="","",IFERROR(ROUND(AVERAGEIFS(ASSESSMENTS!H:H,ASSESSMENTS!B:B,A412,ASSESSMENTS!E:E,"Mathematical Literacy"),1),""))</f>
        <v/>
      </c>
      <c r="H412" s="4">
        <f>IF(A412="","",IFERROR(ROUND(AVERAGEIFS(ASSESSMENTS!H:H,ASSESSMENTS!B:B,A412,ASSESSMENTS!E:E,"Physical Sciences"),1),""))</f>
        <v/>
      </c>
      <c r="I412" s="4">
        <f>IF(A412="","",IFERROR(ROUND(AVERAGEIFS(ASSESSMENTS!H:H,ASSESSMENTS!B:B,A412,ASSESSMENTS!E:E,"Geography"),1),""))</f>
        <v/>
      </c>
      <c r="J412" s="4">
        <f>IF(A412="","",IFERROR(ROUND(AVERAGEIFS(ASSESSMENTS!H:H,ASSESSMENTS!B:B,A412,ASSESSMENTS!E:E,"Accounting"),1),""))</f>
        <v/>
      </c>
      <c r="K412" s="4">
        <f>IF(A412="","",IFERROR(ROUND(AVERAGEIFS(ASSESSMENTS!H:H,ASSESSMENTS!B:B,A412,ASSESSMENTS!E:E,"English"),1),""))</f>
        <v/>
      </c>
      <c r="L412" s="5">
        <f>IF(A412="","",IFERROR(_xludf.XLOOKUP(A412,ATTENDANCE_SUMMARY!A:A,ATTENDANCE_SUMMARY!G:G,""),""))</f>
        <v/>
      </c>
      <c r="M412" s="4">
        <f>IF(A412="","",IF(OR(E412&lt;50,AND(L412&lt;0.75,L412&lt;&gt;"" )),"At Risk","On Track"))</f>
        <v/>
      </c>
    </row>
    <row r="413">
      <c r="A413">
        <f>IF(MASTER_REGISTER!E413="","",MASTER_REGISTER!E413)</f>
        <v/>
      </c>
      <c r="B413">
        <f>IF(A413="","",MASTER_REGISTER!F413)</f>
        <v/>
      </c>
      <c r="C413">
        <f>IF(A413="","",MASTER_REGISTER!C413)</f>
        <v/>
      </c>
      <c r="D413">
        <f>IF(A413="","",COUNTIF(ASSESSMENTS!B:B,A413))</f>
        <v/>
      </c>
      <c r="E413" s="4">
        <f>IF(D413=0,"",ROUND(AVERAGEIF(ASSESSMENTS!B:B,A413,ASSESSMENTS!H:H),1))</f>
        <v/>
      </c>
      <c r="F413" s="4">
        <f>IF(A413="","",IFERROR(ROUND(AVERAGEIFS(ASSESSMENTS!H:H,ASSESSMENTS!B:B,A413,ASSESSMENTS!E:E,"Mathematics"),1),""))</f>
        <v/>
      </c>
      <c r="G413" s="4">
        <f>IF(A413="","",IFERROR(ROUND(AVERAGEIFS(ASSESSMENTS!H:H,ASSESSMENTS!B:B,A413,ASSESSMENTS!E:E,"Mathematical Literacy"),1),""))</f>
        <v/>
      </c>
      <c r="H413" s="4">
        <f>IF(A413="","",IFERROR(ROUND(AVERAGEIFS(ASSESSMENTS!H:H,ASSESSMENTS!B:B,A413,ASSESSMENTS!E:E,"Physical Sciences"),1),""))</f>
        <v/>
      </c>
      <c r="I413" s="4">
        <f>IF(A413="","",IFERROR(ROUND(AVERAGEIFS(ASSESSMENTS!H:H,ASSESSMENTS!B:B,A413,ASSESSMENTS!E:E,"Geography"),1),""))</f>
        <v/>
      </c>
      <c r="J413" s="4">
        <f>IF(A413="","",IFERROR(ROUND(AVERAGEIFS(ASSESSMENTS!H:H,ASSESSMENTS!B:B,A413,ASSESSMENTS!E:E,"Accounting"),1),""))</f>
        <v/>
      </c>
      <c r="K413" s="4">
        <f>IF(A413="","",IFERROR(ROUND(AVERAGEIFS(ASSESSMENTS!H:H,ASSESSMENTS!B:B,A413,ASSESSMENTS!E:E,"English"),1),""))</f>
        <v/>
      </c>
      <c r="L413" s="5">
        <f>IF(A413="","",IFERROR(_xludf.XLOOKUP(A413,ATTENDANCE_SUMMARY!A:A,ATTENDANCE_SUMMARY!G:G,""),""))</f>
        <v/>
      </c>
      <c r="M413" s="4">
        <f>IF(A413="","",IF(OR(E413&lt;50,AND(L413&lt;0.75,L413&lt;&gt;"" )),"At Risk","On Track"))</f>
        <v/>
      </c>
    </row>
    <row r="414">
      <c r="A414">
        <f>IF(MASTER_REGISTER!E414="","",MASTER_REGISTER!E414)</f>
        <v/>
      </c>
      <c r="B414">
        <f>IF(A414="","",MASTER_REGISTER!F414)</f>
        <v/>
      </c>
      <c r="C414">
        <f>IF(A414="","",MASTER_REGISTER!C414)</f>
        <v/>
      </c>
      <c r="D414">
        <f>IF(A414="","",COUNTIF(ASSESSMENTS!B:B,A414))</f>
        <v/>
      </c>
      <c r="E414" s="4">
        <f>IF(D414=0,"",ROUND(AVERAGEIF(ASSESSMENTS!B:B,A414,ASSESSMENTS!H:H),1))</f>
        <v/>
      </c>
      <c r="F414" s="4">
        <f>IF(A414="","",IFERROR(ROUND(AVERAGEIFS(ASSESSMENTS!H:H,ASSESSMENTS!B:B,A414,ASSESSMENTS!E:E,"Mathematics"),1),""))</f>
        <v/>
      </c>
      <c r="G414" s="4">
        <f>IF(A414="","",IFERROR(ROUND(AVERAGEIFS(ASSESSMENTS!H:H,ASSESSMENTS!B:B,A414,ASSESSMENTS!E:E,"Mathematical Literacy"),1),""))</f>
        <v/>
      </c>
      <c r="H414" s="4">
        <f>IF(A414="","",IFERROR(ROUND(AVERAGEIFS(ASSESSMENTS!H:H,ASSESSMENTS!B:B,A414,ASSESSMENTS!E:E,"Physical Sciences"),1),""))</f>
        <v/>
      </c>
      <c r="I414" s="4">
        <f>IF(A414="","",IFERROR(ROUND(AVERAGEIFS(ASSESSMENTS!H:H,ASSESSMENTS!B:B,A414,ASSESSMENTS!E:E,"Geography"),1),""))</f>
        <v/>
      </c>
      <c r="J414" s="4">
        <f>IF(A414="","",IFERROR(ROUND(AVERAGEIFS(ASSESSMENTS!H:H,ASSESSMENTS!B:B,A414,ASSESSMENTS!E:E,"Accounting"),1),""))</f>
        <v/>
      </c>
      <c r="K414" s="4">
        <f>IF(A414="","",IFERROR(ROUND(AVERAGEIFS(ASSESSMENTS!H:H,ASSESSMENTS!B:B,A414,ASSESSMENTS!E:E,"English"),1),""))</f>
        <v/>
      </c>
      <c r="L414" s="5">
        <f>IF(A414="","",IFERROR(_xludf.XLOOKUP(A414,ATTENDANCE_SUMMARY!A:A,ATTENDANCE_SUMMARY!G:G,""),""))</f>
        <v/>
      </c>
      <c r="M414" s="4">
        <f>IF(A414="","",IF(OR(E414&lt;50,AND(L414&lt;0.75,L414&lt;&gt;"" )),"At Risk","On Track"))</f>
        <v/>
      </c>
    </row>
    <row r="415">
      <c r="A415">
        <f>IF(MASTER_REGISTER!E415="","",MASTER_REGISTER!E415)</f>
        <v/>
      </c>
      <c r="B415">
        <f>IF(A415="","",MASTER_REGISTER!F415)</f>
        <v/>
      </c>
      <c r="C415">
        <f>IF(A415="","",MASTER_REGISTER!C415)</f>
        <v/>
      </c>
      <c r="D415">
        <f>IF(A415="","",COUNTIF(ASSESSMENTS!B:B,A415))</f>
        <v/>
      </c>
      <c r="E415" s="4">
        <f>IF(D415=0,"",ROUND(AVERAGEIF(ASSESSMENTS!B:B,A415,ASSESSMENTS!H:H),1))</f>
        <v/>
      </c>
      <c r="F415" s="4">
        <f>IF(A415="","",IFERROR(ROUND(AVERAGEIFS(ASSESSMENTS!H:H,ASSESSMENTS!B:B,A415,ASSESSMENTS!E:E,"Mathematics"),1),""))</f>
        <v/>
      </c>
      <c r="G415" s="4">
        <f>IF(A415="","",IFERROR(ROUND(AVERAGEIFS(ASSESSMENTS!H:H,ASSESSMENTS!B:B,A415,ASSESSMENTS!E:E,"Mathematical Literacy"),1),""))</f>
        <v/>
      </c>
      <c r="H415" s="4">
        <f>IF(A415="","",IFERROR(ROUND(AVERAGEIFS(ASSESSMENTS!H:H,ASSESSMENTS!B:B,A415,ASSESSMENTS!E:E,"Physical Sciences"),1),""))</f>
        <v/>
      </c>
      <c r="I415" s="4">
        <f>IF(A415="","",IFERROR(ROUND(AVERAGEIFS(ASSESSMENTS!H:H,ASSESSMENTS!B:B,A415,ASSESSMENTS!E:E,"Geography"),1),""))</f>
        <v/>
      </c>
      <c r="J415" s="4">
        <f>IF(A415="","",IFERROR(ROUND(AVERAGEIFS(ASSESSMENTS!H:H,ASSESSMENTS!B:B,A415,ASSESSMENTS!E:E,"Accounting"),1),""))</f>
        <v/>
      </c>
      <c r="K415" s="4">
        <f>IF(A415="","",IFERROR(ROUND(AVERAGEIFS(ASSESSMENTS!H:H,ASSESSMENTS!B:B,A415,ASSESSMENTS!E:E,"English"),1),""))</f>
        <v/>
      </c>
      <c r="L415" s="5">
        <f>IF(A415="","",IFERROR(_xludf.XLOOKUP(A415,ATTENDANCE_SUMMARY!A:A,ATTENDANCE_SUMMARY!G:G,""),""))</f>
        <v/>
      </c>
      <c r="M415" s="4">
        <f>IF(A415="","",IF(OR(E415&lt;50,AND(L415&lt;0.75,L415&lt;&gt;"" )),"At Risk","On Track"))</f>
        <v/>
      </c>
    </row>
    <row r="416">
      <c r="A416">
        <f>IF(MASTER_REGISTER!E416="","",MASTER_REGISTER!E416)</f>
        <v/>
      </c>
      <c r="B416">
        <f>IF(A416="","",MASTER_REGISTER!F416)</f>
        <v/>
      </c>
      <c r="C416">
        <f>IF(A416="","",MASTER_REGISTER!C416)</f>
        <v/>
      </c>
      <c r="D416">
        <f>IF(A416="","",COUNTIF(ASSESSMENTS!B:B,A416))</f>
        <v/>
      </c>
      <c r="E416" s="4">
        <f>IF(D416=0,"",ROUND(AVERAGEIF(ASSESSMENTS!B:B,A416,ASSESSMENTS!H:H),1))</f>
        <v/>
      </c>
      <c r="F416" s="4">
        <f>IF(A416="","",IFERROR(ROUND(AVERAGEIFS(ASSESSMENTS!H:H,ASSESSMENTS!B:B,A416,ASSESSMENTS!E:E,"Mathematics"),1),""))</f>
        <v/>
      </c>
      <c r="G416" s="4">
        <f>IF(A416="","",IFERROR(ROUND(AVERAGEIFS(ASSESSMENTS!H:H,ASSESSMENTS!B:B,A416,ASSESSMENTS!E:E,"Mathematical Literacy"),1),""))</f>
        <v/>
      </c>
      <c r="H416" s="4">
        <f>IF(A416="","",IFERROR(ROUND(AVERAGEIFS(ASSESSMENTS!H:H,ASSESSMENTS!B:B,A416,ASSESSMENTS!E:E,"Physical Sciences"),1),""))</f>
        <v/>
      </c>
      <c r="I416" s="4">
        <f>IF(A416="","",IFERROR(ROUND(AVERAGEIFS(ASSESSMENTS!H:H,ASSESSMENTS!B:B,A416,ASSESSMENTS!E:E,"Geography"),1),""))</f>
        <v/>
      </c>
      <c r="J416" s="4">
        <f>IF(A416="","",IFERROR(ROUND(AVERAGEIFS(ASSESSMENTS!H:H,ASSESSMENTS!B:B,A416,ASSESSMENTS!E:E,"Accounting"),1),""))</f>
        <v/>
      </c>
      <c r="K416" s="4">
        <f>IF(A416="","",IFERROR(ROUND(AVERAGEIFS(ASSESSMENTS!H:H,ASSESSMENTS!B:B,A416,ASSESSMENTS!E:E,"English"),1),""))</f>
        <v/>
      </c>
      <c r="L416" s="5">
        <f>IF(A416="","",IFERROR(_xludf.XLOOKUP(A416,ATTENDANCE_SUMMARY!A:A,ATTENDANCE_SUMMARY!G:G,""),""))</f>
        <v/>
      </c>
      <c r="M416" s="4">
        <f>IF(A416="","",IF(OR(E416&lt;50,AND(L416&lt;0.75,L416&lt;&gt;"" )),"At Risk","On Track"))</f>
        <v/>
      </c>
    </row>
    <row r="417">
      <c r="A417">
        <f>IF(MASTER_REGISTER!E417="","",MASTER_REGISTER!E417)</f>
        <v/>
      </c>
      <c r="B417">
        <f>IF(A417="","",MASTER_REGISTER!F417)</f>
        <v/>
      </c>
      <c r="C417">
        <f>IF(A417="","",MASTER_REGISTER!C417)</f>
        <v/>
      </c>
      <c r="D417">
        <f>IF(A417="","",COUNTIF(ASSESSMENTS!B:B,A417))</f>
        <v/>
      </c>
      <c r="E417" s="4">
        <f>IF(D417=0,"",ROUND(AVERAGEIF(ASSESSMENTS!B:B,A417,ASSESSMENTS!H:H),1))</f>
        <v/>
      </c>
      <c r="F417" s="4">
        <f>IF(A417="","",IFERROR(ROUND(AVERAGEIFS(ASSESSMENTS!H:H,ASSESSMENTS!B:B,A417,ASSESSMENTS!E:E,"Mathematics"),1),""))</f>
        <v/>
      </c>
      <c r="G417" s="4">
        <f>IF(A417="","",IFERROR(ROUND(AVERAGEIFS(ASSESSMENTS!H:H,ASSESSMENTS!B:B,A417,ASSESSMENTS!E:E,"Mathematical Literacy"),1),""))</f>
        <v/>
      </c>
      <c r="H417" s="4">
        <f>IF(A417="","",IFERROR(ROUND(AVERAGEIFS(ASSESSMENTS!H:H,ASSESSMENTS!B:B,A417,ASSESSMENTS!E:E,"Physical Sciences"),1),""))</f>
        <v/>
      </c>
      <c r="I417" s="4">
        <f>IF(A417="","",IFERROR(ROUND(AVERAGEIFS(ASSESSMENTS!H:H,ASSESSMENTS!B:B,A417,ASSESSMENTS!E:E,"Geography"),1),""))</f>
        <v/>
      </c>
      <c r="J417" s="4">
        <f>IF(A417="","",IFERROR(ROUND(AVERAGEIFS(ASSESSMENTS!H:H,ASSESSMENTS!B:B,A417,ASSESSMENTS!E:E,"Accounting"),1),""))</f>
        <v/>
      </c>
      <c r="K417" s="4">
        <f>IF(A417="","",IFERROR(ROUND(AVERAGEIFS(ASSESSMENTS!H:H,ASSESSMENTS!B:B,A417,ASSESSMENTS!E:E,"English"),1),""))</f>
        <v/>
      </c>
      <c r="L417" s="5">
        <f>IF(A417="","",IFERROR(_xludf.XLOOKUP(A417,ATTENDANCE_SUMMARY!A:A,ATTENDANCE_SUMMARY!G:G,""),""))</f>
        <v/>
      </c>
      <c r="M417" s="4">
        <f>IF(A417="","",IF(OR(E417&lt;50,AND(L417&lt;0.75,L417&lt;&gt;"" )),"At Risk","On Track"))</f>
        <v/>
      </c>
    </row>
    <row r="418">
      <c r="A418">
        <f>IF(MASTER_REGISTER!E418="","",MASTER_REGISTER!E418)</f>
        <v/>
      </c>
      <c r="B418">
        <f>IF(A418="","",MASTER_REGISTER!F418)</f>
        <v/>
      </c>
      <c r="C418">
        <f>IF(A418="","",MASTER_REGISTER!C418)</f>
        <v/>
      </c>
      <c r="D418">
        <f>IF(A418="","",COUNTIF(ASSESSMENTS!B:B,A418))</f>
        <v/>
      </c>
      <c r="E418" s="4">
        <f>IF(D418=0,"",ROUND(AVERAGEIF(ASSESSMENTS!B:B,A418,ASSESSMENTS!H:H),1))</f>
        <v/>
      </c>
      <c r="F418" s="4">
        <f>IF(A418="","",IFERROR(ROUND(AVERAGEIFS(ASSESSMENTS!H:H,ASSESSMENTS!B:B,A418,ASSESSMENTS!E:E,"Mathematics"),1),""))</f>
        <v/>
      </c>
      <c r="G418" s="4">
        <f>IF(A418="","",IFERROR(ROUND(AVERAGEIFS(ASSESSMENTS!H:H,ASSESSMENTS!B:B,A418,ASSESSMENTS!E:E,"Mathematical Literacy"),1),""))</f>
        <v/>
      </c>
      <c r="H418" s="4">
        <f>IF(A418="","",IFERROR(ROUND(AVERAGEIFS(ASSESSMENTS!H:H,ASSESSMENTS!B:B,A418,ASSESSMENTS!E:E,"Physical Sciences"),1),""))</f>
        <v/>
      </c>
      <c r="I418" s="4">
        <f>IF(A418="","",IFERROR(ROUND(AVERAGEIFS(ASSESSMENTS!H:H,ASSESSMENTS!B:B,A418,ASSESSMENTS!E:E,"Geography"),1),""))</f>
        <v/>
      </c>
      <c r="J418" s="4">
        <f>IF(A418="","",IFERROR(ROUND(AVERAGEIFS(ASSESSMENTS!H:H,ASSESSMENTS!B:B,A418,ASSESSMENTS!E:E,"Accounting"),1),""))</f>
        <v/>
      </c>
      <c r="K418" s="4">
        <f>IF(A418="","",IFERROR(ROUND(AVERAGEIFS(ASSESSMENTS!H:H,ASSESSMENTS!B:B,A418,ASSESSMENTS!E:E,"English"),1),""))</f>
        <v/>
      </c>
      <c r="L418" s="5">
        <f>IF(A418="","",IFERROR(_xludf.XLOOKUP(A418,ATTENDANCE_SUMMARY!A:A,ATTENDANCE_SUMMARY!G:G,""),""))</f>
        <v/>
      </c>
      <c r="M418" s="4">
        <f>IF(A418="","",IF(OR(E418&lt;50,AND(L418&lt;0.75,L418&lt;&gt;"" )),"At Risk","On Track"))</f>
        <v/>
      </c>
    </row>
    <row r="419">
      <c r="A419">
        <f>IF(MASTER_REGISTER!E419="","",MASTER_REGISTER!E419)</f>
        <v/>
      </c>
      <c r="B419">
        <f>IF(A419="","",MASTER_REGISTER!F419)</f>
        <v/>
      </c>
      <c r="C419">
        <f>IF(A419="","",MASTER_REGISTER!C419)</f>
        <v/>
      </c>
      <c r="D419">
        <f>IF(A419="","",COUNTIF(ASSESSMENTS!B:B,A419))</f>
        <v/>
      </c>
      <c r="E419" s="4">
        <f>IF(D419=0,"",ROUND(AVERAGEIF(ASSESSMENTS!B:B,A419,ASSESSMENTS!H:H),1))</f>
        <v/>
      </c>
      <c r="F419" s="4">
        <f>IF(A419="","",IFERROR(ROUND(AVERAGEIFS(ASSESSMENTS!H:H,ASSESSMENTS!B:B,A419,ASSESSMENTS!E:E,"Mathematics"),1),""))</f>
        <v/>
      </c>
      <c r="G419" s="4">
        <f>IF(A419="","",IFERROR(ROUND(AVERAGEIFS(ASSESSMENTS!H:H,ASSESSMENTS!B:B,A419,ASSESSMENTS!E:E,"Mathematical Literacy"),1),""))</f>
        <v/>
      </c>
      <c r="H419" s="4">
        <f>IF(A419="","",IFERROR(ROUND(AVERAGEIFS(ASSESSMENTS!H:H,ASSESSMENTS!B:B,A419,ASSESSMENTS!E:E,"Physical Sciences"),1),""))</f>
        <v/>
      </c>
      <c r="I419" s="4">
        <f>IF(A419="","",IFERROR(ROUND(AVERAGEIFS(ASSESSMENTS!H:H,ASSESSMENTS!B:B,A419,ASSESSMENTS!E:E,"Geography"),1),""))</f>
        <v/>
      </c>
      <c r="J419" s="4">
        <f>IF(A419="","",IFERROR(ROUND(AVERAGEIFS(ASSESSMENTS!H:H,ASSESSMENTS!B:B,A419,ASSESSMENTS!E:E,"Accounting"),1),""))</f>
        <v/>
      </c>
      <c r="K419" s="4">
        <f>IF(A419="","",IFERROR(ROUND(AVERAGEIFS(ASSESSMENTS!H:H,ASSESSMENTS!B:B,A419,ASSESSMENTS!E:E,"English"),1),""))</f>
        <v/>
      </c>
      <c r="L419" s="5">
        <f>IF(A419="","",IFERROR(_xludf.XLOOKUP(A419,ATTENDANCE_SUMMARY!A:A,ATTENDANCE_SUMMARY!G:G,""),""))</f>
        <v/>
      </c>
      <c r="M419" s="4">
        <f>IF(A419="","",IF(OR(E419&lt;50,AND(L419&lt;0.75,L419&lt;&gt;"" )),"At Risk","On Track"))</f>
        <v/>
      </c>
    </row>
    <row r="420">
      <c r="A420">
        <f>IF(MASTER_REGISTER!E420="","",MASTER_REGISTER!E420)</f>
        <v/>
      </c>
      <c r="B420">
        <f>IF(A420="","",MASTER_REGISTER!F420)</f>
        <v/>
      </c>
      <c r="C420">
        <f>IF(A420="","",MASTER_REGISTER!C420)</f>
        <v/>
      </c>
      <c r="D420">
        <f>IF(A420="","",COUNTIF(ASSESSMENTS!B:B,A420))</f>
        <v/>
      </c>
      <c r="E420" s="4">
        <f>IF(D420=0,"",ROUND(AVERAGEIF(ASSESSMENTS!B:B,A420,ASSESSMENTS!H:H),1))</f>
        <v/>
      </c>
      <c r="F420" s="4">
        <f>IF(A420="","",IFERROR(ROUND(AVERAGEIFS(ASSESSMENTS!H:H,ASSESSMENTS!B:B,A420,ASSESSMENTS!E:E,"Mathematics"),1),""))</f>
        <v/>
      </c>
      <c r="G420" s="4">
        <f>IF(A420="","",IFERROR(ROUND(AVERAGEIFS(ASSESSMENTS!H:H,ASSESSMENTS!B:B,A420,ASSESSMENTS!E:E,"Mathematical Literacy"),1),""))</f>
        <v/>
      </c>
      <c r="H420" s="4">
        <f>IF(A420="","",IFERROR(ROUND(AVERAGEIFS(ASSESSMENTS!H:H,ASSESSMENTS!B:B,A420,ASSESSMENTS!E:E,"Physical Sciences"),1),""))</f>
        <v/>
      </c>
      <c r="I420" s="4">
        <f>IF(A420="","",IFERROR(ROUND(AVERAGEIFS(ASSESSMENTS!H:H,ASSESSMENTS!B:B,A420,ASSESSMENTS!E:E,"Geography"),1),""))</f>
        <v/>
      </c>
      <c r="J420" s="4">
        <f>IF(A420="","",IFERROR(ROUND(AVERAGEIFS(ASSESSMENTS!H:H,ASSESSMENTS!B:B,A420,ASSESSMENTS!E:E,"Accounting"),1),""))</f>
        <v/>
      </c>
      <c r="K420" s="4">
        <f>IF(A420="","",IFERROR(ROUND(AVERAGEIFS(ASSESSMENTS!H:H,ASSESSMENTS!B:B,A420,ASSESSMENTS!E:E,"English"),1),""))</f>
        <v/>
      </c>
      <c r="L420" s="5">
        <f>IF(A420="","",IFERROR(_xludf.XLOOKUP(A420,ATTENDANCE_SUMMARY!A:A,ATTENDANCE_SUMMARY!G:G,""),""))</f>
        <v/>
      </c>
      <c r="M420" s="4">
        <f>IF(A420="","",IF(OR(E420&lt;50,AND(L420&lt;0.75,L420&lt;&gt;"" )),"At Risk","On Track"))</f>
        <v/>
      </c>
    </row>
    <row r="421">
      <c r="A421">
        <f>IF(MASTER_REGISTER!E421="","",MASTER_REGISTER!E421)</f>
        <v/>
      </c>
      <c r="B421">
        <f>IF(A421="","",MASTER_REGISTER!F421)</f>
        <v/>
      </c>
      <c r="C421">
        <f>IF(A421="","",MASTER_REGISTER!C421)</f>
        <v/>
      </c>
      <c r="D421">
        <f>IF(A421="","",COUNTIF(ASSESSMENTS!B:B,A421))</f>
        <v/>
      </c>
      <c r="E421" s="4">
        <f>IF(D421=0,"",ROUND(AVERAGEIF(ASSESSMENTS!B:B,A421,ASSESSMENTS!H:H),1))</f>
        <v/>
      </c>
      <c r="F421" s="4">
        <f>IF(A421="","",IFERROR(ROUND(AVERAGEIFS(ASSESSMENTS!H:H,ASSESSMENTS!B:B,A421,ASSESSMENTS!E:E,"Mathematics"),1),""))</f>
        <v/>
      </c>
      <c r="G421" s="4">
        <f>IF(A421="","",IFERROR(ROUND(AVERAGEIFS(ASSESSMENTS!H:H,ASSESSMENTS!B:B,A421,ASSESSMENTS!E:E,"Mathematical Literacy"),1),""))</f>
        <v/>
      </c>
      <c r="H421" s="4">
        <f>IF(A421="","",IFERROR(ROUND(AVERAGEIFS(ASSESSMENTS!H:H,ASSESSMENTS!B:B,A421,ASSESSMENTS!E:E,"Physical Sciences"),1),""))</f>
        <v/>
      </c>
      <c r="I421" s="4">
        <f>IF(A421="","",IFERROR(ROUND(AVERAGEIFS(ASSESSMENTS!H:H,ASSESSMENTS!B:B,A421,ASSESSMENTS!E:E,"Geography"),1),""))</f>
        <v/>
      </c>
      <c r="J421" s="4">
        <f>IF(A421="","",IFERROR(ROUND(AVERAGEIFS(ASSESSMENTS!H:H,ASSESSMENTS!B:B,A421,ASSESSMENTS!E:E,"Accounting"),1),""))</f>
        <v/>
      </c>
      <c r="K421" s="4">
        <f>IF(A421="","",IFERROR(ROUND(AVERAGEIFS(ASSESSMENTS!H:H,ASSESSMENTS!B:B,A421,ASSESSMENTS!E:E,"English"),1),""))</f>
        <v/>
      </c>
      <c r="L421" s="5">
        <f>IF(A421="","",IFERROR(_xludf.XLOOKUP(A421,ATTENDANCE_SUMMARY!A:A,ATTENDANCE_SUMMARY!G:G,""),""))</f>
        <v/>
      </c>
      <c r="M421" s="4">
        <f>IF(A421="","",IF(OR(E421&lt;50,AND(L421&lt;0.75,L421&lt;&gt;"" )),"At Risk","On Track"))</f>
        <v/>
      </c>
    </row>
    <row r="422">
      <c r="A422">
        <f>IF(MASTER_REGISTER!E422="","",MASTER_REGISTER!E422)</f>
        <v/>
      </c>
      <c r="B422">
        <f>IF(A422="","",MASTER_REGISTER!F422)</f>
        <v/>
      </c>
      <c r="C422">
        <f>IF(A422="","",MASTER_REGISTER!C422)</f>
        <v/>
      </c>
      <c r="D422">
        <f>IF(A422="","",COUNTIF(ASSESSMENTS!B:B,A422))</f>
        <v/>
      </c>
      <c r="E422" s="4">
        <f>IF(D422=0,"",ROUND(AVERAGEIF(ASSESSMENTS!B:B,A422,ASSESSMENTS!H:H),1))</f>
        <v/>
      </c>
      <c r="F422" s="4">
        <f>IF(A422="","",IFERROR(ROUND(AVERAGEIFS(ASSESSMENTS!H:H,ASSESSMENTS!B:B,A422,ASSESSMENTS!E:E,"Mathematics"),1),""))</f>
        <v/>
      </c>
      <c r="G422" s="4">
        <f>IF(A422="","",IFERROR(ROUND(AVERAGEIFS(ASSESSMENTS!H:H,ASSESSMENTS!B:B,A422,ASSESSMENTS!E:E,"Mathematical Literacy"),1),""))</f>
        <v/>
      </c>
      <c r="H422" s="4">
        <f>IF(A422="","",IFERROR(ROUND(AVERAGEIFS(ASSESSMENTS!H:H,ASSESSMENTS!B:B,A422,ASSESSMENTS!E:E,"Physical Sciences"),1),""))</f>
        <v/>
      </c>
      <c r="I422" s="4">
        <f>IF(A422="","",IFERROR(ROUND(AVERAGEIFS(ASSESSMENTS!H:H,ASSESSMENTS!B:B,A422,ASSESSMENTS!E:E,"Geography"),1),""))</f>
        <v/>
      </c>
      <c r="J422" s="4">
        <f>IF(A422="","",IFERROR(ROUND(AVERAGEIFS(ASSESSMENTS!H:H,ASSESSMENTS!B:B,A422,ASSESSMENTS!E:E,"Accounting"),1),""))</f>
        <v/>
      </c>
      <c r="K422" s="4">
        <f>IF(A422="","",IFERROR(ROUND(AVERAGEIFS(ASSESSMENTS!H:H,ASSESSMENTS!B:B,A422,ASSESSMENTS!E:E,"English"),1),""))</f>
        <v/>
      </c>
      <c r="L422" s="5">
        <f>IF(A422="","",IFERROR(_xludf.XLOOKUP(A422,ATTENDANCE_SUMMARY!A:A,ATTENDANCE_SUMMARY!G:G,""),""))</f>
        <v/>
      </c>
      <c r="M422" s="4">
        <f>IF(A422="","",IF(OR(E422&lt;50,AND(L422&lt;0.75,L422&lt;&gt;"" )),"At Risk","On Track"))</f>
        <v/>
      </c>
    </row>
    <row r="423">
      <c r="A423">
        <f>IF(MASTER_REGISTER!E423="","",MASTER_REGISTER!E423)</f>
        <v/>
      </c>
      <c r="B423">
        <f>IF(A423="","",MASTER_REGISTER!F423)</f>
        <v/>
      </c>
      <c r="C423">
        <f>IF(A423="","",MASTER_REGISTER!C423)</f>
        <v/>
      </c>
      <c r="D423">
        <f>IF(A423="","",COUNTIF(ASSESSMENTS!B:B,A423))</f>
        <v/>
      </c>
      <c r="E423" s="4">
        <f>IF(D423=0,"",ROUND(AVERAGEIF(ASSESSMENTS!B:B,A423,ASSESSMENTS!H:H),1))</f>
        <v/>
      </c>
      <c r="F423" s="4">
        <f>IF(A423="","",IFERROR(ROUND(AVERAGEIFS(ASSESSMENTS!H:H,ASSESSMENTS!B:B,A423,ASSESSMENTS!E:E,"Mathematics"),1),""))</f>
        <v/>
      </c>
      <c r="G423" s="4">
        <f>IF(A423="","",IFERROR(ROUND(AVERAGEIFS(ASSESSMENTS!H:H,ASSESSMENTS!B:B,A423,ASSESSMENTS!E:E,"Mathematical Literacy"),1),""))</f>
        <v/>
      </c>
      <c r="H423" s="4">
        <f>IF(A423="","",IFERROR(ROUND(AVERAGEIFS(ASSESSMENTS!H:H,ASSESSMENTS!B:B,A423,ASSESSMENTS!E:E,"Physical Sciences"),1),""))</f>
        <v/>
      </c>
      <c r="I423" s="4">
        <f>IF(A423="","",IFERROR(ROUND(AVERAGEIFS(ASSESSMENTS!H:H,ASSESSMENTS!B:B,A423,ASSESSMENTS!E:E,"Geography"),1),""))</f>
        <v/>
      </c>
      <c r="J423" s="4">
        <f>IF(A423="","",IFERROR(ROUND(AVERAGEIFS(ASSESSMENTS!H:H,ASSESSMENTS!B:B,A423,ASSESSMENTS!E:E,"Accounting"),1),""))</f>
        <v/>
      </c>
      <c r="K423" s="4">
        <f>IF(A423="","",IFERROR(ROUND(AVERAGEIFS(ASSESSMENTS!H:H,ASSESSMENTS!B:B,A423,ASSESSMENTS!E:E,"English"),1),""))</f>
        <v/>
      </c>
      <c r="L423" s="5">
        <f>IF(A423="","",IFERROR(_xludf.XLOOKUP(A423,ATTENDANCE_SUMMARY!A:A,ATTENDANCE_SUMMARY!G:G,""),""))</f>
        <v/>
      </c>
      <c r="M423" s="4">
        <f>IF(A423="","",IF(OR(E423&lt;50,AND(L423&lt;0.75,L423&lt;&gt;"" )),"At Risk","On Track"))</f>
        <v/>
      </c>
    </row>
    <row r="424">
      <c r="A424">
        <f>IF(MASTER_REGISTER!E424="","",MASTER_REGISTER!E424)</f>
        <v/>
      </c>
      <c r="B424">
        <f>IF(A424="","",MASTER_REGISTER!F424)</f>
        <v/>
      </c>
      <c r="C424">
        <f>IF(A424="","",MASTER_REGISTER!C424)</f>
        <v/>
      </c>
      <c r="D424">
        <f>IF(A424="","",COUNTIF(ASSESSMENTS!B:B,A424))</f>
        <v/>
      </c>
      <c r="E424" s="4">
        <f>IF(D424=0,"",ROUND(AVERAGEIF(ASSESSMENTS!B:B,A424,ASSESSMENTS!H:H),1))</f>
        <v/>
      </c>
      <c r="F424" s="4">
        <f>IF(A424="","",IFERROR(ROUND(AVERAGEIFS(ASSESSMENTS!H:H,ASSESSMENTS!B:B,A424,ASSESSMENTS!E:E,"Mathematics"),1),""))</f>
        <v/>
      </c>
      <c r="G424" s="4">
        <f>IF(A424="","",IFERROR(ROUND(AVERAGEIFS(ASSESSMENTS!H:H,ASSESSMENTS!B:B,A424,ASSESSMENTS!E:E,"Mathematical Literacy"),1),""))</f>
        <v/>
      </c>
      <c r="H424" s="4">
        <f>IF(A424="","",IFERROR(ROUND(AVERAGEIFS(ASSESSMENTS!H:H,ASSESSMENTS!B:B,A424,ASSESSMENTS!E:E,"Physical Sciences"),1),""))</f>
        <v/>
      </c>
      <c r="I424" s="4">
        <f>IF(A424="","",IFERROR(ROUND(AVERAGEIFS(ASSESSMENTS!H:H,ASSESSMENTS!B:B,A424,ASSESSMENTS!E:E,"Geography"),1),""))</f>
        <v/>
      </c>
      <c r="J424" s="4">
        <f>IF(A424="","",IFERROR(ROUND(AVERAGEIFS(ASSESSMENTS!H:H,ASSESSMENTS!B:B,A424,ASSESSMENTS!E:E,"Accounting"),1),""))</f>
        <v/>
      </c>
      <c r="K424" s="4">
        <f>IF(A424="","",IFERROR(ROUND(AVERAGEIFS(ASSESSMENTS!H:H,ASSESSMENTS!B:B,A424,ASSESSMENTS!E:E,"English"),1),""))</f>
        <v/>
      </c>
      <c r="L424" s="5">
        <f>IF(A424="","",IFERROR(_xludf.XLOOKUP(A424,ATTENDANCE_SUMMARY!A:A,ATTENDANCE_SUMMARY!G:G,""),""))</f>
        <v/>
      </c>
      <c r="M424" s="4">
        <f>IF(A424="","",IF(OR(E424&lt;50,AND(L424&lt;0.75,L424&lt;&gt;"" )),"At Risk","On Track"))</f>
        <v/>
      </c>
    </row>
    <row r="425">
      <c r="A425">
        <f>IF(MASTER_REGISTER!E425="","",MASTER_REGISTER!E425)</f>
        <v/>
      </c>
      <c r="B425">
        <f>IF(A425="","",MASTER_REGISTER!F425)</f>
        <v/>
      </c>
      <c r="C425">
        <f>IF(A425="","",MASTER_REGISTER!C425)</f>
        <v/>
      </c>
      <c r="D425">
        <f>IF(A425="","",COUNTIF(ASSESSMENTS!B:B,A425))</f>
        <v/>
      </c>
      <c r="E425" s="4">
        <f>IF(D425=0,"",ROUND(AVERAGEIF(ASSESSMENTS!B:B,A425,ASSESSMENTS!H:H),1))</f>
        <v/>
      </c>
      <c r="F425" s="4">
        <f>IF(A425="","",IFERROR(ROUND(AVERAGEIFS(ASSESSMENTS!H:H,ASSESSMENTS!B:B,A425,ASSESSMENTS!E:E,"Mathematics"),1),""))</f>
        <v/>
      </c>
      <c r="G425" s="4">
        <f>IF(A425="","",IFERROR(ROUND(AVERAGEIFS(ASSESSMENTS!H:H,ASSESSMENTS!B:B,A425,ASSESSMENTS!E:E,"Mathematical Literacy"),1),""))</f>
        <v/>
      </c>
      <c r="H425" s="4">
        <f>IF(A425="","",IFERROR(ROUND(AVERAGEIFS(ASSESSMENTS!H:H,ASSESSMENTS!B:B,A425,ASSESSMENTS!E:E,"Physical Sciences"),1),""))</f>
        <v/>
      </c>
      <c r="I425" s="4">
        <f>IF(A425="","",IFERROR(ROUND(AVERAGEIFS(ASSESSMENTS!H:H,ASSESSMENTS!B:B,A425,ASSESSMENTS!E:E,"Geography"),1),""))</f>
        <v/>
      </c>
      <c r="J425" s="4">
        <f>IF(A425="","",IFERROR(ROUND(AVERAGEIFS(ASSESSMENTS!H:H,ASSESSMENTS!B:B,A425,ASSESSMENTS!E:E,"Accounting"),1),""))</f>
        <v/>
      </c>
      <c r="K425" s="4">
        <f>IF(A425="","",IFERROR(ROUND(AVERAGEIFS(ASSESSMENTS!H:H,ASSESSMENTS!B:B,A425,ASSESSMENTS!E:E,"English"),1),""))</f>
        <v/>
      </c>
      <c r="L425" s="5">
        <f>IF(A425="","",IFERROR(_xludf.XLOOKUP(A425,ATTENDANCE_SUMMARY!A:A,ATTENDANCE_SUMMARY!G:G,""),""))</f>
        <v/>
      </c>
      <c r="M425" s="4">
        <f>IF(A425="","",IF(OR(E425&lt;50,AND(L425&lt;0.75,L425&lt;&gt;"" )),"At Risk","On Track"))</f>
        <v/>
      </c>
    </row>
    <row r="426">
      <c r="A426">
        <f>IF(MASTER_REGISTER!E426="","",MASTER_REGISTER!E426)</f>
        <v/>
      </c>
      <c r="B426">
        <f>IF(A426="","",MASTER_REGISTER!F426)</f>
        <v/>
      </c>
      <c r="C426">
        <f>IF(A426="","",MASTER_REGISTER!C426)</f>
        <v/>
      </c>
      <c r="D426">
        <f>IF(A426="","",COUNTIF(ASSESSMENTS!B:B,A426))</f>
        <v/>
      </c>
      <c r="E426" s="4">
        <f>IF(D426=0,"",ROUND(AVERAGEIF(ASSESSMENTS!B:B,A426,ASSESSMENTS!H:H),1))</f>
        <v/>
      </c>
      <c r="F426" s="4">
        <f>IF(A426="","",IFERROR(ROUND(AVERAGEIFS(ASSESSMENTS!H:H,ASSESSMENTS!B:B,A426,ASSESSMENTS!E:E,"Mathematics"),1),""))</f>
        <v/>
      </c>
      <c r="G426" s="4">
        <f>IF(A426="","",IFERROR(ROUND(AVERAGEIFS(ASSESSMENTS!H:H,ASSESSMENTS!B:B,A426,ASSESSMENTS!E:E,"Mathematical Literacy"),1),""))</f>
        <v/>
      </c>
      <c r="H426" s="4">
        <f>IF(A426="","",IFERROR(ROUND(AVERAGEIFS(ASSESSMENTS!H:H,ASSESSMENTS!B:B,A426,ASSESSMENTS!E:E,"Physical Sciences"),1),""))</f>
        <v/>
      </c>
      <c r="I426" s="4">
        <f>IF(A426="","",IFERROR(ROUND(AVERAGEIFS(ASSESSMENTS!H:H,ASSESSMENTS!B:B,A426,ASSESSMENTS!E:E,"Geography"),1),""))</f>
        <v/>
      </c>
      <c r="J426" s="4">
        <f>IF(A426="","",IFERROR(ROUND(AVERAGEIFS(ASSESSMENTS!H:H,ASSESSMENTS!B:B,A426,ASSESSMENTS!E:E,"Accounting"),1),""))</f>
        <v/>
      </c>
      <c r="K426" s="4">
        <f>IF(A426="","",IFERROR(ROUND(AVERAGEIFS(ASSESSMENTS!H:H,ASSESSMENTS!B:B,A426,ASSESSMENTS!E:E,"English"),1),""))</f>
        <v/>
      </c>
      <c r="L426" s="5">
        <f>IF(A426="","",IFERROR(_xludf.XLOOKUP(A426,ATTENDANCE_SUMMARY!A:A,ATTENDANCE_SUMMARY!G:G,""),""))</f>
        <v/>
      </c>
      <c r="M426" s="4">
        <f>IF(A426="","",IF(OR(E426&lt;50,AND(L426&lt;0.75,L426&lt;&gt;"" )),"At Risk","On Track"))</f>
        <v/>
      </c>
    </row>
    <row r="427">
      <c r="A427">
        <f>IF(MASTER_REGISTER!E427="","",MASTER_REGISTER!E427)</f>
        <v/>
      </c>
      <c r="B427">
        <f>IF(A427="","",MASTER_REGISTER!F427)</f>
        <v/>
      </c>
      <c r="C427">
        <f>IF(A427="","",MASTER_REGISTER!C427)</f>
        <v/>
      </c>
      <c r="D427">
        <f>IF(A427="","",COUNTIF(ASSESSMENTS!B:B,A427))</f>
        <v/>
      </c>
      <c r="E427" s="4">
        <f>IF(D427=0,"",ROUND(AVERAGEIF(ASSESSMENTS!B:B,A427,ASSESSMENTS!H:H),1))</f>
        <v/>
      </c>
      <c r="F427" s="4">
        <f>IF(A427="","",IFERROR(ROUND(AVERAGEIFS(ASSESSMENTS!H:H,ASSESSMENTS!B:B,A427,ASSESSMENTS!E:E,"Mathematics"),1),""))</f>
        <v/>
      </c>
      <c r="G427" s="4">
        <f>IF(A427="","",IFERROR(ROUND(AVERAGEIFS(ASSESSMENTS!H:H,ASSESSMENTS!B:B,A427,ASSESSMENTS!E:E,"Mathematical Literacy"),1),""))</f>
        <v/>
      </c>
      <c r="H427" s="4">
        <f>IF(A427="","",IFERROR(ROUND(AVERAGEIFS(ASSESSMENTS!H:H,ASSESSMENTS!B:B,A427,ASSESSMENTS!E:E,"Physical Sciences"),1),""))</f>
        <v/>
      </c>
      <c r="I427" s="4">
        <f>IF(A427="","",IFERROR(ROUND(AVERAGEIFS(ASSESSMENTS!H:H,ASSESSMENTS!B:B,A427,ASSESSMENTS!E:E,"Geography"),1),""))</f>
        <v/>
      </c>
      <c r="J427" s="4">
        <f>IF(A427="","",IFERROR(ROUND(AVERAGEIFS(ASSESSMENTS!H:H,ASSESSMENTS!B:B,A427,ASSESSMENTS!E:E,"Accounting"),1),""))</f>
        <v/>
      </c>
      <c r="K427" s="4">
        <f>IF(A427="","",IFERROR(ROUND(AVERAGEIFS(ASSESSMENTS!H:H,ASSESSMENTS!B:B,A427,ASSESSMENTS!E:E,"English"),1),""))</f>
        <v/>
      </c>
      <c r="L427" s="5">
        <f>IF(A427="","",IFERROR(_xludf.XLOOKUP(A427,ATTENDANCE_SUMMARY!A:A,ATTENDANCE_SUMMARY!G:G,""),""))</f>
        <v/>
      </c>
      <c r="M427" s="4">
        <f>IF(A427="","",IF(OR(E427&lt;50,AND(L427&lt;0.75,L427&lt;&gt;"" )),"At Risk","On Track"))</f>
        <v/>
      </c>
    </row>
    <row r="428">
      <c r="A428">
        <f>IF(MASTER_REGISTER!E428="","",MASTER_REGISTER!E428)</f>
        <v/>
      </c>
      <c r="B428">
        <f>IF(A428="","",MASTER_REGISTER!F428)</f>
        <v/>
      </c>
      <c r="C428">
        <f>IF(A428="","",MASTER_REGISTER!C428)</f>
        <v/>
      </c>
      <c r="D428">
        <f>IF(A428="","",COUNTIF(ASSESSMENTS!B:B,A428))</f>
        <v/>
      </c>
      <c r="E428" s="4">
        <f>IF(D428=0,"",ROUND(AVERAGEIF(ASSESSMENTS!B:B,A428,ASSESSMENTS!H:H),1))</f>
        <v/>
      </c>
      <c r="F428" s="4">
        <f>IF(A428="","",IFERROR(ROUND(AVERAGEIFS(ASSESSMENTS!H:H,ASSESSMENTS!B:B,A428,ASSESSMENTS!E:E,"Mathematics"),1),""))</f>
        <v/>
      </c>
      <c r="G428" s="4">
        <f>IF(A428="","",IFERROR(ROUND(AVERAGEIFS(ASSESSMENTS!H:H,ASSESSMENTS!B:B,A428,ASSESSMENTS!E:E,"Mathematical Literacy"),1),""))</f>
        <v/>
      </c>
      <c r="H428" s="4">
        <f>IF(A428="","",IFERROR(ROUND(AVERAGEIFS(ASSESSMENTS!H:H,ASSESSMENTS!B:B,A428,ASSESSMENTS!E:E,"Physical Sciences"),1),""))</f>
        <v/>
      </c>
      <c r="I428" s="4">
        <f>IF(A428="","",IFERROR(ROUND(AVERAGEIFS(ASSESSMENTS!H:H,ASSESSMENTS!B:B,A428,ASSESSMENTS!E:E,"Geography"),1),""))</f>
        <v/>
      </c>
      <c r="J428" s="4">
        <f>IF(A428="","",IFERROR(ROUND(AVERAGEIFS(ASSESSMENTS!H:H,ASSESSMENTS!B:B,A428,ASSESSMENTS!E:E,"Accounting"),1),""))</f>
        <v/>
      </c>
      <c r="K428" s="4">
        <f>IF(A428="","",IFERROR(ROUND(AVERAGEIFS(ASSESSMENTS!H:H,ASSESSMENTS!B:B,A428,ASSESSMENTS!E:E,"English"),1),""))</f>
        <v/>
      </c>
      <c r="L428" s="5">
        <f>IF(A428="","",IFERROR(_xludf.XLOOKUP(A428,ATTENDANCE_SUMMARY!A:A,ATTENDANCE_SUMMARY!G:G,""),""))</f>
        <v/>
      </c>
      <c r="M428" s="4">
        <f>IF(A428="","",IF(OR(E428&lt;50,AND(L428&lt;0.75,L428&lt;&gt;"" )),"At Risk","On Track"))</f>
        <v/>
      </c>
    </row>
    <row r="429">
      <c r="A429">
        <f>IF(MASTER_REGISTER!E429="","",MASTER_REGISTER!E429)</f>
        <v/>
      </c>
      <c r="B429">
        <f>IF(A429="","",MASTER_REGISTER!F429)</f>
        <v/>
      </c>
      <c r="C429">
        <f>IF(A429="","",MASTER_REGISTER!C429)</f>
        <v/>
      </c>
      <c r="D429">
        <f>IF(A429="","",COUNTIF(ASSESSMENTS!B:B,A429))</f>
        <v/>
      </c>
      <c r="E429" s="4">
        <f>IF(D429=0,"",ROUND(AVERAGEIF(ASSESSMENTS!B:B,A429,ASSESSMENTS!H:H),1))</f>
        <v/>
      </c>
      <c r="F429" s="4">
        <f>IF(A429="","",IFERROR(ROUND(AVERAGEIFS(ASSESSMENTS!H:H,ASSESSMENTS!B:B,A429,ASSESSMENTS!E:E,"Mathematics"),1),""))</f>
        <v/>
      </c>
      <c r="G429" s="4">
        <f>IF(A429="","",IFERROR(ROUND(AVERAGEIFS(ASSESSMENTS!H:H,ASSESSMENTS!B:B,A429,ASSESSMENTS!E:E,"Mathematical Literacy"),1),""))</f>
        <v/>
      </c>
      <c r="H429" s="4">
        <f>IF(A429="","",IFERROR(ROUND(AVERAGEIFS(ASSESSMENTS!H:H,ASSESSMENTS!B:B,A429,ASSESSMENTS!E:E,"Physical Sciences"),1),""))</f>
        <v/>
      </c>
      <c r="I429" s="4">
        <f>IF(A429="","",IFERROR(ROUND(AVERAGEIFS(ASSESSMENTS!H:H,ASSESSMENTS!B:B,A429,ASSESSMENTS!E:E,"Geography"),1),""))</f>
        <v/>
      </c>
      <c r="J429" s="4">
        <f>IF(A429="","",IFERROR(ROUND(AVERAGEIFS(ASSESSMENTS!H:H,ASSESSMENTS!B:B,A429,ASSESSMENTS!E:E,"Accounting"),1),""))</f>
        <v/>
      </c>
      <c r="K429" s="4">
        <f>IF(A429="","",IFERROR(ROUND(AVERAGEIFS(ASSESSMENTS!H:H,ASSESSMENTS!B:B,A429,ASSESSMENTS!E:E,"English"),1),""))</f>
        <v/>
      </c>
      <c r="L429" s="5">
        <f>IF(A429="","",IFERROR(_xludf.XLOOKUP(A429,ATTENDANCE_SUMMARY!A:A,ATTENDANCE_SUMMARY!G:G,""),""))</f>
        <v/>
      </c>
      <c r="M429" s="4">
        <f>IF(A429="","",IF(OR(E429&lt;50,AND(L429&lt;0.75,L429&lt;&gt;"" )),"At Risk","On Track"))</f>
        <v/>
      </c>
    </row>
    <row r="430">
      <c r="A430">
        <f>IF(MASTER_REGISTER!E430="","",MASTER_REGISTER!E430)</f>
        <v/>
      </c>
      <c r="B430">
        <f>IF(A430="","",MASTER_REGISTER!F430)</f>
        <v/>
      </c>
      <c r="C430">
        <f>IF(A430="","",MASTER_REGISTER!C430)</f>
        <v/>
      </c>
      <c r="D430">
        <f>IF(A430="","",COUNTIF(ASSESSMENTS!B:B,A430))</f>
        <v/>
      </c>
      <c r="E430" s="4">
        <f>IF(D430=0,"",ROUND(AVERAGEIF(ASSESSMENTS!B:B,A430,ASSESSMENTS!H:H),1))</f>
        <v/>
      </c>
      <c r="F430" s="4">
        <f>IF(A430="","",IFERROR(ROUND(AVERAGEIFS(ASSESSMENTS!H:H,ASSESSMENTS!B:B,A430,ASSESSMENTS!E:E,"Mathematics"),1),""))</f>
        <v/>
      </c>
      <c r="G430" s="4">
        <f>IF(A430="","",IFERROR(ROUND(AVERAGEIFS(ASSESSMENTS!H:H,ASSESSMENTS!B:B,A430,ASSESSMENTS!E:E,"Mathematical Literacy"),1),""))</f>
        <v/>
      </c>
      <c r="H430" s="4">
        <f>IF(A430="","",IFERROR(ROUND(AVERAGEIFS(ASSESSMENTS!H:H,ASSESSMENTS!B:B,A430,ASSESSMENTS!E:E,"Physical Sciences"),1),""))</f>
        <v/>
      </c>
      <c r="I430" s="4">
        <f>IF(A430="","",IFERROR(ROUND(AVERAGEIFS(ASSESSMENTS!H:H,ASSESSMENTS!B:B,A430,ASSESSMENTS!E:E,"Geography"),1),""))</f>
        <v/>
      </c>
      <c r="J430" s="4">
        <f>IF(A430="","",IFERROR(ROUND(AVERAGEIFS(ASSESSMENTS!H:H,ASSESSMENTS!B:B,A430,ASSESSMENTS!E:E,"Accounting"),1),""))</f>
        <v/>
      </c>
      <c r="K430" s="4">
        <f>IF(A430="","",IFERROR(ROUND(AVERAGEIFS(ASSESSMENTS!H:H,ASSESSMENTS!B:B,A430,ASSESSMENTS!E:E,"English"),1),""))</f>
        <v/>
      </c>
      <c r="L430" s="5">
        <f>IF(A430="","",IFERROR(_xludf.XLOOKUP(A430,ATTENDANCE_SUMMARY!A:A,ATTENDANCE_SUMMARY!G:G,""),""))</f>
        <v/>
      </c>
      <c r="M430" s="4">
        <f>IF(A430="","",IF(OR(E430&lt;50,AND(L430&lt;0.75,L430&lt;&gt;"" )),"At Risk","On Track"))</f>
        <v/>
      </c>
    </row>
    <row r="431">
      <c r="A431">
        <f>IF(MASTER_REGISTER!E431="","",MASTER_REGISTER!E431)</f>
        <v/>
      </c>
      <c r="B431">
        <f>IF(A431="","",MASTER_REGISTER!F431)</f>
        <v/>
      </c>
      <c r="C431">
        <f>IF(A431="","",MASTER_REGISTER!C431)</f>
        <v/>
      </c>
      <c r="D431">
        <f>IF(A431="","",COUNTIF(ASSESSMENTS!B:B,A431))</f>
        <v/>
      </c>
      <c r="E431" s="4">
        <f>IF(D431=0,"",ROUND(AVERAGEIF(ASSESSMENTS!B:B,A431,ASSESSMENTS!H:H),1))</f>
        <v/>
      </c>
      <c r="F431" s="4">
        <f>IF(A431="","",IFERROR(ROUND(AVERAGEIFS(ASSESSMENTS!H:H,ASSESSMENTS!B:B,A431,ASSESSMENTS!E:E,"Mathematics"),1),""))</f>
        <v/>
      </c>
      <c r="G431" s="4">
        <f>IF(A431="","",IFERROR(ROUND(AVERAGEIFS(ASSESSMENTS!H:H,ASSESSMENTS!B:B,A431,ASSESSMENTS!E:E,"Mathematical Literacy"),1),""))</f>
        <v/>
      </c>
      <c r="H431" s="4">
        <f>IF(A431="","",IFERROR(ROUND(AVERAGEIFS(ASSESSMENTS!H:H,ASSESSMENTS!B:B,A431,ASSESSMENTS!E:E,"Physical Sciences"),1),""))</f>
        <v/>
      </c>
      <c r="I431" s="4">
        <f>IF(A431="","",IFERROR(ROUND(AVERAGEIFS(ASSESSMENTS!H:H,ASSESSMENTS!B:B,A431,ASSESSMENTS!E:E,"Geography"),1),""))</f>
        <v/>
      </c>
      <c r="J431" s="4">
        <f>IF(A431="","",IFERROR(ROUND(AVERAGEIFS(ASSESSMENTS!H:H,ASSESSMENTS!B:B,A431,ASSESSMENTS!E:E,"Accounting"),1),""))</f>
        <v/>
      </c>
      <c r="K431" s="4">
        <f>IF(A431="","",IFERROR(ROUND(AVERAGEIFS(ASSESSMENTS!H:H,ASSESSMENTS!B:B,A431,ASSESSMENTS!E:E,"English"),1),""))</f>
        <v/>
      </c>
      <c r="L431" s="5">
        <f>IF(A431="","",IFERROR(_xludf.XLOOKUP(A431,ATTENDANCE_SUMMARY!A:A,ATTENDANCE_SUMMARY!G:G,""),""))</f>
        <v/>
      </c>
      <c r="M431" s="4">
        <f>IF(A431="","",IF(OR(E431&lt;50,AND(L431&lt;0.75,L431&lt;&gt;"" )),"At Risk","On Track"))</f>
        <v/>
      </c>
    </row>
    <row r="432">
      <c r="A432">
        <f>IF(MASTER_REGISTER!E432="","",MASTER_REGISTER!E432)</f>
        <v/>
      </c>
      <c r="B432">
        <f>IF(A432="","",MASTER_REGISTER!F432)</f>
        <v/>
      </c>
      <c r="C432">
        <f>IF(A432="","",MASTER_REGISTER!C432)</f>
        <v/>
      </c>
      <c r="D432">
        <f>IF(A432="","",COUNTIF(ASSESSMENTS!B:B,A432))</f>
        <v/>
      </c>
      <c r="E432" s="4">
        <f>IF(D432=0,"",ROUND(AVERAGEIF(ASSESSMENTS!B:B,A432,ASSESSMENTS!H:H),1))</f>
        <v/>
      </c>
      <c r="F432" s="4">
        <f>IF(A432="","",IFERROR(ROUND(AVERAGEIFS(ASSESSMENTS!H:H,ASSESSMENTS!B:B,A432,ASSESSMENTS!E:E,"Mathematics"),1),""))</f>
        <v/>
      </c>
      <c r="G432" s="4">
        <f>IF(A432="","",IFERROR(ROUND(AVERAGEIFS(ASSESSMENTS!H:H,ASSESSMENTS!B:B,A432,ASSESSMENTS!E:E,"Mathematical Literacy"),1),""))</f>
        <v/>
      </c>
      <c r="H432" s="4">
        <f>IF(A432="","",IFERROR(ROUND(AVERAGEIFS(ASSESSMENTS!H:H,ASSESSMENTS!B:B,A432,ASSESSMENTS!E:E,"Physical Sciences"),1),""))</f>
        <v/>
      </c>
      <c r="I432" s="4">
        <f>IF(A432="","",IFERROR(ROUND(AVERAGEIFS(ASSESSMENTS!H:H,ASSESSMENTS!B:B,A432,ASSESSMENTS!E:E,"Geography"),1),""))</f>
        <v/>
      </c>
      <c r="J432" s="4">
        <f>IF(A432="","",IFERROR(ROUND(AVERAGEIFS(ASSESSMENTS!H:H,ASSESSMENTS!B:B,A432,ASSESSMENTS!E:E,"Accounting"),1),""))</f>
        <v/>
      </c>
      <c r="K432" s="4">
        <f>IF(A432="","",IFERROR(ROUND(AVERAGEIFS(ASSESSMENTS!H:H,ASSESSMENTS!B:B,A432,ASSESSMENTS!E:E,"English"),1),""))</f>
        <v/>
      </c>
      <c r="L432" s="5">
        <f>IF(A432="","",IFERROR(_xludf.XLOOKUP(A432,ATTENDANCE_SUMMARY!A:A,ATTENDANCE_SUMMARY!G:G,""),""))</f>
        <v/>
      </c>
      <c r="M432" s="4">
        <f>IF(A432="","",IF(OR(E432&lt;50,AND(L432&lt;0.75,L432&lt;&gt;"" )),"At Risk","On Track"))</f>
        <v/>
      </c>
    </row>
    <row r="433">
      <c r="A433">
        <f>IF(MASTER_REGISTER!E433="","",MASTER_REGISTER!E433)</f>
        <v/>
      </c>
      <c r="B433">
        <f>IF(A433="","",MASTER_REGISTER!F433)</f>
        <v/>
      </c>
      <c r="C433">
        <f>IF(A433="","",MASTER_REGISTER!C433)</f>
        <v/>
      </c>
      <c r="D433">
        <f>IF(A433="","",COUNTIF(ASSESSMENTS!B:B,A433))</f>
        <v/>
      </c>
      <c r="E433" s="4">
        <f>IF(D433=0,"",ROUND(AVERAGEIF(ASSESSMENTS!B:B,A433,ASSESSMENTS!H:H),1))</f>
        <v/>
      </c>
      <c r="F433" s="4">
        <f>IF(A433="","",IFERROR(ROUND(AVERAGEIFS(ASSESSMENTS!H:H,ASSESSMENTS!B:B,A433,ASSESSMENTS!E:E,"Mathematics"),1),""))</f>
        <v/>
      </c>
      <c r="G433" s="4">
        <f>IF(A433="","",IFERROR(ROUND(AVERAGEIFS(ASSESSMENTS!H:H,ASSESSMENTS!B:B,A433,ASSESSMENTS!E:E,"Mathematical Literacy"),1),""))</f>
        <v/>
      </c>
      <c r="H433" s="4">
        <f>IF(A433="","",IFERROR(ROUND(AVERAGEIFS(ASSESSMENTS!H:H,ASSESSMENTS!B:B,A433,ASSESSMENTS!E:E,"Physical Sciences"),1),""))</f>
        <v/>
      </c>
      <c r="I433" s="4">
        <f>IF(A433="","",IFERROR(ROUND(AVERAGEIFS(ASSESSMENTS!H:H,ASSESSMENTS!B:B,A433,ASSESSMENTS!E:E,"Geography"),1),""))</f>
        <v/>
      </c>
      <c r="J433" s="4">
        <f>IF(A433="","",IFERROR(ROUND(AVERAGEIFS(ASSESSMENTS!H:H,ASSESSMENTS!B:B,A433,ASSESSMENTS!E:E,"Accounting"),1),""))</f>
        <v/>
      </c>
      <c r="K433" s="4">
        <f>IF(A433="","",IFERROR(ROUND(AVERAGEIFS(ASSESSMENTS!H:H,ASSESSMENTS!B:B,A433,ASSESSMENTS!E:E,"English"),1),""))</f>
        <v/>
      </c>
      <c r="L433" s="5">
        <f>IF(A433="","",IFERROR(_xludf.XLOOKUP(A433,ATTENDANCE_SUMMARY!A:A,ATTENDANCE_SUMMARY!G:G,""),""))</f>
        <v/>
      </c>
      <c r="M433" s="4">
        <f>IF(A433="","",IF(OR(E433&lt;50,AND(L433&lt;0.75,L433&lt;&gt;"" )),"At Risk","On Track"))</f>
        <v/>
      </c>
    </row>
    <row r="434">
      <c r="A434">
        <f>IF(MASTER_REGISTER!E434="","",MASTER_REGISTER!E434)</f>
        <v/>
      </c>
      <c r="B434">
        <f>IF(A434="","",MASTER_REGISTER!F434)</f>
        <v/>
      </c>
      <c r="C434">
        <f>IF(A434="","",MASTER_REGISTER!C434)</f>
        <v/>
      </c>
      <c r="D434">
        <f>IF(A434="","",COUNTIF(ASSESSMENTS!B:B,A434))</f>
        <v/>
      </c>
      <c r="E434" s="4">
        <f>IF(D434=0,"",ROUND(AVERAGEIF(ASSESSMENTS!B:B,A434,ASSESSMENTS!H:H),1))</f>
        <v/>
      </c>
      <c r="F434" s="4">
        <f>IF(A434="","",IFERROR(ROUND(AVERAGEIFS(ASSESSMENTS!H:H,ASSESSMENTS!B:B,A434,ASSESSMENTS!E:E,"Mathematics"),1),""))</f>
        <v/>
      </c>
      <c r="G434" s="4">
        <f>IF(A434="","",IFERROR(ROUND(AVERAGEIFS(ASSESSMENTS!H:H,ASSESSMENTS!B:B,A434,ASSESSMENTS!E:E,"Mathematical Literacy"),1),""))</f>
        <v/>
      </c>
      <c r="H434" s="4">
        <f>IF(A434="","",IFERROR(ROUND(AVERAGEIFS(ASSESSMENTS!H:H,ASSESSMENTS!B:B,A434,ASSESSMENTS!E:E,"Physical Sciences"),1),""))</f>
        <v/>
      </c>
      <c r="I434" s="4">
        <f>IF(A434="","",IFERROR(ROUND(AVERAGEIFS(ASSESSMENTS!H:H,ASSESSMENTS!B:B,A434,ASSESSMENTS!E:E,"Geography"),1),""))</f>
        <v/>
      </c>
      <c r="J434" s="4">
        <f>IF(A434="","",IFERROR(ROUND(AVERAGEIFS(ASSESSMENTS!H:H,ASSESSMENTS!B:B,A434,ASSESSMENTS!E:E,"Accounting"),1),""))</f>
        <v/>
      </c>
      <c r="K434" s="4">
        <f>IF(A434="","",IFERROR(ROUND(AVERAGEIFS(ASSESSMENTS!H:H,ASSESSMENTS!B:B,A434,ASSESSMENTS!E:E,"English"),1),""))</f>
        <v/>
      </c>
      <c r="L434" s="5">
        <f>IF(A434="","",IFERROR(_xludf.XLOOKUP(A434,ATTENDANCE_SUMMARY!A:A,ATTENDANCE_SUMMARY!G:G,""),""))</f>
        <v/>
      </c>
      <c r="M434" s="4">
        <f>IF(A434="","",IF(OR(E434&lt;50,AND(L434&lt;0.75,L434&lt;&gt;"" )),"At Risk","On Track"))</f>
        <v/>
      </c>
    </row>
    <row r="435">
      <c r="A435">
        <f>IF(MASTER_REGISTER!E435="","",MASTER_REGISTER!E435)</f>
        <v/>
      </c>
      <c r="B435">
        <f>IF(A435="","",MASTER_REGISTER!F435)</f>
        <v/>
      </c>
      <c r="C435">
        <f>IF(A435="","",MASTER_REGISTER!C435)</f>
        <v/>
      </c>
      <c r="D435">
        <f>IF(A435="","",COUNTIF(ASSESSMENTS!B:B,A435))</f>
        <v/>
      </c>
      <c r="E435" s="4">
        <f>IF(D435=0,"",ROUND(AVERAGEIF(ASSESSMENTS!B:B,A435,ASSESSMENTS!H:H),1))</f>
        <v/>
      </c>
      <c r="F435" s="4">
        <f>IF(A435="","",IFERROR(ROUND(AVERAGEIFS(ASSESSMENTS!H:H,ASSESSMENTS!B:B,A435,ASSESSMENTS!E:E,"Mathematics"),1),""))</f>
        <v/>
      </c>
      <c r="G435" s="4">
        <f>IF(A435="","",IFERROR(ROUND(AVERAGEIFS(ASSESSMENTS!H:H,ASSESSMENTS!B:B,A435,ASSESSMENTS!E:E,"Mathematical Literacy"),1),""))</f>
        <v/>
      </c>
      <c r="H435" s="4">
        <f>IF(A435="","",IFERROR(ROUND(AVERAGEIFS(ASSESSMENTS!H:H,ASSESSMENTS!B:B,A435,ASSESSMENTS!E:E,"Physical Sciences"),1),""))</f>
        <v/>
      </c>
      <c r="I435" s="4">
        <f>IF(A435="","",IFERROR(ROUND(AVERAGEIFS(ASSESSMENTS!H:H,ASSESSMENTS!B:B,A435,ASSESSMENTS!E:E,"Geography"),1),""))</f>
        <v/>
      </c>
      <c r="J435" s="4">
        <f>IF(A435="","",IFERROR(ROUND(AVERAGEIFS(ASSESSMENTS!H:H,ASSESSMENTS!B:B,A435,ASSESSMENTS!E:E,"Accounting"),1),""))</f>
        <v/>
      </c>
      <c r="K435" s="4">
        <f>IF(A435="","",IFERROR(ROUND(AVERAGEIFS(ASSESSMENTS!H:H,ASSESSMENTS!B:B,A435,ASSESSMENTS!E:E,"English"),1),""))</f>
        <v/>
      </c>
      <c r="L435" s="5">
        <f>IF(A435="","",IFERROR(_xludf.XLOOKUP(A435,ATTENDANCE_SUMMARY!A:A,ATTENDANCE_SUMMARY!G:G,""),""))</f>
        <v/>
      </c>
      <c r="M435" s="4">
        <f>IF(A435="","",IF(OR(E435&lt;50,AND(L435&lt;0.75,L435&lt;&gt;"" )),"At Risk","On Track"))</f>
        <v/>
      </c>
    </row>
    <row r="436">
      <c r="A436">
        <f>IF(MASTER_REGISTER!E436="","",MASTER_REGISTER!E436)</f>
        <v/>
      </c>
      <c r="B436">
        <f>IF(A436="","",MASTER_REGISTER!F436)</f>
        <v/>
      </c>
      <c r="C436">
        <f>IF(A436="","",MASTER_REGISTER!C436)</f>
        <v/>
      </c>
      <c r="D436">
        <f>IF(A436="","",COUNTIF(ASSESSMENTS!B:B,A436))</f>
        <v/>
      </c>
      <c r="E436" s="4">
        <f>IF(D436=0,"",ROUND(AVERAGEIF(ASSESSMENTS!B:B,A436,ASSESSMENTS!H:H),1))</f>
        <v/>
      </c>
      <c r="F436" s="4">
        <f>IF(A436="","",IFERROR(ROUND(AVERAGEIFS(ASSESSMENTS!H:H,ASSESSMENTS!B:B,A436,ASSESSMENTS!E:E,"Mathematics"),1),""))</f>
        <v/>
      </c>
      <c r="G436" s="4">
        <f>IF(A436="","",IFERROR(ROUND(AVERAGEIFS(ASSESSMENTS!H:H,ASSESSMENTS!B:B,A436,ASSESSMENTS!E:E,"Mathematical Literacy"),1),""))</f>
        <v/>
      </c>
      <c r="H436" s="4">
        <f>IF(A436="","",IFERROR(ROUND(AVERAGEIFS(ASSESSMENTS!H:H,ASSESSMENTS!B:B,A436,ASSESSMENTS!E:E,"Physical Sciences"),1),""))</f>
        <v/>
      </c>
      <c r="I436" s="4">
        <f>IF(A436="","",IFERROR(ROUND(AVERAGEIFS(ASSESSMENTS!H:H,ASSESSMENTS!B:B,A436,ASSESSMENTS!E:E,"Geography"),1),""))</f>
        <v/>
      </c>
      <c r="J436" s="4">
        <f>IF(A436="","",IFERROR(ROUND(AVERAGEIFS(ASSESSMENTS!H:H,ASSESSMENTS!B:B,A436,ASSESSMENTS!E:E,"Accounting"),1),""))</f>
        <v/>
      </c>
      <c r="K436" s="4">
        <f>IF(A436="","",IFERROR(ROUND(AVERAGEIFS(ASSESSMENTS!H:H,ASSESSMENTS!B:B,A436,ASSESSMENTS!E:E,"English"),1),""))</f>
        <v/>
      </c>
      <c r="L436" s="5">
        <f>IF(A436="","",IFERROR(_xludf.XLOOKUP(A436,ATTENDANCE_SUMMARY!A:A,ATTENDANCE_SUMMARY!G:G,""),""))</f>
        <v/>
      </c>
      <c r="M436" s="4">
        <f>IF(A436="","",IF(OR(E436&lt;50,AND(L436&lt;0.75,L436&lt;&gt;"" )),"At Risk","On Track"))</f>
        <v/>
      </c>
    </row>
    <row r="437">
      <c r="A437">
        <f>IF(MASTER_REGISTER!E437="","",MASTER_REGISTER!E437)</f>
        <v/>
      </c>
      <c r="B437">
        <f>IF(A437="","",MASTER_REGISTER!F437)</f>
        <v/>
      </c>
      <c r="C437">
        <f>IF(A437="","",MASTER_REGISTER!C437)</f>
        <v/>
      </c>
      <c r="D437">
        <f>IF(A437="","",COUNTIF(ASSESSMENTS!B:B,A437))</f>
        <v/>
      </c>
      <c r="E437" s="4">
        <f>IF(D437=0,"",ROUND(AVERAGEIF(ASSESSMENTS!B:B,A437,ASSESSMENTS!H:H),1))</f>
        <v/>
      </c>
      <c r="F437" s="4">
        <f>IF(A437="","",IFERROR(ROUND(AVERAGEIFS(ASSESSMENTS!H:H,ASSESSMENTS!B:B,A437,ASSESSMENTS!E:E,"Mathematics"),1),""))</f>
        <v/>
      </c>
      <c r="G437" s="4">
        <f>IF(A437="","",IFERROR(ROUND(AVERAGEIFS(ASSESSMENTS!H:H,ASSESSMENTS!B:B,A437,ASSESSMENTS!E:E,"Mathematical Literacy"),1),""))</f>
        <v/>
      </c>
      <c r="H437" s="4">
        <f>IF(A437="","",IFERROR(ROUND(AVERAGEIFS(ASSESSMENTS!H:H,ASSESSMENTS!B:B,A437,ASSESSMENTS!E:E,"Physical Sciences"),1),""))</f>
        <v/>
      </c>
      <c r="I437" s="4">
        <f>IF(A437="","",IFERROR(ROUND(AVERAGEIFS(ASSESSMENTS!H:H,ASSESSMENTS!B:B,A437,ASSESSMENTS!E:E,"Geography"),1),""))</f>
        <v/>
      </c>
      <c r="J437" s="4">
        <f>IF(A437="","",IFERROR(ROUND(AVERAGEIFS(ASSESSMENTS!H:H,ASSESSMENTS!B:B,A437,ASSESSMENTS!E:E,"Accounting"),1),""))</f>
        <v/>
      </c>
      <c r="K437" s="4">
        <f>IF(A437="","",IFERROR(ROUND(AVERAGEIFS(ASSESSMENTS!H:H,ASSESSMENTS!B:B,A437,ASSESSMENTS!E:E,"English"),1),""))</f>
        <v/>
      </c>
      <c r="L437" s="5">
        <f>IF(A437="","",IFERROR(_xludf.XLOOKUP(A437,ATTENDANCE_SUMMARY!A:A,ATTENDANCE_SUMMARY!G:G,""),""))</f>
        <v/>
      </c>
      <c r="M437" s="4">
        <f>IF(A437="","",IF(OR(E437&lt;50,AND(L437&lt;0.75,L437&lt;&gt;"" )),"At Risk","On Track"))</f>
        <v/>
      </c>
    </row>
    <row r="438">
      <c r="A438">
        <f>IF(MASTER_REGISTER!E438="","",MASTER_REGISTER!E438)</f>
        <v/>
      </c>
      <c r="B438">
        <f>IF(A438="","",MASTER_REGISTER!F438)</f>
        <v/>
      </c>
      <c r="C438">
        <f>IF(A438="","",MASTER_REGISTER!C438)</f>
        <v/>
      </c>
      <c r="D438">
        <f>IF(A438="","",COUNTIF(ASSESSMENTS!B:B,A438))</f>
        <v/>
      </c>
      <c r="E438" s="4">
        <f>IF(D438=0,"",ROUND(AVERAGEIF(ASSESSMENTS!B:B,A438,ASSESSMENTS!H:H),1))</f>
        <v/>
      </c>
      <c r="F438" s="4">
        <f>IF(A438="","",IFERROR(ROUND(AVERAGEIFS(ASSESSMENTS!H:H,ASSESSMENTS!B:B,A438,ASSESSMENTS!E:E,"Mathematics"),1),""))</f>
        <v/>
      </c>
      <c r="G438" s="4">
        <f>IF(A438="","",IFERROR(ROUND(AVERAGEIFS(ASSESSMENTS!H:H,ASSESSMENTS!B:B,A438,ASSESSMENTS!E:E,"Mathematical Literacy"),1),""))</f>
        <v/>
      </c>
      <c r="H438" s="4">
        <f>IF(A438="","",IFERROR(ROUND(AVERAGEIFS(ASSESSMENTS!H:H,ASSESSMENTS!B:B,A438,ASSESSMENTS!E:E,"Physical Sciences"),1),""))</f>
        <v/>
      </c>
      <c r="I438" s="4">
        <f>IF(A438="","",IFERROR(ROUND(AVERAGEIFS(ASSESSMENTS!H:H,ASSESSMENTS!B:B,A438,ASSESSMENTS!E:E,"Geography"),1),""))</f>
        <v/>
      </c>
      <c r="J438" s="4">
        <f>IF(A438="","",IFERROR(ROUND(AVERAGEIFS(ASSESSMENTS!H:H,ASSESSMENTS!B:B,A438,ASSESSMENTS!E:E,"Accounting"),1),""))</f>
        <v/>
      </c>
      <c r="K438" s="4">
        <f>IF(A438="","",IFERROR(ROUND(AVERAGEIFS(ASSESSMENTS!H:H,ASSESSMENTS!B:B,A438,ASSESSMENTS!E:E,"English"),1),""))</f>
        <v/>
      </c>
      <c r="L438" s="5">
        <f>IF(A438="","",IFERROR(_xludf.XLOOKUP(A438,ATTENDANCE_SUMMARY!A:A,ATTENDANCE_SUMMARY!G:G,""),""))</f>
        <v/>
      </c>
      <c r="M438" s="4">
        <f>IF(A438="","",IF(OR(E438&lt;50,AND(L438&lt;0.75,L438&lt;&gt;"" )),"At Risk","On Track"))</f>
        <v/>
      </c>
    </row>
    <row r="439">
      <c r="A439">
        <f>IF(MASTER_REGISTER!E439="","",MASTER_REGISTER!E439)</f>
        <v/>
      </c>
      <c r="B439">
        <f>IF(A439="","",MASTER_REGISTER!F439)</f>
        <v/>
      </c>
      <c r="C439">
        <f>IF(A439="","",MASTER_REGISTER!C439)</f>
        <v/>
      </c>
      <c r="D439">
        <f>IF(A439="","",COUNTIF(ASSESSMENTS!B:B,A439))</f>
        <v/>
      </c>
      <c r="E439" s="4">
        <f>IF(D439=0,"",ROUND(AVERAGEIF(ASSESSMENTS!B:B,A439,ASSESSMENTS!H:H),1))</f>
        <v/>
      </c>
      <c r="F439" s="4">
        <f>IF(A439="","",IFERROR(ROUND(AVERAGEIFS(ASSESSMENTS!H:H,ASSESSMENTS!B:B,A439,ASSESSMENTS!E:E,"Mathematics"),1),""))</f>
        <v/>
      </c>
      <c r="G439" s="4">
        <f>IF(A439="","",IFERROR(ROUND(AVERAGEIFS(ASSESSMENTS!H:H,ASSESSMENTS!B:B,A439,ASSESSMENTS!E:E,"Mathematical Literacy"),1),""))</f>
        <v/>
      </c>
      <c r="H439" s="4">
        <f>IF(A439="","",IFERROR(ROUND(AVERAGEIFS(ASSESSMENTS!H:H,ASSESSMENTS!B:B,A439,ASSESSMENTS!E:E,"Physical Sciences"),1),""))</f>
        <v/>
      </c>
      <c r="I439" s="4">
        <f>IF(A439="","",IFERROR(ROUND(AVERAGEIFS(ASSESSMENTS!H:H,ASSESSMENTS!B:B,A439,ASSESSMENTS!E:E,"Geography"),1),""))</f>
        <v/>
      </c>
      <c r="J439" s="4">
        <f>IF(A439="","",IFERROR(ROUND(AVERAGEIFS(ASSESSMENTS!H:H,ASSESSMENTS!B:B,A439,ASSESSMENTS!E:E,"Accounting"),1),""))</f>
        <v/>
      </c>
      <c r="K439" s="4">
        <f>IF(A439="","",IFERROR(ROUND(AVERAGEIFS(ASSESSMENTS!H:H,ASSESSMENTS!B:B,A439,ASSESSMENTS!E:E,"English"),1),""))</f>
        <v/>
      </c>
      <c r="L439" s="5">
        <f>IF(A439="","",IFERROR(_xludf.XLOOKUP(A439,ATTENDANCE_SUMMARY!A:A,ATTENDANCE_SUMMARY!G:G,""),""))</f>
        <v/>
      </c>
      <c r="M439" s="4">
        <f>IF(A439="","",IF(OR(E439&lt;50,AND(L439&lt;0.75,L439&lt;&gt;"" )),"At Risk","On Track"))</f>
        <v/>
      </c>
    </row>
    <row r="440">
      <c r="A440">
        <f>IF(MASTER_REGISTER!E440="","",MASTER_REGISTER!E440)</f>
        <v/>
      </c>
      <c r="B440">
        <f>IF(A440="","",MASTER_REGISTER!F440)</f>
        <v/>
      </c>
      <c r="C440">
        <f>IF(A440="","",MASTER_REGISTER!C440)</f>
        <v/>
      </c>
      <c r="D440">
        <f>IF(A440="","",COUNTIF(ASSESSMENTS!B:B,A440))</f>
        <v/>
      </c>
      <c r="E440" s="4">
        <f>IF(D440=0,"",ROUND(AVERAGEIF(ASSESSMENTS!B:B,A440,ASSESSMENTS!H:H),1))</f>
        <v/>
      </c>
      <c r="F440" s="4">
        <f>IF(A440="","",IFERROR(ROUND(AVERAGEIFS(ASSESSMENTS!H:H,ASSESSMENTS!B:B,A440,ASSESSMENTS!E:E,"Mathematics"),1),""))</f>
        <v/>
      </c>
      <c r="G440" s="4">
        <f>IF(A440="","",IFERROR(ROUND(AVERAGEIFS(ASSESSMENTS!H:H,ASSESSMENTS!B:B,A440,ASSESSMENTS!E:E,"Mathematical Literacy"),1),""))</f>
        <v/>
      </c>
      <c r="H440" s="4">
        <f>IF(A440="","",IFERROR(ROUND(AVERAGEIFS(ASSESSMENTS!H:H,ASSESSMENTS!B:B,A440,ASSESSMENTS!E:E,"Physical Sciences"),1),""))</f>
        <v/>
      </c>
      <c r="I440" s="4">
        <f>IF(A440="","",IFERROR(ROUND(AVERAGEIFS(ASSESSMENTS!H:H,ASSESSMENTS!B:B,A440,ASSESSMENTS!E:E,"Geography"),1),""))</f>
        <v/>
      </c>
      <c r="J440" s="4">
        <f>IF(A440="","",IFERROR(ROUND(AVERAGEIFS(ASSESSMENTS!H:H,ASSESSMENTS!B:B,A440,ASSESSMENTS!E:E,"Accounting"),1),""))</f>
        <v/>
      </c>
      <c r="K440" s="4">
        <f>IF(A440="","",IFERROR(ROUND(AVERAGEIFS(ASSESSMENTS!H:H,ASSESSMENTS!B:B,A440,ASSESSMENTS!E:E,"English"),1),""))</f>
        <v/>
      </c>
      <c r="L440" s="5">
        <f>IF(A440="","",IFERROR(_xludf.XLOOKUP(A440,ATTENDANCE_SUMMARY!A:A,ATTENDANCE_SUMMARY!G:G,""),""))</f>
        <v/>
      </c>
      <c r="M440" s="4">
        <f>IF(A440="","",IF(OR(E440&lt;50,AND(L440&lt;0.75,L440&lt;&gt;"" )),"At Risk","On Track"))</f>
        <v/>
      </c>
    </row>
    <row r="441">
      <c r="A441">
        <f>IF(MASTER_REGISTER!E441="","",MASTER_REGISTER!E441)</f>
        <v/>
      </c>
      <c r="B441">
        <f>IF(A441="","",MASTER_REGISTER!F441)</f>
        <v/>
      </c>
      <c r="C441">
        <f>IF(A441="","",MASTER_REGISTER!C441)</f>
        <v/>
      </c>
      <c r="D441">
        <f>IF(A441="","",COUNTIF(ASSESSMENTS!B:B,A441))</f>
        <v/>
      </c>
      <c r="E441" s="4">
        <f>IF(D441=0,"",ROUND(AVERAGEIF(ASSESSMENTS!B:B,A441,ASSESSMENTS!H:H),1))</f>
        <v/>
      </c>
      <c r="F441" s="4">
        <f>IF(A441="","",IFERROR(ROUND(AVERAGEIFS(ASSESSMENTS!H:H,ASSESSMENTS!B:B,A441,ASSESSMENTS!E:E,"Mathematics"),1),""))</f>
        <v/>
      </c>
      <c r="G441" s="4">
        <f>IF(A441="","",IFERROR(ROUND(AVERAGEIFS(ASSESSMENTS!H:H,ASSESSMENTS!B:B,A441,ASSESSMENTS!E:E,"Mathematical Literacy"),1),""))</f>
        <v/>
      </c>
      <c r="H441" s="4">
        <f>IF(A441="","",IFERROR(ROUND(AVERAGEIFS(ASSESSMENTS!H:H,ASSESSMENTS!B:B,A441,ASSESSMENTS!E:E,"Physical Sciences"),1),""))</f>
        <v/>
      </c>
      <c r="I441" s="4">
        <f>IF(A441="","",IFERROR(ROUND(AVERAGEIFS(ASSESSMENTS!H:H,ASSESSMENTS!B:B,A441,ASSESSMENTS!E:E,"Geography"),1),""))</f>
        <v/>
      </c>
      <c r="J441" s="4">
        <f>IF(A441="","",IFERROR(ROUND(AVERAGEIFS(ASSESSMENTS!H:H,ASSESSMENTS!B:B,A441,ASSESSMENTS!E:E,"Accounting"),1),""))</f>
        <v/>
      </c>
      <c r="K441" s="4">
        <f>IF(A441="","",IFERROR(ROUND(AVERAGEIFS(ASSESSMENTS!H:H,ASSESSMENTS!B:B,A441,ASSESSMENTS!E:E,"English"),1),""))</f>
        <v/>
      </c>
      <c r="L441" s="5">
        <f>IF(A441="","",IFERROR(_xludf.XLOOKUP(A441,ATTENDANCE_SUMMARY!A:A,ATTENDANCE_SUMMARY!G:G,""),""))</f>
        <v/>
      </c>
      <c r="M441" s="4">
        <f>IF(A441="","",IF(OR(E441&lt;50,AND(L441&lt;0.75,L441&lt;&gt;"" )),"At Risk","On Track"))</f>
        <v/>
      </c>
    </row>
    <row r="442">
      <c r="A442">
        <f>IF(MASTER_REGISTER!E442="","",MASTER_REGISTER!E442)</f>
        <v/>
      </c>
      <c r="B442">
        <f>IF(A442="","",MASTER_REGISTER!F442)</f>
        <v/>
      </c>
      <c r="C442">
        <f>IF(A442="","",MASTER_REGISTER!C442)</f>
        <v/>
      </c>
      <c r="D442">
        <f>IF(A442="","",COUNTIF(ASSESSMENTS!B:B,A442))</f>
        <v/>
      </c>
      <c r="E442" s="4">
        <f>IF(D442=0,"",ROUND(AVERAGEIF(ASSESSMENTS!B:B,A442,ASSESSMENTS!H:H),1))</f>
        <v/>
      </c>
      <c r="F442" s="4">
        <f>IF(A442="","",IFERROR(ROUND(AVERAGEIFS(ASSESSMENTS!H:H,ASSESSMENTS!B:B,A442,ASSESSMENTS!E:E,"Mathematics"),1),""))</f>
        <v/>
      </c>
      <c r="G442" s="4">
        <f>IF(A442="","",IFERROR(ROUND(AVERAGEIFS(ASSESSMENTS!H:H,ASSESSMENTS!B:B,A442,ASSESSMENTS!E:E,"Mathematical Literacy"),1),""))</f>
        <v/>
      </c>
      <c r="H442" s="4">
        <f>IF(A442="","",IFERROR(ROUND(AVERAGEIFS(ASSESSMENTS!H:H,ASSESSMENTS!B:B,A442,ASSESSMENTS!E:E,"Physical Sciences"),1),""))</f>
        <v/>
      </c>
      <c r="I442" s="4">
        <f>IF(A442="","",IFERROR(ROUND(AVERAGEIFS(ASSESSMENTS!H:H,ASSESSMENTS!B:B,A442,ASSESSMENTS!E:E,"Geography"),1),""))</f>
        <v/>
      </c>
      <c r="J442" s="4">
        <f>IF(A442="","",IFERROR(ROUND(AVERAGEIFS(ASSESSMENTS!H:H,ASSESSMENTS!B:B,A442,ASSESSMENTS!E:E,"Accounting"),1),""))</f>
        <v/>
      </c>
      <c r="K442" s="4">
        <f>IF(A442="","",IFERROR(ROUND(AVERAGEIFS(ASSESSMENTS!H:H,ASSESSMENTS!B:B,A442,ASSESSMENTS!E:E,"English"),1),""))</f>
        <v/>
      </c>
      <c r="L442" s="5">
        <f>IF(A442="","",IFERROR(_xludf.XLOOKUP(A442,ATTENDANCE_SUMMARY!A:A,ATTENDANCE_SUMMARY!G:G,""),""))</f>
        <v/>
      </c>
      <c r="M442" s="4">
        <f>IF(A442="","",IF(OR(E442&lt;50,AND(L442&lt;0.75,L442&lt;&gt;"" )),"At Risk","On Track"))</f>
        <v/>
      </c>
    </row>
    <row r="443">
      <c r="A443">
        <f>IF(MASTER_REGISTER!E443="","",MASTER_REGISTER!E443)</f>
        <v/>
      </c>
      <c r="B443">
        <f>IF(A443="","",MASTER_REGISTER!F443)</f>
        <v/>
      </c>
      <c r="C443">
        <f>IF(A443="","",MASTER_REGISTER!C443)</f>
        <v/>
      </c>
      <c r="D443">
        <f>IF(A443="","",COUNTIF(ASSESSMENTS!B:B,A443))</f>
        <v/>
      </c>
      <c r="E443" s="4">
        <f>IF(D443=0,"",ROUND(AVERAGEIF(ASSESSMENTS!B:B,A443,ASSESSMENTS!H:H),1))</f>
        <v/>
      </c>
      <c r="F443" s="4">
        <f>IF(A443="","",IFERROR(ROUND(AVERAGEIFS(ASSESSMENTS!H:H,ASSESSMENTS!B:B,A443,ASSESSMENTS!E:E,"Mathematics"),1),""))</f>
        <v/>
      </c>
      <c r="G443" s="4">
        <f>IF(A443="","",IFERROR(ROUND(AVERAGEIFS(ASSESSMENTS!H:H,ASSESSMENTS!B:B,A443,ASSESSMENTS!E:E,"Mathematical Literacy"),1),""))</f>
        <v/>
      </c>
      <c r="H443" s="4">
        <f>IF(A443="","",IFERROR(ROUND(AVERAGEIFS(ASSESSMENTS!H:H,ASSESSMENTS!B:B,A443,ASSESSMENTS!E:E,"Physical Sciences"),1),""))</f>
        <v/>
      </c>
      <c r="I443" s="4">
        <f>IF(A443="","",IFERROR(ROUND(AVERAGEIFS(ASSESSMENTS!H:H,ASSESSMENTS!B:B,A443,ASSESSMENTS!E:E,"Geography"),1),""))</f>
        <v/>
      </c>
      <c r="J443" s="4">
        <f>IF(A443="","",IFERROR(ROUND(AVERAGEIFS(ASSESSMENTS!H:H,ASSESSMENTS!B:B,A443,ASSESSMENTS!E:E,"Accounting"),1),""))</f>
        <v/>
      </c>
      <c r="K443" s="4">
        <f>IF(A443="","",IFERROR(ROUND(AVERAGEIFS(ASSESSMENTS!H:H,ASSESSMENTS!B:B,A443,ASSESSMENTS!E:E,"English"),1),""))</f>
        <v/>
      </c>
      <c r="L443" s="5">
        <f>IF(A443="","",IFERROR(_xludf.XLOOKUP(A443,ATTENDANCE_SUMMARY!A:A,ATTENDANCE_SUMMARY!G:G,""),""))</f>
        <v/>
      </c>
      <c r="M443" s="4">
        <f>IF(A443="","",IF(OR(E443&lt;50,AND(L443&lt;0.75,L443&lt;&gt;"" )),"At Risk","On Track"))</f>
        <v/>
      </c>
    </row>
    <row r="444">
      <c r="A444">
        <f>IF(MASTER_REGISTER!E444="","",MASTER_REGISTER!E444)</f>
        <v/>
      </c>
      <c r="B444">
        <f>IF(A444="","",MASTER_REGISTER!F444)</f>
        <v/>
      </c>
      <c r="C444">
        <f>IF(A444="","",MASTER_REGISTER!C444)</f>
        <v/>
      </c>
      <c r="D444">
        <f>IF(A444="","",COUNTIF(ASSESSMENTS!B:B,A444))</f>
        <v/>
      </c>
      <c r="E444" s="4">
        <f>IF(D444=0,"",ROUND(AVERAGEIF(ASSESSMENTS!B:B,A444,ASSESSMENTS!H:H),1))</f>
        <v/>
      </c>
      <c r="F444" s="4">
        <f>IF(A444="","",IFERROR(ROUND(AVERAGEIFS(ASSESSMENTS!H:H,ASSESSMENTS!B:B,A444,ASSESSMENTS!E:E,"Mathematics"),1),""))</f>
        <v/>
      </c>
      <c r="G444" s="4">
        <f>IF(A444="","",IFERROR(ROUND(AVERAGEIFS(ASSESSMENTS!H:H,ASSESSMENTS!B:B,A444,ASSESSMENTS!E:E,"Mathematical Literacy"),1),""))</f>
        <v/>
      </c>
      <c r="H444" s="4">
        <f>IF(A444="","",IFERROR(ROUND(AVERAGEIFS(ASSESSMENTS!H:H,ASSESSMENTS!B:B,A444,ASSESSMENTS!E:E,"Physical Sciences"),1),""))</f>
        <v/>
      </c>
      <c r="I444" s="4">
        <f>IF(A444="","",IFERROR(ROUND(AVERAGEIFS(ASSESSMENTS!H:H,ASSESSMENTS!B:B,A444,ASSESSMENTS!E:E,"Geography"),1),""))</f>
        <v/>
      </c>
      <c r="J444" s="4">
        <f>IF(A444="","",IFERROR(ROUND(AVERAGEIFS(ASSESSMENTS!H:H,ASSESSMENTS!B:B,A444,ASSESSMENTS!E:E,"Accounting"),1),""))</f>
        <v/>
      </c>
      <c r="K444" s="4">
        <f>IF(A444="","",IFERROR(ROUND(AVERAGEIFS(ASSESSMENTS!H:H,ASSESSMENTS!B:B,A444,ASSESSMENTS!E:E,"English"),1),""))</f>
        <v/>
      </c>
      <c r="L444" s="5">
        <f>IF(A444="","",IFERROR(_xludf.XLOOKUP(A444,ATTENDANCE_SUMMARY!A:A,ATTENDANCE_SUMMARY!G:G,""),""))</f>
        <v/>
      </c>
      <c r="M444" s="4">
        <f>IF(A444="","",IF(OR(E444&lt;50,AND(L444&lt;0.75,L444&lt;&gt;"" )),"At Risk","On Track"))</f>
        <v/>
      </c>
    </row>
    <row r="445">
      <c r="A445">
        <f>IF(MASTER_REGISTER!E445="","",MASTER_REGISTER!E445)</f>
        <v/>
      </c>
      <c r="B445">
        <f>IF(A445="","",MASTER_REGISTER!F445)</f>
        <v/>
      </c>
      <c r="C445">
        <f>IF(A445="","",MASTER_REGISTER!C445)</f>
        <v/>
      </c>
      <c r="D445">
        <f>IF(A445="","",COUNTIF(ASSESSMENTS!B:B,A445))</f>
        <v/>
      </c>
      <c r="E445" s="4">
        <f>IF(D445=0,"",ROUND(AVERAGEIF(ASSESSMENTS!B:B,A445,ASSESSMENTS!H:H),1))</f>
        <v/>
      </c>
      <c r="F445" s="4">
        <f>IF(A445="","",IFERROR(ROUND(AVERAGEIFS(ASSESSMENTS!H:H,ASSESSMENTS!B:B,A445,ASSESSMENTS!E:E,"Mathematics"),1),""))</f>
        <v/>
      </c>
      <c r="G445" s="4">
        <f>IF(A445="","",IFERROR(ROUND(AVERAGEIFS(ASSESSMENTS!H:H,ASSESSMENTS!B:B,A445,ASSESSMENTS!E:E,"Mathematical Literacy"),1),""))</f>
        <v/>
      </c>
      <c r="H445" s="4">
        <f>IF(A445="","",IFERROR(ROUND(AVERAGEIFS(ASSESSMENTS!H:H,ASSESSMENTS!B:B,A445,ASSESSMENTS!E:E,"Physical Sciences"),1),""))</f>
        <v/>
      </c>
      <c r="I445" s="4">
        <f>IF(A445="","",IFERROR(ROUND(AVERAGEIFS(ASSESSMENTS!H:H,ASSESSMENTS!B:B,A445,ASSESSMENTS!E:E,"Geography"),1),""))</f>
        <v/>
      </c>
      <c r="J445" s="4">
        <f>IF(A445="","",IFERROR(ROUND(AVERAGEIFS(ASSESSMENTS!H:H,ASSESSMENTS!B:B,A445,ASSESSMENTS!E:E,"Accounting"),1),""))</f>
        <v/>
      </c>
      <c r="K445" s="4">
        <f>IF(A445="","",IFERROR(ROUND(AVERAGEIFS(ASSESSMENTS!H:H,ASSESSMENTS!B:B,A445,ASSESSMENTS!E:E,"English"),1),""))</f>
        <v/>
      </c>
      <c r="L445" s="5">
        <f>IF(A445="","",IFERROR(_xludf.XLOOKUP(A445,ATTENDANCE_SUMMARY!A:A,ATTENDANCE_SUMMARY!G:G,""),""))</f>
        <v/>
      </c>
      <c r="M445" s="4">
        <f>IF(A445="","",IF(OR(E445&lt;50,AND(L445&lt;0.75,L445&lt;&gt;"" )),"At Risk","On Track"))</f>
        <v/>
      </c>
    </row>
    <row r="446">
      <c r="A446">
        <f>IF(MASTER_REGISTER!E446="","",MASTER_REGISTER!E446)</f>
        <v/>
      </c>
      <c r="B446">
        <f>IF(A446="","",MASTER_REGISTER!F446)</f>
        <v/>
      </c>
      <c r="C446">
        <f>IF(A446="","",MASTER_REGISTER!C446)</f>
        <v/>
      </c>
      <c r="D446">
        <f>IF(A446="","",COUNTIF(ASSESSMENTS!B:B,A446))</f>
        <v/>
      </c>
      <c r="E446" s="4">
        <f>IF(D446=0,"",ROUND(AVERAGEIF(ASSESSMENTS!B:B,A446,ASSESSMENTS!H:H),1))</f>
        <v/>
      </c>
      <c r="F446" s="4">
        <f>IF(A446="","",IFERROR(ROUND(AVERAGEIFS(ASSESSMENTS!H:H,ASSESSMENTS!B:B,A446,ASSESSMENTS!E:E,"Mathematics"),1),""))</f>
        <v/>
      </c>
      <c r="G446" s="4">
        <f>IF(A446="","",IFERROR(ROUND(AVERAGEIFS(ASSESSMENTS!H:H,ASSESSMENTS!B:B,A446,ASSESSMENTS!E:E,"Mathematical Literacy"),1),""))</f>
        <v/>
      </c>
      <c r="H446" s="4">
        <f>IF(A446="","",IFERROR(ROUND(AVERAGEIFS(ASSESSMENTS!H:H,ASSESSMENTS!B:B,A446,ASSESSMENTS!E:E,"Physical Sciences"),1),""))</f>
        <v/>
      </c>
      <c r="I446" s="4">
        <f>IF(A446="","",IFERROR(ROUND(AVERAGEIFS(ASSESSMENTS!H:H,ASSESSMENTS!B:B,A446,ASSESSMENTS!E:E,"Geography"),1),""))</f>
        <v/>
      </c>
      <c r="J446" s="4">
        <f>IF(A446="","",IFERROR(ROUND(AVERAGEIFS(ASSESSMENTS!H:H,ASSESSMENTS!B:B,A446,ASSESSMENTS!E:E,"Accounting"),1),""))</f>
        <v/>
      </c>
      <c r="K446" s="4">
        <f>IF(A446="","",IFERROR(ROUND(AVERAGEIFS(ASSESSMENTS!H:H,ASSESSMENTS!B:B,A446,ASSESSMENTS!E:E,"English"),1),""))</f>
        <v/>
      </c>
      <c r="L446" s="5">
        <f>IF(A446="","",IFERROR(_xludf.XLOOKUP(A446,ATTENDANCE_SUMMARY!A:A,ATTENDANCE_SUMMARY!G:G,""),""))</f>
        <v/>
      </c>
      <c r="M446" s="4">
        <f>IF(A446="","",IF(OR(E446&lt;50,AND(L446&lt;0.75,L446&lt;&gt;"" )),"At Risk","On Track"))</f>
        <v/>
      </c>
    </row>
    <row r="447">
      <c r="A447">
        <f>IF(MASTER_REGISTER!E447="","",MASTER_REGISTER!E447)</f>
        <v/>
      </c>
      <c r="B447">
        <f>IF(A447="","",MASTER_REGISTER!F447)</f>
        <v/>
      </c>
      <c r="C447">
        <f>IF(A447="","",MASTER_REGISTER!C447)</f>
        <v/>
      </c>
      <c r="D447">
        <f>IF(A447="","",COUNTIF(ASSESSMENTS!B:B,A447))</f>
        <v/>
      </c>
      <c r="E447" s="4">
        <f>IF(D447=0,"",ROUND(AVERAGEIF(ASSESSMENTS!B:B,A447,ASSESSMENTS!H:H),1))</f>
        <v/>
      </c>
      <c r="F447" s="4">
        <f>IF(A447="","",IFERROR(ROUND(AVERAGEIFS(ASSESSMENTS!H:H,ASSESSMENTS!B:B,A447,ASSESSMENTS!E:E,"Mathematics"),1),""))</f>
        <v/>
      </c>
      <c r="G447" s="4">
        <f>IF(A447="","",IFERROR(ROUND(AVERAGEIFS(ASSESSMENTS!H:H,ASSESSMENTS!B:B,A447,ASSESSMENTS!E:E,"Mathematical Literacy"),1),""))</f>
        <v/>
      </c>
      <c r="H447" s="4">
        <f>IF(A447="","",IFERROR(ROUND(AVERAGEIFS(ASSESSMENTS!H:H,ASSESSMENTS!B:B,A447,ASSESSMENTS!E:E,"Physical Sciences"),1),""))</f>
        <v/>
      </c>
      <c r="I447" s="4">
        <f>IF(A447="","",IFERROR(ROUND(AVERAGEIFS(ASSESSMENTS!H:H,ASSESSMENTS!B:B,A447,ASSESSMENTS!E:E,"Geography"),1),""))</f>
        <v/>
      </c>
      <c r="J447" s="4">
        <f>IF(A447="","",IFERROR(ROUND(AVERAGEIFS(ASSESSMENTS!H:H,ASSESSMENTS!B:B,A447,ASSESSMENTS!E:E,"Accounting"),1),""))</f>
        <v/>
      </c>
      <c r="K447" s="4">
        <f>IF(A447="","",IFERROR(ROUND(AVERAGEIFS(ASSESSMENTS!H:H,ASSESSMENTS!B:B,A447,ASSESSMENTS!E:E,"English"),1),""))</f>
        <v/>
      </c>
      <c r="L447" s="5">
        <f>IF(A447="","",IFERROR(_xludf.XLOOKUP(A447,ATTENDANCE_SUMMARY!A:A,ATTENDANCE_SUMMARY!G:G,""),""))</f>
        <v/>
      </c>
      <c r="M447" s="4">
        <f>IF(A447="","",IF(OR(E447&lt;50,AND(L447&lt;0.75,L447&lt;&gt;"" )),"At Risk","On Track"))</f>
        <v/>
      </c>
    </row>
    <row r="448">
      <c r="A448">
        <f>IF(MASTER_REGISTER!E448="","",MASTER_REGISTER!E448)</f>
        <v/>
      </c>
      <c r="B448">
        <f>IF(A448="","",MASTER_REGISTER!F448)</f>
        <v/>
      </c>
      <c r="C448">
        <f>IF(A448="","",MASTER_REGISTER!C448)</f>
        <v/>
      </c>
      <c r="D448">
        <f>IF(A448="","",COUNTIF(ASSESSMENTS!B:B,A448))</f>
        <v/>
      </c>
      <c r="E448" s="4">
        <f>IF(D448=0,"",ROUND(AVERAGEIF(ASSESSMENTS!B:B,A448,ASSESSMENTS!H:H),1))</f>
        <v/>
      </c>
      <c r="F448" s="4">
        <f>IF(A448="","",IFERROR(ROUND(AVERAGEIFS(ASSESSMENTS!H:H,ASSESSMENTS!B:B,A448,ASSESSMENTS!E:E,"Mathematics"),1),""))</f>
        <v/>
      </c>
      <c r="G448" s="4">
        <f>IF(A448="","",IFERROR(ROUND(AVERAGEIFS(ASSESSMENTS!H:H,ASSESSMENTS!B:B,A448,ASSESSMENTS!E:E,"Mathematical Literacy"),1),""))</f>
        <v/>
      </c>
      <c r="H448" s="4">
        <f>IF(A448="","",IFERROR(ROUND(AVERAGEIFS(ASSESSMENTS!H:H,ASSESSMENTS!B:B,A448,ASSESSMENTS!E:E,"Physical Sciences"),1),""))</f>
        <v/>
      </c>
      <c r="I448" s="4">
        <f>IF(A448="","",IFERROR(ROUND(AVERAGEIFS(ASSESSMENTS!H:H,ASSESSMENTS!B:B,A448,ASSESSMENTS!E:E,"Geography"),1),""))</f>
        <v/>
      </c>
      <c r="J448" s="4">
        <f>IF(A448="","",IFERROR(ROUND(AVERAGEIFS(ASSESSMENTS!H:H,ASSESSMENTS!B:B,A448,ASSESSMENTS!E:E,"Accounting"),1),""))</f>
        <v/>
      </c>
      <c r="K448" s="4">
        <f>IF(A448="","",IFERROR(ROUND(AVERAGEIFS(ASSESSMENTS!H:H,ASSESSMENTS!B:B,A448,ASSESSMENTS!E:E,"English"),1),""))</f>
        <v/>
      </c>
      <c r="L448" s="5">
        <f>IF(A448="","",IFERROR(_xludf.XLOOKUP(A448,ATTENDANCE_SUMMARY!A:A,ATTENDANCE_SUMMARY!G:G,""),""))</f>
        <v/>
      </c>
      <c r="M448" s="4">
        <f>IF(A448="","",IF(OR(E448&lt;50,AND(L448&lt;0.75,L448&lt;&gt;"" )),"At Risk","On Track"))</f>
        <v/>
      </c>
    </row>
    <row r="449">
      <c r="A449">
        <f>IF(MASTER_REGISTER!E449="","",MASTER_REGISTER!E449)</f>
        <v/>
      </c>
      <c r="B449">
        <f>IF(A449="","",MASTER_REGISTER!F449)</f>
        <v/>
      </c>
      <c r="C449">
        <f>IF(A449="","",MASTER_REGISTER!C449)</f>
        <v/>
      </c>
      <c r="D449">
        <f>IF(A449="","",COUNTIF(ASSESSMENTS!B:B,A449))</f>
        <v/>
      </c>
      <c r="E449" s="4">
        <f>IF(D449=0,"",ROUND(AVERAGEIF(ASSESSMENTS!B:B,A449,ASSESSMENTS!H:H),1))</f>
        <v/>
      </c>
      <c r="F449" s="4">
        <f>IF(A449="","",IFERROR(ROUND(AVERAGEIFS(ASSESSMENTS!H:H,ASSESSMENTS!B:B,A449,ASSESSMENTS!E:E,"Mathematics"),1),""))</f>
        <v/>
      </c>
      <c r="G449" s="4">
        <f>IF(A449="","",IFERROR(ROUND(AVERAGEIFS(ASSESSMENTS!H:H,ASSESSMENTS!B:B,A449,ASSESSMENTS!E:E,"Mathematical Literacy"),1),""))</f>
        <v/>
      </c>
      <c r="H449" s="4">
        <f>IF(A449="","",IFERROR(ROUND(AVERAGEIFS(ASSESSMENTS!H:H,ASSESSMENTS!B:B,A449,ASSESSMENTS!E:E,"Physical Sciences"),1),""))</f>
        <v/>
      </c>
      <c r="I449" s="4">
        <f>IF(A449="","",IFERROR(ROUND(AVERAGEIFS(ASSESSMENTS!H:H,ASSESSMENTS!B:B,A449,ASSESSMENTS!E:E,"Geography"),1),""))</f>
        <v/>
      </c>
      <c r="J449" s="4">
        <f>IF(A449="","",IFERROR(ROUND(AVERAGEIFS(ASSESSMENTS!H:H,ASSESSMENTS!B:B,A449,ASSESSMENTS!E:E,"Accounting"),1),""))</f>
        <v/>
      </c>
      <c r="K449" s="4">
        <f>IF(A449="","",IFERROR(ROUND(AVERAGEIFS(ASSESSMENTS!H:H,ASSESSMENTS!B:B,A449,ASSESSMENTS!E:E,"English"),1),""))</f>
        <v/>
      </c>
      <c r="L449" s="5">
        <f>IF(A449="","",IFERROR(_xludf.XLOOKUP(A449,ATTENDANCE_SUMMARY!A:A,ATTENDANCE_SUMMARY!G:G,""),""))</f>
        <v/>
      </c>
      <c r="M449" s="4">
        <f>IF(A449="","",IF(OR(E449&lt;50,AND(L449&lt;0.75,L449&lt;&gt;"" )),"At Risk","On Track"))</f>
        <v/>
      </c>
    </row>
    <row r="450">
      <c r="A450">
        <f>IF(MASTER_REGISTER!E450="","",MASTER_REGISTER!E450)</f>
        <v/>
      </c>
      <c r="B450">
        <f>IF(A450="","",MASTER_REGISTER!F450)</f>
        <v/>
      </c>
      <c r="C450">
        <f>IF(A450="","",MASTER_REGISTER!C450)</f>
        <v/>
      </c>
      <c r="D450">
        <f>IF(A450="","",COUNTIF(ASSESSMENTS!B:B,A450))</f>
        <v/>
      </c>
      <c r="E450" s="4">
        <f>IF(D450=0,"",ROUND(AVERAGEIF(ASSESSMENTS!B:B,A450,ASSESSMENTS!H:H),1))</f>
        <v/>
      </c>
      <c r="F450" s="4">
        <f>IF(A450="","",IFERROR(ROUND(AVERAGEIFS(ASSESSMENTS!H:H,ASSESSMENTS!B:B,A450,ASSESSMENTS!E:E,"Mathematics"),1),""))</f>
        <v/>
      </c>
      <c r="G450" s="4">
        <f>IF(A450="","",IFERROR(ROUND(AVERAGEIFS(ASSESSMENTS!H:H,ASSESSMENTS!B:B,A450,ASSESSMENTS!E:E,"Mathematical Literacy"),1),""))</f>
        <v/>
      </c>
      <c r="H450" s="4">
        <f>IF(A450="","",IFERROR(ROUND(AVERAGEIFS(ASSESSMENTS!H:H,ASSESSMENTS!B:B,A450,ASSESSMENTS!E:E,"Physical Sciences"),1),""))</f>
        <v/>
      </c>
      <c r="I450" s="4">
        <f>IF(A450="","",IFERROR(ROUND(AVERAGEIFS(ASSESSMENTS!H:H,ASSESSMENTS!B:B,A450,ASSESSMENTS!E:E,"Geography"),1),""))</f>
        <v/>
      </c>
      <c r="J450" s="4">
        <f>IF(A450="","",IFERROR(ROUND(AVERAGEIFS(ASSESSMENTS!H:H,ASSESSMENTS!B:B,A450,ASSESSMENTS!E:E,"Accounting"),1),""))</f>
        <v/>
      </c>
      <c r="K450" s="4">
        <f>IF(A450="","",IFERROR(ROUND(AVERAGEIFS(ASSESSMENTS!H:H,ASSESSMENTS!B:B,A450,ASSESSMENTS!E:E,"English"),1),""))</f>
        <v/>
      </c>
      <c r="L450" s="5">
        <f>IF(A450="","",IFERROR(_xludf.XLOOKUP(A450,ATTENDANCE_SUMMARY!A:A,ATTENDANCE_SUMMARY!G:G,""),""))</f>
        <v/>
      </c>
      <c r="M450" s="4">
        <f>IF(A450="","",IF(OR(E450&lt;50,AND(L450&lt;0.75,L450&lt;&gt;"" )),"At Risk","On Track"))</f>
        <v/>
      </c>
    </row>
    <row r="451">
      <c r="A451">
        <f>IF(MASTER_REGISTER!E451="","",MASTER_REGISTER!E451)</f>
        <v/>
      </c>
      <c r="B451">
        <f>IF(A451="","",MASTER_REGISTER!F451)</f>
        <v/>
      </c>
      <c r="C451">
        <f>IF(A451="","",MASTER_REGISTER!C451)</f>
        <v/>
      </c>
      <c r="D451">
        <f>IF(A451="","",COUNTIF(ASSESSMENTS!B:B,A451))</f>
        <v/>
      </c>
      <c r="E451" s="4">
        <f>IF(D451=0,"",ROUND(AVERAGEIF(ASSESSMENTS!B:B,A451,ASSESSMENTS!H:H),1))</f>
        <v/>
      </c>
      <c r="F451" s="4">
        <f>IF(A451="","",IFERROR(ROUND(AVERAGEIFS(ASSESSMENTS!H:H,ASSESSMENTS!B:B,A451,ASSESSMENTS!E:E,"Mathematics"),1),""))</f>
        <v/>
      </c>
      <c r="G451" s="4">
        <f>IF(A451="","",IFERROR(ROUND(AVERAGEIFS(ASSESSMENTS!H:H,ASSESSMENTS!B:B,A451,ASSESSMENTS!E:E,"Mathematical Literacy"),1),""))</f>
        <v/>
      </c>
      <c r="H451" s="4">
        <f>IF(A451="","",IFERROR(ROUND(AVERAGEIFS(ASSESSMENTS!H:H,ASSESSMENTS!B:B,A451,ASSESSMENTS!E:E,"Physical Sciences"),1),""))</f>
        <v/>
      </c>
      <c r="I451" s="4">
        <f>IF(A451="","",IFERROR(ROUND(AVERAGEIFS(ASSESSMENTS!H:H,ASSESSMENTS!B:B,A451,ASSESSMENTS!E:E,"Geography"),1),""))</f>
        <v/>
      </c>
      <c r="J451" s="4">
        <f>IF(A451="","",IFERROR(ROUND(AVERAGEIFS(ASSESSMENTS!H:H,ASSESSMENTS!B:B,A451,ASSESSMENTS!E:E,"Accounting"),1),""))</f>
        <v/>
      </c>
      <c r="K451" s="4">
        <f>IF(A451="","",IFERROR(ROUND(AVERAGEIFS(ASSESSMENTS!H:H,ASSESSMENTS!B:B,A451,ASSESSMENTS!E:E,"English"),1),""))</f>
        <v/>
      </c>
      <c r="L451" s="5">
        <f>IF(A451="","",IFERROR(_xludf.XLOOKUP(A451,ATTENDANCE_SUMMARY!A:A,ATTENDANCE_SUMMARY!G:G,""),""))</f>
        <v/>
      </c>
      <c r="M451" s="4">
        <f>IF(A451="","",IF(OR(E451&lt;50,AND(L451&lt;0.75,L451&lt;&gt;"" )),"At Risk","On Track"))</f>
        <v/>
      </c>
    </row>
    <row r="452">
      <c r="A452">
        <f>IF(MASTER_REGISTER!E452="","",MASTER_REGISTER!E452)</f>
        <v/>
      </c>
      <c r="B452">
        <f>IF(A452="","",MASTER_REGISTER!F452)</f>
        <v/>
      </c>
      <c r="C452">
        <f>IF(A452="","",MASTER_REGISTER!C452)</f>
        <v/>
      </c>
      <c r="D452">
        <f>IF(A452="","",COUNTIF(ASSESSMENTS!B:B,A452))</f>
        <v/>
      </c>
      <c r="E452" s="4">
        <f>IF(D452=0,"",ROUND(AVERAGEIF(ASSESSMENTS!B:B,A452,ASSESSMENTS!H:H),1))</f>
        <v/>
      </c>
      <c r="F452" s="4">
        <f>IF(A452="","",IFERROR(ROUND(AVERAGEIFS(ASSESSMENTS!H:H,ASSESSMENTS!B:B,A452,ASSESSMENTS!E:E,"Mathematics"),1),""))</f>
        <v/>
      </c>
      <c r="G452" s="4">
        <f>IF(A452="","",IFERROR(ROUND(AVERAGEIFS(ASSESSMENTS!H:H,ASSESSMENTS!B:B,A452,ASSESSMENTS!E:E,"Mathematical Literacy"),1),""))</f>
        <v/>
      </c>
      <c r="H452" s="4">
        <f>IF(A452="","",IFERROR(ROUND(AVERAGEIFS(ASSESSMENTS!H:H,ASSESSMENTS!B:B,A452,ASSESSMENTS!E:E,"Physical Sciences"),1),""))</f>
        <v/>
      </c>
      <c r="I452" s="4">
        <f>IF(A452="","",IFERROR(ROUND(AVERAGEIFS(ASSESSMENTS!H:H,ASSESSMENTS!B:B,A452,ASSESSMENTS!E:E,"Geography"),1),""))</f>
        <v/>
      </c>
      <c r="J452" s="4">
        <f>IF(A452="","",IFERROR(ROUND(AVERAGEIFS(ASSESSMENTS!H:H,ASSESSMENTS!B:B,A452,ASSESSMENTS!E:E,"Accounting"),1),""))</f>
        <v/>
      </c>
      <c r="K452" s="4">
        <f>IF(A452="","",IFERROR(ROUND(AVERAGEIFS(ASSESSMENTS!H:H,ASSESSMENTS!B:B,A452,ASSESSMENTS!E:E,"English"),1),""))</f>
        <v/>
      </c>
      <c r="L452" s="5">
        <f>IF(A452="","",IFERROR(_xludf.XLOOKUP(A452,ATTENDANCE_SUMMARY!A:A,ATTENDANCE_SUMMARY!G:G,""),""))</f>
        <v/>
      </c>
      <c r="M452" s="4">
        <f>IF(A452="","",IF(OR(E452&lt;50,AND(L452&lt;0.75,L452&lt;&gt;"" )),"At Risk","On Track"))</f>
        <v/>
      </c>
    </row>
    <row r="453">
      <c r="A453">
        <f>IF(MASTER_REGISTER!E453="","",MASTER_REGISTER!E453)</f>
        <v/>
      </c>
      <c r="B453">
        <f>IF(A453="","",MASTER_REGISTER!F453)</f>
        <v/>
      </c>
      <c r="C453">
        <f>IF(A453="","",MASTER_REGISTER!C453)</f>
        <v/>
      </c>
      <c r="D453">
        <f>IF(A453="","",COUNTIF(ASSESSMENTS!B:B,A453))</f>
        <v/>
      </c>
      <c r="E453" s="4">
        <f>IF(D453=0,"",ROUND(AVERAGEIF(ASSESSMENTS!B:B,A453,ASSESSMENTS!H:H),1))</f>
        <v/>
      </c>
      <c r="F453" s="4">
        <f>IF(A453="","",IFERROR(ROUND(AVERAGEIFS(ASSESSMENTS!H:H,ASSESSMENTS!B:B,A453,ASSESSMENTS!E:E,"Mathematics"),1),""))</f>
        <v/>
      </c>
      <c r="G453" s="4">
        <f>IF(A453="","",IFERROR(ROUND(AVERAGEIFS(ASSESSMENTS!H:H,ASSESSMENTS!B:B,A453,ASSESSMENTS!E:E,"Mathematical Literacy"),1),""))</f>
        <v/>
      </c>
      <c r="H453" s="4">
        <f>IF(A453="","",IFERROR(ROUND(AVERAGEIFS(ASSESSMENTS!H:H,ASSESSMENTS!B:B,A453,ASSESSMENTS!E:E,"Physical Sciences"),1),""))</f>
        <v/>
      </c>
      <c r="I453" s="4">
        <f>IF(A453="","",IFERROR(ROUND(AVERAGEIFS(ASSESSMENTS!H:H,ASSESSMENTS!B:B,A453,ASSESSMENTS!E:E,"Geography"),1),""))</f>
        <v/>
      </c>
      <c r="J453" s="4">
        <f>IF(A453="","",IFERROR(ROUND(AVERAGEIFS(ASSESSMENTS!H:H,ASSESSMENTS!B:B,A453,ASSESSMENTS!E:E,"Accounting"),1),""))</f>
        <v/>
      </c>
      <c r="K453" s="4">
        <f>IF(A453="","",IFERROR(ROUND(AVERAGEIFS(ASSESSMENTS!H:H,ASSESSMENTS!B:B,A453,ASSESSMENTS!E:E,"English"),1),""))</f>
        <v/>
      </c>
      <c r="L453" s="5">
        <f>IF(A453="","",IFERROR(_xludf.XLOOKUP(A453,ATTENDANCE_SUMMARY!A:A,ATTENDANCE_SUMMARY!G:G,""),""))</f>
        <v/>
      </c>
      <c r="M453" s="4">
        <f>IF(A453="","",IF(OR(E453&lt;50,AND(L453&lt;0.75,L453&lt;&gt;"" )),"At Risk","On Track"))</f>
        <v/>
      </c>
    </row>
    <row r="454">
      <c r="A454">
        <f>IF(MASTER_REGISTER!E454="","",MASTER_REGISTER!E454)</f>
        <v/>
      </c>
      <c r="B454">
        <f>IF(A454="","",MASTER_REGISTER!F454)</f>
        <v/>
      </c>
      <c r="C454">
        <f>IF(A454="","",MASTER_REGISTER!C454)</f>
        <v/>
      </c>
      <c r="D454">
        <f>IF(A454="","",COUNTIF(ASSESSMENTS!B:B,A454))</f>
        <v/>
      </c>
      <c r="E454" s="4">
        <f>IF(D454=0,"",ROUND(AVERAGEIF(ASSESSMENTS!B:B,A454,ASSESSMENTS!H:H),1))</f>
        <v/>
      </c>
      <c r="F454" s="4">
        <f>IF(A454="","",IFERROR(ROUND(AVERAGEIFS(ASSESSMENTS!H:H,ASSESSMENTS!B:B,A454,ASSESSMENTS!E:E,"Mathematics"),1),""))</f>
        <v/>
      </c>
      <c r="G454" s="4">
        <f>IF(A454="","",IFERROR(ROUND(AVERAGEIFS(ASSESSMENTS!H:H,ASSESSMENTS!B:B,A454,ASSESSMENTS!E:E,"Mathematical Literacy"),1),""))</f>
        <v/>
      </c>
      <c r="H454" s="4">
        <f>IF(A454="","",IFERROR(ROUND(AVERAGEIFS(ASSESSMENTS!H:H,ASSESSMENTS!B:B,A454,ASSESSMENTS!E:E,"Physical Sciences"),1),""))</f>
        <v/>
      </c>
      <c r="I454" s="4">
        <f>IF(A454="","",IFERROR(ROUND(AVERAGEIFS(ASSESSMENTS!H:H,ASSESSMENTS!B:B,A454,ASSESSMENTS!E:E,"Geography"),1),""))</f>
        <v/>
      </c>
      <c r="J454" s="4">
        <f>IF(A454="","",IFERROR(ROUND(AVERAGEIFS(ASSESSMENTS!H:H,ASSESSMENTS!B:B,A454,ASSESSMENTS!E:E,"Accounting"),1),""))</f>
        <v/>
      </c>
      <c r="K454" s="4">
        <f>IF(A454="","",IFERROR(ROUND(AVERAGEIFS(ASSESSMENTS!H:H,ASSESSMENTS!B:B,A454,ASSESSMENTS!E:E,"English"),1),""))</f>
        <v/>
      </c>
      <c r="L454" s="5">
        <f>IF(A454="","",IFERROR(_xludf.XLOOKUP(A454,ATTENDANCE_SUMMARY!A:A,ATTENDANCE_SUMMARY!G:G,""),""))</f>
        <v/>
      </c>
      <c r="M454" s="4">
        <f>IF(A454="","",IF(OR(E454&lt;50,AND(L454&lt;0.75,L454&lt;&gt;"" )),"At Risk","On Track"))</f>
        <v/>
      </c>
    </row>
    <row r="455">
      <c r="A455">
        <f>IF(MASTER_REGISTER!E455="","",MASTER_REGISTER!E455)</f>
        <v/>
      </c>
      <c r="B455">
        <f>IF(A455="","",MASTER_REGISTER!F455)</f>
        <v/>
      </c>
      <c r="C455">
        <f>IF(A455="","",MASTER_REGISTER!C455)</f>
        <v/>
      </c>
      <c r="D455">
        <f>IF(A455="","",COUNTIF(ASSESSMENTS!B:B,A455))</f>
        <v/>
      </c>
      <c r="E455" s="4">
        <f>IF(D455=0,"",ROUND(AVERAGEIF(ASSESSMENTS!B:B,A455,ASSESSMENTS!H:H),1))</f>
        <v/>
      </c>
      <c r="F455" s="4">
        <f>IF(A455="","",IFERROR(ROUND(AVERAGEIFS(ASSESSMENTS!H:H,ASSESSMENTS!B:B,A455,ASSESSMENTS!E:E,"Mathematics"),1),""))</f>
        <v/>
      </c>
      <c r="G455" s="4">
        <f>IF(A455="","",IFERROR(ROUND(AVERAGEIFS(ASSESSMENTS!H:H,ASSESSMENTS!B:B,A455,ASSESSMENTS!E:E,"Mathematical Literacy"),1),""))</f>
        <v/>
      </c>
      <c r="H455" s="4">
        <f>IF(A455="","",IFERROR(ROUND(AVERAGEIFS(ASSESSMENTS!H:H,ASSESSMENTS!B:B,A455,ASSESSMENTS!E:E,"Physical Sciences"),1),""))</f>
        <v/>
      </c>
      <c r="I455" s="4">
        <f>IF(A455="","",IFERROR(ROUND(AVERAGEIFS(ASSESSMENTS!H:H,ASSESSMENTS!B:B,A455,ASSESSMENTS!E:E,"Geography"),1),""))</f>
        <v/>
      </c>
      <c r="J455" s="4">
        <f>IF(A455="","",IFERROR(ROUND(AVERAGEIFS(ASSESSMENTS!H:H,ASSESSMENTS!B:B,A455,ASSESSMENTS!E:E,"Accounting"),1),""))</f>
        <v/>
      </c>
      <c r="K455" s="4">
        <f>IF(A455="","",IFERROR(ROUND(AVERAGEIFS(ASSESSMENTS!H:H,ASSESSMENTS!B:B,A455,ASSESSMENTS!E:E,"English"),1),""))</f>
        <v/>
      </c>
      <c r="L455" s="5">
        <f>IF(A455="","",IFERROR(_xludf.XLOOKUP(A455,ATTENDANCE_SUMMARY!A:A,ATTENDANCE_SUMMARY!G:G,""),""))</f>
        <v/>
      </c>
      <c r="M455" s="4">
        <f>IF(A455="","",IF(OR(E455&lt;50,AND(L455&lt;0.75,L455&lt;&gt;"" )),"At Risk","On Track"))</f>
        <v/>
      </c>
    </row>
    <row r="456">
      <c r="A456">
        <f>IF(MASTER_REGISTER!E456="","",MASTER_REGISTER!E456)</f>
        <v/>
      </c>
      <c r="B456">
        <f>IF(A456="","",MASTER_REGISTER!F456)</f>
        <v/>
      </c>
      <c r="C456">
        <f>IF(A456="","",MASTER_REGISTER!C456)</f>
        <v/>
      </c>
      <c r="D456">
        <f>IF(A456="","",COUNTIF(ASSESSMENTS!B:B,A456))</f>
        <v/>
      </c>
      <c r="E456" s="4">
        <f>IF(D456=0,"",ROUND(AVERAGEIF(ASSESSMENTS!B:B,A456,ASSESSMENTS!H:H),1))</f>
        <v/>
      </c>
      <c r="F456" s="4">
        <f>IF(A456="","",IFERROR(ROUND(AVERAGEIFS(ASSESSMENTS!H:H,ASSESSMENTS!B:B,A456,ASSESSMENTS!E:E,"Mathematics"),1),""))</f>
        <v/>
      </c>
      <c r="G456" s="4">
        <f>IF(A456="","",IFERROR(ROUND(AVERAGEIFS(ASSESSMENTS!H:H,ASSESSMENTS!B:B,A456,ASSESSMENTS!E:E,"Mathematical Literacy"),1),""))</f>
        <v/>
      </c>
      <c r="H456" s="4">
        <f>IF(A456="","",IFERROR(ROUND(AVERAGEIFS(ASSESSMENTS!H:H,ASSESSMENTS!B:B,A456,ASSESSMENTS!E:E,"Physical Sciences"),1),""))</f>
        <v/>
      </c>
      <c r="I456" s="4">
        <f>IF(A456="","",IFERROR(ROUND(AVERAGEIFS(ASSESSMENTS!H:H,ASSESSMENTS!B:B,A456,ASSESSMENTS!E:E,"Geography"),1),""))</f>
        <v/>
      </c>
      <c r="J456" s="4">
        <f>IF(A456="","",IFERROR(ROUND(AVERAGEIFS(ASSESSMENTS!H:H,ASSESSMENTS!B:B,A456,ASSESSMENTS!E:E,"Accounting"),1),""))</f>
        <v/>
      </c>
      <c r="K456" s="4">
        <f>IF(A456="","",IFERROR(ROUND(AVERAGEIFS(ASSESSMENTS!H:H,ASSESSMENTS!B:B,A456,ASSESSMENTS!E:E,"English"),1),""))</f>
        <v/>
      </c>
      <c r="L456" s="5">
        <f>IF(A456="","",IFERROR(_xludf.XLOOKUP(A456,ATTENDANCE_SUMMARY!A:A,ATTENDANCE_SUMMARY!G:G,""),""))</f>
        <v/>
      </c>
      <c r="M456" s="4">
        <f>IF(A456="","",IF(OR(E456&lt;50,AND(L456&lt;0.75,L456&lt;&gt;"" )),"At Risk","On Track"))</f>
        <v/>
      </c>
    </row>
    <row r="457">
      <c r="A457">
        <f>IF(MASTER_REGISTER!E457="","",MASTER_REGISTER!E457)</f>
        <v/>
      </c>
      <c r="B457">
        <f>IF(A457="","",MASTER_REGISTER!F457)</f>
        <v/>
      </c>
      <c r="C457">
        <f>IF(A457="","",MASTER_REGISTER!C457)</f>
        <v/>
      </c>
      <c r="D457">
        <f>IF(A457="","",COUNTIF(ASSESSMENTS!B:B,A457))</f>
        <v/>
      </c>
      <c r="E457" s="4">
        <f>IF(D457=0,"",ROUND(AVERAGEIF(ASSESSMENTS!B:B,A457,ASSESSMENTS!H:H),1))</f>
        <v/>
      </c>
      <c r="F457" s="4">
        <f>IF(A457="","",IFERROR(ROUND(AVERAGEIFS(ASSESSMENTS!H:H,ASSESSMENTS!B:B,A457,ASSESSMENTS!E:E,"Mathematics"),1),""))</f>
        <v/>
      </c>
      <c r="G457" s="4">
        <f>IF(A457="","",IFERROR(ROUND(AVERAGEIFS(ASSESSMENTS!H:H,ASSESSMENTS!B:B,A457,ASSESSMENTS!E:E,"Mathematical Literacy"),1),""))</f>
        <v/>
      </c>
      <c r="H457" s="4">
        <f>IF(A457="","",IFERROR(ROUND(AVERAGEIFS(ASSESSMENTS!H:H,ASSESSMENTS!B:B,A457,ASSESSMENTS!E:E,"Physical Sciences"),1),""))</f>
        <v/>
      </c>
      <c r="I457" s="4">
        <f>IF(A457="","",IFERROR(ROUND(AVERAGEIFS(ASSESSMENTS!H:H,ASSESSMENTS!B:B,A457,ASSESSMENTS!E:E,"Geography"),1),""))</f>
        <v/>
      </c>
      <c r="J457" s="4">
        <f>IF(A457="","",IFERROR(ROUND(AVERAGEIFS(ASSESSMENTS!H:H,ASSESSMENTS!B:B,A457,ASSESSMENTS!E:E,"Accounting"),1),""))</f>
        <v/>
      </c>
      <c r="K457" s="4">
        <f>IF(A457="","",IFERROR(ROUND(AVERAGEIFS(ASSESSMENTS!H:H,ASSESSMENTS!B:B,A457,ASSESSMENTS!E:E,"English"),1),""))</f>
        <v/>
      </c>
      <c r="L457" s="5">
        <f>IF(A457="","",IFERROR(_xludf.XLOOKUP(A457,ATTENDANCE_SUMMARY!A:A,ATTENDANCE_SUMMARY!G:G,""),""))</f>
        <v/>
      </c>
      <c r="M457" s="4">
        <f>IF(A457="","",IF(OR(E457&lt;50,AND(L457&lt;0.75,L457&lt;&gt;"" )),"At Risk","On Track"))</f>
        <v/>
      </c>
    </row>
    <row r="458">
      <c r="A458">
        <f>IF(MASTER_REGISTER!E458="","",MASTER_REGISTER!E458)</f>
        <v/>
      </c>
      <c r="B458">
        <f>IF(A458="","",MASTER_REGISTER!F458)</f>
        <v/>
      </c>
      <c r="C458">
        <f>IF(A458="","",MASTER_REGISTER!C458)</f>
        <v/>
      </c>
      <c r="D458">
        <f>IF(A458="","",COUNTIF(ASSESSMENTS!B:B,A458))</f>
        <v/>
      </c>
      <c r="E458" s="4">
        <f>IF(D458=0,"",ROUND(AVERAGEIF(ASSESSMENTS!B:B,A458,ASSESSMENTS!H:H),1))</f>
        <v/>
      </c>
      <c r="F458" s="4">
        <f>IF(A458="","",IFERROR(ROUND(AVERAGEIFS(ASSESSMENTS!H:H,ASSESSMENTS!B:B,A458,ASSESSMENTS!E:E,"Mathematics"),1),""))</f>
        <v/>
      </c>
      <c r="G458" s="4">
        <f>IF(A458="","",IFERROR(ROUND(AVERAGEIFS(ASSESSMENTS!H:H,ASSESSMENTS!B:B,A458,ASSESSMENTS!E:E,"Mathematical Literacy"),1),""))</f>
        <v/>
      </c>
      <c r="H458" s="4">
        <f>IF(A458="","",IFERROR(ROUND(AVERAGEIFS(ASSESSMENTS!H:H,ASSESSMENTS!B:B,A458,ASSESSMENTS!E:E,"Physical Sciences"),1),""))</f>
        <v/>
      </c>
      <c r="I458" s="4">
        <f>IF(A458="","",IFERROR(ROUND(AVERAGEIFS(ASSESSMENTS!H:H,ASSESSMENTS!B:B,A458,ASSESSMENTS!E:E,"Geography"),1),""))</f>
        <v/>
      </c>
      <c r="J458" s="4">
        <f>IF(A458="","",IFERROR(ROUND(AVERAGEIFS(ASSESSMENTS!H:H,ASSESSMENTS!B:B,A458,ASSESSMENTS!E:E,"Accounting"),1),""))</f>
        <v/>
      </c>
      <c r="K458" s="4">
        <f>IF(A458="","",IFERROR(ROUND(AVERAGEIFS(ASSESSMENTS!H:H,ASSESSMENTS!B:B,A458,ASSESSMENTS!E:E,"English"),1),""))</f>
        <v/>
      </c>
      <c r="L458" s="5">
        <f>IF(A458="","",IFERROR(_xludf.XLOOKUP(A458,ATTENDANCE_SUMMARY!A:A,ATTENDANCE_SUMMARY!G:G,""),""))</f>
        <v/>
      </c>
      <c r="M458" s="4">
        <f>IF(A458="","",IF(OR(E458&lt;50,AND(L458&lt;0.75,L458&lt;&gt;"" )),"At Risk","On Track"))</f>
        <v/>
      </c>
    </row>
    <row r="459">
      <c r="A459">
        <f>IF(MASTER_REGISTER!E459="","",MASTER_REGISTER!E459)</f>
        <v/>
      </c>
      <c r="B459">
        <f>IF(A459="","",MASTER_REGISTER!F459)</f>
        <v/>
      </c>
      <c r="C459">
        <f>IF(A459="","",MASTER_REGISTER!C459)</f>
        <v/>
      </c>
      <c r="D459">
        <f>IF(A459="","",COUNTIF(ASSESSMENTS!B:B,A459))</f>
        <v/>
      </c>
      <c r="E459" s="4">
        <f>IF(D459=0,"",ROUND(AVERAGEIF(ASSESSMENTS!B:B,A459,ASSESSMENTS!H:H),1))</f>
        <v/>
      </c>
      <c r="F459" s="4">
        <f>IF(A459="","",IFERROR(ROUND(AVERAGEIFS(ASSESSMENTS!H:H,ASSESSMENTS!B:B,A459,ASSESSMENTS!E:E,"Mathematics"),1),""))</f>
        <v/>
      </c>
      <c r="G459" s="4">
        <f>IF(A459="","",IFERROR(ROUND(AVERAGEIFS(ASSESSMENTS!H:H,ASSESSMENTS!B:B,A459,ASSESSMENTS!E:E,"Mathematical Literacy"),1),""))</f>
        <v/>
      </c>
      <c r="H459" s="4">
        <f>IF(A459="","",IFERROR(ROUND(AVERAGEIFS(ASSESSMENTS!H:H,ASSESSMENTS!B:B,A459,ASSESSMENTS!E:E,"Physical Sciences"),1),""))</f>
        <v/>
      </c>
      <c r="I459" s="4">
        <f>IF(A459="","",IFERROR(ROUND(AVERAGEIFS(ASSESSMENTS!H:H,ASSESSMENTS!B:B,A459,ASSESSMENTS!E:E,"Geography"),1),""))</f>
        <v/>
      </c>
      <c r="J459" s="4">
        <f>IF(A459="","",IFERROR(ROUND(AVERAGEIFS(ASSESSMENTS!H:H,ASSESSMENTS!B:B,A459,ASSESSMENTS!E:E,"Accounting"),1),""))</f>
        <v/>
      </c>
      <c r="K459" s="4">
        <f>IF(A459="","",IFERROR(ROUND(AVERAGEIFS(ASSESSMENTS!H:H,ASSESSMENTS!B:B,A459,ASSESSMENTS!E:E,"English"),1),""))</f>
        <v/>
      </c>
      <c r="L459" s="5">
        <f>IF(A459="","",IFERROR(_xludf.XLOOKUP(A459,ATTENDANCE_SUMMARY!A:A,ATTENDANCE_SUMMARY!G:G,""),""))</f>
        <v/>
      </c>
      <c r="M459" s="4">
        <f>IF(A459="","",IF(OR(E459&lt;50,AND(L459&lt;0.75,L459&lt;&gt;"" )),"At Risk","On Track"))</f>
        <v/>
      </c>
    </row>
    <row r="460">
      <c r="A460">
        <f>IF(MASTER_REGISTER!E460="","",MASTER_REGISTER!E460)</f>
        <v/>
      </c>
      <c r="B460">
        <f>IF(A460="","",MASTER_REGISTER!F460)</f>
        <v/>
      </c>
      <c r="C460">
        <f>IF(A460="","",MASTER_REGISTER!C460)</f>
        <v/>
      </c>
      <c r="D460">
        <f>IF(A460="","",COUNTIF(ASSESSMENTS!B:B,A460))</f>
        <v/>
      </c>
      <c r="E460" s="4">
        <f>IF(D460=0,"",ROUND(AVERAGEIF(ASSESSMENTS!B:B,A460,ASSESSMENTS!H:H),1))</f>
        <v/>
      </c>
      <c r="F460" s="4">
        <f>IF(A460="","",IFERROR(ROUND(AVERAGEIFS(ASSESSMENTS!H:H,ASSESSMENTS!B:B,A460,ASSESSMENTS!E:E,"Mathematics"),1),""))</f>
        <v/>
      </c>
      <c r="G460" s="4">
        <f>IF(A460="","",IFERROR(ROUND(AVERAGEIFS(ASSESSMENTS!H:H,ASSESSMENTS!B:B,A460,ASSESSMENTS!E:E,"Mathematical Literacy"),1),""))</f>
        <v/>
      </c>
      <c r="H460" s="4">
        <f>IF(A460="","",IFERROR(ROUND(AVERAGEIFS(ASSESSMENTS!H:H,ASSESSMENTS!B:B,A460,ASSESSMENTS!E:E,"Physical Sciences"),1),""))</f>
        <v/>
      </c>
      <c r="I460" s="4">
        <f>IF(A460="","",IFERROR(ROUND(AVERAGEIFS(ASSESSMENTS!H:H,ASSESSMENTS!B:B,A460,ASSESSMENTS!E:E,"Geography"),1),""))</f>
        <v/>
      </c>
      <c r="J460" s="4">
        <f>IF(A460="","",IFERROR(ROUND(AVERAGEIFS(ASSESSMENTS!H:H,ASSESSMENTS!B:B,A460,ASSESSMENTS!E:E,"Accounting"),1),""))</f>
        <v/>
      </c>
      <c r="K460" s="4">
        <f>IF(A460="","",IFERROR(ROUND(AVERAGEIFS(ASSESSMENTS!H:H,ASSESSMENTS!B:B,A460,ASSESSMENTS!E:E,"English"),1),""))</f>
        <v/>
      </c>
      <c r="L460" s="5">
        <f>IF(A460="","",IFERROR(_xludf.XLOOKUP(A460,ATTENDANCE_SUMMARY!A:A,ATTENDANCE_SUMMARY!G:G,""),""))</f>
        <v/>
      </c>
      <c r="M460" s="4">
        <f>IF(A460="","",IF(OR(E460&lt;50,AND(L460&lt;0.75,L460&lt;&gt;"" )),"At Risk","On Track"))</f>
        <v/>
      </c>
    </row>
    <row r="461">
      <c r="A461">
        <f>IF(MASTER_REGISTER!E461="","",MASTER_REGISTER!E461)</f>
        <v/>
      </c>
      <c r="B461">
        <f>IF(A461="","",MASTER_REGISTER!F461)</f>
        <v/>
      </c>
      <c r="C461">
        <f>IF(A461="","",MASTER_REGISTER!C461)</f>
        <v/>
      </c>
      <c r="D461">
        <f>IF(A461="","",COUNTIF(ASSESSMENTS!B:B,A461))</f>
        <v/>
      </c>
      <c r="E461" s="4">
        <f>IF(D461=0,"",ROUND(AVERAGEIF(ASSESSMENTS!B:B,A461,ASSESSMENTS!H:H),1))</f>
        <v/>
      </c>
      <c r="F461" s="4">
        <f>IF(A461="","",IFERROR(ROUND(AVERAGEIFS(ASSESSMENTS!H:H,ASSESSMENTS!B:B,A461,ASSESSMENTS!E:E,"Mathematics"),1),""))</f>
        <v/>
      </c>
      <c r="G461" s="4">
        <f>IF(A461="","",IFERROR(ROUND(AVERAGEIFS(ASSESSMENTS!H:H,ASSESSMENTS!B:B,A461,ASSESSMENTS!E:E,"Mathematical Literacy"),1),""))</f>
        <v/>
      </c>
      <c r="H461" s="4">
        <f>IF(A461="","",IFERROR(ROUND(AVERAGEIFS(ASSESSMENTS!H:H,ASSESSMENTS!B:B,A461,ASSESSMENTS!E:E,"Physical Sciences"),1),""))</f>
        <v/>
      </c>
      <c r="I461" s="4">
        <f>IF(A461="","",IFERROR(ROUND(AVERAGEIFS(ASSESSMENTS!H:H,ASSESSMENTS!B:B,A461,ASSESSMENTS!E:E,"Geography"),1),""))</f>
        <v/>
      </c>
      <c r="J461" s="4">
        <f>IF(A461="","",IFERROR(ROUND(AVERAGEIFS(ASSESSMENTS!H:H,ASSESSMENTS!B:B,A461,ASSESSMENTS!E:E,"Accounting"),1),""))</f>
        <v/>
      </c>
      <c r="K461" s="4">
        <f>IF(A461="","",IFERROR(ROUND(AVERAGEIFS(ASSESSMENTS!H:H,ASSESSMENTS!B:B,A461,ASSESSMENTS!E:E,"English"),1),""))</f>
        <v/>
      </c>
      <c r="L461" s="5">
        <f>IF(A461="","",IFERROR(_xludf.XLOOKUP(A461,ATTENDANCE_SUMMARY!A:A,ATTENDANCE_SUMMARY!G:G,""),""))</f>
        <v/>
      </c>
      <c r="M461" s="4">
        <f>IF(A461="","",IF(OR(E461&lt;50,AND(L461&lt;0.75,L461&lt;&gt;"" )),"At Risk","On Track"))</f>
        <v/>
      </c>
    </row>
    <row r="462">
      <c r="A462">
        <f>IF(MASTER_REGISTER!E462="","",MASTER_REGISTER!E462)</f>
        <v/>
      </c>
      <c r="B462">
        <f>IF(A462="","",MASTER_REGISTER!F462)</f>
        <v/>
      </c>
      <c r="C462">
        <f>IF(A462="","",MASTER_REGISTER!C462)</f>
        <v/>
      </c>
      <c r="D462">
        <f>IF(A462="","",COUNTIF(ASSESSMENTS!B:B,A462))</f>
        <v/>
      </c>
      <c r="E462" s="4">
        <f>IF(D462=0,"",ROUND(AVERAGEIF(ASSESSMENTS!B:B,A462,ASSESSMENTS!H:H),1))</f>
        <v/>
      </c>
      <c r="F462" s="4">
        <f>IF(A462="","",IFERROR(ROUND(AVERAGEIFS(ASSESSMENTS!H:H,ASSESSMENTS!B:B,A462,ASSESSMENTS!E:E,"Mathematics"),1),""))</f>
        <v/>
      </c>
      <c r="G462" s="4">
        <f>IF(A462="","",IFERROR(ROUND(AVERAGEIFS(ASSESSMENTS!H:H,ASSESSMENTS!B:B,A462,ASSESSMENTS!E:E,"Mathematical Literacy"),1),""))</f>
        <v/>
      </c>
      <c r="H462" s="4">
        <f>IF(A462="","",IFERROR(ROUND(AVERAGEIFS(ASSESSMENTS!H:H,ASSESSMENTS!B:B,A462,ASSESSMENTS!E:E,"Physical Sciences"),1),""))</f>
        <v/>
      </c>
      <c r="I462" s="4">
        <f>IF(A462="","",IFERROR(ROUND(AVERAGEIFS(ASSESSMENTS!H:H,ASSESSMENTS!B:B,A462,ASSESSMENTS!E:E,"Geography"),1),""))</f>
        <v/>
      </c>
      <c r="J462" s="4">
        <f>IF(A462="","",IFERROR(ROUND(AVERAGEIFS(ASSESSMENTS!H:H,ASSESSMENTS!B:B,A462,ASSESSMENTS!E:E,"Accounting"),1),""))</f>
        <v/>
      </c>
      <c r="K462" s="4">
        <f>IF(A462="","",IFERROR(ROUND(AVERAGEIFS(ASSESSMENTS!H:H,ASSESSMENTS!B:B,A462,ASSESSMENTS!E:E,"English"),1),""))</f>
        <v/>
      </c>
      <c r="L462" s="5">
        <f>IF(A462="","",IFERROR(_xludf.XLOOKUP(A462,ATTENDANCE_SUMMARY!A:A,ATTENDANCE_SUMMARY!G:G,""),""))</f>
        <v/>
      </c>
      <c r="M462" s="4">
        <f>IF(A462="","",IF(OR(E462&lt;50,AND(L462&lt;0.75,L462&lt;&gt;"" )),"At Risk","On Track"))</f>
        <v/>
      </c>
    </row>
    <row r="463">
      <c r="A463">
        <f>IF(MASTER_REGISTER!E463="","",MASTER_REGISTER!E463)</f>
        <v/>
      </c>
      <c r="B463">
        <f>IF(A463="","",MASTER_REGISTER!F463)</f>
        <v/>
      </c>
      <c r="C463">
        <f>IF(A463="","",MASTER_REGISTER!C463)</f>
        <v/>
      </c>
      <c r="D463">
        <f>IF(A463="","",COUNTIF(ASSESSMENTS!B:B,A463))</f>
        <v/>
      </c>
      <c r="E463" s="4">
        <f>IF(D463=0,"",ROUND(AVERAGEIF(ASSESSMENTS!B:B,A463,ASSESSMENTS!H:H),1))</f>
        <v/>
      </c>
      <c r="F463" s="4">
        <f>IF(A463="","",IFERROR(ROUND(AVERAGEIFS(ASSESSMENTS!H:H,ASSESSMENTS!B:B,A463,ASSESSMENTS!E:E,"Mathematics"),1),""))</f>
        <v/>
      </c>
      <c r="G463" s="4">
        <f>IF(A463="","",IFERROR(ROUND(AVERAGEIFS(ASSESSMENTS!H:H,ASSESSMENTS!B:B,A463,ASSESSMENTS!E:E,"Mathematical Literacy"),1),""))</f>
        <v/>
      </c>
      <c r="H463" s="4">
        <f>IF(A463="","",IFERROR(ROUND(AVERAGEIFS(ASSESSMENTS!H:H,ASSESSMENTS!B:B,A463,ASSESSMENTS!E:E,"Physical Sciences"),1),""))</f>
        <v/>
      </c>
      <c r="I463" s="4">
        <f>IF(A463="","",IFERROR(ROUND(AVERAGEIFS(ASSESSMENTS!H:H,ASSESSMENTS!B:B,A463,ASSESSMENTS!E:E,"Geography"),1),""))</f>
        <v/>
      </c>
      <c r="J463" s="4">
        <f>IF(A463="","",IFERROR(ROUND(AVERAGEIFS(ASSESSMENTS!H:H,ASSESSMENTS!B:B,A463,ASSESSMENTS!E:E,"Accounting"),1),""))</f>
        <v/>
      </c>
      <c r="K463" s="4">
        <f>IF(A463="","",IFERROR(ROUND(AVERAGEIFS(ASSESSMENTS!H:H,ASSESSMENTS!B:B,A463,ASSESSMENTS!E:E,"English"),1),""))</f>
        <v/>
      </c>
      <c r="L463" s="5">
        <f>IF(A463="","",IFERROR(_xludf.XLOOKUP(A463,ATTENDANCE_SUMMARY!A:A,ATTENDANCE_SUMMARY!G:G,""),""))</f>
        <v/>
      </c>
      <c r="M463" s="4">
        <f>IF(A463="","",IF(OR(E463&lt;50,AND(L463&lt;0.75,L463&lt;&gt;"" )),"At Risk","On Track"))</f>
        <v/>
      </c>
    </row>
    <row r="464">
      <c r="A464">
        <f>IF(MASTER_REGISTER!E464="","",MASTER_REGISTER!E464)</f>
        <v/>
      </c>
      <c r="B464">
        <f>IF(A464="","",MASTER_REGISTER!F464)</f>
        <v/>
      </c>
      <c r="C464">
        <f>IF(A464="","",MASTER_REGISTER!C464)</f>
        <v/>
      </c>
      <c r="D464">
        <f>IF(A464="","",COUNTIF(ASSESSMENTS!B:B,A464))</f>
        <v/>
      </c>
      <c r="E464" s="4">
        <f>IF(D464=0,"",ROUND(AVERAGEIF(ASSESSMENTS!B:B,A464,ASSESSMENTS!H:H),1))</f>
        <v/>
      </c>
      <c r="F464" s="4">
        <f>IF(A464="","",IFERROR(ROUND(AVERAGEIFS(ASSESSMENTS!H:H,ASSESSMENTS!B:B,A464,ASSESSMENTS!E:E,"Mathematics"),1),""))</f>
        <v/>
      </c>
      <c r="G464" s="4">
        <f>IF(A464="","",IFERROR(ROUND(AVERAGEIFS(ASSESSMENTS!H:H,ASSESSMENTS!B:B,A464,ASSESSMENTS!E:E,"Mathematical Literacy"),1),""))</f>
        <v/>
      </c>
      <c r="H464" s="4">
        <f>IF(A464="","",IFERROR(ROUND(AVERAGEIFS(ASSESSMENTS!H:H,ASSESSMENTS!B:B,A464,ASSESSMENTS!E:E,"Physical Sciences"),1),""))</f>
        <v/>
      </c>
      <c r="I464" s="4">
        <f>IF(A464="","",IFERROR(ROUND(AVERAGEIFS(ASSESSMENTS!H:H,ASSESSMENTS!B:B,A464,ASSESSMENTS!E:E,"Geography"),1),""))</f>
        <v/>
      </c>
      <c r="J464" s="4">
        <f>IF(A464="","",IFERROR(ROUND(AVERAGEIFS(ASSESSMENTS!H:H,ASSESSMENTS!B:B,A464,ASSESSMENTS!E:E,"Accounting"),1),""))</f>
        <v/>
      </c>
      <c r="K464" s="4">
        <f>IF(A464="","",IFERROR(ROUND(AVERAGEIFS(ASSESSMENTS!H:H,ASSESSMENTS!B:B,A464,ASSESSMENTS!E:E,"English"),1),""))</f>
        <v/>
      </c>
      <c r="L464" s="5">
        <f>IF(A464="","",IFERROR(_xludf.XLOOKUP(A464,ATTENDANCE_SUMMARY!A:A,ATTENDANCE_SUMMARY!G:G,""),""))</f>
        <v/>
      </c>
      <c r="M464" s="4">
        <f>IF(A464="","",IF(OR(E464&lt;50,AND(L464&lt;0.75,L464&lt;&gt;"" )),"At Risk","On Track"))</f>
        <v/>
      </c>
    </row>
    <row r="465">
      <c r="A465">
        <f>IF(MASTER_REGISTER!E465="","",MASTER_REGISTER!E465)</f>
        <v/>
      </c>
      <c r="B465">
        <f>IF(A465="","",MASTER_REGISTER!F465)</f>
        <v/>
      </c>
      <c r="C465">
        <f>IF(A465="","",MASTER_REGISTER!C465)</f>
        <v/>
      </c>
      <c r="D465">
        <f>IF(A465="","",COUNTIF(ASSESSMENTS!B:B,A465))</f>
        <v/>
      </c>
      <c r="E465" s="4">
        <f>IF(D465=0,"",ROUND(AVERAGEIF(ASSESSMENTS!B:B,A465,ASSESSMENTS!H:H),1))</f>
        <v/>
      </c>
      <c r="F465" s="4">
        <f>IF(A465="","",IFERROR(ROUND(AVERAGEIFS(ASSESSMENTS!H:H,ASSESSMENTS!B:B,A465,ASSESSMENTS!E:E,"Mathematics"),1),""))</f>
        <v/>
      </c>
      <c r="G465" s="4">
        <f>IF(A465="","",IFERROR(ROUND(AVERAGEIFS(ASSESSMENTS!H:H,ASSESSMENTS!B:B,A465,ASSESSMENTS!E:E,"Mathematical Literacy"),1),""))</f>
        <v/>
      </c>
      <c r="H465" s="4">
        <f>IF(A465="","",IFERROR(ROUND(AVERAGEIFS(ASSESSMENTS!H:H,ASSESSMENTS!B:B,A465,ASSESSMENTS!E:E,"Physical Sciences"),1),""))</f>
        <v/>
      </c>
      <c r="I465" s="4">
        <f>IF(A465="","",IFERROR(ROUND(AVERAGEIFS(ASSESSMENTS!H:H,ASSESSMENTS!B:B,A465,ASSESSMENTS!E:E,"Geography"),1),""))</f>
        <v/>
      </c>
      <c r="J465" s="4">
        <f>IF(A465="","",IFERROR(ROUND(AVERAGEIFS(ASSESSMENTS!H:H,ASSESSMENTS!B:B,A465,ASSESSMENTS!E:E,"Accounting"),1),""))</f>
        <v/>
      </c>
      <c r="K465" s="4">
        <f>IF(A465="","",IFERROR(ROUND(AVERAGEIFS(ASSESSMENTS!H:H,ASSESSMENTS!B:B,A465,ASSESSMENTS!E:E,"English"),1),""))</f>
        <v/>
      </c>
      <c r="L465" s="5">
        <f>IF(A465="","",IFERROR(_xludf.XLOOKUP(A465,ATTENDANCE_SUMMARY!A:A,ATTENDANCE_SUMMARY!G:G,""),""))</f>
        <v/>
      </c>
      <c r="M465" s="4">
        <f>IF(A465="","",IF(OR(E465&lt;50,AND(L465&lt;0.75,L465&lt;&gt;"" )),"At Risk","On Track"))</f>
        <v/>
      </c>
    </row>
    <row r="466">
      <c r="A466">
        <f>IF(MASTER_REGISTER!E466="","",MASTER_REGISTER!E466)</f>
        <v/>
      </c>
      <c r="B466">
        <f>IF(A466="","",MASTER_REGISTER!F466)</f>
        <v/>
      </c>
      <c r="C466">
        <f>IF(A466="","",MASTER_REGISTER!C466)</f>
        <v/>
      </c>
      <c r="D466">
        <f>IF(A466="","",COUNTIF(ASSESSMENTS!B:B,A466))</f>
        <v/>
      </c>
      <c r="E466" s="4">
        <f>IF(D466=0,"",ROUND(AVERAGEIF(ASSESSMENTS!B:B,A466,ASSESSMENTS!H:H),1))</f>
        <v/>
      </c>
      <c r="F466" s="4">
        <f>IF(A466="","",IFERROR(ROUND(AVERAGEIFS(ASSESSMENTS!H:H,ASSESSMENTS!B:B,A466,ASSESSMENTS!E:E,"Mathematics"),1),""))</f>
        <v/>
      </c>
      <c r="G466" s="4">
        <f>IF(A466="","",IFERROR(ROUND(AVERAGEIFS(ASSESSMENTS!H:H,ASSESSMENTS!B:B,A466,ASSESSMENTS!E:E,"Mathematical Literacy"),1),""))</f>
        <v/>
      </c>
      <c r="H466" s="4">
        <f>IF(A466="","",IFERROR(ROUND(AVERAGEIFS(ASSESSMENTS!H:H,ASSESSMENTS!B:B,A466,ASSESSMENTS!E:E,"Physical Sciences"),1),""))</f>
        <v/>
      </c>
      <c r="I466" s="4">
        <f>IF(A466="","",IFERROR(ROUND(AVERAGEIFS(ASSESSMENTS!H:H,ASSESSMENTS!B:B,A466,ASSESSMENTS!E:E,"Geography"),1),""))</f>
        <v/>
      </c>
      <c r="J466" s="4">
        <f>IF(A466="","",IFERROR(ROUND(AVERAGEIFS(ASSESSMENTS!H:H,ASSESSMENTS!B:B,A466,ASSESSMENTS!E:E,"Accounting"),1),""))</f>
        <v/>
      </c>
      <c r="K466" s="4">
        <f>IF(A466="","",IFERROR(ROUND(AVERAGEIFS(ASSESSMENTS!H:H,ASSESSMENTS!B:B,A466,ASSESSMENTS!E:E,"English"),1),""))</f>
        <v/>
      </c>
      <c r="L466" s="5">
        <f>IF(A466="","",IFERROR(_xludf.XLOOKUP(A466,ATTENDANCE_SUMMARY!A:A,ATTENDANCE_SUMMARY!G:G,""),""))</f>
        <v/>
      </c>
      <c r="M466" s="4">
        <f>IF(A466="","",IF(OR(E466&lt;50,AND(L466&lt;0.75,L466&lt;&gt;"" )),"At Risk","On Track"))</f>
        <v/>
      </c>
    </row>
    <row r="467">
      <c r="A467">
        <f>IF(MASTER_REGISTER!E467="","",MASTER_REGISTER!E467)</f>
        <v/>
      </c>
      <c r="B467">
        <f>IF(A467="","",MASTER_REGISTER!F467)</f>
        <v/>
      </c>
      <c r="C467">
        <f>IF(A467="","",MASTER_REGISTER!C467)</f>
        <v/>
      </c>
      <c r="D467">
        <f>IF(A467="","",COUNTIF(ASSESSMENTS!B:B,A467))</f>
        <v/>
      </c>
      <c r="E467" s="4">
        <f>IF(D467=0,"",ROUND(AVERAGEIF(ASSESSMENTS!B:B,A467,ASSESSMENTS!H:H),1))</f>
        <v/>
      </c>
      <c r="F467" s="4">
        <f>IF(A467="","",IFERROR(ROUND(AVERAGEIFS(ASSESSMENTS!H:H,ASSESSMENTS!B:B,A467,ASSESSMENTS!E:E,"Mathematics"),1),""))</f>
        <v/>
      </c>
      <c r="G467" s="4">
        <f>IF(A467="","",IFERROR(ROUND(AVERAGEIFS(ASSESSMENTS!H:H,ASSESSMENTS!B:B,A467,ASSESSMENTS!E:E,"Mathematical Literacy"),1),""))</f>
        <v/>
      </c>
      <c r="H467" s="4">
        <f>IF(A467="","",IFERROR(ROUND(AVERAGEIFS(ASSESSMENTS!H:H,ASSESSMENTS!B:B,A467,ASSESSMENTS!E:E,"Physical Sciences"),1),""))</f>
        <v/>
      </c>
      <c r="I467" s="4">
        <f>IF(A467="","",IFERROR(ROUND(AVERAGEIFS(ASSESSMENTS!H:H,ASSESSMENTS!B:B,A467,ASSESSMENTS!E:E,"Geography"),1),""))</f>
        <v/>
      </c>
      <c r="J467" s="4">
        <f>IF(A467="","",IFERROR(ROUND(AVERAGEIFS(ASSESSMENTS!H:H,ASSESSMENTS!B:B,A467,ASSESSMENTS!E:E,"Accounting"),1),""))</f>
        <v/>
      </c>
      <c r="K467" s="4">
        <f>IF(A467="","",IFERROR(ROUND(AVERAGEIFS(ASSESSMENTS!H:H,ASSESSMENTS!B:B,A467,ASSESSMENTS!E:E,"English"),1),""))</f>
        <v/>
      </c>
      <c r="L467" s="5">
        <f>IF(A467="","",IFERROR(_xludf.XLOOKUP(A467,ATTENDANCE_SUMMARY!A:A,ATTENDANCE_SUMMARY!G:G,""),""))</f>
        <v/>
      </c>
      <c r="M467" s="4">
        <f>IF(A467="","",IF(OR(E467&lt;50,AND(L467&lt;0.75,L467&lt;&gt;"" )),"At Risk","On Track"))</f>
        <v/>
      </c>
    </row>
    <row r="468">
      <c r="A468">
        <f>IF(MASTER_REGISTER!E468="","",MASTER_REGISTER!E468)</f>
        <v/>
      </c>
      <c r="B468">
        <f>IF(A468="","",MASTER_REGISTER!F468)</f>
        <v/>
      </c>
      <c r="C468">
        <f>IF(A468="","",MASTER_REGISTER!C468)</f>
        <v/>
      </c>
      <c r="D468">
        <f>IF(A468="","",COUNTIF(ASSESSMENTS!B:B,A468))</f>
        <v/>
      </c>
      <c r="E468" s="4">
        <f>IF(D468=0,"",ROUND(AVERAGEIF(ASSESSMENTS!B:B,A468,ASSESSMENTS!H:H),1))</f>
        <v/>
      </c>
      <c r="F468" s="4">
        <f>IF(A468="","",IFERROR(ROUND(AVERAGEIFS(ASSESSMENTS!H:H,ASSESSMENTS!B:B,A468,ASSESSMENTS!E:E,"Mathematics"),1),""))</f>
        <v/>
      </c>
      <c r="G468" s="4">
        <f>IF(A468="","",IFERROR(ROUND(AVERAGEIFS(ASSESSMENTS!H:H,ASSESSMENTS!B:B,A468,ASSESSMENTS!E:E,"Mathematical Literacy"),1),""))</f>
        <v/>
      </c>
      <c r="H468" s="4">
        <f>IF(A468="","",IFERROR(ROUND(AVERAGEIFS(ASSESSMENTS!H:H,ASSESSMENTS!B:B,A468,ASSESSMENTS!E:E,"Physical Sciences"),1),""))</f>
        <v/>
      </c>
      <c r="I468" s="4">
        <f>IF(A468="","",IFERROR(ROUND(AVERAGEIFS(ASSESSMENTS!H:H,ASSESSMENTS!B:B,A468,ASSESSMENTS!E:E,"Geography"),1),""))</f>
        <v/>
      </c>
      <c r="J468" s="4">
        <f>IF(A468="","",IFERROR(ROUND(AVERAGEIFS(ASSESSMENTS!H:H,ASSESSMENTS!B:B,A468,ASSESSMENTS!E:E,"Accounting"),1),""))</f>
        <v/>
      </c>
      <c r="K468" s="4">
        <f>IF(A468="","",IFERROR(ROUND(AVERAGEIFS(ASSESSMENTS!H:H,ASSESSMENTS!B:B,A468,ASSESSMENTS!E:E,"English"),1),""))</f>
        <v/>
      </c>
      <c r="L468" s="5">
        <f>IF(A468="","",IFERROR(_xludf.XLOOKUP(A468,ATTENDANCE_SUMMARY!A:A,ATTENDANCE_SUMMARY!G:G,""),""))</f>
        <v/>
      </c>
      <c r="M468" s="4">
        <f>IF(A468="","",IF(OR(E468&lt;50,AND(L468&lt;0.75,L468&lt;&gt;"" )),"At Risk","On Track"))</f>
        <v/>
      </c>
    </row>
    <row r="469">
      <c r="A469">
        <f>IF(MASTER_REGISTER!E469="","",MASTER_REGISTER!E469)</f>
        <v/>
      </c>
      <c r="B469">
        <f>IF(A469="","",MASTER_REGISTER!F469)</f>
        <v/>
      </c>
      <c r="C469">
        <f>IF(A469="","",MASTER_REGISTER!C469)</f>
        <v/>
      </c>
      <c r="D469">
        <f>IF(A469="","",COUNTIF(ASSESSMENTS!B:B,A469))</f>
        <v/>
      </c>
      <c r="E469" s="4">
        <f>IF(D469=0,"",ROUND(AVERAGEIF(ASSESSMENTS!B:B,A469,ASSESSMENTS!H:H),1))</f>
        <v/>
      </c>
      <c r="F469" s="4">
        <f>IF(A469="","",IFERROR(ROUND(AVERAGEIFS(ASSESSMENTS!H:H,ASSESSMENTS!B:B,A469,ASSESSMENTS!E:E,"Mathematics"),1),""))</f>
        <v/>
      </c>
      <c r="G469" s="4">
        <f>IF(A469="","",IFERROR(ROUND(AVERAGEIFS(ASSESSMENTS!H:H,ASSESSMENTS!B:B,A469,ASSESSMENTS!E:E,"Mathematical Literacy"),1),""))</f>
        <v/>
      </c>
      <c r="H469" s="4">
        <f>IF(A469="","",IFERROR(ROUND(AVERAGEIFS(ASSESSMENTS!H:H,ASSESSMENTS!B:B,A469,ASSESSMENTS!E:E,"Physical Sciences"),1),""))</f>
        <v/>
      </c>
      <c r="I469" s="4">
        <f>IF(A469="","",IFERROR(ROUND(AVERAGEIFS(ASSESSMENTS!H:H,ASSESSMENTS!B:B,A469,ASSESSMENTS!E:E,"Geography"),1),""))</f>
        <v/>
      </c>
      <c r="J469" s="4">
        <f>IF(A469="","",IFERROR(ROUND(AVERAGEIFS(ASSESSMENTS!H:H,ASSESSMENTS!B:B,A469,ASSESSMENTS!E:E,"Accounting"),1),""))</f>
        <v/>
      </c>
      <c r="K469" s="4">
        <f>IF(A469="","",IFERROR(ROUND(AVERAGEIFS(ASSESSMENTS!H:H,ASSESSMENTS!B:B,A469,ASSESSMENTS!E:E,"English"),1),""))</f>
        <v/>
      </c>
      <c r="L469" s="5">
        <f>IF(A469="","",IFERROR(_xludf.XLOOKUP(A469,ATTENDANCE_SUMMARY!A:A,ATTENDANCE_SUMMARY!G:G,""),""))</f>
        <v/>
      </c>
      <c r="M469" s="4">
        <f>IF(A469="","",IF(OR(E469&lt;50,AND(L469&lt;0.75,L469&lt;&gt;"" )),"At Risk","On Track"))</f>
        <v/>
      </c>
    </row>
    <row r="470">
      <c r="A470">
        <f>IF(MASTER_REGISTER!E470="","",MASTER_REGISTER!E470)</f>
        <v/>
      </c>
      <c r="B470">
        <f>IF(A470="","",MASTER_REGISTER!F470)</f>
        <v/>
      </c>
      <c r="C470">
        <f>IF(A470="","",MASTER_REGISTER!C470)</f>
        <v/>
      </c>
      <c r="D470">
        <f>IF(A470="","",COUNTIF(ASSESSMENTS!B:B,A470))</f>
        <v/>
      </c>
      <c r="E470" s="4">
        <f>IF(D470=0,"",ROUND(AVERAGEIF(ASSESSMENTS!B:B,A470,ASSESSMENTS!H:H),1))</f>
        <v/>
      </c>
      <c r="F470" s="4">
        <f>IF(A470="","",IFERROR(ROUND(AVERAGEIFS(ASSESSMENTS!H:H,ASSESSMENTS!B:B,A470,ASSESSMENTS!E:E,"Mathematics"),1),""))</f>
        <v/>
      </c>
      <c r="G470" s="4">
        <f>IF(A470="","",IFERROR(ROUND(AVERAGEIFS(ASSESSMENTS!H:H,ASSESSMENTS!B:B,A470,ASSESSMENTS!E:E,"Mathematical Literacy"),1),""))</f>
        <v/>
      </c>
      <c r="H470" s="4">
        <f>IF(A470="","",IFERROR(ROUND(AVERAGEIFS(ASSESSMENTS!H:H,ASSESSMENTS!B:B,A470,ASSESSMENTS!E:E,"Physical Sciences"),1),""))</f>
        <v/>
      </c>
      <c r="I470" s="4">
        <f>IF(A470="","",IFERROR(ROUND(AVERAGEIFS(ASSESSMENTS!H:H,ASSESSMENTS!B:B,A470,ASSESSMENTS!E:E,"Geography"),1),""))</f>
        <v/>
      </c>
      <c r="J470" s="4">
        <f>IF(A470="","",IFERROR(ROUND(AVERAGEIFS(ASSESSMENTS!H:H,ASSESSMENTS!B:B,A470,ASSESSMENTS!E:E,"Accounting"),1),""))</f>
        <v/>
      </c>
      <c r="K470" s="4">
        <f>IF(A470="","",IFERROR(ROUND(AVERAGEIFS(ASSESSMENTS!H:H,ASSESSMENTS!B:B,A470,ASSESSMENTS!E:E,"English"),1),""))</f>
        <v/>
      </c>
      <c r="L470" s="5">
        <f>IF(A470="","",IFERROR(_xludf.XLOOKUP(A470,ATTENDANCE_SUMMARY!A:A,ATTENDANCE_SUMMARY!G:G,""),""))</f>
        <v/>
      </c>
      <c r="M470" s="4">
        <f>IF(A470="","",IF(OR(E470&lt;50,AND(L470&lt;0.75,L470&lt;&gt;"" )),"At Risk","On Track"))</f>
        <v/>
      </c>
    </row>
    <row r="471">
      <c r="A471">
        <f>IF(MASTER_REGISTER!E471="","",MASTER_REGISTER!E471)</f>
        <v/>
      </c>
      <c r="B471">
        <f>IF(A471="","",MASTER_REGISTER!F471)</f>
        <v/>
      </c>
      <c r="C471">
        <f>IF(A471="","",MASTER_REGISTER!C471)</f>
        <v/>
      </c>
      <c r="D471">
        <f>IF(A471="","",COUNTIF(ASSESSMENTS!B:B,A471))</f>
        <v/>
      </c>
      <c r="E471" s="4">
        <f>IF(D471=0,"",ROUND(AVERAGEIF(ASSESSMENTS!B:B,A471,ASSESSMENTS!H:H),1))</f>
        <v/>
      </c>
      <c r="F471" s="4">
        <f>IF(A471="","",IFERROR(ROUND(AVERAGEIFS(ASSESSMENTS!H:H,ASSESSMENTS!B:B,A471,ASSESSMENTS!E:E,"Mathematics"),1),""))</f>
        <v/>
      </c>
      <c r="G471" s="4">
        <f>IF(A471="","",IFERROR(ROUND(AVERAGEIFS(ASSESSMENTS!H:H,ASSESSMENTS!B:B,A471,ASSESSMENTS!E:E,"Mathematical Literacy"),1),""))</f>
        <v/>
      </c>
      <c r="H471" s="4">
        <f>IF(A471="","",IFERROR(ROUND(AVERAGEIFS(ASSESSMENTS!H:H,ASSESSMENTS!B:B,A471,ASSESSMENTS!E:E,"Physical Sciences"),1),""))</f>
        <v/>
      </c>
      <c r="I471" s="4">
        <f>IF(A471="","",IFERROR(ROUND(AVERAGEIFS(ASSESSMENTS!H:H,ASSESSMENTS!B:B,A471,ASSESSMENTS!E:E,"Geography"),1),""))</f>
        <v/>
      </c>
      <c r="J471" s="4">
        <f>IF(A471="","",IFERROR(ROUND(AVERAGEIFS(ASSESSMENTS!H:H,ASSESSMENTS!B:B,A471,ASSESSMENTS!E:E,"Accounting"),1),""))</f>
        <v/>
      </c>
      <c r="K471" s="4">
        <f>IF(A471="","",IFERROR(ROUND(AVERAGEIFS(ASSESSMENTS!H:H,ASSESSMENTS!B:B,A471,ASSESSMENTS!E:E,"English"),1),""))</f>
        <v/>
      </c>
      <c r="L471" s="5">
        <f>IF(A471="","",IFERROR(_xludf.XLOOKUP(A471,ATTENDANCE_SUMMARY!A:A,ATTENDANCE_SUMMARY!G:G,""),""))</f>
        <v/>
      </c>
      <c r="M471" s="4">
        <f>IF(A471="","",IF(OR(E471&lt;50,AND(L471&lt;0.75,L471&lt;&gt;"" )),"At Risk","On Track"))</f>
        <v/>
      </c>
    </row>
    <row r="472">
      <c r="A472">
        <f>IF(MASTER_REGISTER!E472="","",MASTER_REGISTER!E472)</f>
        <v/>
      </c>
      <c r="B472">
        <f>IF(A472="","",MASTER_REGISTER!F472)</f>
        <v/>
      </c>
      <c r="C472">
        <f>IF(A472="","",MASTER_REGISTER!C472)</f>
        <v/>
      </c>
      <c r="D472">
        <f>IF(A472="","",COUNTIF(ASSESSMENTS!B:B,A472))</f>
        <v/>
      </c>
      <c r="E472" s="4">
        <f>IF(D472=0,"",ROUND(AVERAGEIF(ASSESSMENTS!B:B,A472,ASSESSMENTS!H:H),1))</f>
        <v/>
      </c>
      <c r="F472" s="4">
        <f>IF(A472="","",IFERROR(ROUND(AVERAGEIFS(ASSESSMENTS!H:H,ASSESSMENTS!B:B,A472,ASSESSMENTS!E:E,"Mathematics"),1),""))</f>
        <v/>
      </c>
      <c r="G472" s="4">
        <f>IF(A472="","",IFERROR(ROUND(AVERAGEIFS(ASSESSMENTS!H:H,ASSESSMENTS!B:B,A472,ASSESSMENTS!E:E,"Mathematical Literacy"),1),""))</f>
        <v/>
      </c>
      <c r="H472" s="4">
        <f>IF(A472="","",IFERROR(ROUND(AVERAGEIFS(ASSESSMENTS!H:H,ASSESSMENTS!B:B,A472,ASSESSMENTS!E:E,"Physical Sciences"),1),""))</f>
        <v/>
      </c>
      <c r="I472" s="4">
        <f>IF(A472="","",IFERROR(ROUND(AVERAGEIFS(ASSESSMENTS!H:H,ASSESSMENTS!B:B,A472,ASSESSMENTS!E:E,"Geography"),1),""))</f>
        <v/>
      </c>
      <c r="J472" s="4">
        <f>IF(A472="","",IFERROR(ROUND(AVERAGEIFS(ASSESSMENTS!H:H,ASSESSMENTS!B:B,A472,ASSESSMENTS!E:E,"Accounting"),1),""))</f>
        <v/>
      </c>
      <c r="K472" s="4">
        <f>IF(A472="","",IFERROR(ROUND(AVERAGEIFS(ASSESSMENTS!H:H,ASSESSMENTS!B:B,A472,ASSESSMENTS!E:E,"English"),1),""))</f>
        <v/>
      </c>
      <c r="L472" s="5">
        <f>IF(A472="","",IFERROR(_xludf.XLOOKUP(A472,ATTENDANCE_SUMMARY!A:A,ATTENDANCE_SUMMARY!G:G,""),""))</f>
        <v/>
      </c>
      <c r="M472" s="4">
        <f>IF(A472="","",IF(OR(E472&lt;50,AND(L472&lt;0.75,L472&lt;&gt;"" )),"At Risk","On Track"))</f>
        <v/>
      </c>
    </row>
    <row r="473">
      <c r="A473">
        <f>IF(MASTER_REGISTER!E473="","",MASTER_REGISTER!E473)</f>
        <v/>
      </c>
      <c r="B473">
        <f>IF(A473="","",MASTER_REGISTER!F473)</f>
        <v/>
      </c>
      <c r="C473">
        <f>IF(A473="","",MASTER_REGISTER!C473)</f>
        <v/>
      </c>
      <c r="D473">
        <f>IF(A473="","",COUNTIF(ASSESSMENTS!B:B,A473))</f>
        <v/>
      </c>
      <c r="E473" s="4">
        <f>IF(D473=0,"",ROUND(AVERAGEIF(ASSESSMENTS!B:B,A473,ASSESSMENTS!H:H),1))</f>
        <v/>
      </c>
      <c r="F473" s="4">
        <f>IF(A473="","",IFERROR(ROUND(AVERAGEIFS(ASSESSMENTS!H:H,ASSESSMENTS!B:B,A473,ASSESSMENTS!E:E,"Mathematics"),1),""))</f>
        <v/>
      </c>
      <c r="G473" s="4">
        <f>IF(A473="","",IFERROR(ROUND(AVERAGEIFS(ASSESSMENTS!H:H,ASSESSMENTS!B:B,A473,ASSESSMENTS!E:E,"Mathematical Literacy"),1),""))</f>
        <v/>
      </c>
      <c r="H473" s="4">
        <f>IF(A473="","",IFERROR(ROUND(AVERAGEIFS(ASSESSMENTS!H:H,ASSESSMENTS!B:B,A473,ASSESSMENTS!E:E,"Physical Sciences"),1),""))</f>
        <v/>
      </c>
      <c r="I473" s="4">
        <f>IF(A473="","",IFERROR(ROUND(AVERAGEIFS(ASSESSMENTS!H:H,ASSESSMENTS!B:B,A473,ASSESSMENTS!E:E,"Geography"),1),""))</f>
        <v/>
      </c>
      <c r="J473" s="4">
        <f>IF(A473="","",IFERROR(ROUND(AVERAGEIFS(ASSESSMENTS!H:H,ASSESSMENTS!B:B,A473,ASSESSMENTS!E:E,"Accounting"),1),""))</f>
        <v/>
      </c>
      <c r="K473" s="4">
        <f>IF(A473="","",IFERROR(ROUND(AVERAGEIFS(ASSESSMENTS!H:H,ASSESSMENTS!B:B,A473,ASSESSMENTS!E:E,"English"),1),""))</f>
        <v/>
      </c>
      <c r="L473" s="5">
        <f>IF(A473="","",IFERROR(_xludf.XLOOKUP(A473,ATTENDANCE_SUMMARY!A:A,ATTENDANCE_SUMMARY!G:G,""),""))</f>
        <v/>
      </c>
      <c r="M473" s="4">
        <f>IF(A473="","",IF(OR(E473&lt;50,AND(L473&lt;0.75,L473&lt;&gt;"" )),"At Risk","On Track"))</f>
        <v/>
      </c>
    </row>
    <row r="474">
      <c r="A474">
        <f>IF(MASTER_REGISTER!E474="","",MASTER_REGISTER!E474)</f>
        <v/>
      </c>
      <c r="B474">
        <f>IF(A474="","",MASTER_REGISTER!F474)</f>
        <v/>
      </c>
      <c r="C474">
        <f>IF(A474="","",MASTER_REGISTER!C474)</f>
        <v/>
      </c>
      <c r="D474">
        <f>IF(A474="","",COUNTIF(ASSESSMENTS!B:B,A474))</f>
        <v/>
      </c>
      <c r="E474" s="4">
        <f>IF(D474=0,"",ROUND(AVERAGEIF(ASSESSMENTS!B:B,A474,ASSESSMENTS!H:H),1))</f>
        <v/>
      </c>
      <c r="F474" s="4">
        <f>IF(A474="","",IFERROR(ROUND(AVERAGEIFS(ASSESSMENTS!H:H,ASSESSMENTS!B:B,A474,ASSESSMENTS!E:E,"Mathematics"),1),""))</f>
        <v/>
      </c>
      <c r="G474" s="4">
        <f>IF(A474="","",IFERROR(ROUND(AVERAGEIFS(ASSESSMENTS!H:H,ASSESSMENTS!B:B,A474,ASSESSMENTS!E:E,"Mathematical Literacy"),1),""))</f>
        <v/>
      </c>
      <c r="H474" s="4">
        <f>IF(A474="","",IFERROR(ROUND(AVERAGEIFS(ASSESSMENTS!H:H,ASSESSMENTS!B:B,A474,ASSESSMENTS!E:E,"Physical Sciences"),1),""))</f>
        <v/>
      </c>
      <c r="I474" s="4">
        <f>IF(A474="","",IFERROR(ROUND(AVERAGEIFS(ASSESSMENTS!H:H,ASSESSMENTS!B:B,A474,ASSESSMENTS!E:E,"Geography"),1),""))</f>
        <v/>
      </c>
      <c r="J474" s="4">
        <f>IF(A474="","",IFERROR(ROUND(AVERAGEIFS(ASSESSMENTS!H:H,ASSESSMENTS!B:B,A474,ASSESSMENTS!E:E,"Accounting"),1),""))</f>
        <v/>
      </c>
      <c r="K474" s="4">
        <f>IF(A474="","",IFERROR(ROUND(AVERAGEIFS(ASSESSMENTS!H:H,ASSESSMENTS!B:B,A474,ASSESSMENTS!E:E,"English"),1),""))</f>
        <v/>
      </c>
      <c r="L474" s="5">
        <f>IF(A474="","",IFERROR(_xludf.XLOOKUP(A474,ATTENDANCE_SUMMARY!A:A,ATTENDANCE_SUMMARY!G:G,""),""))</f>
        <v/>
      </c>
      <c r="M474" s="4">
        <f>IF(A474="","",IF(OR(E474&lt;50,AND(L474&lt;0.75,L474&lt;&gt;"" )),"At Risk","On Track"))</f>
        <v/>
      </c>
    </row>
    <row r="475">
      <c r="A475">
        <f>IF(MASTER_REGISTER!E475="","",MASTER_REGISTER!E475)</f>
        <v/>
      </c>
      <c r="B475">
        <f>IF(A475="","",MASTER_REGISTER!F475)</f>
        <v/>
      </c>
      <c r="C475">
        <f>IF(A475="","",MASTER_REGISTER!C475)</f>
        <v/>
      </c>
      <c r="D475">
        <f>IF(A475="","",COUNTIF(ASSESSMENTS!B:B,A475))</f>
        <v/>
      </c>
      <c r="E475" s="4">
        <f>IF(D475=0,"",ROUND(AVERAGEIF(ASSESSMENTS!B:B,A475,ASSESSMENTS!H:H),1))</f>
        <v/>
      </c>
      <c r="F475" s="4">
        <f>IF(A475="","",IFERROR(ROUND(AVERAGEIFS(ASSESSMENTS!H:H,ASSESSMENTS!B:B,A475,ASSESSMENTS!E:E,"Mathematics"),1),""))</f>
        <v/>
      </c>
      <c r="G475" s="4">
        <f>IF(A475="","",IFERROR(ROUND(AVERAGEIFS(ASSESSMENTS!H:H,ASSESSMENTS!B:B,A475,ASSESSMENTS!E:E,"Mathematical Literacy"),1),""))</f>
        <v/>
      </c>
      <c r="H475" s="4">
        <f>IF(A475="","",IFERROR(ROUND(AVERAGEIFS(ASSESSMENTS!H:H,ASSESSMENTS!B:B,A475,ASSESSMENTS!E:E,"Physical Sciences"),1),""))</f>
        <v/>
      </c>
      <c r="I475" s="4">
        <f>IF(A475="","",IFERROR(ROUND(AVERAGEIFS(ASSESSMENTS!H:H,ASSESSMENTS!B:B,A475,ASSESSMENTS!E:E,"Geography"),1),""))</f>
        <v/>
      </c>
      <c r="J475" s="4">
        <f>IF(A475="","",IFERROR(ROUND(AVERAGEIFS(ASSESSMENTS!H:H,ASSESSMENTS!B:B,A475,ASSESSMENTS!E:E,"Accounting"),1),""))</f>
        <v/>
      </c>
      <c r="K475" s="4">
        <f>IF(A475="","",IFERROR(ROUND(AVERAGEIFS(ASSESSMENTS!H:H,ASSESSMENTS!B:B,A475,ASSESSMENTS!E:E,"English"),1),""))</f>
        <v/>
      </c>
      <c r="L475" s="5">
        <f>IF(A475="","",IFERROR(_xludf.XLOOKUP(A475,ATTENDANCE_SUMMARY!A:A,ATTENDANCE_SUMMARY!G:G,""),""))</f>
        <v/>
      </c>
      <c r="M475" s="4">
        <f>IF(A475="","",IF(OR(E475&lt;50,AND(L475&lt;0.75,L475&lt;&gt;"" )),"At Risk","On Track"))</f>
        <v/>
      </c>
    </row>
    <row r="476">
      <c r="A476">
        <f>IF(MASTER_REGISTER!E476="","",MASTER_REGISTER!E476)</f>
        <v/>
      </c>
      <c r="B476">
        <f>IF(A476="","",MASTER_REGISTER!F476)</f>
        <v/>
      </c>
      <c r="C476">
        <f>IF(A476="","",MASTER_REGISTER!C476)</f>
        <v/>
      </c>
      <c r="D476">
        <f>IF(A476="","",COUNTIF(ASSESSMENTS!B:B,A476))</f>
        <v/>
      </c>
      <c r="E476" s="4">
        <f>IF(D476=0,"",ROUND(AVERAGEIF(ASSESSMENTS!B:B,A476,ASSESSMENTS!H:H),1))</f>
        <v/>
      </c>
      <c r="F476" s="4">
        <f>IF(A476="","",IFERROR(ROUND(AVERAGEIFS(ASSESSMENTS!H:H,ASSESSMENTS!B:B,A476,ASSESSMENTS!E:E,"Mathematics"),1),""))</f>
        <v/>
      </c>
      <c r="G476" s="4">
        <f>IF(A476="","",IFERROR(ROUND(AVERAGEIFS(ASSESSMENTS!H:H,ASSESSMENTS!B:B,A476,ASSESSMENTS!E:E,"Mathematical Literacy"),1),""))</f>
        <v/>
      </c>
      <c r="H476" s="4">
        <f>IF(A476="","",IFERROR(ROUND(AVERAGEIFS(ASSESSMENTS!H:H,ASSESSMENTS!B:B,A476,ASSESSMENTS!E:E,"Physical Sciences"),1),""))</f>
        <v/>
      </c>
      <c r="I476" s="4">
        <f>IF(A476="","",IFERROR(ROUND(AVERAGEIFS(ASSESSMENTS!H:H,ASSESSMENTS!B:B,A476,ASSESSMENTS!E:E,"Geography"),1),""))</f>
        <v/>
      </c>
      <c r="J476" s="4">
        <f>IF(A476="","",IFERROR(ROUND(AVERAGEIFS(ASSESSMENTS!H:H,ASSESSMENTS!B:B,A476,ASSESSMENTS!E:E,"Accounting"),1),""))</f>
        <v/>
      </c>
      <c r="K476" s="4">
        <f>IF(A476="","",IFERROR(ROUND(AVERAGEIFS(ASSESSMENTS!H:H,ASSESSMENTS!B:B,A476,ASSESSMENTS!E:E,"English"),1),""))</f>
        <v/>
      </c>
      <c r="L476" s="5">
        <f>IF(A476="","",IFERROR(_xludf.XLOOKUP(A476,ATTENDANCE_SUMMARY!A:A,ATTENDANCE_SUMMARY!G:G,""),""))</f>
        <v/>
      </c>
      <c r="M476" s="4">
        <f>IF(A476="","",IF(OR(E476&lt;50,AND(L476&lt;0.75,L476&lt;&gt;"" )),"At Risk","On Track"))</f>
        <v/>
      </c>
    </row>
    <row r="477">
      <c r="A477">
        <f>IF(MASTER_REGISTER!E477="","",MASTER_REGISTER!E477)</f>
        <v/>
      </c>
      <c r="B477">
        <f>IF(A477="","",MASTER_REGISTER!F477)</f>
        <v/>
      </c>
      <c r="C477">
        <f>IF(A477="","",MASTER_REGISTER!C477)</f>
        <v/>
      </c>
      <c r="D477">
        <f>IF(A477="","",COUNTIF(ASSESSMENTS!B:B,A477))</f>
        <v/>
      </c>
      <c r="E477" s="4">
        <f>IF(D477=0,"",ROUND(AVERAGEIF(ASSESSMENTS!B:B,A477,ASSESSMENTS!H:H),1))</f>
        <v/>
      </c>
      <c r="F477" s="4">
        <f>IF(A477="","",IFERROR(ROUND(AVERAGEIFS(ASSESSMENTS!H:H,ASSESSMENTS!B:B,A477,ASSESSMENTS!E:E,"Mathematics"),1),""))</f>
        <v/>
      </c>
      <c r="G477" s="4">
        <f>IF(A477="","",IFERROR(ROUND(AVERAGEIFS(ASSESSMENTS!H:H,ASSESSMENTS!B:B,A477,ASSESSMENTS!E:E,"Mathematical Literacy"),1),""))</f>
        <v/>
      </c>
      <c r="H477" s="4">
        <f>IF(A477="","",IFERROR(ROUND(AVERAGEIFS(ASSESSMENTS!H:H,ASSESSMENTS!B:B,A477,ASSESSMENTS!E:E,"Physical Sciences"),1),""))</f>
        <v/>
      </c>
      <c r="I477" s="4">
        <f>IF(A477="","",IFERROR(ROUND(AVERAGEIFS(ASSESSMENTS!H:H,ASSESSMENTS!B:B,A477,ASSESSMENTS!E:E,"Geography"),1),""))</f>
        <v/>
      </c>
      <c r="J477" s="4">
        <f>IF(A477="","",IFERROR(ROUND(AVERAGEIFS(ASSESSMENTS!H:H,ASSESSMENTS!B:B,A477,ASSESSMENTS!E:E,"Accounting"),1),""))</f>
        <v/>
      </c>
      <c r="K477" s="4">
        <f>IF(A477="","",IFERROR(ROUND(AVERAGEIFS(ASSESSMENTS!H:H,ASSESSMENTS!B:B,A477,ASSESSMENTS!E:E,"English"),1),""))</f>
        <v/>
      </c>
      <c r="L477" s="5">
        <f>IF(A477="","",IFERROR(_xludf.XLOOKUP(A477,ATTENDANCE_SUMMARY!A:A,ATTENDANCE_SUMMARY!G:G,""),""))</f>
        <v/>
      </c>
      <c r="M477" s="4">
        <f>IF(A477="","",IF(OR(E477&lt;50,AND(L477&lt;0.75,L477&lt;&gt;"" )),"At Risk","On Track"))</f>
        <v/>
      </c>
    </row>
    <row r="478">
      <c r="A478">
        <f>IF(MASTER_REGISTER!E478="","",MASTER_REGISTER!E478)</f>
        <v/>
      </c>
      <c r="B478">
        <f>IF(A478="","",MASTER_REGISTER!F478)</f>
        <v/>
      </c>
      <c r="C478">
        <f>IF(A478="","",MASTER_REGISTER!C478)</f>
        <v/>
      </c>
      <c r="D478">
        <f>IF(A478="","",COUNTIF(ASSESSMENTS!B:B,A478))</f>
        <v/>
      </c>
      <c r="E478" s="4">
        <f>IF(D478=0,"",ROUND(AVERAGEIF(ASSESSMENTS!B:B,A478,ASSESSMENTS!H:H),1))</f>
        <v/>
      </c>
      <c r="F478" s="4">
        <f>IF(A478="","",IFERROR(ROUND(AVERAGEIFS(ASSESSMENTS!H:H,ASSESSMENTS!B:B,A478,ASSESSMENTS!E:E,"Mathematics"),1),""))</f>
        <v/>
      </c>
      <c r="G478" s="4">
        <f>IF(A478="","",IFERROR(ROUND(AVERAGEIFS(ASSESSMENTS!H:H,ASSESSMENTS!B:B,A478,ASSESSMENTS!E:E,"Mathematical Literacy"),1),""))</f>
        <v/>
      </c>
      <c r="H478" s="4">
        <f>IF(A478="","",IFERROR(ROUND(AVERAGEIFS(ASSESSMENTS!H:H,ASSESSMENTS!B:B,A478,ASSESSMENTS!E:E,"Physical Sciences"),1),""))</f>
        <v/>
      </c>
      <c r="I478" s="4">
        <f>IF(A478="","",IFERROR(ROUND(AVERAGEIFS(ASSESSMENTS!H:H,ASSESSMENTS!B:B,A478,ASSESSMENTS!E:E,"Geography"),1),""))</f>
        <v/>
      </c>
      <c r="J478" s="4">
        <f>IF(A478="","",IFERROR(ROUND(AVERAGEIFS(ASSESSMENTS!H:H,ASSESSMENTS!B:B,A478,ASSESSMENTS!E:E,"Accounting"),1),""))</f>
        <v/>
      </c>
      <c r="K478" s="4">
        <f>IF(A478="","",IFERROR(ROUND(AVERAGEIFS(ASSESSMENTS!H:H,ASSESSMENTS!B:B,A478,ASSESSMENTS!E:E,"English"),1),""))</f>
        <v/>
      </c>
      <c r="L478" s="5">
        <f>IF(A478="","",IFERROR(_xludf.XLOOKUP(A478,ATTENDANCE_SUMMARY!A:A,ATTENDANCE_SUMMARY!G:G,""),""))</f>
        <v/>
      </c>
      <c r="M478" s="4">
        <f>IF(A478="","",IF(OR(E478&lt;50,AND(L478&lt;0.75,L478&lt;&gt;"" )),"At Risk","On Track"))</f>
        <v/>
      </c>
    </row>
    <row r="479">
      <c r="A479">
        <f>IF(MASTER_REGISTER!E479="","",MASTER_REGISTER!E479)</f>
        <v/>
      </c>
      <c r="B479">
        <f>IF(A479="","",MASTER_REGISTER!F479)</f>
        <v/>
      </c>
      <c r="C479">
        <f>IF(A479="","",MASTER_REGISTER!C479)</f>
        <v/>
      </c>
      <c r="D479">
        <f>IF(A479="","",COUNTIF(ASSESSMENTS!B:B,A479))</f>
        <v/>
      </c>
      <c r="E479" s="4">
        <f>IF(D479=0,"",ROUND(AVERAGEIF(ASSESSMENTS!B:B,A479,ASSESSMENTS!H:H),1))</f>
        <v/>
      </c>
      <c r="F479" s="4">
        <f>IF(A479="","",IFERROR(ROUND(AVERAGEIFS(ASSESSMENTS!H:H,ASSESSMENTS!B:B,A479,ASSESSMENTS!E:E,"Mathematics"),1),""))</f>
        <v/>
      </c>
      <c r="G479" s="4">
        <f>IF(A479="","",IFERROR(ROUND(AVERAGEIFS(ASSESSMENTS!H:H,ASSESSMENTS!B:B,A479,ASSESSMENTS!E:E,"Mathematical Literacy"),1),""))</f>
        <v/>
      </c>
      <c r="H479" s="4">
        <f>IF(A479="","",IFERROR(ROUND(AVERAGEIFS(ASSESSMENTS!H:H,ASSESSMENTS!B:B,A479,ASSESSMENTS!E:E,"Physical Sciences"),1),""))</f>
        <v/>
      </c>
      <c r="I479" s="4">
        <f>IF(A479="","",IFERROR(ROUND(AVERAGEIFS(ASSESSMENTS!H:H,ASSESSMENTS!B:B,A479,ASSESSMENTS!E:E,"Geography"),1),""))</f>
        <v/>
      </c>
      <c r="J479" s="4">
        <f>IF(A479="","",IFERROR(ROUND(AVERAGEIFS(ASSESSMENTS!H:H,ASSESSMENTS!B:B,A479,ASSESSMENTS!E:E,"Accounting"),1),""))</f>
        <v/>
      </c>
      <c r="K479" s="4">
        <f>IF(A479="","",IFERROR(ROUND(AVERAGEIFS(ASSESSMENTS!H:H,ASSESSMENTS!B:B,A479,ASSESSMENTS!E:E,"English"),1),""))</f>
        <v/>
      </c>
      <c r="L479" s="5">
        <f>IF(A479="","",IFERROR(_xludf.XLOOKUP(A479,ATTENDANCE_SUMMARY!A:A,ATTENDANCE_SUMMARY!G:G,""),""))</f>
        <v/>
      </c>
      <c r="M479" s="4">
        <f>IF(A479="","",IF(OR(E479&lt;50,AND(L479&lt;0.75,L479&lt;&gt;"" )),"At Risk","On Track"))</f>
        <v/>
      </c>
    </row>
    <row r="480">
      <c r="A480">
        <f>IF(MASTER_REGISTER!E480="","",MASTER_REGISTER!E480)</f>
        <v/>
      </c>
      <c r="B480">
        <f>IF(A480="","",MASTER_REGISTER!F480)</f>
        <v/>
      </c>
      <c r="C480">
        <f>IF(A480="","",MASTER_REGISTER!C480)</f>
        <v/>
      </c>
      <c r="D480">
        <f>IF(A480="","",COUNTIF(ASSESSMENTS!B:B,A480))</f>
        <v/>
      </c>
      <c r="E480" s="4">
        <f>IF(D480=0,"",ROUND(AVERAGEIF(ASSESSMENTS!B:B,A480,ASSESSMENTS!H:H),1))</f>
        <v/>
      </c>
      <c r="F480" s="4">
        <f>IF(A480="","",IFERROR(ROUND(AVERAGEIFS(ASSESSMENTS!H:H,ASSESSMENTS!B:B,A480,ASSESSMENTS!E:E,"Mathematics"),1),""))</f>
        <v/>
      </c>
      <c r="G480" s="4">
        <f>IF(A480="","",IFERROR(ROUND(AVERAGEIFS(ASSESSMENTS!H:H,ASSESSMENTS!B:B,A480,ASSESSMENTS!E:E,"Mathematical Literacy"),1),""))</f>
        <v/>
      </c>
      <c r="H480" s="4">
        <f>IF(A480="","",IFERROR(ROUND(AVERAGEIFS(ASSESSMENTS!H:H,ASSESSMENTS!B:B,A480,ASSESSMENTS!E:E,"Physical Sciences"),1),""))</f>
        <v/>
      </c>
      <c r="I480" s="4">
        <f>IF(A480="","",IFERROR(ROUND(AVERAGEIFS(ASSESSMENTS!H:H,ASSESSMENTS!B:B,A480,ASSESSMENTS!E:E,"Geography"),1),""))</f>
        <v/>
      </c>
      <c r="J480" s="4">
        <f>IF(A480="","",IFERROR(ROUND(AVERAGEIFS(ASSESSMENTS!H:H,ASSESSMENTS!B:B,A480,ASSESSMENTS!E:E,"Accounting"),1),""))</f>
        <v/>
      </c>
      <c r="K480" s="4">
        <f>IF(A480="","",IFERROR(ROUND(AVERAGEIFS(ASSESSMENTS!H:H,ASSESSMENTS!B:B,A480,ASSESSMENTS!E:E,"English"),1),""))</f>
        <v/>
      </c>
      <c r="L480" s="5">
        <f>IF(A480="","",IFERROR(_xludf.XLOOKUP(A480,ATTENDANCE_SUMMARY!A:A,ATTENDANCE_SUMMARY!G:G,""),""))</f>
        <v/>
      </c>
      <c r="M480" s="4">
        <f>IF(A480="","",IF(OR(E480&lt;50,AND(L480&lt;0.75,L480&lt;&gt;"" )),"At Risk","On Track"))</f>
        <v/>
      </c>
    </row>
    <row r="481">
      <c r="A481">
        <f>IF(MASTER_REGISTER!E481="","",MASTER_REGISTER!E481)</f>
        <v/>
      </c>
      <c r="B481">
        <f>IF(A481="","",MASTER_REGISTER!F481)</f>
        <v/>
      </c>
      <c r="C481">
        <f>IF(A481="","",MASTER_REGISTER!C481)</f>
        <v/>
      </c>
      <c r="D481">
        <f>IF(A481="","",COUNTIF(ASSESSMENTS!B:B,A481))</f>
        <v/>
      </c>
      <c r="E481" s="4">
        <f>IF(D481=0,"",ROUND(AVERAGEIF(ASSESSMENTS!B:B,A481,ASSESSMENTS!H:H),1))</f>
        <v/>
      </c>
      <c r="F481" s="4">
        <f>IF(A481="","",IFERROR(ROUND(AVERAGEIFS(ASSESSMENTS!H:H,ASSESSMENTS!B:B,A481,ASSESSMENTS!E:E,"Mathematics"),1),""))</f>
        <v/>
      </c>
      <c r="G481" s="4">
        <f>IF(A481="","",IFERROR(ROUND(AVERAGEIFS(ASSESSMENTS!H:H,ASSESSMENTS!B:B,A481,ASSESSMENTS!E:E,"Mathematical Literacy"),1),""))</f>
        <v/>
      </c>
      <c r="H481" s="4">
        <f>IF(A481="","",IFERROR(ROUND(AVERAGEIFS(ASSESSMENTS!H:H,ASSESSMENTS!B:B,A481,ASSESSMENTS!E:E,"Physical Sciences"),1),""))</f>
        <v/>
      </c>
      <c r="I481" s="4">
        <f>IF(A481="","",IFERROR(ROUND(AVERAGEIFS(ASSESSMENTS!H:H,ASSESSMENTS!B:B,A481,ASSESSMENTS!E:E,"Geography"),1),""))</f>
        <v/>
      </c>
      <c r="J481" s="4">
        <f>IF(A481="","",IFERROR(ROUND(AVERAGEIFS(ASSESSMENTS!H:H,ASSESSMENTS!B:B,A481,ASSESSMENTS!E:E,"Accounting"),1),""))</f>
        <v/>
      </c>
      <c r="K481" s="4">
        <f>IF(A481="","",IFERROR(ROUND(AVERAGEIFS(ASSESSMENTS!H:H,ASSESSMENTS!B:B,A481,ASSESSMENTS!E:E,"English"),1),""))</f>
        <v/>
      </c>
      <c r="L481" s="5">
        <f>IF(A481="","",IFERROR(_xludf.XLOOKUP(A481,ATTENDANCE_SUMMARY!A:A,ATTENDANCE_SUMMARY!G:G,""),""))</f>
        <v/>
      </c>
      <c r="M481" s="4">
        <f>IF(A481="","",IF(OR(E481&lt;50,AND(L481&lt;0.75,L481&lt;&gt;"" )),"At Risk","On Track"))</f>
        <v/>
      </c>
    </row>
    <row r="482">
      <c r="A482">
        <f>IF(MASTER_REGISTER!E482="","",MASTER_REGISTER!E482)</f>
        <v/>
      </c>
      <c r="B482">
        <f>IF(A482="","",MASTER_REGISTER!F482)</f>
        <v/>
      </c>
      <c r="C482">
        <f>IF(A482="","",MASTER_REGISTER!C482)</f>
        <v/>
      </c>
      <c r="D482">
        <f>IF(A482="","",COUNTIF(ASSESSMENTS!B:B,A482))</f>
        <v/>
      </c>
      <c r="E482" s="4">
        <f>IF(D482=0,"",ROUND(AVERAGEIF(ASSESSMENTS!B:B,A482,ASSESSMENTS!H:H),1))</f>
        <v/>
      </c>
      <c r="F482" s="4">
        <f>IF(A482="","",IFERROR(ROUND(AVERAGEIFS(ASSESSMENTS!H:H,ASSESSMENTS!B:B,A482,ASSESSMENTS!E:E,"Mathematics"),1),""))</f>
        <v/>
      </c>
      <c r="G482" s="4">
        <f>IF(A482="","",IFERROR(ROUND(AVERAGEIFS(ASSESSMENTS!H:H,ASSESSMENTS!B:B,A482,ASSESSMENTS!E:E,"Mathematical Literacy"),1),""))</f>
        <v/>
      </c>
      <c r="H482" s="4">
        <f>IF(A482="","",IFERROR(ROUND(AVERAGEIFS(ASSESSMENTS!H:H,ASSESSMENTS!B:B,A482,ASSESSMENTS!E:E,"Physical Sciences"),1),""))</f>
        <v/>
      </c>
      <c r="I482" s="4">
        <f>IF(A482="","",IFERROR(ROUND(AVERAGEIFS(ASSESSMENTS!H:H,ASSESSMENTS!B:B,A482,ASSESSMENTS!E:E,"Geography"),1),""))</f>
        <v/>
      </c>
      <c r="J482" s="4">
        <f>IF(A482="","",IFERROR(ROUND(AVERAGEIFS(ASSESSMENTS!H:H,ASSESSMENTS!B:B,A482,ASSESSMENTS!E:E,"Accounting"),1),""))</f>
        <v/>
      </c>
      <c r="K482" s="4">
        <f>IF(A482="","",IFERROR(ROUND(AVERAGEIFS(ASSESSMENTS!H:H,ASSESSMENTS!B:B,A482,ASSESSMENTS!E:E,"English"),1),""))</f>
        <v/>
      </c>
      <c r="L482" s="5">
        <f>IF(A482="","",IFERROR(_xludf.XLOOKUP(A482,ATTENDANCE_SUMMARY!A:A,ATTENDANCE_SUMMARY!G:G,""),""))</f>
        <v/>
      </c>
      <c r="M482" s="4">
        <f>IF(A482="","",IF(OR(E482&lt;50,AND(L482&lt;0.75,L482&lt;&gt;"" )),"At Risk","On Track"))</f>
        <v/>
      </c>
    </row>
    <row r="483">
      <c r="A483">
        <f>IF(MASTER_REGISTER!E483="","",MASTER_REGISTER!E483)</f>
        <v/>
      </c>
      <c r="B483">
        <f>IF(A483="","",MASTER_REGISTER!F483)</f>
        <v/>
      </c>
      <c r="C483">
        <f>IF(A483="","",MASTER_REGISTER!C483)</f>
        <v/>
      </c>
      <c r="D483">
        <f>IF(A483="","",COUNTIF(ASSESSMENTS!B:B,A483))</f>
        <v/>
      </c>
      <c r="E483" s="4">
        <f>IF(D483=0,"",ROUND(AVERAGEIF(ASSESSMENTS!B:B,A483,ASSESSMENTS!H:H),1))</f>
        <v/>
      </c>
      <c r="F483" s="4">
        <f>IF(A483="","",IFERROR(ROUND(AVERAGEIFS(ASSESSMENTS!H:H,ASSESSMENTS!B:B,A483,ASSESSMENTS!E:E,"Mathematics"),1),""))</f>
        <v/>
      </c>
      <c r="G483" s="4">
        <f>IF(A483="","",IFERROR(ROUND(AVERAGEIFS(ASSESSMENTS!H:H,ASSESSMENTS!B:B,A483,ASSESSMENTS!E:E,"Mathematical Literacy"),1),""))</f>
        <v/>
      </c>
      <c r="H483" s="4">
        <f>IF(A483="","",IFERROR(ROUND(AVERAGEIFS(ASSESSMENTS!H:H,ASSESSMENTS!B:B,A483,ASSESSMENTS!E:E,"Physical Sciences"),1),""))</f>
        <v/>
      </c>
      <c r="I483" s="4">
        <f>IF(A483="","",IFERROR(ROUND(AVERAGEIFS(ASSESSMENTS!H:H,ASSESSMENTS!B:B,A483,ASSESSMENTS!E:E,"Geography"),1),""))</f>
        <v/>
      </c>
      <c r="J483" s="4">
        <f>IF(A483="","",IFERROR(ROUND(AVERAGEIFS(ASSESSMENTS!H:H,ASSESSMENTS!B:B,A483,ASSESSMENTS!E:E,"Accounting"),1),""))</f>
        <v/>
      </c>
      <c r="K483" s="4">
        <f>IF(A483="","",IFERROR(ROUND(AVERAGEIFS(ASSESSMENTS!H:H,ASSESSMENTS!B:B,A483,ASSESSMENTS!E:E,"English"),1),""))</f>
        <v/>
      </c>
      <c r="L483" s="5">
        <f>IF(A483="","",IFERROR(_xludf.XLOOKUP(A483,ATTENDANCE_SUMMARY!A:A,ATTENDANCE_SUMMARY!G:G,""),""))</f>
        <v/>
      </c>
      <c r="M483" s="4">
        <f>IF(A483="","",IF(OR(E483&lt;50,AND(L483&lt;0.75,L483&lt;&gt;"" )),"At Risk","On Track"))</f>
        <v/>
      </c>
    </row>
    <row r="484">
      <c r="A484">
        <f>IF(MASTER_REGISTER!E484="","",MASTER_REGISTER!E484)</f>
        <v/>
      </c>
      <c r="B484">
        <f>IF(A484="","",MASTER_REGISTER!F484)</f>
        <v/>
      </c>
      <c r="C484">
        <f>IF(A484="","",MASTER_REGISTER!C484)</f>
        <v/>
      </c>
      <c r="D484">
        <f>IF(A484="","",COUNTIF(ASSESSMENTS!B:B,A484))</f>
        <v/>
      </c>
      <c r="E484" s="4">
        <f>IF(D484=0,"",ROUND(AVERAGEIF(ASSESSMENTS!B:B,A484,ASSESSMENTS!H:H),1))</f>
        <v/>
      </c>
      <c r="F484" s="4">
        <f>IF(A484="","",IFERROR(ROUND(AVERAGEIFS(ASSESSMENTS!H:H,ASSESSMENTS!B:B,A484,ASSESSMENTS!E:E,"Mathematics"),1),""))</f>
        <v/>
      </c>
      <c r="G484" s="4">
        <f>IF(A484="","",IFERROR(ROUND(AVERAGEIFS(ASSESSMENTS!H:H,ASSESSMENTS!B:B,A484,ASSESSMENTS!E:E,"Mathematical Literacy"),1),""))</f>
        <v/>
      </c>
      <c r="H484" s="4">
        <f>IF(A484="","",IFERROR(ROUND(AVERAGEIFS(ASSESSMENTS!H:H,ASSESSMENTS!B:B,A484,ASSESSMENTS!E:E,"Physical Sciences"),1),""))</f>
        <v/>
      </c>
      <c r="I484" s="4">
        <f>IF(A484="","",IFERROR(ROUND(AVERAGEIFS(ASSESSMENTS!H:H,ASSESSMENTS!B:B,A484,ASSESSMENTS!E:E,"Geography"),1),""))</f>
        <v/>
      </c>
      <c r="J484" s="4">
        <f>IF(A484="","",IFERROR(ROUND(AVERAGEIFS(ASSESSMENTS!H:H,ASSESSMENTS!B:B,A484,ASSESSMENTS!E:E,"Accounting"),1),""))</f>
        <v/>
      </c>
      <c r="K484" s="4">
        <f>IF(A484="","",IFERROR(ROUND(AVERAGEIFS(ASSESSMENTS!H:H,ASSESSMENTS!B:B,A484,ASSESSMENTS!E:E,"English"),1),""))</f>
        <v/>
      </c>
      <c r="L484" s="5">
        <f>IF(A484="","",IFERROR(_xludf.XLOOKUP(A484,ATTENDANCE_SUMMARY!A:A,ATTENDANCE_SUMMARY!G:G,""),""))</f>
        <v/>
      </c>
      <c r="M484" s="4">
        <f>IF(A484="","",IF(OR(E484&lt;50,AND(L484&lt;0.75,L484&lt;&gt;"" )),"At Risk","On Track"))</f>
        <v/>
      </c>
    </row>
    <row r="485">
      <c r="A485">
        <f>IF(MASTER_REGISTER!E485="","",MASTER_REGISTER!E485)</f>
        <v/>
      </c>
      <c r="B485">
        <f>IF(A485="","",MASTER_REGISTER!F485)</f>
        <v/>
      </c>
      <c r="C485">
        <f>IF(A485="","",MASTER_REGISTER!C485)</f>
        <v/>
      </c>
      <c r="D485">
        <f>IF(A485="","",COUNTIF(ASSESSMENTS!B:B,A485))</f>
        <v/>
      </c>
      <c r="E485" s="4">
        <f>IF(D485=0,"",ROUND(AVERAGEIF(ASSESSMENTS!B:B,A485,ASSESSMENTS!H:H),1))</f>
        <v/>
      </c>
      <c r="F485" s="4">
        <f>IF(A485="","",IFERROR(ROUND(AVERAGEIFS(ASSESSMENTS!H:H,ASSESSMENTS!B:B,A485,ASSESSMENTS!E:E,"Mathematics"),1),""))</f>
        <v/>
      </c>
      <c r="G485" s="4">
        <f>IF(A485="","",IFERROR(ROUND(AVERAGEIFS(ASSESSMENTS!H:H,ASSESSMENTS!B:B,A485,ASSESSMENTS!E:E,"Mathematical Literacy"),1),""))</f>
        <v/>
      </c>
      <c r="H485" s="4">
        <f>IF(A485="","",IFERROR(ROUND(AVERAGEIFS(ASSESSMENTS!H:H,ASSESSMENTS!B:B,A485,ASSESSMENTS!E:E,"Physical Sciences"),1),""))</f>
        <v/>
      </c>
      <c r="I485" s="4">
        <f>IF(A485="","",IFERROR(ROUND(AVERAGEIFS(ASSESSMENTS!H:H,ASSESSMENTS!B:B,A485,ASSESSMENTS!E:E,"Geography"),1),""))</f>
        <v/>
      </c>
      <c r="J485" s="4">
        <f>IF(A485="","",IFERROR(ROUND(AVERAGEIFS(ASSESSMENTS!H:H,ASSESSMENTS!B:B,A485,ASSESSMENTS!E:E,"Accounting"),1),""))</f>
        <v/>
      </c>
      <c r="K485" s="4">
        <f>IF(A485="","",IFERROR(ROUND(AVERAGEIFS(ASSESSMENTS!H:H,ASSESSMENTS!B:B,A485,ASSESSMENTS!E:E,"English"),1),""))</f>
        <v/>
      </c>
      <c r="L485" s="5">
        <f>IF(A485="","",IFERROR(_xludf.XLOOKUP(A485,ATTENDANCE_SUMMARY!A:A,ATTENDANCE_SUMMARY!G:G,""),""))</f>
        <v/>
      </c>
      <c r="M485" s="4">
        <f>IF(A485="","",IF(OR(E485&lt;50,AND(L485&lt;0.75,L485&lt;&gt;"" )),"At Risk","On Track"))</f>
        <v/>
      </c>
    </row>
    <row r="486">
      <c r="A486">
        <f>IF(MASTER_REGISTER!E486="","",MASTER_REGISTER!E486)</f>
        <v/>
      </c>
      <c r="B486">
        <f>IF(A486="","",MASTER_REGISTER!F486)</f>
        <v/>
      </c>
      <c r="C486">
        <f>IF(A486="","",MASTER_REGISTER!C486)</f>
        <v/>
      </c>
      <c r="D486">
        <f>IF(A486="","",COUNTIF(ASSESSMENTS!B:B,A486))</f>
        <v/>
      </c>
      <c r="E486" s="4">
        <f>IF(D486=0,"",ROUND(AVERAGEIF(ASSESSMENTS!B:B,A486,ASSESSMENTS!H:H),1))</f>
        <v/>
      </c>
      <c r="F486" s="4">
        <f>IF(A486="","",IFERROR(ROUND(AVERAGEIFS(ASSESSMENTS!H:H,ASSESSMENTS!B:B,A486,ASSESSMENTS!E:E,"Mathematics"),1),""))</f>
        <v/>
      </c>
      <c r="G486" s="4">
        <f>IF(A486="","",IFERROR(ROUND(AVERAGEIFS(ASSESSMENTS!H:H,ASSESSMENTS!B:B,A486,ASSESSMENTS!E:E,"Mathematical Literacy"),1),""))</f>
        <v/>
      </c>
      <c r="H486" s="4">
        <f>IF(A486="","",IFERROR(ROUND(AVERAGEIFS(ASSESSMENTS!H:H,ASSESSMENTS!B:B,A486,ASSESSMENTS!E:E,"Physical Sciences"),1),""))</f>
        <v/>
      </c>
      <c r="I486" s="4">
        <f>IF(A486="","",IFERROR(ROUND(AVERAGEIFS(ASSESSMENTS!H:H,ASSESSMENTS!B:B,A486,ASSESSMENTS!E:E,"Geography"),1),""))</f>
        <v/>
      </c>
      <c r="J486" s="4">
        <f>IF(A486="","",IFERROR(ROUND(AVERAGEIFS(ASSESSMENTS!H:H,ASSESSMENTS!B:B,A486,ASSESSMENTS!E:E,"Accounting"),1),""))</f>
        <v/>
      </c>
      <c r="K486" s="4">
        <f>IF(A486="","",IFERROR(ROUND(AVERAGEIFS(ASSESSMENTS!H:H,ASSESSMENTS!B:B,A486,ASSESSMENTS!E:E,"English"),1),""))</f>
        <v/>
      </c>
      <c r="L486" s="5">
        <f>IF(A486="","",IFERROR(_xludf.XLOOKUP(A486,ATTENDANCE_SUMMARY!A:A,ATTENDANCE_SUMMARY!G:G,""),""))</f>
        <v/>
      </c>
      <c r="M486" s="4">
        <f>IF(A486="","",IF(OR(E486&lt;50,AND(L486&lt;0.75,L486&lt;&gt;"" )),"At Risk","On Track"))</f>
        <v/>
      </c>
    </row>
    <row r="487">
      <c r="A487">
        <f>IF(MASTER_REGISTER!E487="","",MASTER_REGISTER!E487)</f>
        <v/>
      </c>
      <c r="B487">
        <f>IF(A487="","",MASTER_REGISTER!F487)</f>
        <v/>
      </c>
      <c r="C487">
        <f>IF(A487="","",MASTER_REGISTER!C487)</f>
        <v/>
      </c>
      <c r="D487">
        <f>IF(A487="","",COUNTIF(ASSESSMENTS!B:B,A487))</f>
        <v/>
      </c>
      <c r="E487" s="4">
        <f>IF(D487=0,"",ROUND(AVERAGEIF(ASSESSMENTS!B:B,A487,ASSESSMENTS!H:H),1))</f>
        <v/>
      </c>
      <c r="F487" s="4">
        <f>IF(A487="","",IFERROR(ROUND(AVERAGEIFS(ASSESSMENTS!H:H,ASSESSMENTS!B:B,A487,ASSESSMENTS!E:E,"Mathematics"),1),""))</f>
        <v/>
      </c>
      <c r="G487" s="4">
        <f>IF(A487="","",IFERROR(ROUND(AVERAGEIFS(ASSESSMENTS!H:H,ASSESSMENTS!B:B,A487,ASSESSMENTS!E:E,"Mathematical Literacy"),1),""))</f>
        <v/>
      </c>
      <c r="H487" s="4">
        <f>IF(A487="","",IFERROR(ROUND(AVERAGEIFS(ASSESSMENTS!H:H,ASSESSMENTS!B:B,A487,ASSESSMENTS!E:E,"Physical Sciences"),1),""))</f>
        <v/>
      </c>
      <c r="I487" s="4">
        <f>IF(A487="","",IFERROR(ROUND(AVERAGEIFS(ASSESSMENTS!H:H,ASSESSMENTS!B:B,A487,ASSESSMENTS!E:E,"Geography"),1),""))</f>
        <v/>
      </c>
      <c r="J487" s="4">
        <f>IF(A487="","",IFERROR(ROUND(AVERAGEIFS(ASSESSMENTS!H:H,ASSESSMENTS!B:B,A487,ASSESSMENTS!E:E,"Accounting"),1),""))</f>
        <v/>
      </c>
      <c r="K487" s="4">
        <f>IF(A487="","",IFERROR(ROUND(AVERAGEIFS(ASSESSMENTS!H:H,ASSESSMENTS!B:B,A487,ASSESSMENTS!E:E,"English"),1),""))</f>
        <v/>
      </c>
      <c r="L487" s="5">
        <f>IF(A487="","",IFERROR(_xludf.XLOOKUP(A487,ATTENDANCE_SUMMARY!A:A,ATTENDANCE_SUMMARY!G:G,""),""))</f>
        <v/>
      </c>
      <c r="M487" s="4">
        <f>IF(A487="","",IF(OR(E487&lt;50,AND(L487&lt;0.75,L487&lt;&gt;"" )),"At Risk","On Track"))</f>
        <v/>
      </c>
    </row>
    <row r="488">
      <c r="A488">
        <f>IF(MASTER_REGISTER!E488="","",MASTER_REGISTER!E488)</f>
        <v/>
      </c>
      <c r="B488">
        <f>IF(A488="","",MASTER_REGISTER!F488)</f>
        <v/>
      </c>
      <c r="C488">
        <f>IF(A488="","",MASTER_REGISTER!C488)</f>
        <v/>
      </c>
      <c r="D488">
        <f>IF(A488="","",COUNTIF(ASSESSMENTS!B:B,A488))</f>
        <v/>
      </c>
      <c r="E488" s="4">
        <f>IF(D488=0,"",ROUND(AVERAGEIF(ASSESSMENTS!B:B,A488,ASSESSMENTS!H:H),1))</f>
        <v/>
      </c>
      <c r="F488" s="4">
        <f>IF(A488="","",IFERROR(ROUND(AVERAGEIFS(ASSESSMENTS!H:H,ASSESSMENTS!B:B,A488,ASSESSMENTS!E:E,"Mathematics"),1),""))</f>
        <v/>
      </c>
      <c r="G488" s="4">
        <f>IF(A488="","",IFERROR(ROUND(AVERAGEIFS(ASSESSMENTS!H:H,ASSESSMENTS!B:B,A488,ASSESSMENTS!E:E,"Mathematical Literacy"),1),""))</f>
        <v/>
      </c>
      <c r="H488" s="4">
        <f>IF(A488="","",IFERROR(ROUND(AVERAGEIFS(ASSESSMENTS!H:H,ASSESSMENTS!B:B,A488,ASSESSMENTS!E:E,"Physical Sciences"),1),""))</f>
        <v/>
      </c>
      <c r="I488" s="4">
        <f>IF(A488="","",IFERROR(ROUND(AVERAGEIFS(ASSESSMENTS!H:H,ASSESSMENTS!B:B,A488,ASSESSMENTS!E:E,"Geography"),1),""))</f>
        <v/>
      </c>
      <c r="J488" s="4">
        <f>IF(A488="","",IFERROR(ROUND(AVERAGEIFS(ASSESSMENTS!H:H,ASSESSMENTS!B:B,A488,ASSESSMENTS!E:E,"Accounting"),1),""))</f>
        <v/>
      </c>
      <c r="K488" s="4">
        <f>IF(A488="","",IFERROR(ROUND(AVERAGEIFS(ASSESSMENTS!H:H,ASSESSMENTS!B:B,A488,ASSESSMENTS!E:E,"English"),1),""))</f>
        <v/>
      </c>
      <c r="L488" s="5">
        <f>IF(A488="","",IFERROR(_xludf.XLOOKUP(A488,ATTENDANCE_SUMMARY!A:A,ATTENDANCE_SUMMARY!G:G,""),""))</f>
        <v/>
      </c>
      <c r="M488" s="4">
        <f>IF(A488="","",IF(OR(E488&lt;50,AND(L488&lt;0.75,L488&lt;&gt;"" )),"At Risk","On Track"))</f>
        <v/>
      </c>
    </row>
    <row r="489">
      <c r="A489">
        <f>IF(MASTER_REGISTER!E489="","",MASTER_REGISTER!E489)</f>
        <v/>
      </c>
      <c r="B489">
        <f>IF(A489="","",MASTER_REGISTER!F489)</f>
        <v/>
      </c>
      <c r="C489">
        <f>IF(A489="","",MASTER_REGISTER!C489)</f>
        <v/>
      </c>
      <c r="D489">
        <f>IF(A489="","",COUNTIF(ASSESSMENTS!B:B,A489))</f>
        <v/>
      </c>
      <c r="E489" s="4">
        <f>IF(D489=0,"",ROUND(AVERAGEIF(ASSESSMENTS!B:B,A489,ASSESSMENTS!H:H),1))</f>
        <v/>
      </c>
      <c r="F489" s="4">
        <f>IF(A489="","",IFERROR(ROUND(AVERAGEIFS(ASSESSMENTS!H:H,ASSESSMENTS!B:B,A489,ASSESSMENTS!E:E,"Mathematics"),1),""))</f>
        <v/>
      </c>
      <c r="G489" s="4">
        <f>IF(A489="","",IFERROR(ROUND(AVERAGEIFS(ASSESSMENTS!H:H,ASSESSMENTS!B:B,A489,ASSESSMENTS!E:E,"Mathematical Literacy"),1),""))</f>
        <v/>
      </c>
      <c r="H489" s="4">
        <f>IF(A489="","",IFERROR(ROUND(AVERAGEIFS(ASSESSMENTS!H:H,ASSESSMENTS!B:B,A489,ASSESSMENTS!E:E,"Physical Sciences"),1),""))</f>
        <v/>
      </c>
      <c r="I489" s="4">
        <f>IF(A489="","",IFERROR(ROUND(AVERAGEIFS(ASSESSMENTS!H:H,ASSESSMENTS!B:B,A489,ASSESSMENTS!E:E,"Geography"),1),""))</f>
        <v/>
      </c>
      <c r="J489" s="4">
        <f>IF(A489="","",IFERROR(ROUND(AVERAGEIFS(ASSESSMENTS!H:H,ASSESSMENTS!B:B,A489,ASSESSMENTS!E:E,"Accounting"),1),""))</f>
        <v/>
      </c>
      <c r="K489" s="4">
        <f>IF(A489="","",IFERROR(ROUND(AVERAGEIFS(ASSESSMENTS!H:H,ASSESSMENTS!B:B,A489,ASSESSMENTS!E:E,"English"),1),""))</f>
        <v/>
      </c>
      <c r="L489" s="5">
        <f>IF(A489="","",IFERROR(_xludf.XLOOKUP(A489,ATTENDANCE_SUMMARY!A:A,ATTENDANCE_SUMMARY!G:G,""),""))</f>
        <v/>
      </c>
      <c r="M489" s="4">
        <f>IF(A489="","",IF(OR(E489&lt;50,AND(L489&lt;0.75,L489&lt;&gt;"" )),"At Risk","On Track"))</f>
        <v/>
      </c>
    </row>
    <row r="490">
      <c r="A490">
        <f>IF(MASTER_REGISTER!E490="","",MASTER_REGISTER!E490)</f>
        <v/>
      </c>
      <c r="B490">
        <f>IF(A490="","",MASTER_REGISTER!F490)</f>
        <v/>
      </c>
      <c r="C490">
        <f>IF(A490="","",MASTER_REGISTER!C490)</f>
        <v/>
      </c>
      <c r="D490">
        <f>IF(A490="","",COUNTIF(ASSESSMENTS!B:B,A490))</f>
        <v/>
      </c>
      <c r="E490" s="4">
        <f>IF(D490=0,"",ROUND(AVERAGEIF(ASSESSMENTS!B:B,A490,ASSESSMENTS!H:H),1))</f>
        <v/>
      </c>
      <c r="F490" s="4">
        <f>IF(A490="","",IFERROR(ROUND(AVERAGEIFS(ASSESSMENTS!H:H,ASSESSMENTS!B:B,A490,ASSESSMENTS!E:E,"Mathematics"),1),""))</f>
        <v/>
      </c>
      <c r="G490" s="4">
        <f>IF(A490="","",IFERROR(ROUND(AVERAGEIFS(ASSESSMENTS!H:H,ASSESSMENTS!B:B,A490,ASSESSMENTS!E:E,"Mathematical Literacy"),1),""))</f>
        <v/>
      </c>
      <c r="H490" s="4">
        <f>IF(A490="","",IFERROR(ROUND(AVERAGEIFS(ASSESSMENTS!H:H,ASSESSMENTS!B:B,A490,ASSESSMENTS!E:E,"Physical Sciences"),1),""))</f>
        <v/>
      </c>
      <c r="I490" s="4">
        <f>IF(A490="","",IFERROR(ROUND(AVERAGEIFS(ASSESSMENTS!H:H,ASSESSMENTS!B:B,A490,ASSESSMENTS!E:E,"Geography"),1),""))</f>
        <v/>
      </c>
      <c r="J490" s="4">
        <f>IF(A490="","",IFERROR(ROUND(AVERAGEIFS(ASSESSMENTS!H:H,ASSESSMENTS!B:B,A490,ASSESSMENTS!E:E,"Accounting"),1),""))</f>
        <v/>
      </c>
      <c r="K490" s="4">
        <f>IF(A490="","",IFERROR(ROUND(AVERAGEIFS(ASSESSMENTS!H:H,ASSESSMENTS!B:B,A490,ASSESSMENTS!E:E,"English"),1),""))</f>
        <v/>
      </c>
      <c r="L490" s="5">
        <f>IF(A490="","",IFERROR(_xludf.XLOOKUP(A490,ATTENDANCE_SUMMARY!A:A,ATTENDANCE_SUMMARY!G:G,""),""))</f>
        <v/>
      </c>
      <c r="M490" s="4">
        <f>IF(A490="","",IF(OR(E490&lt;50,AND(L490&lt;0.75,L490&lt;&gt;"" )),"At Risk","On Track"))</f>
        <v/>
      </c>
    </row>
    <row r="491">
      <c r="A491">
        <f>IF(MASTER_REGISTER!E491="","",MASTER_REGISTER!E491)</f>
        <v/>
      </c>
      <c r="B491">
        <f>IF(A491="","",MASTER_REGISTER!F491)</f>
        <v/>
      </c>
      <c r="C491">
        <f>IF(A491="","",MASTER_REGISTER!C491)</f>
        <v/>
      </c>
      <c r="D491">
        <f>IF(A491="","",COUNTIF(ASSESSMENTS!B:B,A491))</f>
        <v/>
      </c>
      <c r="E491" s="4">
        <f>IF(D491=0,"",ROUND(AVERAGEIF(ASSESSMENTS!B:B,A491,ASSESSMENTS!H:H),1))</f>
        <v/>
      </c>
      <c r="F491" s="4">
        <f>IF(A491="","",IFERROR(ROUND(AVERAGEIFS(ASSESSMENTS!H:H,ASSESSMENTS!B:B,A491,ASSESSMENTS!E:E,"Mathematics"),1),""))</f>
        <v/>
      </c>
      <c r="G491" s="4">
        <f>IF(A491="","",IFERROR(ROUND(AVERAGEIFS(ASSESSMENTS!H:H,ASSESSMENTS!B:B,A491,ASSESSMENTS!E:E,"Mathematical Literacy"),1),""))</f>
        <v/>
      </c>
      <c r="H491" s="4">
        <f>IF(A491="","",IFERROR(ROUND(AVERAGEIFS(ASSESSMENTS!H:H,ASSESSMENTS!B:B,A491,ASSESSMENTS!E:E,"Physical Sciences"),1),""))</f>
        <v/>
      </c>
      <c r="I491" s="4">
        <f>IF(A491="","",IFERROR(ROUND(AVERAGEIFS(ASSESSMENTS!H:H,ASSESSMENTS!B:B,A491,ASSESSMENTS!E:E,"Geography"),1),""))</f>
        <v/>
      </c>
      <c r="J491" s="4">
        <f>IF(A491="","",IFERROR(ROUND(AVERAGEIFS(ASSESSMENTS!H:H,ASSESSMENTS!B:B,A491,ASSESSMENTS!E:E,"Accounting"),1),""))</f>
        <v/>
      </c>
      <c r="K491" s="4">
        <f>IF(A491="","",IFERROR(ROUND(AVERAGEIFS(ASSESSMENTS!H:H,ASSESSMENTS!B:B,A491,ASSESSMENTS!E:E,"English"),1),""))</f>
        <v/>
      </c>
      <c r="L491" s="5">
        <f>IF(A491="","",IFERROR(_xludf.XLOOKUP(A491,ATTENDANCE_SUMMARY!A:A,ATTENDANCE_SUMMARY!G:G,""),""))</f>
        <v/>
      </c>
      <c r="M491" s="4">
        <f>IF(A491="","",IF(OR(E491&lt;50,AND(L491&lt;0.75,L491&lt;&gt;"" )),"At Risk","On Track"))</f>
        <v/>
      </c>
    </row>
    <row r="492">
      <c r="A492">
        <f>IF(MASTER_REGISTER!E492="","",MASTER_REGISTER!E492)</f>
        <v/>
      </c>
      <c r="B492">
        <f>IF(A492="","",MASTER_REGISTER!F492)</f>
        <v/>
      </c>
      <c r="C492">
        <f>IF(A492="","",MASTER_REGISTER!C492)</f>
        <v/>
      </c>
      <c r="D492">
        <f>IF(A492="","",COUNTIF(ASSESSMENTS!B:B,A492))</f>
        <v/>
      </c>
      <c r="E492" s="4">
        <f>IF(D492=0,"",ROUND(AVERAGEIF(ASSESSMENTS!B:B,A492,ASSESSMENTS!H:H),1))</f>
        <v/>
      </c>
      <c r="F492" s="4">
        <f>IF(A492="","",IFERROR(ROUND(AVERAGEIFS(ASSESSMENTS!H:H,ASSESSMENTS!B:B,A492,ASSESSMENTS!E:E,"Mathematics"),1),""))</f>
        <v/>
      </c>
      <c r="G492" s="4">
        <f>IF(A492="","",IFERROR(ROUND(AVERAGEIFS(ASSESSMENTS!H:H,ASSESSMENTS!B:B,A492,ASSESSMENTS!E:E,"Mathematical Literacy"),1),""))</f>
        <v/>
      </c>
      <c r="H492" s="4">
        <f>IF(A492="","",IFERROR(ROUND(AVERAGEIFS(ASSESSMENTS!H:H,ASSESSMENTS!B:B,A492,ASSESSMENTS!E:E,"Physical Sciences"),1),""))</f>
        <v/>
      </c>
      <c r="I492" s="4">
        <f>IF(A492="","",IFERROR(ROUND(AVERAGEIFS(ASSESSMENTS!H:H,ASSESSMENTS!B:B,A492,ASSESSMENTS!E:E,"Geography"),1),""))</f>
        <v/>
      </c>
      <c r="J492" s="4">
        <f>IF(A492="","",IFERROR(ROUND(AVERAGEIFS(ASSESSMENTS!H:H,ASSESSMENTS!B:B,A492,ASSESSMENTS!E:E,"Accounting"),1),""))</f>
        <v/>
      </c>
      <c r="K492" s="4">
        <f>IF(A492="","",IFERROR(ROUND(AVERAGEIFS(ASSESSMENTS!H:H,ASSESSMENTS!B:B,A492,ASSESSMENTS!E:E,"English"),1),""))</f>
        <v/>
      </c>
      <c r="L492" s="5">
        <f>IF(A492="","",IFERROR(_xludf.XLOOKUP(A492,ATTENDANCE_SUMMARY!A:A,ATTENDANCE_SUMMARY!G:G,""),""))</f>
        <v/>
      </c>
      <c r="M492" s="4">
        <f>IF(A492="","",IF(OR(E492&lt;50,AND(L492&lt;0.75,L492&lt;&gt;"" )),"At Risk","On Track"))</f>
        <v/>
      </c>
    </row>
    <row r="493">
      <c r="A493">
        <f>IF(MASTER_REGISTER!E493="","",MASTER_REGISTER!E493)</f>
        <v/>
      </c>
      <c r="B493">
        <f>IF(A493="","",MASTER_REGISTER!F493)</f>
        <v/>
      </c>
      <c r="C493">
        <f>IF(A493="","",MASTER_REGISTER!C493)</f>
        <v/>
      </c>
      <c r="D493">
        <f>IF(A493="","",COUNTIF(ASSESSMENTS!B:B,A493))</f>
        <v/>
      </c>
      <c r="E493" s="4">
        <f>IF(D493=0,"",ROUND(AVERAGEIF(ASSESSMENTS!B:B,A493,ASSESSMENTS!H:H),1))</f>
        <v/>
      </c>
      <c r="F493" s="4">
        <f>IF(A493="","",IFERROR(ROUND(AVERAGEIFS(ASSESSMENTS!H:H,ASSESSMENTS!B:B,A493,ASSESSMENTS!E:E,"Mathematics"),1),""))</f>
        <v/>
      </c>
      <c r="G493" s="4">
        <f>IF(A493="","",IFERROR(ROUND(AVERAGEIFS(ASSESSMENTS!H:H,ASSESSMENTS!B:B,A493,ASSESSMENTS!E:E,"Mathematical Literacy"),1),""))</f>
        <v/>
      </c>
      <c r="H493" s="4">
        <f>IF(A493="","",IFERROR(ROUND(AVERAGEIFS(ASSESSMENTS!H:H,ASSESSMENTS!B:B,A493,ASSESSMENTS!E:E,"Physical Sciences"),1),""))</f>
        <v/>
      </c>
      <c r="I493" s="4">
        <f>IF(A493="","",IFERROR(ROUND(AVERAGEIFS(ASSESSMENTS!H:H,ASSESSMENTS!B:B,A493,ASSESSMENTS!E:E,"Geography"),1),""))</f>
        <v/>
      </c>
      <c r="J493" s="4">
        <f>IF(A493="","",IFERROR(ROUND(AVERAGEIFS(ASSESSMENTS!H:H,ASSESSMENTS!B:B,A493,ASSESSMENTS!E:E,"Accounting"),1),""))</f>
        <v/>
      </c>
      <c r="K493" s="4">
        <f>IF(A493="","",IFERROR(ROUND(AVERAGEIFS(ASSESSMENTS!H:H,ASSESSMENTS!B:B,A493,ASSESSMENTS!E:E,"English"),1),""))</f>
        <v/>
      </c>
      <c r="L493" s="5">
        <f>IF(A493="","",IFERROR(_xludf.XLOOKUP(A493,ATTENDANCE_SUMMARY!A:A,ATTENDANCE_SUMMARY!G:G,""),""))</f>
        <v/>
      </c>
      <c r="M493" s="4">
        <f>IF(A493="","",IF(OR(E493&lt;50,AND(L493&lt;0.75,L493&lt;&gt;"" )),"At Risk","On Track"))</f>
        <v/>
      </c>
    </row>
    <row r="494">
      <c r="A494">
        <f>IF(MASTER_REGISTER!E494="","",MASTER_REGISTER!E494)</f>
        <v/>
      </c>
      <c r="B494">
        <f>IF(A494="","",MASTER_REGISTER!F494)</f>
        <v/>
      </c>
      <c r="C494">
        <f>IF(A494="","",MASTER_REGISTER!C494)</f>
        <v/>
      </c>
      <c r="D494">
        <f>IF(A494="","",COUNTIF(ASSESSMENTS!B:B,A494))</f>
        <v/>
      </c>
      <c r="E494" s="4">
        <f>IF(D494=0,"",ROUND(AVERAGEIF(ASSESSMENTS!B:B,A494,ASSESSMENTS!H:H),1))</f>
        <v/>
      </c>
      <c r="F494" s="4">
        <f>IF(A494="","",IFERROR(ROUND(AVERAGEIFS(ASSESSMENTS!H:H,ASSESSMENTS!B:B,A494,ASSESSMENTS!E:E,"Mathematics"),1),""))</f>
        <v/>
      </c>
      <c r="G494" s="4">
        <f>IF(A494="","",IFERROR(ROUND(AVERAGEIFS(ASSESSMENTS!H:H,ASSESSMENTS!B:B,A494,ASSESSMENTS!E:E,"Mathematical Literacy"),1),""))</f>
        <v/>
      </c>
      <c r="H494" s="4">
        <f>IF(A494="","",IFERROR(ROUND(AVERAGEIFS(ASSESSMENTS!H:H,ASSESSMENTS!B:B,A494,ASSESSMENTS!E:E,"Physical Sciences"),1),""))</f>
        <v/>
      </c>
      <c r="I494" s="4">
        <f>IF(A494="","",IFERROR(ROUND(AVERAGEIFS(ASSESSMENTS!H:H,ASSESSMENTS!B:B,A494,ASSESSMENTS!E:E,"Geography"),1),""))</f>
        <v/>
      </c>
      <c r="J494" s="4">
        <f>IF(A494="","",IFERROR(ROUND(AVERAGEIFS(ASSESSMENTS!H:H,ASSESSMENTS!B:B,A494,ASSESSMENTS!E:E,"Accounting"),1),""))</f>
        <v/>
      </c>
      <c r="K494" s="4">
        <f>IF(A494="","",IFERROR(ROUND(AVERAGEIFS(ASSESSMENTS!H:H,ASSESSMENTS!B:B,A494,ASSESSMENTS!E:E,"English"),1),""))</f>
        <v/>
      </c>
      <c r="L494" s="5">
        <f>IF(A494="","",IFERROR(_xludf.XLOOKUP(A494,ATTENDANCE_SUMMARY!A:A,ATTENDANCE_SUMMARY!G:G,""),""))</f>
        <v/>
      </c>
      <c r="M494" s="4">
        <f>IF(A494="","",IF(OR(E494&lt;50,AND(L494&lt;0.75,L494&lt;&gt;"" )),"At Risk","On Track"))</f>
        <v/>
      </c>
    </row>
    <row r="495">
      <c r="A495">
        <f>IF(MASTER_REGISTER!E495="","",MASTER_REGISTER!E495)</f>
        <v/>
      </c>
      <c r="B495">
        <f>IF(A495="","",MASTER_REGISTER!F495)</f>
        <v/>
      </c>
      <c r="C495">
        <f>IF(A495="","",MASTER_REGISTER!C495)</f>
        <v/>
      </c>
      <c r="D495">
        <f>IF(A495="","",COUNTIF(ASSESSMENTS!B:B,A495))</f>
        <v/>
      </c>
      <c r="E495" s="4">
        <f>IF(D495=0,"",ROUND(AVERAGEIF(ASSESSMENTS!B:B,A495,ASSESSMENTS!H:H),1))</f>
        <v/>
      </c>
      <c r="F495" s="4">
        <f>IF(A495="","",IFERROR(ROUND(AVERAGEIFS(ASSESSMENTS!H:H,ASSESSMENTS!B:B,A495,ASSESSMENTS!E:E,"Mathematics"),1),""))</f>
        <v/>
      </c>
      <c r="G495" s="4">
        <f>IF(A495="","",IFERROR(ROUND(AVERAGEIFS(ASSESSMENTS!H:H,ASSESSMENTS!B:B,A495,ASSESSMENTS!E:E,"Mathematical Literacy"),1),""))</f>
        <v/>
      </c>
      <c r="H495" s="4">
        <f>IF(A495="","",IFERROR(ROUND(AVERAGEIFS(ASSESSMENTS!H:H,ASSESSMENTS!B:B,A495,ASSESSMENTS!E:E,"Physical Sciences"),1),""))</f>
        <v/>
      </c>
      <c r="I495" s="4">
        <f>IF(A495="","",IFERROR(ROUND(AVERAGEIFS(ASSESSMENTS!H:H,ASSESSMENTS!B:B,A495,ASSESSMENTS!E:E,"Geography"),1),""))</f>
        <v/>
      </c>
      <c r="J495" s="4">
        <f>IF(A495="","",IFERROR(ROUND(AVERAGEIFS(ASSESSMENTS!H:H,ASSESSMENTS!B:B,A495,ASSESSMENTS!E:E,"Accounting"),1),""))</f>
        <v/>
      </c>
      <c r="K495" s="4">
        <f>IF(A495="","",IFERROR(ROUND(AVERAGEIFS(ASSESSMENTS!H:H,ASSESSMENTS!B:B,A495,ASSESSMENTS!E:E,"English"),1),""))</f>
        <v/>
      </c>
      <c r="L495" s="5">
        <f>IF(A495="","",IFERROR(_xludf.XLOOKUP(A495,ATTENDANCE_SUMMARY!A:A,ATTENDANCE_SUMMARY!G:G,""),""))</f>
        <v/>
      </c>
      <c r="M495" s="4">
        <f>IF(A495="","",IF(OR(E495&lt;50,AND(L495&lt;0.75,L495&lt;&gt;"" )),"At Risk","On Track"))</f>
        <v/>
      </c>
    </row>
    <row r="496">
      <c r="A496">
        <f>IF(MASTER_REGISTER!E496="","",MASTER_REGISTER!E496)</f>
        <v/>
      </c>
      <c r="B496">
        <f>IF(A496="","",MASTER_REGISTER!F496)</f>
        <v/>
      </c>
      <c r="C496">
        <f>IF(A496="","",MASTER_REGISTER!C496)</f>
        <v/>
      </c>
      <c r="D496">
        <f>IF(A496="","",COUNTIF(ASSESSMENTS!B:B,A496))</f>
        <v/>
      </c>
      <c r="E496" s="4">
        <f>IF(D496=0,"",ROUND(AVERAGEIF(ASSESSMENTS!B:B,A496,ASSESSMENTS!H:H),1))</f>
        <v/>
      </c>
      <c r="F496" s="4">
        <f>IF(A496="","",IFERROR(ROUND(AVERAGEIFS(ASSESSMENTS!H:H,ASSESSMENTS!B:B,A496,ASSESSMENTS!E:E,"Mathematics"),1),""))</f>
        <v/>
      </c>
      <c r="G496" s="4">
        <f>IF(A496="","",IFERROR(ROUND(AVERAGEIFS(ASSESSMENTS!H:H,ASSESSMENTS!B:B,A496,ASSESSMENTS!E:E,"Mathematical Literacy"),1),""))</f>
        <v/>
      </c>
      <c r="H496" s="4">
        <f>IF(A496="","",IFERROR(ROUND(AVERAGEIFS(ASSESSMENTS!H:H,ASSESSMENTS!B:B,A496,ASSESSMENTS!E:E,"Physical Sciences"),1),""))</f>
        <v/>
      </c>
      <c r="I496" s="4">
        <f>IF(A496="","",IFERROR(ROUND(AVERAGEIFS(ASSESSMENTS!H:H,ASSESSMENTS!B:B,A496,ASSESSMENTS!E:E,"Geography"),1),""))</f>
        <v/>
      </c>
      <c r="J496" s="4">
        <f>IF(A496="","",IFERROR(ROUND(AVERAGEIFS(ASSESSMENTS!H:H,ASSESSMENTS!B:B,A496,ASSESSMENTS!E:E,"Accounting"),1),""))</f>
        <v/>
      </c>
      <c r="K496" s="4">
        <f>IF(A496="","",IFERROR(ROUND(AVERAGEIFS(ASSESSMENTS!H:H,ASSESSMENTS!B:B,A496,ASSESSMENTS!E:E,"English"),1),""))</f>
        <v/>
      </c>
      <c r="L496" s="5">
        <f>IF(A496="","",IFERROR(_xludf.XLOOKUP(A496,ATTENDANCE_SUMMARY!A:A,ATTENDANCE_SUMMARY!G:G,""),""))</f>
        <v/>
      </c>
      <c r="M496" s="4">
        <f>IF(A496="","",IF(OR(E496&lt;50,AND(L496&lt;0.75,L496&lt;&gt;"" )),"At Risk","On Track"))</f>
        <v/>
      </c>
    </row>
    <row r="497">
      <c r="A497">
        <f>IF(MASTER_REGISTER!E497="","",MASTER_REGISTER!E497)</f>
        <v/>
      </c>
      <c r="B497">
        <f>IF(A497="","",MASTER_REGISTER!F497)</f>
        <v/>
      </c>
      <c r="C497">
        <f>IF(A497="","",MASTER_REGISTER!C497)</f>
        <v/>
      </c>
      <c r="D497">
        <f>IF(A497="","",COUNTIF(ASSESSMENTS!B:B,A497))</f>
        <v/>
      </c>
      <c r="E497" s="4">
        <f>IF(D497=0,"",ROUND(AVERAGEIF(ASSESSMENTS!B:B,A497,ASSESSMENTS!H:H),1))</f>
        <v/>
      </c>
      <c r="F497" s="4">
        <f>IF(A497="","",IFERROR(ROUND(AVERAGEIFS(ASSESSMENTS!H:H,ASSESSMENTS!B:B,A497,ASSESSMENTS!E:E,"Mathematics"),1),""))</f>
        <v/>
      </c>
      <c r="G497" s="4">
        <f>IF(A497="","",IFERROR(ROUND(AVERAGEIFS(ASSESSMENTS!H:H,ASSESSMENTS!B:B,A497,ASSESSMENTS!E:E,"Mathematical Literacy"),1),""))</f>
        <v/>
      </c>
      <c r="H497" s="4">
        <f>IF(A497="","",IFERROR(ROUND(AVERAGEIFS(ASSESSMENTS!H:H,ASSESSMENTS!B:B,A497,ASSESSMENTS!E:E,"Physical Sciences"),1),""))</f>
        <v/>
      </c>
      <c r="I497" s="4">
        <f>IF(A497="","",IFERROR(ROUND(AVERAGEIFS(ASSESSMENTS!H:H,ASSESSMENTS!B:B,A497,ASSESSMENTS!E:E,"Geography"),1),""))</f>
        <v/>
      </c>
      <c r="J497" s="4">
        <f>IF(A497="","",IFERROR(ROUND(AVERAGEIFS(ASSESSMENTS!H:H,ASSESSMENTS!B:B,A497,ASSESSMENTS!E:E,"Accounting"),1),""))</f>
        <v/>
      </c>
      <c r="K497" s="4">
        <f>IF(A497="","",IFERROR(ROUND(AVERAGEIFS(ASSESSMENTS!H:H,ASSESSMENTS!B:B,A497,ASSESSMENTS!E:E,"English"),1),""))</f>
        <v/>
      </c>
      <c r="L497" s="5">
        <f>IF(A497="","",IFERROR(_xludf.XLOOKUP(A497,ATTENDANCE_SUMMARY!A:A,ATTENDANCE_SUMMARY!G:G,""),""))</f>
        <v/>
      </c>
      <c r="M497" s="4">
        <f>IF(A497="","",IF(OR(E497&lt;50,AND(L497&lt;0.75,L497&lt;&gt;"" )),"At Risk","On Track"))</f>
        <v/>
      </c>
    </row>
    <row r="498">
      <c r="A498">
        <f>IF(MASTER_REGISTER!E498="","",MASTER_REGISTER!E498)</f>
        <v/>
      </c>
      <c r="B498">
        <f>IF(A498="","",MASTER_REGISTER!F498)</f>
        <v/>
      </c>
      <c r="C498">
        <f>IF(A498="","",MASTER_REGISTER!C498)</f>
        <v/>
      </c>
      <c r="D498">
        <f>IF(A498="","",COUNTIF(ASSESSMENTS!B:B,A498))</f>
        <v/>
      </c>
      <c r="E498" s="4">
        <f>IF(D498=0,"",ROUND(AVERAGEIF(ASSESSMENTS!B:B,A498,ASSESSMENTS!H:H),1))</f>
        <v/>
      </c>
      <c r="F498" s="4">
        <f>IF(A498="","",IFERROR(ROUND(AVERAGEIFS(ASSESSMENTS!H:H,ASSESSMENTS!B:B,A498,ASSESSMENTS!E:E,"Mathematics"),1),""))</f>
        <v/>
      </c>
      <c r="G498" s="4">
        <f>IF(A498="","",IFERROR(ROUND(AVERAGEIFS(ASSESSMENTS!H:H,ASSESSMENTS!B:B,A498,ASSESSMENTS!E:E,"Mathematical Literacy"),1),""))</f>
        <v/>
      </c>
      <c r="H498" s="4">
        <f>IF(A498="","",IFERROR(ROUND(AVERAGEIFS(ASSESSMENTS!H:H,ASSESSMENTS!B:B,A498,ASSESSMENTS!E:E,"Physical Sciences"),1),""))</f>
        <v/>
      </c>
      <c r="I498" s="4">
        <f>IF(A498="","",IFERROR(ROUND(AVERAGEIFS(ASSESSMENTS!H:H,ASSESSMENTS!B:B,A498,ASSESSMENTS!E:E,"Geography"),1),""))</f>
        <v/>
      </c>
      <c r="J498" s="4">
        <f>IF(A498="","",IFERROR(ROUND(AVERAGEIFS(ASSESSMENTS!H:H,ASSESSMENTS!B:B,A498,ASSESSMENTS!E:E,"Accounting"),1),""))</f>
        <v/>
      </c>
      <c r="K498" s="4">
        <f>IF(A498="","",IFERROR(ROUND(AVERAGEIFS(ASSESSMENTS!H:H,ASSESSMENTS!B:B,A498,ASSESSMENTS!E:E,"English"),1),""))</f>
        <v/>
      </c>
      <c r="L498" s="5">
        <f>IF(A498="","",IFERROR(_xludf.XLOOKUP(A498,ATTENDANCE_SUMMARY!A:A,ATTENDANCE_SUMMARY!G:G,""),""))</f>
        <v/>
      </c>
      <c r="M498" s="4">
        <f>IF(A498="","",IF(OR(E498&lt;50,AND(L498&lt;0.75,L498&lt;&gt;"" )),"At Risk","On Track"))</f>
        <v/>
      </c>
    </row>
    <row r="499">
      <c r="A499">
        <f>IF(MASTER_REGISTER!E499="","",MASTER_REGISTER!E499)</f>
        <v/>
      </c>
      <c r="B499">
        <f>IF(A499="","",MASTER_REGISTER!F499)</f>
        <v/>
      </c>
      <c r="C499">
        <f>IF(A499="","",MASTER_REGISTER!C499)</f>
        <v/>
      </c>
      <c r="D499">
        <f>IF(A499="","",COUNTIF(ASSESSMENTS!B:B,A499))</f>
        <v/>
      </c>
      <c r="E499" s="4">
        <f>IF(D499=0,"",ROUND(AVERAGEIF(ASSESSMENTS!B:B,A499,ASSESSMENTS!H:H),1))</f>
        <v/>
      </c>
      <c r="F499" s="4">
        <f>IF(A499="","",IFERROR(ROUND(AVERAGEIFS(ASSESSMENTS!H:H,ASSESSMENTS!B:B,A499,ASSESSMENTS!E:E,"Mathematics"),1),""))</f>
        <v/>
      </c>
      <c r="G499" s="4">
        <f>IF(A499="","",IFERROR(ROUND(AVERAGEIFS(ASSESSMENTS!H:H,ASSESSMENTS!B:B,A499,ASSESSMENTS!E:E,"Mathematical Literacy"),1),""))</f>
        <v/>
      </c>
      <c r="H499" s="4">
        <f>IF(A499="","",IFERROR(ROUND(AVERAGEIFS(ASSESSMENTS!H:H,ASSESSMENTS!B:B,A499,ASSESSMENTS!E:E,"Physical Sciences"),1),""))</f>
        <v/>
      </c>
      <c r="I499" s="4">
        <f>IF(A499="","",IFERROR(ROUND(AVERAGEIFS(ASSESSMENTS!H:H,ASSESSMENTS!B:B,A499,ASSESSMENTS!E:E,"Geography"),1),""))</f>
        <v/>
      </c>
      <c r="J499" s="4">
        <f>IF(A499="","",IFERROR(ROUND(AVERAGEIFS(ASSESSMENTS!H:H,ASSESSMENTS!B:B,A499,ASSESSMENTS!E:E,"Accounting"),1),""))</f>
        <v/>
      </c>
      <c r="K499" s="4">
        <f>IF(A499="","",IFERROR(ROUND(AVERAGEIFS(ASSESSMENTS!H:H,ASSESSMENTS!B:B,A499,ASSESSMENTS!E:E,"English"),1),""))</f>
        <v/>
      </c>
      <c r="L499" s="5">
        <f>IF(A499="","",IFERROR(_xludf.XLOOKUP(A499,ATTENDANCE_SUMMARY!A:A,ATTENDANCE_SUMMARY!G:G,""),""))</f>
        <v/>
      </c>
      <c r="M499" s="4">
        <f>IF(A499="","",IF(OR(E499&lt;50,AND(L499&lt;0.75,L499&lt;&gt;"" )),"At Risk","On Track"))</f>
        <v/>
      </c>
    </row>
    <row r="500">
      <c r="A500">
        <f>IF(MASTER_REGISTER!E500="","",MASTER_REGISTER!E500)</f>
        <v/>
      </c>
      <c r="B500">
        <f>IF(A500="","",MASTER_REGISTER!F500)</f>
        <v/>
      </c>
      <c r="C500">
        <f>IF(A500="","",MASTER_REGISTER!C500)</f>
        <v/>
      </c>
      <c r="D500">
        <f>IF(A500="","",COUNTIF(ASSESSMENTS!B:B,A500))</f>
        <v/>
      </c>
      <c r="E500" s="4">
        <f>IF(D500=0,"",ROUND(AVERAGEIF(ASSESSMENTS!B:B,A500,ASSESSMENTS!H:H),1))</f>
        <v/>
      </c>
      <c r="F500" s="4">
        <f>IF(A500="","",IFERROR(ROUND(AVERAGEIFS(ASSESSMENTS!H:H,ASSESSMENTS!B:B,A500,ASSESSMENTS!E:E,"Mathematics"),1),""))</f>
        <v/>
      </c>
      <c r="G500" s="4">
        <f>IF(A500="","",IFERROR(ROUND(AVERAGEIFS(ASSESSMENTS!H:H,ASSESSMENTS!B:B,A500,ASSESSMENTS!E:E,"Mathematical Literacy"),1),""))</f>
        <v/>
      </c>
      <c r="H500" s="4">
        <f>IF(A500="","",IFERROR(ROUND(AVERAGEIFS(ASSESSMENTS!H:H,ASSESSMENTS!B:B,A500,ASSESSMENTS!E:E,"Physical Sciences"),1),""))</f>
        <v/>
      </c>
      <c r="I500" s="4">
        <f>IF(A500="","",IFERROR(ROUND(AVERAGEIFS(ASSESSMENTS!H:H,ASSESSMENTS!B:B,A500,ASSESSMENTS!E:E,"Geography"),1),""))</f>
        <v/>
      </c>
      <c r="J500" s="4">
        <f>IF(A500="","",IFERROR(ROUND(AVERAGEIFS(ASSESSMENTS!H:H,ASSESSMENTS!B:B,A500,ASSESSMENTS!E:E,"Accounting"),1),""))</f>
        <v/>
      </c>
      <c r="K500" s="4">
        <f>IF(A500="","",IFERROR(ROUND(AVERAGEIFS(ASSESSMENTS!H:H,ASSESSMENTS!B:B,A500,ASSESSMENTS!E:E,"English"),1),""))</f>
        <v/>
      </c>
      <c r="L500" s="5">
        <f>IF(A500="","",IFERROR(_xludf.XLOOKUP(A500,ATTENDANCE_SUMMARY!A:A,ATTENDANCE_SUMMARY!G:G,""),""))</f>
        <v/>
      </c>
      <c r="M500" s="4">
        <f>IF(A500="","",IF(OR(E500&lt;50,AND(L500&lt;0.75,L500&lt;&gt;"" )),"At Risk","On Track"))</f>
        <v/>
      </c>
    </row>
    <row r="501">
      <c r="A501">
        <f>IF(MASTER_REGISTER!E501="","",MASTER_REGISTER!E501)</f>
        <v/>
      </c>
      <c r="B501">
        <f>IF(A501="","",MASTER_REGISTER!F501)</f>
        <v/>
      </c>
      <c r="C501">
        <f>IF(A501="","",MASTER_REGISTER!C501)</f>
        <v/>
      </c>
      <c r="D501">
        <f>IF(A501="","",COUNTIF(ASSESSMENTS!B:B,A501))</f>
        <v/>
      </c>
      <c r="E501" s="4">
        <f>IF(D501=0,"",ROUND(AVERAGEIF(ASSESSMENTS!B:B,A501,ASSESSMENTS!H:H),1))</f>
        <v/>
      </c>
      <c r="F501" s="4">
        <f>IF(A501="","",IFERROR(ROUND(AVERAGEIFS(ASSESSMENTS!H:H,ASSESSMENTS!B:B,A501,ASSESSMENTS!E:E,"Mathematics"),1),""))</f>
        <v/>
      </c>
      <c r="G501" s="4">
        <f>IF(A501="","",IFERROR(ROUND(AVERAGEIFS(ASSESSMENTS!H:H,ASSESSMENTS!B:B,A501,ASSESSMENTS!E:E,"Mathematical Literacy"),1),""))</f>
        <v/>
      </c>
      <c r="H501" s="4">
        <f>IF(A501="","",IFERROR(ROUND(AVERAGEIFS(ASSESSMENTS!H:H,ASSESSMENTS!B:B,A501,ASSESSMENTS!E:E,"Physical Sciences"),1),""))</f>
        <v/>
      </c>
      <c r="I501" s="4">
        <f>IF(A501="","",IFERROR(ROUND(AVERAGEIFS(ASSESSMENTS!H:H,ASSESSMENTS!B:B,A501,ASSESSMENTS!E:E,"Geography"),1),""))</f>
        <v/>
      </c>
      <c r="J501" s="4">
        <f>IF(A501="","",IFERROR(ROUND(AVERAGEIFS(ASSESSMENTS!H:H,ASSESSMENTS!B:B,A501,ASSESSMENTS!E:E,"Accounting"),1),""))</f>
        <v/>
      </c>
      <c r="K501" s="4">
        <f>IF(A501="","",IFERROR(ROUND(AVERAGEIFS(ASSESSMENTS!H:H,ASSESSMENTS!B:B,A501,ASSESSMENTS!E:E,"English"),1),""))</f>
        <v/>
      </c>
      <c r="L501" s="5">
        <f>IF(A501="","",IFERROR(_xludf.XLOOKUP(A501,ATTENDANCE_SUMMARY!A:A,ATTENDANCE_SUMMARY!G:G,""),""))</f>
        <v/>
      </c>
      <c r="M501" s="4">
        <f>IF(A501="","",IF(OR(E501&lt;50,AND(L501&lt;0.75,L501&lt;&gt;"" )),"At Risk","On Track"))</f>
        <v/>
      </c>
    </row>
  </sheetData>
  <conditionalFormatting sqref="E2:E501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501">
    <cfRule type="cellIs" priority="2" operator="equal" dxfId="1">
      <formula>"At Risk"</formula>
    </cfRule>
    <cfRule type="cellIs" priority="3" operator="equal" dxfId="0">
      <formula>"On Track"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4"/>
  <cols>
    <col width="24" customWidth="1" style="10" min="1" max="1"/>
    <col width="22" customWidth="1" style="10" min="2" max="2"/>
    <col width="20" customWidth="1" style="10" min="3" max="6"/>
  </cols>
  <sheetData>
    <row r="1" ht="18" customHeight="1" s="10">
      <c r="A1" s="11" t="inlineStr">
        <is>
          <t>Math &amp; Sciences Hub – Learner Progress Report</t>
        </is>
      </c>
    </row>
    <row r="3">
      <c r="A3" s="1" t="inlineStr">
        <is>
          <t>Enter Student Number:</t>
        </is>
      </c>
    </row>
    <row r="4">
      <c r="A4" s="1" t="inlineStr">
        <is>
          <t>Learner Name:</t>
        </is>
      </c>
      <c r="B4">
        <f>IFERROR(_xludf.XLOOKUP($B$3,PROGRESS_SUMMARY!A:A,PROGRESS_SUMMARY!B:B,""),"")</f>
        <v/>
      </c>
    </row>
    <row r="5">
      <c r="A5" s="1" t="inlineStr">
        <is>
          <t>Grade:</t>
        </is>
      </c>
      <c r="B5">
        <f>IFERROR(_xludf.XLOOKUP($B$3,PROGRESS_SUMMARY!A:A,PROGRESS_SUMMARY!C:C,""),"")</f>
        <v/>
      </c>
    </row>
    <row r="6">
      <c r="A6" s="1" t="inlineStr">
        <is>
          <t>Report Period:</t>
        </is>
      </c>
    </row>
    <row r="7">
      <c r="A7" s="1" t="inlineStr">
        <is>
          <t>Attendance %:</t>
        </is>
      </c>
      <c r="B7" s="8">
        <f>IFERROR(_xludf.XLOOKUP($B$3,PROGRESS_SUMMARY!A:A,PROGRESS_SUMMARY!L:L,""),"")</f>
        <v/>
      </c>
    </row>
    <row r="8">
      <c r="A8" s="1" t="inlineStr">
        <is>
          <t>Overall Average (%):</t>
        </is>
      </c>
      <c r="B8">
        <f>IFERROR(_xludf.XLOOKUP($B$3,PROGRESS_SUMMARY!A:A,PROGRESS_SUMMARY!E:E,""),"")</f>
        <v/>
      </c>
    </row>
    <row r="9">
      <c r="A9" s="1" t="inlineStr">
        <is>
          <t>Progress Status:</t>
        </is>
      </c>
      <c r="B9">
        <f>IFERROR(_xludf.XLOOKUP($B$3,PROGRESS_SUMMARY!A:A,PROGRESS_SUMMARY!M:M,""),"")</f>
        <v/>
      </c>
    </row>
    <row r="11">
      <c r="A11" s="1" t="inlineStr">
        <is>
          <t>Subject</t>
        </is>
      </c>
      <c r="B11" s="1" t="inlineStr">
        <is>
          <t>Average (%)</t>
        </is>
      </c>
    </row>
    <row r="12">
      <c r="A12" t="inlineStr">
        <is>
          <t>Mathematics</t>
        </is>
      </c>
      <c r="B12" s="4">
        <f>IF($B$3="","",IFERROR(_xludf.XLOOKUP($B$3,PROGRESS_SUMMARY!A:A,PROGRESS_SUMMARY!F:F,""),""))</f>
        <v/>
      </c>
    </row>
    <row r="13">
      <c r="A13" t="inlineStr">
        <is>
          <t>Mathematical Literacy</t>
        </is>
      </c>
      <c r="B13" s="4">
        <f>IF($B$3="","",IFERROR(_xludf.XLOOKUP($B$3,PROGRESS_SUMMARY!A:A,PROGRESS_SUMMARY!G:G,""),""))</f>
        <v/>
      </c>
    </row>
    <row r="14">
      <c r="A14" t="inlineStr">
        <is>
          <t>Physical Sciences</t>
        </is>
      </c>
      <c r="B14" s="4">
        <f>IF($B$3="","",IFERROR(_xludf.XLOOKUP($B$3,PROGRESS_SUMMARY!A:A,PROGRESS_SUMMARY!H:H,""),""))</f>
        <v/>
      </c>
    </row>
    <row r="15">
      <c r="A15" t="inlineStr">
        <is>
          <t>Geography</t>
        </is>
      </c>
      <c r="B15" s="4">
        <f>IF($B$3="","",IFERROR(_xludf.XLOOKUP($B$3,PROGRESS_SUMMARY!A:A,PROGRESS_SUMMARY!I:I,""),""))</f>
        <v/>
      </c>
    </row>
    <row r="16">
      <c r="A16" t="inlineStr">
        <is>
          <t>Accounting</t>
        </is>
      </c>
      <c r="B16" s="4">
        <f>IF($B$3="","",IFERROR(_xludf.XLOOKUP($B$3,PROGRESS_SUMMARY!A:A,PROGRESS_SUMMARY!J:J,""),""))</f>
        <v/>
      </c>
    </row>
    <row r="17">
      <c r="A17" t="inlineStr">
        <is>
          <t>English</t>
        </is>
      </c>
      <c r="B17" s="4">
        <f>IF($B$3="","",IFERROR(_xludf.XLOOKUP($B$3,PROGRESS_SUMMARY!A:A,PROGRESS_SUMMARY!K:K,""),""))</f>
        <v/>
      </c>
    </row>
    <row r="20">
      <c r="A20" s="1" t="inlineStr">
        <is>
          <t>Tutor Notes:</t>
        </is>
      </c>
    </row>
    <row r="21">
      <c r="A21" s="9" t="n"/>
    </row>
    <row r="22"/>
    <row r="23"/>
    <row r="24"/>
    <row r="25"/>
    <row r="26"/>
  </sheetData>
  <mergeCells count="2">
    <mergeCell ref="A21:F2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style="10" min="1" max="1"/>
    <col width="18" customWidth="1" style="10" min="2" max="2"/>
    <col width="16" customWidth="1" style="10" min="3" max="3"/>
    <col width="28" customWidth="1" style="10" min="4" max="4"/>
    <col width="24" customWidth="1" style="10" min="5" max="5"/>
    <col width="22" customWidth="1" style="10" min="6" max="6"/>
    <col width="24" customWidth="1" style="10" min="7" max="7"/>
    <col width="18" customWidth="1" style="10" min="8" max="8"/>
  </cols>
  <sheetData>
    <row r="1" ht="28.8" customHeight="1" s="10">
      <c r="A1" s="12" t="inlineStr">
        <is>
          <t>Tutor Name</t>
        </is>
      </c>
      <c r="B1" s="12" t="inlineStr">
        <is>
          <t>ID Number</t>
        </is>
      </c>
      <c r="C1" s="12" t="inlineStr">
        <is>
          <t>Contact Number</t>
        </is>
      </c>
      <c r="D1" s="12" t="inlineStr">
        <is>
          <t>Email</t>
        </is>
      </c>
      <c r="E1" s="12" t="inlineStr">
        <is>
          <t>Subject Specialty</t>
        </is>
      </c>
      <c r="F1" s="12" t="inlineStr">
        <is>
          <t>Highest Qualification</t>
        </is>
      </c>
      <c r="G1" s="12" t="inlineStr">
        <is>
          <t>University/Institution</t>
        </is>
      </c>
      <c r="H1" s="12" t="inlineStr">
        <is>
          <t>Status (Active/Inactive)</t>
        </is>
      </c>
    </row>
  </sheetData>
  <dataValidations count="1">
    <dataValidation sqref="H2:H200" showDropDown="0" showInputMessage="0" showErrorMessage="0" allowBlank="0" type="list">
      <formula1>"Active,Inactive"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0" customWidth="1" style="10" min="2" max="2"/>
    <col width="22" customWidth="1" style="10" min="3" max="4"/>
    <col width="26" customWidth="1" style="10" min="5" max="5"/>
    <col width="22" customWidth="1" style="10" min="6" max="6"/>
    <col width="16" customWidth="1" style="10" min="7" max="7"/>
    <col width="22" customWidth="1" style="10" min="8" max="8"/>
    <col width="14" customWidth="1" style="10" min="9" max="9"/>
    <col width="28" customWidth="1" style="10" min="10" max="10"/>
  </cols>
  <sheetData>
    <row r="1" ht="28.8" customHeight="1" s="10">
      <c r="A1" s="12" t="inlineStr">
        <is>
          <t>Session Date</t>
        </is>
      </c>
      <c r="B1" s="12" t="inlineStr">
        <is>
          <t>Grade</t>
        </is>
      </c>
      <c r="C1" s="12" t="inlineStr">
        <is>
          <t>Subject</t>
        </is>
      </c>
      <c r="D1" s="12" t="inlineStr">
        <is>
          <t>Tutor Name</t>
        </is>
      </c>
      <c r="E1" s="12" t="inlineStr">
        <is>
          <t>Topic Covered</t>
        </is>
      </c>
      <c r="F1" s="12" t="inlineStr">
        <is>
          <t>CAPS Reference</t>
        </is>
      </c>
      <c r="G1" s="12" t="inlineStr">
        <is>
          <t>Homework Given?</t>
        </is>
      </c>
      <c r="H1" s="12" t="inlineStr">
        <is>
          <t>Resources Used</t>
        </is>
      </c>
      <c r="I1" s="12" t="inlineStr">
        <is>
          <t>Submitted?</t>
        </is>
      </c>
      <c r="J1" s="12" t="inlineStr">
        <is>
          <t>Remarks</t>
        </is>
      </c>
    </row>
  </sheetData>
  <dataValidations count="3">
    <dataValidation sqref="B2:B1000" showDropDown="0" showInputMessage="0" showErrorMessage="0" allowBlank="0" type="whole">
      <formula1>8</formula1>
      <formula2>12</formula2>
    </dataValidation>
    <dataValidation sqref="C2:C1000" showDropDown="0" showInputMessage="0" showErrorMessage="0" allowBlank="0" type="list">
      <formula1>"Mathematics,Mathematical Literacy,Physical Sciences,Geography,Accounting,Natural Sciences &amp; Technology,EMS,English"</formula1>
    </dataValidation>
    <dataValidation sqref="G2:G1000 I2:I1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style="10" min="1" max="1"/>
    <col width="22" customWidth="1" style="10" min="2" max="6"/>
  </cols>
  <sheetData>
    <row r="1">
      <c r="A1" s="12" t="inlineStr">
        <is>
          <t>Math &amp; Sciences Hub – Saturday Timetable</t>
        </is>
      </c>
    </row>
    <row r="2">
      <c r="A2" t="inlineStr">
        <is>
          <t>Time Slot</t>
        </is>
      </c>
      <c r="B2" t="inlineStr">
        <is>
          <t>Classroom 1</t>
        </is>
      </c>
      <c r="C2" t="inlineStr">
        <is>
          <t>Classroom 2</t>
        </is>
      </c>
      <c r="D2" t="inlineStr">
        <is>
          <t>Classroom 3</t>
        </is>
      </c>
      <c r="E2" t="inlineStr">
        <is>
          <t>Classroom 4</t>
        </is>
      </c>
      <c r="F2" t="inlineStr">
        <is>
          <t>Classroom 5</t>
        </is>
      </c>
    </row>
    <row r="3">
      <c r="A3" t="inlineStr">
        <is>
          <t>07:00 – 08:00</t>
        </is>
      </c>
    </row>
    <row r="4">
      <c r="A4" t="inlineStr">
        <is>
          <t>08:00 – 09:00</t>
        </is>
      </c>
    </row>
    <row r="5">
      <c r="A5" t="inlineStr">
        <is>
          <t>09:00 – 10:00</t>
        </is>
      </c>
    </row>
    <row r="6">
      <c r="A6" t="inlineStr">
        <is>
          <t>10:00 – 11:00</t>
        </is>
      </c>
    </row>
    <row r="7">
      <c r="A7" t="inlineStr">
        <is>
          <t>11:00 – 12:00</t>
        </is>
      </c>
    </row>
    <row r="8">
      <c r="A8" t="inlineStr">
        <is>
          <t>12:00 – 13:00 (Lunch)</t>
        </is>
      </c>
    </row>
    <row r="9">
      <c r="A9" t="inlineStr">
        <is>
          <t>13:00 – 14:00</t>
        </is>
      </c>
    </row>
    <row r="10">
      <c r="A10" t="inlineStr">
        <is>
          <t>14:00 – 15:00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2026-02-11T02:24:33Z</dcterms:created>
  <dcterms:modified xmlns:dcterms="http://purl.org/dc/terms/" xmlns:xsi="http://www.w3.org/2001/XMLSchema-instance" xsi:type="dcterms:W3CDTF">2026-03-13T22:05:37Z</dcterms:modified>
  <cp:lastModifiedBy>CHRIS ABEL</cp:lastModifiedBy>
</cp:coreProperties>
</file>